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90" windowWidth="18120" windowHeight="11280" tabRatio="720" activeTab="1"/>
  </bookViews>
  <sheets>
    <sheet name="Feuil1" sheetId="1" r:id="rId1"/>
    <sheet name="Output" sheetId="9" r:id="rId2"/>
    <sheet name="Feuil2" sheetId="10" r:id="rId3"/>
  </sheets>
  <definedNames>
    <definedName name="alpha">Feuil1!$F$8</definedName>
    <definedName name="corel">Feuil1!$F$10</definedName>
    <definedName name="dir">Feuil1!$F$5</definedName>
    <definedName name="name">Feuil1!$F$6</definedName>
    <definedName name="scn">Feuil1!$F$7</definedName>
    <definedName name="sigma">Feuil1!$F$9</definedName>
  </definedNames>
  <calcPr calcId="125725" calcMode="manual"/>
</workbook>
</file>

<file path=xl/calcChain.xml><?xml version="1.0" encoding="utf-8"?>
<calcChain xmlns="http://schemas.openxmlformats.org/spreadsheetml/2006/main">
  <c r="AG13" i="9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51"/>
  <c r="AG252"/>
  <c r="AG253"/>
  <c r="AG254"/>
  <c r="AG255"/>
  <c r="AG256"/>
  <c r="AG257"/>
  <c r="AG258"/>
  <c r="AG259"/>
  <c r="AG260"/>
  <c r="AG261"/>
  <c r="AG262"/>
  <c r="AG263"/>
  <c r="AG264"/>
  <c r="AG265"/>
  <c r="AG266"/>
  <c r="AG267"/>
  <c r="AG268"/>
  <c r="AG269"/>
  <c r="AG270"/>
  <c r="AG271"/>
  <c r="AG272"/>
  <c r="AG273"/>
  <c r="AG274"/>
  <c r="AG275"/>
  <c r="AG276"/>
  <c r="AG277"/>
  <c r="AG278"/>
  <c r="AG279"/>
  <c r="AG280"/>
  <c r="AG281"/>
  <c r="AG282"/>
  <c r="AG283"/>
  <c r="AG284"/>
  <c r="AG285"/>
  <c r="AG286"/>
  <c r="AG287"/>
  <c r="AG288"/>
  <c r="AG289"/>
  <c r="AG290"/>
  <c r="AG291"/>
  <c r="AG292"/>
  <c r="AG293"/>
  <c r="AG294"/>
  <c r="AG295"/>
  <c r="AG296"/>
  <c r="AG297"/>
  <c r="AG298"/>
  <c r="AG299"/>
  <c r="AG300"/>
  <c r="AG301"/>
  <c r="AG302"/>
  <c r="AG303"/>
  <c r="AG304"/>
  <c r="AG305"/>
  <c r="AG306"/>
  <c r="AG307"/>
  <c r="AG308"/>
  <c r="AG309"/>
  <c r="AG310"/>
  <c r="AG311"/>
  <c r="AG312"/>
  <c r="AG313"/>
  <c r="AG314"/>
  <c r="AG315"/>
  <c r="AG316"/>
  <c r="AG317"/>
  <c r="AG318"/>
  <c r="AG319"/>
  <c r="AG320"/>
  <c r="AG321"/>
  <c r="AG322"/>
  <c r="AG323"/>
  <c r="AG324"/>
  <c r="AG325"/>
  <c r="AG326"/>
  <c r="AG327"/>
  <c r="AG328"/>
  <c r="AG329"/>
  <c r="AG330"/>
  <c r="AG331"/>
  <c r="AG332"/>
  <c r="AG333"/>
  <c r="AG334"/>
  <c r="AG335"/>
  <c r="AG336"/>
  <c r="AG337"/>
  <c r="AG338"/>
  <c r="AG339"/>
  <c r="AG340"/>
  <c r="AG341"/>
  <c r="AG342"/>
  <c r="AG343"/>
  <c r="AG344"/>
  <c r="AG345"/>
  <c r="AG346"/>
  <c r="AG347"/>
  <c r="AG348"/>
  <c r="AG349"/>
  <c r="AG350"/>
  <c r="AG351"/>
  <c r="AG352"/>
  <c r="AG353"/>
  <c r="AG354"/>
  <c r="AG355"/>
  <c r="AG356"/>
  <c r="AG357"/>
  <c r="AG358"/>
  <c r="AG359"/>
  <c r="AG360"/>
  <c r="AG361"/>
  <c r="AG362"/>
  <c r="AG363"/>
  <c r="AG364"/>
  <c r="AG365"/>
  <c r="AG366"/>
  <c r="AG367"/>
  <c r="AG368"/>
  <c r="AG369"/>
  <c r="AG370"/>
  <c r="AG371"/>
  <c r="AG372"/>
  <c r="AG373"/>
  <c r="AG374"/>
  <c r="AG375"/>
  <c r="AG376"/>
  <c r="AG377"/>
  <c r="AG378"/>
  <c r="AG379"/>
  <c r="AG380"/>
  <c r="AG381"/>
  <c r="AG382"/>
  <c r="AG383"/>
  <c r="AG384"/>
  <c r="AG385"/>
  <c r="AG386"/>
  <c r="AG387"/>
  <c r="AG388"/>
  <c r="AG389"/>
  <c r="AG390"/>
  <c r="AG391"/>
  <c r="AG392"/>
  <c r="AG393"/>
  <c r="AG394"/>
  <c r="AG395"/>
  <c r="AG396"/>
  <c r="AG397"/>
  <c r="AG398"/>
  <c r="AG399"/>
  <c r="AG400"/>
  <c r="AG401"/>
  <c r="AG402"/>
  <c r="AG403"/>
  <c r="AG404"/>
  <c r="AG405"/>
  <c r="AG406"/>
  <c r="AG407"/>
  <c r="AG408"/>
  <c r="AG409"/>
  <c r="AG410"/>
  <c r="AG411"/>
  <c r="AG412"/>
  <c r="AG413"/>
  <c r="AG414"/>
  <c r="AG415"/>
  <c r="AG416"/>
  <c r="AG417"/>
  <c r="AG418"/>
  <c r="AG419"/>
  <c r="AG420"/>
  <c r="AG421"/>
  <c r="AG422"/>
  <c r="AG423"/>
  <c r="AG424"/>
  <c r="AG425"/>
  <c r="AG426"/>
  <c r="AG427"/>
  <c r="AG428"/>
  <c r="AG429"/>
  <c r="AG430"/>
  <c r="AG431"/>
  <c r="AG432"/>
  <c r="AG433"/>
  <c r="AG434"/>
  <c r="AG435"/>
  <c r="AG436"/>
  <c r="AG437"/>
  <c r="AG438"/>
  <c r="AG439"/>
  <c r="AG440"/>
  <c r="AG441"/>
  <c r="AG442"/>
  <c r="AG443"/>
  <c r="AG444"/>
  <c r="AG445"/>
  <c r="AG446"/>
  <c r="AG447"/>
  <c r="AG448"/>
  <c r="AG449"/>
  <c r="AG450"/>
  <c r="AG451"/>
  <c r="AG452"/>
  <c r="AG453"/>
  <c r="AG454"/>
  <c r="AG455"/>
  <c r="AG456"/>
  <c r="AG457"/>
  <c r="AG458"/>
  <c r="AG459"/>
  <c r="AG460"/>
  <c r="AG461"/>
  <c r="AG462"/>
  <c r="AG463"/>
  <c r="AG464"/>
  <c r="AG465"/>
  <c r="AG466"/>
  <c r="AG467"/>
  <c r="AG468"/>
  <c r="AG469"/>
  <c r="AG470"/>
  <c r="AG471"/>
  <c r="AG472"/>
  <c r="AG473"/>
  <c r="AG474"/>
  <c r="AG475"/>
  <c r="AG476"/>
  <c r="AG477"/>
  <c r="AG478"/>
  <c r="AG479"/>
  <c r="AG480"/>
  <c r="AG481"/>
  <c r="AG482"/>
  <c r="AG483"/>
  <c r="AG484"/>
  <c r="AG485"/>
  <c r="AG486"/>
  <c r="AG487"/>
  <c r="AG488"/>
  <c r="AG489"/>
  <c r="AG490"/>
  <c r="AG491"/>
  <c r="AG492"/>
  <c r="AG493"/>
  <c r="AG494"/>
  <c r="AG495"/>
  <c r="AG496"/>
  <c r="AG497"/>
  <c r="AG498"/>
  <c r="AG499"/>
  <c r="AG500"/>
  <c r="AG501"/>
  <c r="AG502"/>
  <c r="AG503"/>
  <c r="AG504"/>
  <c r="AG505"/>
  <c r="AG506"/>
  <c r="AG507"/>
  <c r="AG508"/>
  <c r="AG509"/>
  <c r="AG510"/>
  <c r="AG511"/>
  <c r="AG512"/>
  <c r="AG513"/>
  <c r="AG514"/>
  <c r="AG515"/>
  <c r="AG516"/>
  <c r="AG517"/>
  <c r="AG518"/>
  <c r="AG519"/>
  <c r="AG520"/>
  <c r="AG521"/>
  <c r="AG522"/>
  <c r="AG523"/>
  <c r="AG524"/>
  <c r="AG525"/>
  <c r="AG526"/>
  <c r="AG527"/>
  <c r="AG528"/>
  <c r="AG529"/>
  <c r="AG530"/>
  <c r="AG531"/>
  <c r="AG532"/>
  <c r="AG533"/>
  <c r="AG534"/>
  <c r="AG535"/>
  <c r="AG536"/>
  <c r="AG537"/>
  <c r="AG538"/>
  <c r="AG539"/>
  <c r="AG540"/>
  <c r="AG541"/>
  <c r="AG542"/>
  <c r="AG543"/>
  <c r="AG544"/>
  <c r="AG545"/>
  <c r="AG546"/>
  <c r="AG547"/>
  <c r="AG548"/>
  <c r="AG549"/>
  <c r="AG550"/>
  <c r="AG551"/>
  <c r="AG552"/>
  <c r="AG553"/>
  <c r="AG554"/>
  <c r="AG555"/>
  <c r="AG556"/>
  <c r="AG557"/>
  <c r="AG558"/>
  <c r="AG559"/>
  <c r="AG560"/>
  <c r="AG561"/>
  <c r="AG562"/>
  <c r="AG563"/>
  <c r="AG564"/>
  <c r="AG565"/>
  <c r="AG566"/>
  <c r="AG567"/>
  <c r="AG568"/>
  <c r="AG569"/>
  <c r="AG570"/>
  <c r="AG571"/>
  <c r="AG572"/>
  <c r="AG573"/>
  <c r="AG574"/>
  <c r="AG575"/>
  <c r="AG576"/>
  <c r="AG577"/>
  <c r="AG578"/>
  <c r="AG579"/>
  <c r="AG580"/>
  <c r="AG581"/>
  <c r="AG582"/>
  <c r="AG583"/>
  <c r="AG584"/>
  <c r="AG585"/>
  <c r="AG586"/>
  <c r="AG587"/>
  <c r="AG588"/>
  <c r="AG589"/>
  <c r="AG590"/>
  <c r="AG591"/>
  <c r="AG592"/>
  <c r="AG593"/>
  <c r="AG594"/>
  <c r="AG595"/>
  <c r="AG596"/>
  <c r="AG597"/>
  <c r="AG598"/>
  <c r="AG599"/>
  <c r="AG600"/>
  <c r="AG601"/>
  <c r="AG602"/>
  <c r="AG603"/>
  <c r="AG604"/>
  <c r="AG605"/>
  <c r="AG606"/>
  <c r="AG607"/>
  <c r="AG608"/>
  <c r="AG609"/>
  <c r="AG610"/>
  <c r="AG611"/>
  <c r="AG612"/>
  <c r="AG613"/>
  <c r="AG614"/>
  <c r="AG615"/>
  <c r="AG616"/>
  <c r="AG617"/>
  <c r="AG618"/>
  <c r="AG619"/>
  <c r="AG620"/>
  <c r="AG621"/>
  <c r="AG622"/>
  <c r="AG623"/>
  <c r="AG624"/>
  <c r="AG625"/>
  <c r="AG626"/>
  <c r="AG627"/>
  <c r="AG628"/>
  <c r="AG629"/>
  <c r="AG630"/>
  <c r="AG631"/>
  <c r="AG632"/>
  <c r="AG633"/>
  <c r="AG634"/>
  <c r="AG635"/>
  <c r="AG636"/>
  <c r="AG637"/>
  <c r="AG638"/>
  <c r="AG639"/>
  <c r="AG640"/>
  <c r="AG641"/>
  <c r="AG642"/>
  <c r="AG643"/>
  <c r="AG644"/>
  <c r="AG645"/>
  <c r="AG646"/>
  <c r="AG647"/>
  <c r="AG648"/>
  <c r="AG649"/>
  <c r="AG650"/>
  <c r="AG651"/>
  <c r="AG652"/>
  <c r="AG653"/>
  <c r="AG654"/>
  <c r="AG655"/>
  <c r="AG656"/>
  <c r="AG657"/>
  <c r="AG658"/>
  <c r="AG659"/>
  <c r="AG660"/>
  <c r="AG661"/>
  <c r="AG662"/>
  <c r="AG663"/>
  <c r="AG664"/>
  <c r="AG665"/>
  <c r="AG666"/>
  <c r="AG667"/>
  <c r="AG668"/>
  <c r="AG669"/>
  <c r="AG670"/>
  <c r="AG671"/>
  <c r="AG672"/>
  <c r="AG673"/>
  <c r="AG674"/>
  <c r="AG675"/>
  <c r="AG676"/>
  <c r="AG677"/>
  <c r="AG678"/>
  <c r="AG679"/>
  <c r="AG680"/>
  <c r="AG681"/>
  <c r="AG682"/>
  <c r="AG683"/>
  <c r="AG684"/>
  <c r="AG685"/>
  <c r="AG686"/>
  <c r="AG687"/>
  <c r="AG688"/>
  <c r="AG689"/>
  <c r="AG690"/>
  <c r="AG691"/>
  <c r="AG692"/>
  <c r="AG693"/>
  <c r="AG694"/>
  <c r="AG695"/>
  <c r="AG696"/>
  <c r="AG697"/>
  <c r="AG698"/>
  <c r="AG699"/>
  <c r="AG700"/>
  <c r="AG701"/>
  <c r="AG702"/>
  <c r="AG703"/>
  <c r="AG704"/>
  <c r="AG705"/>
  <c r="AG706"/>
  <c r="AG707"/>
  <c r="AG708"/>
  <c r="AG709"/>
  <c r="AG710"/>
  <c r="AG711"/>
  <c r="AG712"/>
  <c r="AG713"/>
  <c r="AG714"/>
  <c r="AG715"/>
  <c r="AG716"/>
  <c r="AG717"/>
  <c r="AG718"/>
  <c r="AG719"/>
  <c r="AG720"/>
  <c r="AG721"/>
  <c r="AG722"/>
  <c r="AG723"/>
  <c r="AG724"/>
  <c r="AG725"/>
  <c r="AG726"/>
  <c r="AG727"/>
  <c r="AG728"/>
  <c r="AG729"/>
  <c r="AG730"/>
  <c r="AG731"/>
  <c r="AG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AF436"/>
  <c r="AF437"/>
  <c r="AF438"/>
  <c r="AF439"/>
  <c r="AF440"/>
  <c r="AF441"/>
  <c r="AF442"/>
  <c r="AF443"/>
  <c r="AF444"/>
  <c r="AF445"/>
  <c r="AF446"/>
  <c r="AF447"/>
  <c r="AF448"/>
  <c r="AF449"/>
  <c r="AF450"/>
  <c r="AF451"/>
  <c r="AF452"/>
  <c r="AF453"/>
  <c r="AF454"/>
  <c r="AF455"/>
  <c r="AF456"/>
  <c r="AF457"/>
  <c r="AF458"/>
  <c r="AF459"/>
  <c r="AF460"/>
  <c r="AF461"/>
  <c r="AF462"/>
  <c r="AF463"/>
  <c r="AF464"/>
  <c r="AF465"/>
  <c r="AF466"/>
  <c r="AF467"/>
  <c r="AF468"/>
  <c r="AF469"/>
  <c r="AF470"/>
  <c r="AF471"/>
  <c r="AF472"/>
  <c r="AF473"/>
  <c r="AF474"/>
  <c r="AF475"/>
  <c r="AF476"/>
  <c r="AF477"/>
  <c r="AF478"/>
  <c r="AF479"/>
  <c r="AF480"/>
  <c r="AF481"/>
  <c r="AF482"/>
  <c r="AF483"/>
  <c r="AF484"/>
  <c r="AF485"/>
  <c r="AF486"/>
  <c r="AF487"/>
  <c r="AF488"/>
  <c r="AF489"/>
  <c r="AF490"/>
  <c r="AF491"/>
  <c r="AF492"/>
  <c r="AF493"/>
  <c r="AF494"/>
  <c r="AF495"/>
  <c r="AF496"/>
  <c r="AF497"/>
  <c r="AF498"/>
  <c r="AF499"/>
  <c r="AF500"/>
  <c r="AF501"/>
  <c r="AF502"/>
  <c r="AF503"/>
  <c r="AF504"/>
  <c r="AF505"/>
  <c r="AF506"/>
  <c r="AF507"/>
  <c r="AF508"/>
  <c r="AF509"/>
  <c r="AF510"/>
  <c r="AF511"/>
  <c r="AF512"/>
  <c r="AF513"/>
  <c r="AF514"/>
  <c r="AF515"/>
  <c r="AF516"/>
  <c r="AF517"/>
  <c r="AF518"/>
  <c r="AF519"/>
  <c r="AF520"/>
  <c r="AF521"/>
  <c r="AF522"/>
  <c r="AF523"/>
  <c r="AF524"/>
  <c r="AF525"/>
  <c r="AF526"/>
  <c r="AF527"/>
  <c r="AF528"/>
  <c r="AF529"/>
  <c r="AF530"/>
  <c r="AF531"/>
  <c r="AF532"/>
  <c r="AF533"/>
  <c r="AF534"/>
  <c r="AF535"/>
  <c r="AF536"/>
  <c r="AF537"/>
  <c r="AF538"/>
  <c r="AF539"/>
  <c r="AF540"/>
  <c r="AF541"/>
  <c r="AF542"/>
  <c r="AF543"/>
  <c r="AF544"/>
  <c r="AF545"/>
  <c r="AF546"/>
  <c r="AF547"/>
  <c r="AF548"/>
  <c r="AF549"/>
  <c r="AF550"/>
  <c r="AF551"/>
  <c r="AF552"/>
  <c r="AF553"/>
  <c r="AF554"/>
  <c r="AF555"/>
  <c r="AF556"/>
  <c r="AF557"/>
  <c r="AF558"/>
  <c r="AF559"/>
  <c r="AF560"/>
  <c r="AF561"/>
  <c r="AF562"/>
  <c r="AF563"/>
  <c r="AF564"/>
  <c r="AF565"/>
  <c r="AF566"/>
  <c r="AF567"/>
  <c r="AF568"/>
  <c r="AF569"/>
  <c r="AF570"/>
  <c r="AF571"/>
  <c r="AF572"/>
  <c r="AF573"/>
  <c r="AF574"/>
  <c r="AF575"/>
  <c r="AF576"/>
  <c r="AF577"/>
  <c r="AF578"/>
  <c r="AF579"/>
  <c r="AF580"/>
  <c r="AF581"/>
  <c r="AF582"/>
  <c r="AF583"/>
  <c r="AF584"/>
  <c r="AF585"/>
  <c r="AF586"/>
  <c r="AF587"/>
  <c r="AF588"/>
  <c r="AF589"/>
  <c r="AF590"/>
  <c r="AF591"/>
  <c r="AF592"/>
  <c r="AF593"/>
  <c r="AF594"/>
  <c r="AF595"/>
  <c r="AF596"/>
  <c r="AF597"/>
  <c r="AF598"/>
  <c r="AF599"/>
  <c r="AF600"/>
  <c r="AF601"/>
  <c r="AF602"/>
  <c r="AF603"/>
  <c r="AF604"/>
  <c r="AF605"/>
  <c r="AF606"/>
  <c r="AF607"/>
  <c r="AF608"/>
  <c r="AF609"/>
  <c r="AF610"/>
  <c r="AF611"/>
  <c r="AF612"/>
  <c r="AF613"/>
  <c r="AF614"/>
  <c r="AF615"/>
  <c r="AF616"/>
  <c r="AF617"/>
  <c r="AF618"/>
  <c r="AF619"/>
  <c r="AF620"/>
  <c r="AF621"/>
  <c r="AF622"/>
  <c r="AF623"/>
  <c r="AF624"/>
  <c r="AF625"/>
  <c r="AF626"/>
  <c r="AF627"/>
  <c r="AF628"/>
  <c r="AF629"/>
  <c r="AF630"/>
  <c r="AF631"/>
  <c r="AF632"/>
  <c r="AF633"/>
  <c r="AF634"/>
  <c r="AF635"/>
  <c r="AF636"/>
  <c r="AF637"/>
  <c r="AF638"/>
  <c r="AF639"/>
  <c r="AF640"/>
  <c r="AF641"/>
  <c r="AF642"/>
  <c r="AF643"/>
  <c r="AF644"/>
  <c r="AF645"/>
  <c r="AF646"/>
  <c r="AF647"/>
  <c r="AF648"/>
  <c r="AF649"/>
  <c r="AF650"/>
  <c r="AF651"/>
  <c r="AF652"/>
  <c r="AF653"/>
  <c r="AF654"/>
  <c r="AF655"/>
  <c r="AF656"/>
  <c r="AF657"/>
  <c r="AF658"/>
  <c r="AF659"/>
  <c r="AF660"/>
  <c r="AF661"/>
  <c r="AF662"/>
  <c r="AF663"/>
  <c r="AF664"/>
  <c r="AF665"/>
  <c r="AF666"/>
  <c r="AF667"/>
  <c r="AF668"/>
  <c r="AF669"/>
  <c r="AF670"/>
  <c r="AF671"/>
  <c r="AF672"/>
  <c r="AF673"/>
  <c r="AF674"/>
  <c r="AF675"/>
  <c r="AF676"/>
  <c r="AF677"/>
  <c r="AF678"/>
  <c r="AF679"/>
  <c r="AF680"/>
  <c r="AF681"/>
  <c r="AF682"/>
  <c r="AF683"/>
  <c r="AF684"/>
  <c r="AF685"/>
  <c r="AF686"/>
  <c r="AF687"/>
  <c r="AF688"/>
  <c r="AF689"/>
  <c r="AF690"/>
  <c r="AF691"/>
  <c r="AF692"/>
  <c r="AF693"/>
  <c r="AF694"/>
  <c r="AF695"/>
  <c r="AF696"/>
  <c r="AF697"/>
  <c r="AF698"/>
  <c r="AF699"/>
  <c r="AF700"/>
  <c r="AF701"/>
  <c r="AF702"/>
  <c r="AF703"/>
  <c r="AF704"/>
  <c r="AF705"/>
  <c r="AF706"/>
  <c r="AF707"/>
  <c r="AF708"/>
  <c r="AF709"/>
  <c r="AF710"/>
  <c r="AF711"/>
  <c r="AF712"/>
  <c r="AF713"/>
  <c r="AF714"/>
  <c r="AF715"/>
  <c r="AF716"/>
  <c r="AF717"/>
  <c r="AF718"/>
  <c r="AF719"/>
  <c r="AF720"/>
  <c r="AF721"/>
  <c r="AF722"/>
  <c r="AF723"/>
  <c r="AF724"/>
  <c r="AF725"/>
  <c r="AF726"/>
  <c r="AF727"/>
  <c r="AF728"/>
  <c r="AF729"/>
  <c r="AF730"/>
  <c r="AF731"/>
  <c r="AF12"/>
  <c r="AA13"/>
  <c r="AA14" s="1"/>
  <c r="AA15" s="1"/>
  <c r="AA16" s="1"/>
  <c r="AA17" s="1"/>
  <c r="AA18" s="1"/>
  <c r="AA19" s="1"/>
  <c r="AA20" s="1"/>
  <c r="AA21" s="1"/>
  <c r="AA22" s="1"/>
  <c r="AA23" s="1"/>
  <c r="AA24" s="1"/>
  <c r="AA25" s="1"/>
  <c r="AA26" s="1"/>
  <c r="AA27" s="1"/>
  <c r="AA28" s="1"/>
  <c r="AA29" s="1"/>
  <c r="AA30" s="1"/>
  <c r="AA31" s="1"/>
  <c r="AA32" s="1"/>
  <c r="AA33" s="1"/>
  <c r="AA34" s="1"/>
  <c r="AA35" s="1"/>
  <c r="AA36" s="1"/>
  <c r="AA37" s="1"/>
  <c r="AA38" s="1"/>
  <c r="AA39" s="1"/>
  <c r="AA40" s="1"/>
  <c r="AA41" s="1"/>
  <c r="AA42" s="1"/>
  <c r="AA43" s="1"/>
  <c r="AA44" s="1"/>
  <c r="AA45" s="1"/>
  <c r="AA46" s="1"/>
  <c r="AA47" s="1"/>
  <c r="AA48" s="1"/>
  <c r="AA49" s="1"/>
  <c r="AA50" s="1"/>
  <c r="AA51" s="1"/>
  <c r="AA52" s="1"/>
  <c r="AA53" s="1"/>
  <c r="AA54" s="1"/>
  <c r="AA55" s="1"/>
  <c r="AA56" s="1"/>
  <c r="AA57" s="1"/>
  <c r="AA58" s="1"/>
  <c r="AA59" s="1"/>
  <c r="AA60" s="1"/>
  <c r="AA61" s="1"/>
  <c r="AA62" s="1"/>
  <c r="AA63" s="1"/>
  <c r="AA64" s="1"/>
  <c r="AA65" s="1"/>
  <c r="AA66" s="1"/>
  <c r="AA67" s="1"/>
  <c r="AA68" s="1"/>
  <c r="AA69" s="1"/>
  <c r="AA70" s="1"/>
  <c r="AA71" s="1"/>
  <c r="AA72" s="1"/>
  <c r="AA73" s="1"/>
  <c r="AA74" s="1"/>
  <c r="AA75" s="1"/>
  <c r="AA76" s="1"/>
  <c r="AA77" s="1"/>
  <c r="AA78" s="1"/>
  <c r="AA79" s="1"/>
  <c r="AA80" s="1"/>
  <c r="AA81" s="1"/>
  <c r="AA82" s="1"/>
  <c r="AA83" s="1"/>
  <c r="AA84" s="1"/>
  <c r="AA85" s="1"/>
  <c r="AA86" s="1"/>
  <c r="AA87" s="1"/>
  <c r="AA88" s="1"/>
  <c r="AA89" s="1"/>
  <c r="AA90" s="1"/>
  <c r="AA91" s="1"/>
  <c r="AA92" s="1"/>
  <c r="AA93" s="1"/>
  <c r="AA94" s="1"/>
  <c r="AA95" s="1"/>
  <c r="AA96" s="1"/>
  <c r="AA97" s="1"/>
  <c r="AA98" s="1"/>
  <c r="AA99" s="1"/>
  <c r="AA100" s="1"/>
  <c r="AA101" s="1"/>
  <c r="AA102" s="1"/>
  <c r="AA103" s="1"/>
  <c r="AA104" s="1"/>
  <c r="AA105" s="1"/>
  <c r="AA106" s="1"/>
  <c r="AA107" s="1"/>
  <c r="AA108" s="1"/>
  <c r="AA109" s="1"/>
  <c r="AA110" s="1"/>
  <c r="AA111" s="1"/>
  <c r="AA112" s="1"/>
  <c r="AA113" s="1"/>
  <c r="AA114" s="1"/>
  <c r="AA115" s="1"/>
  <c r="AA116" s="1"/>
  <c r="AA117" s="1"/>
  <c r="AA118" s="1"/>
  <c r="AA119" s="1"/>
  <c r="AA120" s="1"/>
  <c r="AA121" s="1"/>
  <c r="AA122" s="1"/>
  <c r="AA123" s="1"/>
  <c r="AA124" s="1"/>
  <c r="AA125" s="1"/>
  <c r="AA126" s="1"/>
  <c r="AA127" s="1"/>
  <c r="AA128" s="1"/>
  <c r="AA129" s="1"/>
  <c r="AA130" s="1"/>
  <c r="AA131" s="1"/>
  <c r="AA132" s="1"/>
  <c r="AA133" s="1"/>
  <c r="AA134" s="1"/>
  <c r="AA135" s="1"/>
  <c r="AA136" s="1"/>
  <c r="AA137" s="1"/>
  <c r="AA138" s="1"/>
  <c r="AA139" s="1"/>
  <c r="AA140" s="1"/>
  <c r="AA141" s="1"/>
  <c r="AA142" s="1"/>
  <c r="AA143" s="1"/>
  <c r="AA144" s="1"/>
  <c r="AA145" s="1"/>
  <c r="AA146" s="1"/>
  <c r="AA147" s="1"/>
  <c r="AA148" s="1"/>
  <c r="AA149" s="1"/>
  <c r="AA150" s="1"/>
  <c r="AA151" s="1"/>
  <c r="AA152" s="1"/>
  <c r="AA153" s="1"/>
  <c r="AA154" s="1"/>
  <c r="AA155" s="1"/>
  <c r="AA156" s="1"/>
  <c r="AA157" s="1"/>
  <c r="AA158" s="1"/>
  <c r="AA159" s="1"/>
  <c r="AA160" s="1"/>
  <c r="AA161" s="1"/>
  <c r="AA162" s="1"/>
  <c r="AA163" s="1"/>
  <c r="AA164" s="1"/>
  <c r="AA165" s="1"/>
  <c r="AA166" s="1"/>
  <c r="AA167" s="1"/>
  <c r="AA168" s="1"/>
  <c r="AA169" s="1"/>
  <c r="AA170" s="1"/>
  <c r="AA171" s="1"/>
  <c r="AA172" s="1"/>
  <c r="AA173" s="1"/>
  <c r="AA174" s="1"/>
  <c r="AA175" s="1"/>
  <c r="AA176" s="1"/>
  <c r="AA177" s="1"/>
  <c r="AA178" s="1"/>
  <c r="AA179" s="1"/>
  <c r="AA180" s="1"/>
  <c r="AA181" s="1"/>
  <c r="AA182" s="1"/>
  <c r="AA183" s="1"/>
  <c r="AA184" s="1"/>
  <c r="AA185" s="1"/>
  <c r="AA186" s="1"/>
  <c r="AA187" s="1"/>
  <c r="AA188" s="1"/>
  <c r="AA189" s="1"/>
  <c r="AA190" s="1"/>
  <c r="AA191" s="1"/>
  <c r="AA192" s="1"/>
  <c r="AA193" s="1"/>
  <c r="AA194" s="1"/>
  <c r="AA195" s="1"/>
  <c r="AA196" s="1"/>
  <c r="AA197" s="1"/>
  <c r="AA198" s="1"/>
  <c r="AA199" s="1"/>
  <c r="AA200" s="1"/>
  <c r="AA201" s="1"/>
  <c r="AA202" s="1"/>
  <c r="AA203" s="1"/>
  <c r="AA204" s="1"/>
  <c r="AA205" s="1"/>
  <c r="AA206" s="1"/>
  <c r="AA207" s="1"/>
  <c r="AA208" s="1"/>
  <c r="AA209" s="1"/>
  <c r="AA210" s="1"/>
  <c r="AA211" s="1"/>
  <c r="AA212" s="1"/>
  <c r="AA213" s="1"/>
  <c r="AA214" s="1"/>
  <c r="AA215" s="1"/>
  <c r="AA216" s="1"/>
  <c r="AA217" s="1"/>
  <c r="AA218" s="1"/>
  <c r="AA219" s="1"/>
  <c r="AA220" s="1"/>
  <c r="AA221" s="1"/>
  <c r="AA222" s="1"/>
  <c r="AA223" s="1"/>
  <c r="AA224" s="1"/>
  <c r="AA225" s="1"/>
  <c r="AA226" s="1"/>
  <c r="AA227" s="1"/>
  <c r="AA228" s="1"/>
  <c r="AA229" s="1"/>
  <c r="AA230" s="1"/>
  <c r="AA231" s="1"/>
  <c r="AA232" s="1"/>
  <c r="AA233" s="1"/>
  <c r="AA234" s="1"/>
  <c r="AA235" s="1"/>
  <c r="AA236" s="1"/>
  <c r="AA237" s="1"/>
  <c r="AA238" s="1"/>
  <c r="AA239" s="1"/>
  <c r="AA240" s="1"/>
  <c r="AA241" s="1"/>
  <c r="AA242" s="1"/>
  <c r="AA243" s="1"/>
  <c r="AA244" s="1"/>
  <c r="AA245" s="1"/>
  <c r="AA246" s="1"/>
  <c r="AA247" s="1"/>
  <c r="AA248" s="1"/>
  <c r="AA249" s="1"/>
  <c r="AA250" s="1"/>
  <c r="AA251" s="1"/>
  <c r="AA252" s="1"/>
  <c r="AA253" s="1"/>
  <c r="AA254" s="1"/>
  <c r="AA255" s="1"/>
  <c r="AA256" s="1"/>
  <c r="AA257" s="1"/>
  <c r="AA258" s="1"/>
  <c r="AA259" s="1"/>
  <c r="AA260" s="1"/>
  <c r="AA261" s="1"/>
  <c r="AA262" s="1"/>
  <c r="AA263" s="1"/>
  <c r="AA264" s="1"/>
  <c r="AA265" s="1"/>
  <c r="AA266" s="1"/>
  <c r="AA267" s="1"/>
  <c r="AA268" s="1"/>
  <c r="AA269" s="1"/>
  <c r="AA270" s="1"/>
  <c r="AA271" s="1"/>
  <c r="AA272" s="1"/>
  <c r="AA273" s="1"/>
  <c r="AA274" s="1"/>
  <c r="AA275" s="1"/>
  <c r="AA276" s="1"/>
  <c r="AA277" s="1"/>
  <c r="AA278" s="1"/>
  <c r="AA279" s="1"/>
  <c r="AA280" s="1"/>
  <c r="AA281" s="1"/>
  <c r="AA282" s="1"/>
  <c r="AA283" s="1"/>
  <c r="AA284" s="1"/>
  <c r="AA285" s="1"/>
  <c r="AA286" s="1"/>
  <c r="AA287" s="1"/>
  <c r="AA288" s="1"/>
  <c r="AA289" s="1"/>
  <c r="AA290" s="1"/>
  <c r="AA291" s="1"/>
  <c r="AA292" s="1"/>
  <c r="AA293" s="1"/>
  <c r="AA294" s="1"/>
  <c r="AA295" s="1"/>
  <c r="AA296" s="1"/>
  <c r="AA297" s="1"/>
  <c r="AA298" s="1"/>
  <c r="AA299" s="1"/>
  <c r="AA300" s="1"/>
  <c r="AA301" s="1"/>
  <c r="AA302" s="1"/>
  <c r="AA303" s="1"/>
  <c r="AA304" s="1"/>
  <c r="AA305" s="1"/>
  <c r="AA306" s="1"/>
  <c r="AA307" s="1"/>
  <c r="AA308" s="1"/>
  <c r="AA309" s="1"/>
  <c r="AA310" s="1"/>
  <c r="AA311" s="1"/>
  <c r="AA312" s="1"/>
  <c r="AA313" s="1"/>
  <c r="AA314" s="1"/>
  <c r="AA315" s="1"/>
  <c r="AA316" s="1"/>
  <c r="AA317" s="1"/>
  <c r="AA318" s="1"/>
  <c r="AA319" s="1"/>
  <c r="AA320" s="1"/>
  <c r="AA321" s="1"/>
  <c r="AA322" s="1"/>
  <c r="AA323" s="1"/>
  <c r="AA324" s="1"/>
  <c r="AA325" s="1"/>
  <c r="AA326" s="1"/>
  <c r="AA327" s="1"/>
  <c r="AA328" s="1"/>
  <c r="AA329" s="1"/>
  <c r="AA330" s="1"/>
  <c r="AA331" s="1"/>
  <c r="AA332" s="1"/>
  <c r="AA333" s="1"/>
  <c r="AA334" s="1"/>
  <c r="AA335" s="1"/>
  <c r="AA336" s="1"/>
  <c r="AA337" s="1"/>
  <c r="AA338" s="1"/>
  <c r="AA339" s="1"/>
  <c r="AA340" s="1"/>
  <c r="AA341" s="1"/>
  <c r="AA342" s="1"/>
  <c r="AA343" s="1"/>
  <c r="AA344" s="1"/>
  <c r="AA345" s="1"/>
  <c r="AA346" s="1"/>
  <c r="AA347" s="1"/>
  <c r="AA348" s="1"/>
  <c r="AA349" s="1"/>
  <c r="AA350" s="1"/>
  <c r="AA351" s="1"/>
  <c r="AA352" s="1"/>
  <c r="AA353" s="1"/>
  <c r="AA354" s="1"/>
  <c r="AA355" s="1"/>
  <c r="AA356" s="1"/>
  <c r="AA357" s="1"/>
  <c r="AA358" s="1"/>
  <c r="AA359" s="1"/>
  <c r="AA360" s="1"/>
  <c r="AA361" s="1"/>
  <c r="AA362" s="1"/>
  <c r="AA363" s="1"/>
  <c r="AA364" s="1"/>
  <c r="AA365" s="1"/>
  <c r="AA366" s="1"/>
  <c r="AA367" s="1"/>
  <c r="AA368" s="1"/>
  <c r="AA369" s="1"/>
  <c r="AA370" s="1"/>
  <c r="AA371" s="1"/>
  <c r="AA372" s="1"/>
  <c r="AA373" s="1"/>
  <c r="AA374" s="1"/>
  <c r="AA375" s="1"/>
  <c r="AA376" s="1"/>
  <c r="AA377" s="1"/>
  <c r="AA378" s="1"/>
  <c r="AA379" s="1"/>
  <c r="AA380" s="1"/>
  <c r="AA381" s="1"/>
  <c r="AA382" s="1"/>
  <c r="AA383" s="1"/>
  <c r="AA384" s="1"/>
  <c r="AA385" s="1"/>
  <c r="AA386" s="1"/>
  <c r="AA387" s="1"/>
  <c r="AA388" s="1"/>
  <c r="AA389" s="1"/>
  <c r="AA390" s="1"/>
  <c r="AA391" s="1"/>
  <c r="AA392" s="1"/>
  <c r="AA393" s="1"/>
  <c r="AA394" s="1"/>
  <c r="AA395" s="1"/>
  <c r="AA396" s="1"/>
  <c r="AA397" s="1"/>
  <c r="AA398" s="1"/>
  <c r="AA399" s="1"/>
  <c r="AA400" s="1"/>
  <c r="AA401" s="1"/>
  <c r="AA402" s="1"/>
  <c r="AA403" s="1"/>
  <c r="AA404" s="1"/>
  <c r="AA405" s="1"/>
  <c r="AA406" s="1"/>
  <c r="AA407" s="1"/>
  <c r="AA408" s="1"/>
  <c r="AA409" s="1"/>
  <c r="AA410" s="1"/>
  <c r="AA411" s="1"/>
  <c r="AA412" s="1"/>
  <c r="AA413" s="1"/>
  <c r="AA414" s="1"/>
  <c r="AA415" s="1"/>
  <c r="AA416" s="1"/>
  <c r="AA417" s="1"/>
  <c r="AA418" s="1"/>
  <c r="AA419" s="1"/>
  <c r="AA420" s="1"/>
  <c r="AA421" s="1"/>
  <c r="AA422" s="1"/>
  <c r="AA423" s="1"/>
  <c r="AA424" s="1"/>
  <c r="AA425" s="1"/>
  <c r="AA426" s="1"/>
  <c r="AA427" s="1"/>
  <c r="AA428" s="1"/>
  <c r="AA429" s="1"/>
  <c r="AA430" s="1"/>
  <c r="AA431" s="1"/>
  <c r="AA432" s="1"/>
  <c r="AA433" s="1"/>
  <c r="AA434" s="1"/>
  <c r="AA435" s="1"/>
  <c r="AA436" s="1"/>
  <c r="AA437" s="1"/>
  <c r="AA438" s="1"/>
  <c r="AA439" s="1"/>
  <c r="AA440" s="1"/>
  <c r="AA441" s="1"/>
  <c r="AA442" s="1"/>
  <c r="AA443" s="1"/>
  <c r="AA444" s="1"/>
  <c r="AA445" s="1"/>
  <c r="AA446" s="1"/>
  <c r="AA447" s="1"/>
  <c r="AA448" s="1"/>
  <c r="AA449" s="1"/>
  <c r="AA450" s="1"/>
  <c r="AA451" s="1"/>
  <c r="AA452" s="1"/>
  <c r="AA453" s="1"/>
  <c r="AA454" s="1"/>
  <c r="AA455" s="1"/>
  <c r="AA456" s="1"/>
  <c r="AA457" s="1"/>
  <c r="AA458" s="1"/>
  <c r="AA459" s="1"/>
  <c r="AA460" s="1"/>
  <c r="AA461" s="1"/>
  <c r="AA462" s="1"/>
  <c r="AA463" s="1"/>
  <c r="AA464" s="1"/>
  <c r="AA465" s="1"/>
  <c r="AA466" s="1"/>
  <c r="AA467" s="1"/>
  <c r="AA468" s="1"/>
  <c r="AA469" s="1"/>
  <c r="AA470" s="1"/>
  <c r="AA471" s="1"/>
  <c r="AA472" s="1"/>
  <c r="AA473" s="1"/>
  <c r="AA474" s="1"/>
  <c r="AA475" s="1"/>
  <c r="AA476" s="1"/>
  <c r="AA477" s="1"/>
  <c r="AA478" s="1"/>
  <c r="AA479" s="1"/>
  <c r="AA480" s="1"/>
  <c r="AA481" s="1"/>
  <c r="AA482" s="1"/>
  <c r="AA483" s="1"/>
  <c r="AA484" s="1"/>
  <c r="AA485" s="1"/>
  <c r="AA486" s="1"/>
  <c r="AA487" s="1"/>
  <c r="AA488" s="1"/>
  <c r="AA489" s="1"/>
  <c r="AA490" s="1"/>
  <c r="AA491" s="1"/>
  <c r="AA492" s="1"/>
  <c r="AA493" s="1"/>
  <c r="AA494" s="1"/>
  <c r="AA495" s="1"/>
  <c r="AA496" s="1"/>
  <c r="AA497" s="1"/>
  <c r="AA498" s="1"/>
  <c r="AA499" s="1"/>
  <c r="AA500" s="1"/>
  <c r="AA501" s="1"/>
  <c r="AA502" s="1"/>
  <c r="AA503" s="1"/>
  <c r="AA504" s="1"/>
  <c r="AA505" s="1"/>
  <c r="AA506" s="1"/>
  <c r="AA507" s="1"/>
  <c r="AA508" s="1"/>
  <c r="AA509" s="1"/>
  <c r="AA510" s="1"/>
  <c r="AA511" s="1"/>
  <c r="AA512" s="1"/>
  <c r="AA513" s="1"/>
  <c r="AA514" s="1"/>
  <c r="AA515" s="1"/>
  <c r="AA516" s="1"/>
  <c r="AA517" s="1"/>
  <c r="AA518" s="1"/>
  <c r="AA519" s="1"/>
  <c r="AA520" s="1"/>
  <c r="AA521" s="1"/>
  <c r="AA522" s="1"/>
  <c r="AA523" s="1"/>
  <c r="AA524" s="1"/>
  <c r="AA525" s="1"/>
  <c r="AA526" s="1"/>
  <c r="AA527" s="1"/>
  <c r="AA528" s="1"/>
  <c r="AA529" s="1"/>
  <c r="AA530" s="1"/>
  <c r="AA531" s="1"/>
  <c r="AA532" s="1"/>
  <c r="AA533" s="1"/>
  <c r="AA534" s="1"/>
  <c r="AA535" s="1"/>
  <c r="AA536" s="1"/>
  <c r="AA537" s="1"/>
  <c r="AA538" s="1"/>
  <c r="AA539" s="1"/>
  <c r="AA540" s="1"/>
  <c r="AA541" s="1"/>
  <c r="AA542" s="1"/>
  <c r="AA543" s="1"/>
  <c r="AA544" s="1"/>
  <c r="AA545" s="1"/>
  <c r="AA546" s="1"/>
  <c r="AA547" s="1"/>
  <c r="AA548" s="1"/>
  <c r="AA549" s="1"/>
  <c r="AA550" s="1"/>
  <c r="AA551" s="1"/>
  <c r="AA552" s="1"/>
  <c r="AA553" s="1"/>
  <c r="AA554" s="1"/>
  <c r="AA555" s="1"/>
  <c r="AA556" s="1"/>
  <c r="AA557" s="1"/>
  <c r="AA558" s="1"/>
  <c r="AA559" s="1"/>
  <c r="AA560" s="1"/>
  <c r="AA561" s="1"/>
  <c r="AA562" s="1"/>
  <c r="AA563" s="1"/>
  <c r="AA564" s="1"/>
  <c r="AA565" s="1"/>
  <c r="AA566" s="1"/>
  <c r="AA567" s="1"/>
  <c r="AA568" s="1"/>
  <c r="AA569" s="1"/>
  <c r="AA570" s="1"/>
  <c r="AA571" s="1"/>
  <c r="AA572" s="1"/>
  <c r="AA573" s="1"/>
  <c r="AA574" s="1"/>
  <c r="AA575" s="1"/>
  <c r="AA576" s="1"/>
  <c r="AA577" s="1"/>
  <c r="AA578" s="1"/>
  <c r="AA579" s="1"/>
  <c r="AA580" s="1"/>
  <c r="AA581" s="1"/>
  <c r="AA582" s="1"/>
  <c r="AA583" s="1"/>
  <c r="AA584" s="1"/>
  <c r="AA585" s="1"/>
  <c r="AA586" s="1"/>
  <c r="AA587" s="1"/>
  <c r="AA588" s="1"/>
  <c r="AA589" s="1"/>
  <c r="AA590" s="1"/>
  <c r="AA591" s="1"/>
  <c r="AA592" s="1"/>
  <c r="AA593" s="1"/>
  <c r="AA594" s="1"/>
  <c r="AA595" s="1"/>
  <c r="AA596" s="1"/>
  <c r="AA597" s="1"/>
  <c r="AA598" s="1"/>
  <c r="AA599" s="1"/>
  <c r="AA600" s="1"/>
  <c r="AA601" s="1"/>
  <c r="AA602" s="1"/>
  <c r="AA603" s="1"/>
  <c r="AA604" s="1"/>
  <c r="AA605" s="1"/>
  <c r="AA606" s="1"/>
  <c r="AA607" s="1"/>
  <c r="AA608" s="1"/>
  <c r="AA609" s="1"/>
  <c r="AA610" s="1"/>
  <c r="AA611" s="1"/>
  <c r="AA612" s="1"/>
  <c r="AA613" s="1"/>
  <c r="AA614" s="1"/>
  <c r="AA615" s="1"/>
  <c r="AA616" s="1"/>
  <c r="AA617" s="1"/>
  <c r="AA618" s="1"/>
  <c r="AA619" s="1"/>
  <c r="AA620" s="1"/>
  <c r="AA621" s="1"/>
  <c r="AA622" s="1"/>
  <c r="AA623" s="1"/>
  <c r="AA624" s="1"/>
  <c r="AA625" s="1"/>
  <c r="AA626" s="1"/>
  <c r="AA627" s="1"/>
  <c r="AA628" s="1"/>
  <c r="AA629" s="1"/>
  <c r="AA630" s="1"/>
  <c r="AA631" s="1"/>
  <c r="AA632" s="1"/>
  <c r="AA633" s="1"/>
  <c r="AA634" s="1"/>
  <c r="AA635" s="1"/>
  <c r="AA636" s="1"/>
  <c r="AA637" s="1"/>
  <c r="AA638" s="1"/>
  <c r="AA639" s="1"/>
  <c r="AA640" s="1"/>
  <c r="AA641" s="1"/>
  <c r="AA642" s="1"/>
  <c r="AA643" s="1"/>
  <c r="AA644" s="1"/>
  <c r="AA645" s="1"/>
  <c r="AA646" s="1"/>
  <c r="AA647" s="1"/>
  <c r="AA648" s="1"/>
  <c r="AA649" s="1"/>
  <c r="AA650" s="1"/>
  <c r="AA651" s="1"/>
  <c r="AA652" s="1"/>
  <c r="AA653" s="1"/>
  <c r="AA654" s="1"/>
  <c r="AA655" s="1"/>
  <c r="AA656" s="1"/>
  <c r="AA657" s="1"/>
  <c r="AA658" s="1"/>
  <c r="AA659" s="1"/>
  <c r="AA660" s="1"/>
  <c r="AA661" s="1"/>
  <c r="AA662" s="1"/>
  <c r="AA663" s="1"/>
  <c r="AA664" s="1"/>
  <c r="AA665" s="1"/>
  <c r="AA666" s="1"/>
  <c r="AA667" s="1"/>
  <c r="AA668" s="1"/>
  <c r="AA669" s="1"/>
  <c r="AA670" s="1"/>
  <c r="AA671" s="1"/>
  <c r="AA672" s="1"/>
  <c r="AA673" s="1"/>
  <c r="AA674" s="1"/>
  <c r="AA675" s="1"/>
  <c r="AA676" s="1"/>
  <c r="AA677" s="1"/>
  <c r="AA678" s="1"/>
  <c r="AA679" s="1"/>
  <c r="AA680" s="1"/>
  <c r="AA681" s="1"/>
  <c r="AA682" s="1"/>
  <c r="AA683" s="1"/>
  <c r="AA684" s="1"/>
  <c r="AA685" s="1"/>
  <c r="AA686" s="1"/>
  <c r="AA687" s="1"/>
  <c r="AA688" s="1"/>
  <c r="AA689" s="1"/>
  <c r="AA690" s="1"/>
  <c r="AA691" s="1"/>
  <c r="AA692" s="1"/>
  <c r="AA693" s="1"/>
  <c r="AA694" s="1"/>
  <c r="AA695" s="1"/>
  <c r="AA696" s="1"/>
  <c r="AA697" s="1"/>
  <c r="AA698" s="1"/>
  <c r="AA699" s="1"/>
  <c r="AA700" s="1"/>
  <c r="AA701" s="1"/>
  <c r="AA702" s="1"/>
  <c r="AA703" s="1"/>
  <c r="AA704" s="1"/>
  <c r="AA705" s="1"/>
  <c r="AA706" s="1"/>
  <c r="AA707" s="1"/>
  <c r="AA708" s="1"/>
  <c r="AA709" s="1"/>
  <c r="AA710" s="1"/>
  <c r="AA711" s="1"/>
  <c r="AA712" s="1"/>
  <c r="AA713" s="1"/>
  <c r="AA714" s="1"/>
  <c r="AA715" s="1"/>
  <c r="AA716" s="1"/>
  <c r="AA717" s="1"/>
  <c r="AA718" s="1"/>
  <c r="AA719" s="1"/>
  <c r="AA720" s="1"/>
  <c r="AA721" s="1"/>
  <c r="AA722" s="1"/>
  <c r="AA723" s="1"/>
  <c r="AA724" s="1"/>
  <c r="AA725" s="1"/>
  <c r="AA726" s="1"/>
  <c r="AA727" s="1"/>
  <c r="AA728" s="1"/>
  <c r="AA729" s="1"/>
  <c r="AA730" s="1"/>
  <c r="AA731" s="1"/>
  <c r="C11" i="10"/>
  <c r="H11" s="1"/>
  <c r="C12"/>
  <c r="H12" s="1"/>
  <c r="C13"/>
  <c r="H13" s="1"/>
  <c r="C14"/>
  <c r="H14" s="1"/>
  <c r="C15"/>
  <c r="H15" s="1"/>
  <c r="C16"/>
  <c r="H16" s="1"/>
  <c r="C17"/>
  <c r="H17" s="1"/>
  <c r="C18"/>
  <c r="H18" s="1"/>
  <c r="C19"/>
  <c r="H19" s="1"/>
  <c r="C20"/>
  <c r="H20" s="1"/>
  <c r="C21"/>
  <c r="H21" s="1"/>
  <c r="C22"/>
  <c r="H22" s="1"/>
  <c r="C23"/>
  <c r="H23" s="1"/>
  <c r="C24"/>
  <c r="H24" s="1"/>
  <c r="C25"/>
  <c r="H25" s="1"/>
  <c r="C26"/>
  <c r="H26" s="1"/>
  <c r="C27"/>
  <c r="H27" s="1"/>
  <c r="C28"/>
  <c r="H28" s="1"/>
  <c r="C29"/>
  <c r="H29" s="1"/>
  <c r="C30"/>
  <c r="H30" s="1"/>
  <c r="C31"/>
  <c r="H31" s="1"/>
  <c r="C32"/>
  <c r="H32" s="1"/>
  <c r="C33"/>
  <c r="H33" s="1"/>
  <c r="C34"/>
  <c r="H34" s="1"/>
  <c r="C35"/>
  <c r="H35" s="1"/>
  <c r="C36"/>
  <c r="H36" s="1"/>
  <c r="C37"/>
  <c r="H37" s="1"/>
  <c r="C38"/>
  <c r="H38" s="1"/>
  <c r="C39"/>
  <c r="H39" s="1"/>
  <c r="C40"/>
  <c r="H40" s="1"/>
  <c r="C41"/>
  <c r="H41" s="1"/>
  <c r="C42"/>
  <c r="H42" s="1"/>
  <c r="C43"/>
  <c r="H43" s="1"/>
  <c r="C44"/>
  <c r="H44" s="1"/>
  <c r="C45"/>
  <c r="H45" s="1"/>
  <c r="C46"/>
  <c r="H46" s="1"/>
  <c r="C47"/>
  <c r="H47" s="1"/>
  <c r="C48"/>
  <c r="H48" s="1"/>
  <c r="C49"/>
  <c r="H49" s="1"/>
  <c r="C50"/>
  <c r="H50" s="1"/>
  <c r="C51"/>
  <c r="H51" s="1"/>
  <c r="C52"/>
  <c r="H52" s="1"/>
  <c r="C53"/>
  <c r="H53" s="1"/>
  <c r="C54"/>
  <c r="H54" s="1"/>
  <c r="C55"/>
  <c r="H55" s="1"/>
  <c r="C56"/>
  <c r="H56" s="1"/>
  <c r="C57"/>
  <c r="H57" s="1"/>
  <c r="C58"/>
  <c r="H58" s="1"/>
  <c r="C59"/>
  <c r="H59" s="1"/>
  <c r="C60"/>
  <c r="H60" s="1"/>
  <c r="C10"/>
  <c r="H10" s="1"/>
  <c r="G10"/>
  <c r="F10"/>
  <c r="AD13" i="9"/>
  <c r="AE13" s="1"/>
  <c r="AD14"/>
  <c r="AE14" s="1"/>
  <c r="AD15"/>
  <c r="AE15" s="1"/>
  <c r="AD16"/>
  <c r="AE16" s="1"/>
  <c r="AD17"/>
  <c r="AE17" s="1"/>
  <c r="AD18"/>
  <c r="AE18" s="1"/>
  <c r="AD19"/>
  <c r="AE19" s="1"/>
  <c r="AD20"/>
  <c r="AE20" s="1"/>
  <c r="AD21"/>
  <c r="AE21" s="1"/>
  <c r="AD22"/>
  <c r="AE22" s="1"/>
  <c r="AD23"/>
  <c r="AE23" s="1"/>
  <c r="AD24"/>
  <c r="AE24" s="1"/>
  <c r="AD25"/>
  <c r="AE25" s="1"/>
  <c r="AD26"/>
  <c r="AE26" s="1"/>
  <c r="AD27"/>
  <c r="AE27" s="1"/>
  <c r="AD28"/>
  <c r="AE28" s="1"/>
  <c r="AD29"/>
  <c r="AE29" s="1"/>
  <c r="AD30"/>
  <c r="AE30" s="1"/>
  <c r="AD31"/>
  <c r="AE31" s="1"/>
  <c r="AD32"/>
  <c r="AE32" s="1"/>
  <c r="AD33"/>
  <c r="AE33" s="1"/>
  <c r="AD34"/>
  <c r="AE34" s="1"/>
  <c r="AD35"/>
  <c r="AE35" s="1"/>
  <c r="AD36"/>
  <c r="AE36" s="1"/>
  <c r="AD37"/>
  <c r="AE37" s="1"/>
  <c r="AD38"/>
  <c r="AE38" s="1"/>
  <c r="AD39"/>
  <c r="AE39" s="1"/>
  <c r="AD40"/>
  <c r="AE40" s="1"/>
  <c r="AD41"/>
  <c r="AE41" s="1"/>
  <c r="AD42"/>
  <c r="AE42" s="1"/>
  <c r="AD43"/>
  <c r="AE43" s="1"/>
  <c r="AD44"/>
  <c r="AE44" s="1"/>
  <c r="AD45"/>
  <c r="AE45" s="1"/>
  <c r="AD46"/>
  <c r="AE46" s="1"/>
  <c r="AD47"/>
  <c r="AE47" s="1"/>
  <c r="AD48"/>
  <c r="AE48" s="1"/>
  <c r="AD49"/>
  <c r="AE49" s="1"/>
  <c r="AD50"/>
  <c r="AE50" s="1"/>
  <c r="AD51"/>
  <c r="AE51" s="1"/>
  <c r="AD52"/>
  <c r="AE52" s="1"/>
  <c r="AD53"/>
  <c r="AE53" s="1"/>
  <c r="AD54"/>
  <c r="AE54" s="1"/>
  <c r="AD55"/>
  <c r="AE55" s="1"/>
  <c r="AD56"/>
  <c r="AE56" s="1"/>
  <c r="AD57"/>
  <c r="AE57" s="1"/>
  <c r="AD58"/>
  <c r="AE58" s="1"/>
  <c r="AD59"/>
  <c r="AE59" s="1"/>
  <c r="AD60"/>
  <c r="AE60" s="1"/>
  <c r="AD61"/>
  <c r="AE61" s="1"/>
  <c r="AD62"/>
  <c r="AE62" s="1"/>
  <c r="AD63"/>
  <c r="AE63" s="1"/>
  <c r="AD64"/>
  <c r="AE64" s="1"/>
  <c r="AD65"/>
  <c r="AE65" s="1"/>
  <c r="AD66"/>
  <c r="AE66" s="1"/>
  <c r="AD67"/>
  <c r="AE67" s="1"/>
  <c r="AD68"/>
  <c r="AE68" s="1"/>
  <c r="AD69"/>
  <c r="AE69" s="1"/>
  <c r="AD70"/>
  <c r="AE70" s="1"/>
  <c r="AD71"/>
  <c r="AE71" s="1"/>
  <c r="AD72"/>
  <c r="AE72" s="1"/>
  <c r="AD73"/>
  <c r="AE73" s="1"/>
  <c r="AD74"/>
  <c r="AE74" s="1"/>
  <c r="AD75"/>
  <c r="AE75" s="1"/>
  <c r="AD76"/>
  <c r="AE76" s="1"/>
  <c r="AD77"/>
  <c r="AE77" s="1"/>
  <c r="AD78"/>
  <c r="AE78" s="1"/>
  <c r="AD79"/>
  <c r="AE79" s="1"/>
  <c r="AD80"/>
  <c r="AE80" s="1"/>
  <c r="AD81"/>
  <c r="AE81" s="1"/>
  <c r="AD82"/>
  <c r="AE82" s="1"/>
  <c r="AD83"/>
  <c r="AE83" s="1"/>
  <c r="AD84"/>
  <c r="AE84" s="1"/>
  <c r="AD85"/>
  <c r="AE85" s="1"/>
  <c r="AD86"/>
  <c r="AE86" s="1"/>
  <c r="AD87"/>
  <c r="AE87" s="1"/>
  <c r="AD88"/>
  <c r="AE88" s="1"/>
  <c r="AD89"/>
  <c r="AE89" s="1"/>
  <c r="AD90"/>
  <c r="AE90" s="1"/>
  <c r="AD91"/>
  <c r="AE91" s="1"/>
  <c r="AD92"/>
  <c r="AE92" s="1"/>
  <c r="AD93"/>
  <c r="AE93" s="1"/>
  <c r="AD94"/>
  <c r="AE94" s="1"/>
  <c r="AD95"/>
  <c r="AE95" s="1"/>
  <c r="AD96"/>
  <c r="AE96" s="1"/>
  <c r="AD97"/>
  <c r="AE97" s="1"/>
  <c r="AD98"/>
  <c r="AE98" s="1"/>
  <c r="AD99"/>
  <c r="AE99" s="1"/>
  <c r="AD100"/>
  <c r="AE100" s="1"/>
  <c r="AD101"/>
  <c r="AE101" s="1"/>
  <c r="AD102"/>
  <c r="AE102" s="1"/>
  <c r="AD103"/>
  <c r="AE103" s="1"/>
  <c r="AD104"/>
  <c r="AE104" s="1"/>
  <c r="AD105"/>
  <c r="AE105" s="1"/>
  <c r="AD106"/>
  <c r="AE106" s="1"/>
  <c r="AD107"/>
  <c r="AE107" s="1"/>
  <c r="AD108"/>
  <c r="AE108" s="1"/>
  <c r="AD109"/>
  <c r="AE109" s="1"/>
  <c r="AD110"/>
  <c r="AE110" s="1"/>
  <c r="AD111"/>
  <c r="AE111" s="1"/>
  <c r="AD112"/>
  <c r="AE112" s="1"/>
  <c r="AD113"/>
  <c r="AE113" s="1"/>
  <c r="AD114"/>
  <c r="AE114" s="1"/>
  <c r="AD115"/>
  <c r="AE115" s="1"/>
  <c r="AD116"/>
  <c r="AE116" s="1"/>
  <c r="AD117"/>
  <c r="AE117" s="1"/>
  <c r="AD118"/>
  <c r="AE118" s="1"/>
  <c r="AD119"/>
  <c r="AE119" s="1"/>
  <c r="AD120"/>
  <c r="AE120" s="1"/>
  <c r="AD121"/>
  <c r="AE121" s="1"/>
  <c r="AD122"/>
  <c r="AE122" s="1"/>
  <c r="AD123"/>
  <c r="AE123" s="1"/>
  <c r="AD124"/>
  <c r="AE124" s="1"/>
  <c r="AD125"/>
  <c r="AE125" s="1"/>
  <c r="AD126"/>
  <c r="AE126" s="1"/>
  <c r="AD127"/>
  <c r="AE127" s="1"/>
  <c r="AD128"/>
  <c r="AE128" s="1"/>
  <c r="AD129"/>
  <c r="AE129" s="1"/>
  <c r="AD130"/>
  <c r="AE130" s="1"/>
  <c r="AD131"/>
  <c r="AE131" s="1"/>
  <c r="AD132"/>
  <c r="AE132" s="1"/>
  <c r="AD133"/>
  <c r="AE133" s="1"/>
  <c r="AD134"/>
  <c r="AE134" s="1"/>
  <c r="AD135"/>
  <c r="AE135" s="1"/>
  <c r="AD136"/>
  <c r="AE136" s="1"/>
  <c r="AD137"/>
  <c r="AE137" s="1"/>
  <c r="AD138"/>
  <c r="AE138" s="1"/>
  <c r="AD139"/>
  <c r="AE139" s="1"/>
  <c r="AD140"/>
  <c r="AE140" s="1"/>
  <c r="AD141"/>
  <c r="AE141" s="1"/>
  <c r="AD142"/>
  <c r="AE142" s="1"/>
  <c r="AD143"/>
  <c r="AE143" s="1"/>
  <c r="AD144"/>
  <c r="AE144" s="1"/>
  <c r="AD145"/>
  <c r="AE145" s="1"/>
  <c r="AD146"/>
  <c r="AE146" s="1"/>
  <c r="AD147"/>
  <c r="AE147" s="1"/>
  <c r="AD148"/>
  <c r="AE148" s="1"/>
  <c r="AD149"/>
  <c r="AE149" s="1"/>
  <c r="AD150"/>
  <c r="AE150" s="1"/>
  <c r="AD151"/>
  <c r="AE151" s="1"/>
  <c r="AD152"/>
  <c r="AE152" s="1"/>
  <c r="AD153"/>
  <c r="AE153" s="1"/>
  <c r="AD154"/>
  <c r="AE154" s="1"/>
  <c r="AD155"/>
  <c r="AE155" s="1"/>
  <c r="AD156"/>
  <c r="AE156" s="1"/>
  <c r="AD157"/>
  <c r="AE157" s="1"/>
  <c r="AD158"/>
  <c r="AE158" s="1"/>
  <c r="AD159"/>
  <c r="AE159" s="1"/>
  <c r="AD160"/>
  <c r="AE160" s="1"/>
  <c r="AD161"/>
  <c r="AE161" s="1"/>
  <c r="AD162"/>
  <c r="AE162" s="1"/>
  <c r="AD163"/>
  <c r="AE163" s="1"/>
  <c r="AD164"/>
  <c r="AE164" s="1"/>
  <c r="AD165"/>
  <c r="AE165" s="1"/>
  <c r="AD166"/>
  <c r="AE166" s="1"/>
  <c r="AD167"/>
  <c r="AE167" s="1"/>
  <c r="AD168"/>
  <c r="AE168" s="1"/>
  <c r="AD169"/>
  <c r="AE169" s="1"/>
  <c r="AD170"/>
  <c r="AE170" s="1"/>
  <c r="AD171"/>
  <c r="AE171" s="1"/>
  <c r="AD172"/>
  <c r="AE172" s="1"/>
  <c r="AD173"/>
  <c r="AE173" s="1"/>
  <c r="AD174"/>
  <c r="AE174" s="1"/>
  <c r="AD175"/>
  <c r="AE175" s="1"/>
  <c r="AD176"/>
  <c r="AE176" s="1"/>
  <c r="AD177"/>
  <c r="AE177" s="1"/>
  <c r="AD178"/>
  <c r="AE178" s="1"/>
  <c r="AD179"/>
  <c r="AE179" s="1"/>
  <c r="AD180"/>
  <c r="AE180" s="1"/>
  <c r="AD181"/>
  <c r="AE181" s="1"/>
  <c r="AD182"/>
  <c r="AE182" s="1"/>
  <c r="AD183"/>
  <c r="AE183" s="1"/>
  <c r="AD184"/>
  <c r="AE184" s="1"/>
  <c r="AD185"/>
  <c r="AE185" s="1"/>
  <c r="AD186"/>
  <c r="AE186" s="1"/>
  <c r="AD187"/>
  <c r="AE187" s="1"/>
  <c r="AD188"/>
  <c r="AE188" s="1"/>
  <c r="AD189"/>
  <c r="AE189" s="1"/>
  <c r="AD190"/>
  <c r="AE190" s="1"/>
  <c r="AD191"/>
  <c r="AE191" s="1"/>
  <c r="AD192"/>
  <c r="AE192" s="1"/>
  <c r="AD193"/>
  <c r="AE193" s="1"/>
  <c r="AD194"/>
  <c r="AE194" s="1"/>
  <c r="AD195"/>
  <c r="AE195" s="1"/>
  <c r="AD196"/>
  <c r="AE196" s="1"/>
  <c r="AD197"/>
  <c r="AE197" s="1"/>
  <c r="AD198"/>
  <c r="AE198" s="1"/>
  <c r="AD199"/>
  <c r="AE199" s="1"/>
  <c r="AD200"/>
  <c r="AE200" s="1"/>
  <c r="AD201"/>
  <c r="AE201" s="1"/>
  <c r="AD202"/>
  <c r="AE202" s="1"/>
  <c r="AD203"/>
  <c r="AE203" s="1"/>
  <c r="AD204"/>
  <c r="AE204" s="1"/>
  <c r="AD205"/>
  <c r="AE205" s="1"/>
  <c r="AD206"/>
  <c r="AE206" s="1"/>
  <c r="AD207"/>
  <c r="AE207" s="1"/>
  <c r="AD208"/>
  <c r="AE208" s="1"/>
  <c r="AD209"/>
  <c r="AE209" s="1"/>
  <c r="AD210"/>
  <c r="AE210" s="1"/>
  <c r="AD211"/>
  <c r="AE211" s="1"/>
  <c r="AD212"/>
  <c r="AE212" s="1"/>
  <c r="AD213"/>
  <c r="AE213" s="1"/>
  <c r="AD214"/>
  <c r="AE214" s="1"/>
  <c r="AD215"/>
  <c r="AE215" s="1"/>
  <c r="AD216"/>
  <c r="AE216" s="1"/>
  <c r="AD217"/>
  <c r="AE217" s="1"/>
  <c r="AD218"/>
  <c r="AE218" s="1"/>
  <c r="AD219"/>
  <c r="AE219" s="1"/>
  <c r="AD220"/>
  <c r="AE220" s="1"/>
  <c r="AD221"/>
  <c r="AE221" s="1"/>
  <c r="AD222"/>
  <c r="AE222" s="1"/>
  <c r="AD223"/>
  <c r="AE223" s="1"/>
  <c r="AD224"/>
  <c r="AE224" s="1"/>
  <c r="AD225"/>
  <c r="AE225" s="1"/>
  <c r="AD226"/>
  <c r="AE226" s="1"/>
  <c r="AD227"/>
  <c r="AE227" s="1"/>
  <c r="AD228"/>
  <c r="AE228" s="1"/>
  <c r="AD229"/>
  <c r="AE229" s="1"/>
  <c r="AD230"/>
  <c r="AE230" s="1"/>
  <c r="AD231"/>
  <c r="AE231" s="1"/>
  <c r="AD232"/>
  <c r="AE232" s="1"/>
  <c r="AD233"/>
  <c r="AE233" s="1"/>
  <c r="AD234"/>
  <c r="AE234" s="1"/>
  <c r="AD235"/>
  <c r="AE235" s="1"/>
  <c r="AD236"/>
  <c r="AE236" s="1"/>
  <c r="AD237"/>
  <c r="AE237" s="1"/>
  <c r="AD238"/>
  <c r="AE238" s="1"/>
  <c r="AD239"/>
  <c r="AE239" s="1"/>
  <c r="AD240"/>
  <c r="AE240" s="1"/>
  <c r="AD241"/>
  <c r="AE241" s="1"/>
  <c r="AD242"/>
  <c r="AE242" s="1"/>
  <c r="AD243"/>
  <c r="AE243" s="1"/>
  <c r="AD244"/>
  <c r="AE244" s="1"/>
  <c r="AD245"/>
  <c r="AE245" s="1"/>
  <c r="AD246"/>
  <c r="AE246" s="1"/>
  <c r="AD247"/>
  <c r="AE247" s="1"/>
  <c r="AD248"/>
  <c r="AE248" s="1"/>
  <c r="AD249"/>
  <c r="AE249" s="1"/>
  <c r="AD250"/>
  <c r="AE250" s="1"/>
  <c r="AD251"/>
  <c r="AE251" s="1"/>
  <c r="AD252"/>
  <c r="AE252" s="1"/>
  <c r="AD253"/>
  <c r="AE253" s="1"/>
  <c r="AD254"/>
  <c r="AE254" s="1"/>
  <c r="AD255"/>
  <c r="AE255" s="1"/>
  <c r="AD256"/>
  <c r="AE256" s="1"/>
  <c r="AD257"/>
  <c r="AE257" s="1"/>
  <c r="AD258"/>
  <c r="AE258" s="1"/>
  <c r="AD259"/>
  <c r="AE259" s="1"/>
  <c r="AD260"/>
  <c r="AE260" s="1"/>
  <c r="AD261"/>
  <c r="AE261" s="1"/>
  <c r="AD262"/>
  <c r="AE262" s="1"/>
  <c r="AD263"/>
  <c r="AE263" s="1"/>
  <c r="AD264"/>
  <c r="AE264" s="1"/>
  <c r="AD265"/>
  <c r="AE265" s="1"/>
  <c r="AD266"/>
  <c r="AE266" s="1"/>
  <c r="AD267"/>
  <c r="AE267" s="1"/>
  <c r="AD268"/>
  <c r="AE268" s="1"/>
  <c r="AD269"/>
  <c r="AE269" s="1"/>
  <c r="AD270"/>
  <c r="AE270" s="1"/>
  <c r="AD271"/>
  <c r="AE271" s="1"/>
  <c r="AD272"/>
  <c r="AE272" s="1"/>
  <c r="AD273"/>
  <c r="AE273" s="1"/>
  <c r="AD274"/>
  <c r="AE274" s="1"/>
  <c r="AD275"/>
  <c r="AE275" s="1"/>
  <c r="AD276"/>
  <c r="AE276" s="1"/>
  <c r="AD277"/>
  <c r="AE277" s="1"/>
  <c r="AD278"/>
  <c r="AE278" s="1"/>
  <c r="AD279"/>
  <c r="AE279" s="1"/>
  <c r="AD280"/>
  <c r="AE280" s="1"/>
  <c r="AD281"/>
  <c r="AE281" s="1"/>
  <c r="AD282"/>
  <c r="AE282" s="1"/>
  <c r="AD283"/>
  <c r="AE283" s="1"/>
  <c r="AD284"/>
  <c r="AE284" s="1"/>
  <c r="AD285"/>
  <c r="AE285" s="1"/>
  <c r="AD286"/>
  <c r="AE286" s="1"/>
  <c r="AD287"/>
  <c r="AE287" s="1"/>
  <c r="AD288"/>
  <c r="AE288" s="1"/>
  <c r="AD289"/>
  <c r="AE289" s="1"/>
  <c r="AD290"/>
  <c r="AE290" s="1"/>
  <c r="AD291"/>
  <c r="AE291" s="1"/>
  <c r="AD292"/>
  <c r="AE292" s="1"/>
  <c r="AD293"/>
  <c r="AE293" s="1"/>
  <c r="AD294"/>
  <c r="AE294" s="1"/>
  <c r="AD295"/>
  <c r="AE295" s="1"/>
  <c r="AD296"/>
  <c r="AE296" s="1"/>
  <c r="AD297"/>
  <c r="AE297" s="1"/>
  <c r="AD298"/>
  <c r="AE298" s="1"/>
  <c r="AD299"/>
  <c r="AE299" s="1"/>
  <c r="AD300"/>
  <c r="AE300" s="1"/>
  <c r="AD301"/>
  <c r="AE301" s="1"/>
  <c r="AD302"/>
  <c r="AE302" s="1"/>
  <c r="AD303"/>
  <c r="AE303" s="1"/>
  <c r="AD304"/>
  <c r="AE304" s="1"/>
  <c r="AD305"/>
  <c r="AE305" s="1"/>
  <c r="AD306"/>
  <c r="AE306" s="1"/>
  <c r="AD307"/>
  <c r="AE307" s="1"/>
  <c r="AD308"/>
  <c r="AE308" s="1"/>
  <c r="AD309"/>
  <c r="AE309" s="1"/>
  <c r="AD310"/>
  <c r="AE310" s="1"/>
  <c r="AD311"/>
  <c r="AE311" s="1"/>
  <c r="AD312"/>
  <c r="AE312" s="1"/>
  <c r="AD313"/>
  <c r="AE313" s="1"/>
  <c r="AD314"/>
  <c r="AE314" s="1"/>
  <c r="AD315"/>
  <c r="AE315" s="1"/>
  <c r="AD316"/>
  <c r="AE316" s="1"/>
  <c r="AD317"/>
  <c r="AE317" s="1"/>
  <c r="AD318"/>
  <c r="AE318" s="1"/>
  <c r="AD319"/>
  <c r="AE319" s="1"/>
  <c r="AD320"/>
  <c r="AE320" s="1"/>
  <c r="AD321"/>
  <c r="AE321" s="1"/>
  <c r="AD322"/>
  <c r="AE322" s="1"/>
  <c r="AD323"/>
  <c r="AE323" s="1"/>
  <c r="AD324"/>
  <c r="AE324" s="1"/>
  <c r="AD325"/>
  <c r="AE325" s="1"/>
  <c r="AD326"/>
  <c r="AE326" s="1"/>
  <c r="AD327"/>
  <c r="AE327" s="1"/>
  <c r="AD328"/>
  <c r="AE328" s="1"/>
  <c r="AD329"/>
  <c r="AE329" s="1"/>
  <c r="AD330"/>
  <c r="AE330" s="1"/>
  <c r="AD331"/>
  <c r="AE331" s="1"/>
  <c r="AD332"/>
  <c r="AE332" s="1"/>
  <c r="AD333"/>
  <c r="AE333" s="1"/>
  <c r="AD334"/>
  <c r="AE334" s="1"/>
  <c r="AD335"/>
  <c r="AE335" s="1"/>
  <c r="AD336"/>
  <c r="AE336" s="1"/>
  <c r="AD337"/>
  <c r="AE337" s="1"/>
  <c r="AD338"/>
  <c r="AE338" s="1"/>
  <c r="AD339"/>
  <c r="AE339" s="1"/>
  <c r="AD340"/>
  <c r="AE340" s="1"/>
  <c r="AD341"/>
  <c r="AE341" s="1"/>
  <c r="AD342"/>
  <c r="AE342" s="1"/>
  <c r="AD343"/>
  <c r="AE343" s="1"/>
  <c r="AD344"/>
  <c r="AE344" s="1"/>
  <c r="AD345"/>
  <c r="AE345" s="1"/>
  <c r="AD346"/>
  <c r="AE346" s="1"/>
  <c r="AD347"/>
  <c r="AE347" s="1"/>
  <c r="AD348"/>
  <c r="AE348" s="1"/>
  <c r="AD349"/>
  <c r="AE349" s="1"/>
  <c r="AD350"/>
  <c r="AE350" s="1"/>
  <c r="AD351"/>
  <c r="AE351" s="1"/>
  <c r="AD352"/>
  <c r="AE352" s="1"/>
  <c r="AD353"/>
  <c r="AE353" s="1"/>
  <c r="AD354"/>
  <c r="AE354" s="1"/>
  <c r="AD355"/>
  <c r="AE355" s="1"/>
  <c r="AD356"/>
  <c r="AE356" s="1"/>
  <c r="AD357"/>
  <c r="AE357" s="1"/>
  <c r="AD358"/>
  <c r="AE358" s="1"/>
  <c r="AD359"/>
  <c r="AE359" s="1"/>
  <c r="AD360"/>
  <c r="AE360" s="1"/>
  <c r="AD361"/>
  <c r="AE361" s="1"/>
  <c r="AD362"/>
  <c r="AE362" s="1"/>
  <c r="AD363"/>
  <c r="AE363" s="1"/>
  <c r="AD364"/>
  <c r="AE364" s="1"/>
  <c r="AD365"/>
  <c r="AE365" s="1"/>
  <c r="AD366"/>
  <c r="AE366" s="1"/>
  <c r="AD367"/>
  <c r="AE367" s="1"/>
  <c r="AD368"/>
  <c r="AE368" s="1"/>
  <c r="AD369"/>
  <c r="AE369" s="1"/>
  <c r="AD370"/>
  <c r="AE370" s="1"/>
  <c r="AD371"/>
  <c r="AE371" s="1"/>
  <c r="AD372"/>
  <c r="AE372" s="1"/>
  <c r="AD373"/>
  <c r="AE373" s="1"/>
  <c r="AD374"/>
  <c r="AE374" s="1"/>
  <c r="AD375"/>
  <c r="AE375" s="1"/>
  <c r="AD376"/>
  <c r="AE376" s="1"/>
  <c r="AD377"/>
  <c r="AE377" s="1"/>
  <c r="AD378"/>
  <c r="AE378" s="1"/>
  <c r="AD379"/>
  <c r="AE379" s="1"/>
  <c r="AD380"/>
  <c r="AE380" s="1"/>
  <c r="AD381"/>
  <c r="AE381" s="1"/>
  <c r="AD382"/>
  <c r="AE382" s="1"/>
  <c r="AD383"/>
  <c r="AE383" s="1"/>
  <c r="AD384"/>
  <c r="AE384" s="1"/>
  <c r="AD385"/>
  <c r="AE385" s="1"/>
  <c r="AD386"/>
  <c r="AE386" s="1"/>
  <c r="AD387"/>
  <c r="AE387" s="1"/>
  <c r="AD388"/>
  <c r="AE388" s="1"/>
  <c r="AD389"/>
  <c r="AE389" s="1"/>
  <c r="AD390"/>
  <c r="AE390" s="1"/>
  <c r="AD391"/>
  <c r="AE391" s="1"/>
  <c r="AD392"/>
  <c r="AE392" s="1"/>
  <c r="AD393"/>
  <c r="AE393" s="1"/>
  <c r="AD394"/>
  <c r="AE394" s="1"/>
  <c r="AD395"/>
  <c r="AE395" s="1"/>
  <c r="AD396"/>
  <c r="AE396" s="1"/>
  <c r="AD397"/>
  <c r="AE397" s="1"/>
  <c r="AD398"/>
  <c r="AE398" s="1"/>
  <c r="AD399"/>
  <c r="AE399" s="1"/>
  <c r="AD400"/>
  <c r="AE400" s="1"/>
  <c r="AD401"/>
  <c r="AE401" s="1"/>
  <c r="AD402"/>
  <c r="AE402" s="1"/>
  <c r="AD403"/>
  <c r="AE403" s="1"/>
  <c r="AD404"/>
  <c r="AE404" s="1"/>
  <c r="AD405"/>
  <c r="AE405" s="1"/>
  <c r="AD406"/>
  <c r="AE406" s="1"/>
  <c r="AD407"/>
  <c r="AE407" s="1"/>
  <c r="AD408"/>
  <c r="AE408" s="1"/>
  <c r="AD409"/>
  <c r="AE409" s="1"/>
  <c r="AD410"/>
  <c r="AE410" s="1"/>
  <c r="AD411"/>
  <c r="AE411" s="1"/>
  <c r="AD412"/>
  <c r="AE412" s="1"/>
  <c r="AD413"/>
  <c r="AE413" s="1"/>
  <c r="AD414"/>
  <c r="AE414" s="1"/>
  <c r="AD415"/>
  <c r="AE415" s="1"/>
  <c r="AD416"/>
  <c r="AE416" s="1"/>
  <c r="AD417"/>
  <c r="AE417" s="1"/>
  <c r="AD418"/>
  <c r="AE418" s="1"/>
  <c r="AD419"/>
  <c r="AE419" s="1"/>
  <c r="AD420"/>
  <c r="AE420" s="1"/>
  <c r="AD421"/>
  <c r="AE421" s="1"/>
  <c r="AD422"/>
  <c r="AE422" s="1"/>
  <c r="AD423"/>
  <c r="AE423" s="1"/>
  <c r="AD424"/>
  <c r="AE424" s="1"/>
  <c r="AD425"/>
  <c r="AE425" s="1"/>
  <c r="AD426"/>
  <c r="AE426" s="1"/>
  <c r="AD427"/>
  <c r="AE427" s="1"/>
  <c r="AD428"/>
  <c r="AE428" s="1"/>
  <c r="AD429"/>
  <c r="AE429" s="1"/>
  <c r="AD430"/>
  <c r="AE430" s="1"/>
  <c r="AD431"/>
  <c r="AE431" s="1"/>
  <c r="AD432"/>
  <c r="AE432" s="1"/>
  <c r="AD433"/>
  <c r="AE433" s="1"/>
  <c r="AD434"/>
  <c r="AE434" s="1"/>
  <c r="AD435"/>
  <c r="AE435" s="1"/>
  <c r="AD436"/>
  <c r="AE436" s="1"/>
  <c r="AD437"/>
  <c r="AE437" s="1"/>
  <c r="AD438"/>
  <c r="AE438" s="1"/>
  <c r="AD439"/>
  <c r="AE439" s="1"/>
  <c r="AD440"/>
  <c r="AE440" s="1"/>
  <c r="AD441"/>
  <c r="AE441" s="1"/>
  <c r="AD442"/>
  <c r="AE442" s="1"/>
  <c r="AD443"/>
  <c r="AE443" s="1"/>
  <c r="AD444"/>
  <c r="AE444" s="1"/>
  <c r="AD445"/>
  <c r="AE445" s="1"/>
  <c r="AD446"/>
  <c r="AE446" s="1"/>
  <c r="AD447"/>
  <c r="AE447" s="1"/>
  <c r="AD448"/>
  <c r="AE448" s="1"/>
  <c r="AD449"/>
  <c r="AE449" s="1"/>
  <c r="AD450"/>
  <c r="AE450" s="1"/>
  <c r="AD451"/>
  <c r="AE451" s="1"/>
  <c r="AD452"/>
  <c r="AE452" s="1"/>
  <c r="AD453"/>
  <c r="AE453" s="1"/>
  <c r="AD454"/>
  <c r="AE454" s="1"/>
  <c r="AD455"/>
  <c r="AE455" s="1"/>
  <c r="AD456"/>
  <c r="AE456" s="1"/>
  <c r="AD457"/>
  <c r="AE457" s="1"/>
  <c r="AD458"/>
  <c r="AE458" s="1"/>
  <c r="AD459"/>
  <c r="AE459" s="1"/>
  <c r="AD460"/>
  <c r="AE460" s="1"/>
  <c r="AD461"/>
  <c r="AE461" s="1"/>
  <c r="AD462"/>
  <c r="AE462" s="1"/>
  <c r="AD463"/>
  <c r="AE463" s="1"/>
  <c r="AD464"/>
  <c r="AE464" s="1"/>
  <c r="AD465"/>
  <c r="AE465" s="1"/>
  <c r="AD466"/>
  <c r="AE466" s="1"/>
  <c r="AD467"/>
  <c r="AE467" s="1"/>
  <c r="AD468"/>
  <c r="AE468" s="1"/>
  <c r="AD469"/>
  <c r="AE469" s="1"/>
  <c r="AD470"/>
  <c r="AE470" s="1"/>
  <c r="AD471"/>
  <c r="AE471" s="1"/>
  <c r="AD472"/>
  <c r="AE472" s="1"/>
  <c r="AD473"/>
  <c r="AE473" s="1"/>
  <c r="AD474"/>
  <c r="AE474" s="1"/>
  <c r="AD475"/>
  <c r="AE475" s="1"/>
  <c r="AD476"/>
  <c r="AE476" s="1"/>
  <c r="AD477"/>
  <c r="AE477" s="1"/>
  <c r="AD478"/>
  <c r="AE478" s="1"/>
  <c r="AD479"/>
  <c r="AE479" s="1"/>
  <c r="AD480"/>
  <c r="AE480" s="1"/>
  <c r="AD481"/>
  <c r="AE481" s="1"/>
  <c r="AD482"/>
  <c r="AE482" s="1"/>
  <c r="AD483"/>
  <c r="AE483" s="1"/>
  <c r="AD484"/>
  <c r="AE484" s="1"/>
  <c r="AD485"/>
  <c r="AE485" s="1"/>
  <c r="AD486"/>
  <c r="AE486" s="1"/>
  <c r="AD487"/>
  <c r="AE487" s="1"/>
  <c r="AD488"/>
  <c r="AE488" s="1"/>
  <c r="AD489"/>
  <c r="AE489" s="1"/>
  <c r="AD490"/>
  <c r="AE490" s="1"/>
  <c r="AD491"/>
  <c r="AE491" s="1"/>
  <c r="AD492"/>
  <c r="AE492" s="1"/>
  <c r="AD493"/>
  <c r="AE493" s="1"/>
  <c r="AD494"/>
  <c r="AE494" s="1"/>
  <c r="AD495"/>
  <c r="AE495" s="1"/>
  <c r="AD496"/>
  <c r="AE496" s="1"/>
  <c r="AD497"/>
  <c r="AE497" s="1"/>
  <c r="AD498"/>
  <c r="AE498" s="1"/>
  <c r="AD499"/>
  <c r="AE499" s="1"/>
  <c r="AD500"/>
  <c r="AE500" s="1"/>
  <c r="AD501"/>
  <c r="AE501" s="1"/>
  <c r="AD502"/>
  <c r="AE502" s="1"/>
  <c r="AD503"/>
  <c r="AE503" s="1"/>
  <c r="AD504"/>
  <c r="AE504" s="1"/>
  <c r="AD505"/>
  <c r="AE505" s="1"/>
  <c r="AD506"/>
  <c r="AE506" s="1"/>
  <c r="AD507"/>
  <c r="AE507" s="1"/>
  <c r="AD508"/>
  <c r="AE508" s="1"/>
  <c r="AD509"/>
  <c r="AE509" s="1"/>
  <c r="AD510"/>
  <c r="AE510" s="1"/>
  <c r="AD511"/>
  <c r="AE511" s="1"/>
  <c r="AD512"/>
  <c r="AE512" s="1"/>
  <c r="AD513"/>
  <c r="AE513" s="1"/>
  <c r="AD514"/>
  <c r="AE514" s="1"/>
  <c r="AD515"/>
  <c r="AE515" s="1"/>
  <c r="AD516"/>
  <c r="AE516" s="1"/>
  <c r="AD517"/>
  <c r="AE517" s="1"/>
  <c r="AD518"/>
  <c r="AE518" s="1"/>
  <c r="AD519"/>
  <c r="AE519" s="1"/>
  <c r="AD520"/>
  <c r="AE520" s="1"/>
  <c r="AD521"/>
  <c r="AE521" s="1"/>
  <c r="AD522"/>
  <c r="AE522" s="1"/>
  <c r="AD523"/>
  <c r="AE523" s="1"/>
  <c r="AD524"/>
  <c r="AE524" s="1"/>
  <c r="AD525"/>
  <c r="AE525" s="1"/>
  <c r="AD526"/>
  <c r="AE526" s="1"/>
  <c r="AD527"/>
  <c r="AE527" s="1"/>
  <c r="AD528"/>
  <c r="AE528" s="1"/>
  <c r="AD529"/>
  <c r="AE529" s="1"/>
  <c r="AD530"/>
  <c r="AE530" s="1"/>
  <c r="AD531"/>
  <c r="AE531" s="1"/>
  <c r="AD532"/>
  <c r="AE532" s="1"/>
  <c r="AD533"/>
  <c r="AE533" s="1"/>
  <c r="AD534"/>
  <c r="AE534" s="1"/>
  <c r="AD535"/>
  <c r="AE535" s="1"/>
  <c r="AD536"/>
  <c r="AE536" s="1"/>
  <c r="AD537"/>
  <c r="AE537" s="1"/>
  <c r="AD538"/>
  <c r="AE538" s="1"/>
  <c r="AD539"/>
  <c r="AE539" s="1"/>
  <c r="AD540"/>
  <c r="AE540" s="1"/>
  <c r="AD541"/>
  <c r="AE541" s="1"/>
  <c r="AD542"/>
  <c r="AE542" s="1"/>
  <c r="AD543"/>
  <c r="AE543" s="1"/>
  <c r="AD544"/>
  <c r="AE544" s="1"/>
  <c r="AD545"/>
  <c r="AE545" s="1"/>
  <c r="AD546"/>
  <c r="AE546" s="1"/>
  <c r="AD547"/>
  <c r="AE547" s="1"/>
  <c r="AD548"/>
  <c r="AE548" s="1"/>
  <c r="AD549"/>
  <c r="AE549" s="1"/>
  <c r="AD550"/>
  <c r="AE550" s="1"/>
  <c r="AD551"/>
  <c r="AE551" s="1"/>
  <c r="AD552"/>
  <c r="AE552" s="1"/>
  <c r="AD553"/>
  <c r="AE553" s="1"/>
  <c r="AD554"/>
  <c r="AE554" s="1"/>
  <c r="AD555"/>
  <c r="AE555" s="1"/>
  <c r="AD556"/>
  <c r="AE556" s="1"/>
  <c r="AD557"/>
  <c r="AE557" s="1"/>
  <c r="AD558"/>
  <c r="AE558" s="1"/>
  <c r="AD559"/>
  <c r="AE559" s="1"/>
  <c r="AD560"/>
  <c r="AE560" s="1"/>
  <c r="AD561"/>
  <c r="AE561" s="1"/>
  <c r="AD562"/>
  <c r="AE562" s="1"/>
  <c r="AD563"/>
  <c r="AE563" s="1"/>
  <c r="AD564"/>
  <c r="AE564" s="1"/>
  <c r="AD565"/>
  <c r="AE565" s="1"/>
  <c r="AD566"/>
  <c r="AE566" s="1"/>
  <c r="AD567"/>
  <c r="AE567" s="1"/>
  <c r="AD568"/>
  <c r="AE568" s="1"/>
  <c r="AD569"/>
  <c r="AE569" s="1"/>
  <c r="AD570"/>
  <c r="AE570" s="1"/>
  <c r="AD571"/>
  <c r="AE571" s="1"/>
  <c r="AD572"/>
  <c r="AE572" s="1"/>
  <c r="AD573"/>
  <c r="AE573" s="1"/>
  <c r="AD574"/>
  <c r="AE574" s="1"/>
  <c r="AD575"/>
  <c r="AE575" s="1"/>
  <c r="AD576"/>
  <c r="AE576" s="1"/>
  <c r="AD577"/>
  <c r="AE577" s="1"/>
  <c r="AD578"/>
  <c r="AE578" s="1"/>
  <c r="AD579"/>
  <c r="AE579" s="1"/>
  <c r="AD580"/>
  <c r="AE580" s="1"/>
  <c r="AD581"/>
  <c r="AE581" s="1"/>
  <c r="AD582"/>
  <c r="AE582" s="1"/>
  <c r="AD583"/>
  <c r="AE583" s="1"/>
  <c r="AD584"/>
  <c r="AE584" s="1"/>
  <c r="AD585"/>
  <c r="AE585" s="1"/>
  <c r="AD586"/>
  <c r="AE586" s="1"/>
  <c r="AD587"/>
  <c r="AE587" s="1"/>
  <c r="AD588"/>
  <c r="AE588" s="1"/>
  <c r="AD589"/>
  <c r="AE589" s="1"/>
  <c r="AD590"/>
  <c r="AE590" s="1"/>
  <c r="AD591"/>
  <c r="AE591" s="1"/>
  <c r="AD592"/>
  <c r="AE592" s="1"/>
  <c r="AD593"/>
  <c r="AE593" s="1"/>
  <c r="AD594"/>
  <c r="AE594" s="1"/>
  <c r="AD595"/>
  <c r="AE595" s="1"/>
  <c r="AD596"/>
  <c r="AE596" s="1"/>
  <c r="AD597"/>
  <c r="AE597" s="1"/>
  <c r="AD598"/>
  <c r="AE598" s="1"/>
  <c r="AD599"/>
  <c r="AE599" s="1"/>
  <c r="AD600"/>
  <c r="AE600" s="1"/>
  <c r="AD601"/>
  <c r="AE601" s="1"/>
  <c r="AD602"/>
  <c r="AE602" s="1"/>
  <c r="AD603"/>
  <c r="AE603" s="1"/>
  <c r="AD604"/>
  <c r="AE604" s="1"/>
  <c r="AD605"/>
  <c r="AE605" s="1"/>
  <c r="AD606"/>
  <c r="AE606" s="1"/>
  <c r="AD607"/>
  <c r="AE607" s="1"/>
  <c r="AD608"/>
  <c r="AE608" s="1"/>
  <c r="AD609"/>
  <c r="AE609" s="1"/>
  <c r="AD610"/>
  <c r="AE610" s="1"/>
  <c r="AD611"/>
  <c r="AE611" s="1"/>
  <c r="AD612"/>
  <c r="AE612" s="1"/>
  <c r="AD613"/>
  <c r="AE613" s="1"/>
  <c r="AD614"/>
  <c r="AE614" s="1"/>
  <c r="AD615"/>
  <c r="AE615" s="1"/>
  <c r="AD616"/>
  <c r="AE616" s="1"/>
  <c r="AD617"/>
  <c r="AE617" s="1"/>
  <c r="AD618"/>
  <c r="AE618" s="1"/>
  <c r="AD619"/>
  <c r="AE619" s="1"/>
  <c r="AD620"/>
  <c r="AE620" s="1"/>
  <c r="AD621"/>
  <c r="AE621" s="1"/>
  <c r="AD622"/>
  <c r="AE622" s="1"/>
  <c r="AD623"/>
  <c r="AE623" s="1"/>
  <c r="AD624"/>
  <c r="AE624" s="1"/>
  <c r="AD625"/>
  <c r="AE625" s="1"/>
  <c r="AD626"/>
  <c r="AE626" s="1"/>
  <c r="AD627"/>
  <c r="AE627" s="1"/>
  <c r="AD628"/>
  <c r="AE628" s="1"/>
  <c r="AD629"/>
  <c r="AE629" s="1"/>
  <c r="AD630"/>
  <c r="AE630" s="1"/>
  <c r="AD631"/>
  <c r="AE631" s="1"/>
  <c r="AD632"/>
  <c r="AE632" s="1"/>
  <c r="AD633"/>
  <c r="AE633" s="1"/>
  <c r="AD634"/>
  <c r="AE634" s="1"/>
  <c r="AD635"/>
  <c r="AE635" s="1"/>
  <c r="AD636"/>
  <c r="AE636" s="1"/>
  <c r="AD637"/>
  <c r="AE637" s="1"/>
  <c r="AD638"/>
  <c r="AE638" s="1"/>
  <c r="AD639"/>
  <c r="AE639" s="1"/>
  <c r="AD640"/>
  <c r="AE640" s="1"/>
  <c r="AD641"/>
  <c r="AE641" s="1"/>
  <c r="AD642"/>
  <c r="AE642" s="1"/>
  <c r="AD643"/>
  <c r="AE643" s="1"/>
  <c r="AD644"/>
  <c r="AE644" s="1"/>
  <c r="AD645"/>
  <c r="AE645" s="1"/>
  <c r="AD646"/>
  <c r="AE646" s="1"/>
  <c r="AD647"/>
  <c r="AE647" s="1"/>
  <c r="AD648"/>
  <c r="AE648" s="1"/>
  <c r="AD649"/>
  <c r="AE649" s="1"/>
  <c r="AD650"/>
  <c r="AE650" s="1"/>
  <c r="AD651"/>
  <c r="AE651" s="1"/>
  <c r="AD652"/>
  <c r="AE652" s="1"/>
  <c r="AD653"/>
  <c r="AE653" s="1"/>
  <c r="AD654"/>
  <c r="AE654" s="1"/>
  <c r="AD655"/>
  <c r="AE655" s="1"/>
  <c r="AD656"/>
  <c r="AE656" s="1"/>
  <c r="AD657"/>
  <c r="AE657" s="1"/>
  <c r="AD658"/>
  <c r="AE658" s="1"/>
  <c r="AD659"/>
  <c r="AE659" s="1"/>
  <c r="AD660"/>
  <c r="AE660" s="1"/>
  <c r="AD661"/>
  <c r="AE661" s="1"/>
  <c r="AD662"/>
  <c r="AE662" s="1"/>
  <c r="AD663"/>
  <c r="AE663" s="1"/>
  <c r="AD664"/>
  <c r="AE664" s="1"/>
  <c r="AD665"/>
  <c r="AE665" s="1"/>
  <c r="AD666"/>
  <c r="AE666" s="1"/>
  <c r="AD667"/>
  <c r="AE667" s="1"/>
  <c r="AD668"/>
  <c r="AE668" s="1"/>
  <c r="AD669"/>
  <c r="AE669" s="1"/>
  <c r="AD670"/>
  <c r="AE670" s="1"/>
  <c r="AD671"/>
  <c r="AE671" s="1"/>
  <c r="AD672"/>
  <c r="AE672" s="1"/>
  <c r="AD673"/>
  <c r="AE673" s="1"/>
  <c r="AD674"/>
  <c r="AE674" s="1"/>
  <c r="AD675"/>
  <c r="AE675" s="1"/>
  <c r="AD676"/>
  <c r="AE676" s="1"/>
  <c r="AD677"/>
  <c r="AE677" s="1"/>
  <c r="AD678"/>
  <c r="AE678" s="1"/>
  <c r="AD679"/>
  <c r="AE679" s="1"/>
  <c r="AD680"/>
  <c r="AE680" s="1"/>
  <c r="AD681"/>
  <c r="AE681" s="1"/>
  <c r="AD682"/>
  <c r="AE682" s="1"/>
  <c r="AD683"/>
  <c r="AE683" s="1"/>
  <c r="AD684"/>
  <c r="AE684" s="1"/>
  <c r="AD685"/>
  <c r="AE685" s="1"/>
  <c r="AD686"/>
  <c r="AE686" s="1"/>
  <c r="AD687"/>
  <c r="AE687" s="1"/>
  <c r="AD688"/>
  <c r="AE688" s="1"/>
  <c r="AD689"/>
  <c r="AE689" s="1"/>
  <c r="AD690"/>
  <c r="AE690" s="1"/>
  <c r="AD691"/>
  <c r="AE691" s="1"/>
  <c r="AD692"/>
  <c r="AE692" s="1"/>
  <c r="AD693"/>
  <c r="AE693" s="1"/>
  <c r="AD694"/>
  <c r="AE694" s="1"/>
  <c r="AD695"/>
  <c r="AE695" s="1"/>
  <c r="AD696"/>
  <c r="AE696" s="1"/>
  <c r="AD697"/>
  <c r="AE697" s="1"/>
  <c r="AD698"/>
  <c r="AE698" s="1"/>
  <c r="AD699"/>
  <c r="AE699" s="1"/>
  <c r="AD700"/>
  <c r="AE700" s="1"/>
  <c r="AD701"/>
  <c r="AE701" s="1"/>
  <c r="AD702"/>
  <c r="AE702" s="1"/>
  <c r="AD703"/>
  <c r="AE703" s="1"/>
  <c r="AD704"/>
  <c r="AE704" s="1"/>
  <c r="AD705"/>
  <c r="AE705" s="1"/>
  <c r="AD706"/>
  <c r="AE706" s="1"/>
  <c r="AD707"/>
  <c r="AE707" s="1"/>
  <c r="AD708"/>
  <c r="AE708" s="1"/>
  <c r="AD709"/>
  <c r="AE709" s="1"/>
  <c r="AD710"/>
  <c r="AE710" s="1"/>
  <c r="AD711"/>
  <c r="AE711" s="1"/>
  <c r="AD712"/>
  <c r="AE712" s="1"/>
  <c r="AD713"/>
  <c r="AE713" s="1"/>
  <c r="AD714"/>
  <c r="AE714" s="1"/>
  <c r="AD715"/>
  <c r="AE715" s="1"/>
  <c r="AD716"/>
  <c r="AE716" s="1"/>
  <c r="AD717"/>
  <c r="AE717" s="1"/>
  <c r="AD718"/>
  <c r="AE718" s="1"/>
  <c r="AD719"/>
  <c r="AE719" s="1"/>
  <c r="AD720"/>
  <c r="AE720" s="1"/>
  <c r="AD721"/>
  <c r="AE721" s="1"/>
  <c r="AD722"/>
  <c r="AE722" s="1"/>
  <c r="AD723"/>
  <c r="AE723" s="1"/>
  <c r="AD724"/>
  <c r="AE724" s="1"/>
  <c r="AD725"/>
  <c r="AE725" s="1"/>
  <c r="AD726"/>
  <c r="AE726" s="1"/>
  <c r="AD727"/>
  <c r="AE727" s="1"/>
  <c r="AD728"/>
  <c r="AE728" s="1"/>
  <c r="AD729"/>
  <c r="AE729" s="1"/>
  <c r="AD730"/>
  <c r="AE730" s="1"/>
  <c r="AD731"/>
  <c r="AE731" s="1"/>
  <c r="AD12"/>
  <c r="AE12" s="1"/>
  <c r="V6"/>
  <c r="U6"/>
  <c r="W6" s="1"/>
  <c r="T6"/>
  <c r="U87"/>
  <c r="V87"/>
  <c r="U88"/>
  <c r="V88"/>
  <c r="U89"/>
  <c r="V89"/>
  <c r="U90"/>
  <c r="V90"/>
  <c r="U91"/>
  <c r="V91"/>
  <c r="U92"/>
  <c r="V92"/>
  <c r="U93"/>
  <c r="V93"/>
  <c r="U94"/>
  <c r="V94"/>
  <c r="U95"/>
  <c r="V95"/>
  <c r="U96"/>
  <c r="V96"/>
  <c r="U97"/>
  <c r="V97"/>
  <c r="U98"/>
  <c r="V98"/>
  <c r="U99"/>
  <c r="V99"/>
  <c r="U100"/>
  <c r="V100"/>
  <c r="U101"/>
  <c r="V101"/>
  <c r="U102"/>
  <c r="V102"/>
  <c r="U103"/>
  <c r="V103"/>
  <c r="U104"/>
  <c r="V104"/>
  <c r="U105"/>
  <c r="V105"/>
  <c r="U106"/>
  <c r="V106"/>
  <c r="U107"/>
  <c r="V107"/>
  <c r="U108"/>
  <c r="V108"/>
  <c r="U109"/>
  <c r="V109"/>
  <c r="U110"/>
  <c r="V110"/>
  <c r="U111"/>
  <c r="V111"/>
  <c r="U112"/>
  <c r="V112"/>
  <c r="U113"/>
  <c r="V113"/>
  <c r="U114"/>
  <c r="V114"/>
  <c r="U115"/>
  <c r="V115"/>
  <c r="U116"/>
  <c r="V116"/>
  <c r="U117"/>
  <c r="V117"/>
  <c r="U118"/>
  <c r="V118"/>
  <c r="U119"/>
  <c r="V119"/>
  <c r="U120"/>
  <c r="V120"/>
  <c r="U121"/>
  <c r="V121"/>
  <c r="U122"/>
  <c r="V122"/>
  <c r="U123"/>
  <c r="V123"/>
  <c r="U124"/>
  <c r="V124"/>
  <c r="U125"/>
  <c r="V125"/>
  <c r="U126"/>
  <c r="V126"/>
  <c r="U127"/>
  <c r="V127"/>
  <c r="U128"/>
  <c r="V128"/>
  <c r="U129"/>
  <c r="V129"/>
  <c r="U130"/>
  <c r="V130"/>
  <c r="U131"/>
  <c r="V131"/>
  <c r="U132"/>
  <c r="V132"/>
  <c r="U133"/>
  <c r="V133"/>
  <c r="U134"/>
  <c r="V134"/>
  <c r="U135"/>
  <c r="V135"/>
  <c r="U136"/>
  <c r="V136"/>
  <c r="U137"/>
  <c r="V137"/>
  <c r="U138"/>
  <c r="V138"/>
  <c r="U139"/>
  <c r="V139"/>
  <c r="U140"/>
  <c r="V140"/>
  <c r="U141"/>
  <c r="V141"/>
  <c r="U142"/>
  <c r="V142"/>
  <c r="U143"/>
  <c r="V143"/>
  <c r="U144"/>
  <c r="V144"/>
  <c r="U145"/>
  <c r="V145"/>
  <c r="U146"/>
  <c r="V146"/>
  <c r="U147"/>
  <c r="V147"/>
  <c r="U148"/>
  <c r="V148"/>
  <c r="U149"/>
  <c r="V149"/>
  <c r="U150"/>
  <c r="V150"/>
  <c r="U151"/>
  <c r="V151"/>
  <c r="U152"/>
  <c r="V152"/>
  <c r="U153"/>
  <c r="V153"/>
  <c r="U154"/>
  <c r="V154"/>
  <c r="U155"/>
  <c r="V155"/>
  <c r="U156"/>
  <c r="V156"/>
  <c r="U157"/>
  <c r="V157"/>
  <c r="U158"/>
  <c r="V158"/>
  <c r="U159"/>
  <c r="V159"/>
  <c r="U160"/>
  <c r="V160"/>
  <c r="U161"/>
  <c r="V161"/>
  <c r="U162"/>
  <c r="V162"/>
  <c r="U163"/>
  <c r="V163"/>
  <c r="U164"/>
  <c r="V164"/>
  <c r="U165"/>
  <c r="V165"/>
  <c r="U166"/>
  <c r="V166"/>
  <c r="U167"/>
  <c r="V167"/>
  <c r="U168"/>
  <c r="V168"/>
  <c r="U169"/>
  <c r="V169"/>
  <c r="U170"/>
  <c r="V170"/>
  <c r="U171"/>
  <c r="V171"/>
  <c r="U172"/>
  <c r="V172"/>
  <c r="U173"/>
  <c r="V173"/>
  <c r="U174"/>
  <c r="V174"/>
  <c r="U175"/>
  <c r="V175"/>
  <c r="U176"/>
  <c r="V176"/>
  <c r="U177"/>
  <c r="V177"/>
  <c r="U178"/>
  <c r="V178"/>
  <c r="U179"/>
  <c r="V179"/>
  <c r="U180"/>
  <c r="V180"/>
  <c r="U181"/>
  <c r="V181"/>
  <c r="U182"/>
  <c r="V182"/>
  <c r="U183"/>
  <c r="V183"/>
  <c r="U184"/>
  <c r="V184"/>
  <c r="U185"/>
  <c r="V185"/>
  <c r="U186"/>
  <c r="V186"/>
  <c r="U187"/>
  <c r="V187"/>
  <c r="U188"/>
  <c r="V188"/>
  <c r="U189"/>
  <c r="V189"/>
  <c r="U190"/>
  <c r="V190"/>
  <c r="U191"/>
  <c r="V191"/>
  <c r="U192"/>
  <c r="V192"/>
  <c r="U193"/>
  <c r="V193"/>
  <c r="U194"/>
  <c r="V194"/>
  <c r="U195"/>
  <c r="V195"/>
  <c r="U196"/>
  <c r="V196"/>
  <c r="U197"/>
  <c r="V197"/>
  <c r="U198"/>
  <c r="V198"/>
  <c r="U199"/>
  <c r="V199"/>
  <c r="U200"/>
  <c r="V200"/>
  <c r="U201"/>
  <c r="V201"/>
  <c r="U202"/>
  <c r="V202"/>
  <c r="U203"/>
  <c r="V203"/>
  <c r="U204"/>
  <c r="V204"/>
  <c r="U205"/>
  <c r="V205"/>
  <c r="U206"/>
  <c r="V206"/>
  <c r="U207"/>
  <c r="V207"/>
  <c r="U208"/>
  <c r="V208"/>
  <c r="U209"/>
  <c r="V209"/>
  <c r="U210"/>
  <c r="V210"/>
  <c r="U211"/>
  <c r="V211"/>
  <c r="U212"/>
  <c r="V212"/>
  <c r="U213"/>
  <c r="V213"/>
  <c r="U214"/>
  <c r="V214"/>
  <c r="U215"/>
  <c r="V215"/>
  <c r="U216"/>
  <c r="V216"/>
  <c r="U217"/>
  <c r="V217"/>
  <c r="U218"/>
  <c r="V218"/>
  <c r="U219"/>
  <c r="V219"/>
  <c r="U220"/>
  <c r="V220"/>
  <c r="U221"/>
  <c r="V221"/>
  <c r="U222"/>
  <c r="V222"/>
  <c r="U223"/>
  <c r="V223"/>
  <c r="U224"/>
  <c r="V224"/>
  <c r="U225"/>
  <c r="V225"/>
  <c r="U226"/>
  <c r="V226"/>
  <c r="U227"/>
  <c r="V227"/>
  <c r="U228"/>
  <c r="V228"/>
  <c r="U229"/>
  <c r="V229"/>
  <c r="U230"/>
  <c r="V230"/>
  <c r="U231"/>
  <c r="V231"/>
  <c r="U232"/>
  <c r="V232"/>
  <c r="U233"/>
  <c r="V233"/>
  <c r="U234"/>
  <c r="V234"/>
  <c r="U235"/>
  <c r="V235"/>
  <c r="U236"/>
  <c r="V236"/>
  <c r="U237"/>
  <c r="V237"/>
  <c r="U238"/>
  <c r="V238"/>
  <c r="U239"/>
  <c r="V239"/>
  <c r="U240"/>
  <c r="V240"/>
  <c r="U241"/>
  <c r="V241"/>
  <c r="U242"/>
  <c r="V242"/>
  <c r="U243"/>
  <c r="V243"/>
  <c r="U244"/>
  <c r="V244"/>
  <c r="U245"/>
  <c r="V245"/>
  <c r="U246"/>
  <c r="V246"/>
  <c r="U247"/>
  <c r="V247"/>
  <c r="U248"/>
  <c r="V248"/>
  <c r="U249"/>
  <c r="V249"/>
  <c r="U250"/>
  <c r="V250"/>
  <c r="U251"/>
  <c r="V251"/>
  <c r="U252"/>
  <c r="V252"/>
  <c r="U253"/>
  <c r="V253"/>
  <c r="U254"/>
  <c r="V254"/>
  <c r="U255"/>
  <c r="V255"/>
  <c r="U256"/>
  <c r="V256"/>
  <c r="U257"/>
  <c r="V257"/>
  <c r="U258"/>
  <c r="V258"/>
  <c r="U259"/>
  <c r="V259"/>
  <c r="U260"/>
  <c r="V260"/>
  <c r="U261"/>
  <c r="V261"/>
  <c r="U262"/>
  <c r="V262"/>
  <c r="U263"/>
  <c r="V263"/>
  <c r="U264"/>
  <c r="V264"/>
  <c r="U265"/>
  <c r="V265"/>
  <c r="U266"/>
  <c r="V266"/>
  <c r="U267"/>
  <c r="V267"/>
  <c r="U268"/>
  <c r="V268"/>
  <c r="U269"/>
  <c r="V269"/>
  <c r="U270"/>
  <c r="V270"/>
  <c r="U271"/>
  <c r="V271"/>
  <c r="U272"/>
  <c r="V272"/>
  <c r="U273"/>
  <c r="V273"/>
  <c r="U274"/>
  <c r="V274"/>
  <c r="U275"/>
  <c r="V275"/>
  <c r="U276"/>
  <c r="V276"/>
  <c r="U277"/>
  <c r="V277"/>
  <c r="U278"/>
  <c r="V278"/>
  <c r="U279"/>
  <c r="V279"/>
  <c r="U280"/>
  <c r="V280"/>
  <c r="U281"/>
  <c r="V281"/>
  <c r="U282"/>
  <c r="V282"/>
  <c r="U283"/>
  <c r="V283"/>
  <c r="U284"/>
  <c r="V284"/>
  <c r="U285"/>
  <c r="V285"/>
  <c r="U286"/>
  <c r="V286"/>
  <c r="U287"/>
  <c r="V287"/>
  <c r="U288"/>
  <c r="V288"/>
  <c r="U289"/>
  <c r="V289"/>
  <c r="U290"/>
  <c r="V290"/>
  <c r="U291"/>
  <c r="V291"/>
  <c r="U292"/>
  <c r="V292"/>
  <c r="U293"/>
  <c r="V293"/>
  <c r="U294"/>
  <c r="V294"/>
  <c r="U295"/>
  <c r="V295"/>
  <c r="U296"/>
  <c r="V296"/>
  <c r="U297"/>
  <c r="V297"/>
  <c r="U298"/>
  <c r="V298"/>
  <c r="U299"/>
  <c r="V299"/>
  <c r="U300"/>
  <c r="V300"/>
  <c r="U301"/>
  <c r="V301"/>
  <c r="U302"/>
  <c r="V302"/>
  <c r="U303"/>
  <c r="V303"/>
  <c r="U304"/>
  <c r="V304"/>
  <c r="U305"/>
  <c r="V305"/>
  <c r="U306"/>
  <c r="V306"/>
  <c r="U307"/>
  <c r="V307"/>
  <c r="U308"/>
  <c r="V308"/>
  <c r="U309"/>
  <c r="V309"/>
  <c r="U310"/>
  <c r="V310"/>
  <c r="U311"/>
  <c r="V311"/>
  <c r="U312"/>
  <c r="V312"/>
  <c r="U313"/>
  <c r="V313"/>
  <c r="U314"/>
  <c r="V314"/>
  <c r="U315"/>
  <c r="V315"/>
  <c r="U316"/>
  <c r="V316"/>
  <c r="U317"/>
  <c r="V317"/>
  <c r="U318"/>
  <c r="V318"/>
  <c r="U319"/>
  <c r="V319"/>
  <c r="U320"/>
  <c r="V320"/>
  <c r="U321"/>
  <c r="V321"/>
  <c r="U322"/>
  <c r="V322"/>
  <c r="U323"/>
  <c r="V323"/>
  <c r="U324"/>
  <c r="V324"/>
  <c r="U325"/>
  <c r="V325"/>
  <c r="U326"/>
  <c r="V326"/>
  <c r="U327"/>
  <c r="V327"/>
  <c r="U328"/>
  <c r="V328"/>
  <c r="U329"/>
  <c r="V329"/>
  <c r="U330"/>
  <c r="V330"/>
  <c r="U331"/>
  <c r="V331"/>
  <c r="U332"/>
  <c r="V332"/>
  <c r="U333"/>
  <c r="V333"/>
  <c r="U334"/>
  <c r="V334"/>
  <c r="U335"/>
  <c r="V335"/>
  <c r="U336"/>
  <c r="V336"/>
  <c r="U337"/>
  <c r="V337"/>
  <c r="U338"/>
  <c r="V338"/>
  <c r="U339"/>
  <c r="V339"/>
  <c r="U340"/>
  <c r="V340"/>
  <c r="U341"/>
  <c r="V341"/>
  <c r="U342"/>
  <c r="V342"/>
  <c r="U343"/>
  <c r="V343"/>
  <c r="U344"/>
  <c r="V344"/>
  <c r="U345"/>
  <c r="V345"/>
  <c r="U346"/>
  <c r="V346"/>
  <c r="U347"/>
  <c r="V347"/>
  <c r="U348"/>
  <c r="V348"/>
  <c r="U349"/>
  <c r="V349"/>
  <c r="U350"/>
  <c r="V350"/>
  <c r="U351"/>
  <c r="V351"/>
  <c r="U352"/>
  <c r="V352"/>
  <c r="U353"/>
  <c r="V353"/>
  <c r="U354"/>
  <c r="V354"/>
  <c r="U355"/>
  <c r="V355"/>
  <c r="U356"/>
  <c r="V356"/>
  <c r="U357"/>
  <c r="V357"/>
  <c r="U358"/>
  <c r="V358"/>
  <c r="U359"/>
  <c r="V359"/>
  <c r="U360"/>
  <c r="V360"/>
  <c r="U361"/>
  <c r="V361"/>
  <c r="U362"/>
  <c r="V362"/>
  <c r="U363"/>
  <c r="V363"/>
  <c r="U364"/>
  <c r="V364"/>
  <c r="U365"/>
  <c r="V365"/>
  <c r="U366"/>
  <c r="V366"/>
  <c r="U367"/>
  <c r="V367"/>
  <c r="U368"/>
  <c r="V368"/>
  <c r="U369"/>
  <c r="V369"/>
  <c r="U370"/>
  <c r="V370"/>
  <c r="U371"/>
  <c r="V371"/>
  <c r="U372"/>
  <c r="V372"/>
  <c r="U373"/>
  <c r="V373"/>
  <c r="U374"/>
  <c r="V374"/>
  <c r="U375"/>
  <c r="V375"/>
  <c r="U376"/>
  <c r="V376"/>
  <c r="U377"/>
  <c r="V377"/>
  <c r="U378"/>
  <c r="V378"/>
  <c r="U379"/>
  <c r="V379"/>
  <c r="U380"/>
  <c r="V380"/>
  <c r="U381"/>
  <c r="V381"/>
  <c r="U382"/>
  <c r="V382"/>
  <c r="U383"/>
  <c r="V383"/>
  <c r="U384"/>
  <c r="V384"/>
  <c r="U385"/>
  <c r="V385"/>
  <c r="U386"/>
  <c r="V386"/>
  <c r="U387"/>
  <c r="V387"/>
  <c r="U388"/>
  <c r="V388"/>
  <c r="U389"/>
  <c r="V389"/>
  <c r="U390"/>
  <c r="V390"/>
  <c r="U391"/>
  <c r="V391"/>
  <c r="U392"/>
  <c r="V392"/>
  <c r="U393"/>
  <c r="V393"/>
  <c r="U394"/>
  <c r="V394"/>
  <c r="U395"/>
  <c r="V395"/>
  <c r="U396"/>
  <c r="V396"/>
  <c r="U397"/>
  <c r="V397"/>
  <c r="U398"/>
  <c r="V398"/>
  <c r="U399"/>
  <c r="V399"/>
  <c r="U400"/>
  <c r="V400"/>
  <c r="U401"/>
  <c r="V401"/>
  <c r="U402"/>
  <c r="V402"/>
  <c r="U403"/>
  <c r="V403"/>
  <c r="U404"/>
  <c r="V404"/>
  <c r="U405"/>
  <c r="V405"/>
  <c r="U406"/>
  <c r="V406"/>
  <c r="U407"/>
  <c r="V407"/>
  <c r="U408"/>
  <c r="V408"/>
  <c r="U409"/>
  <c r="V409"/>
  <c r="U410"/>
  <c r="V410"/>
  <c r="U411"/>
  <c r="V411"/>
  <c r="U412"/>
  <c r="V412"/>
  <c r="U413"/>
  <c r="V413"/>
  <c r="U414"/>
  <c r="V414"/>
  <c r="U415"/>
  <c r="V415"/>
  <c r="U416"/>
  <c r="V416"/>
  <c r="U417"/>
  <c r="V417"/>
  <c r="U418"/>
  <c r="V418"/>
  <c r="U419"/>
  <c r="V419"/>
  <c r="U420"/>
  <c r="V420"/>
  <c r="U421"/>
  <c r="V421"/>
  <c r="U422"/>
  <c r="V422"/>
  <c r="U423"/>
  <c r="V423"/>
  <c r="U424"/>
  <c r="V424"/>
  <c r="U425"/>
  <c r="V425"/>
  <c r="U426"/>
  <c r="V426"/>
  <c r="U427"/>
  <c r="V427"/>
  <c r="U428"/>
  <c r="V428"/>
  <c r="U429"/>
  <c r="V429"/>
  <c r="U430"/>
  <c r="V430"/>
  <c r="U431"/>
  <c r="V431"/>
  <c r="U432"/>
  <c r="V432"/>
  <c r="U433"/>
  <c r="V433"/>
  <c r="U434"/>
  <c r="V434"/>
  <c r="U435"/>
  <c r="V435"/>
  <c r="U436"/>
  <c r="V436"/>
  <c r="U437"/>
  <c r="V437"/>
  <c r="U438"/>
  <c r="V438"/>
  <c r="U439"/>
  <c r="V439"/>
  <c r="U440"/>
  <c r="V440"/>
  <c r="U441"/>
  <c r="V441"/>
  <c r="U442"/>
  <c r="V442"/>
  <c r="U443"/>
  <c r="V443"/>
  <c r="U444"/>
  <c r="V444"/>
  <c r="U445"/>
  <c r="V445"/>
  <c r="U446"/>
  <c r="V446"/>
  <c r="U447"/>
  <c r="V447"/>
  <c r="U448"/>
  <c r="V448"/>
  <c r="U449"/>
  <c r="V449"/>
  <c r="U450"/>
  <c r="V450"/>
  <c r="U451"/>
  <c r="V451"/>
  <c r="U452"/>
  <c r="V452"/>
  <c r="U453"/>
  <c r="V453"/>
  <c r="U454"/>
  <c r="V454"/>
  <c r="U455"/>
  <c r="V455"/>
  <c r="U456"/>
  <c r="V456"/>
  <c r="U457"/>
  <c r="V457"/>
  <c r="U458"/>
  <c r="V458"/>
  <c r="U459"/>
  <c r="V459"/>
  <c r="U460"/>
  <c r="V460"/>
  <c r="U461"/>
  <c r="V461"/>
  <c r="U462"/>
  <c r="V462"/>
  <c r="U463"/>
  <c r="V463"/>
  <c r="U464"/>
  <c r="V464"/>
  <c r="U465"/>
  <c r="V465"/>
  <c r="U466"/>
  <c r="V466"/>
  <c r="U467"/>
  <c r="V467"/>
  <c r="U468"/>
  <c r="V468"/>
  <c r="U469"/>
  <c r="V469"/>
  <c r="U470"/>
  <c r="V470"/>
  <c r="U471"/>
  <c r="V471"/>
  <c r="U472"/>
  <c r="V472"/>
  <c r="U473"/>
  <c r="V473"/>
  <c r="U474"/>
  <c r="V474"/>
  <c r="U475"/>
  <c r="V475"/>
  <c r="U476"/>
  <c r="V476"/>
  <c r="U477"/>
  <c r="V477"/>
  <c r="U478"/>
  <c r="V478"/>
  <c r="U479"/>
  <c r="V479"/>
  <c r="U480"/>
  <c r="V480"/>
  <c r="U481"/>
  <c r="V481"/>
  <c r="U482"/>
  <c r="V482"/>
  <c r="U483"/>
  <c r="V483"/>
  <c r="U484"/>
  <c r="V484"/>
  <c r="U485"/>
  <c r="V485"/>
  <c r="U486"/>
  <c r="V486"/>
  <c r="U487"/>
  <c r="V487"/>
  <c r="U488"/>
  <c r="V488"/>
  <c r="U489"/>
  <c r="V489"/>
  <c r="U490"/>
  <c r="V490"/>
  <c r="U491"/>
  <c r="V491"/>
  <c r="U492"/>
  <c r="V492"/>
  <c r="U493"/>
  <c r="V493"/>
  <c r="U494"/>
  <c r="V494"/>
  <c r="U495"/>
  <c r="V495"/>
  <c r="U496"/>
  <c r="V496"/>
  <c r="U497"/>
  <c r="V497"/>
  <c r="U498"/>
  <c r="V498"/>
  <c r="U499"/>
  <c r="V499"/>
  <c r="U500"/>
  <c r="V500"/>
  <c r="U501"/>
  <c r="V501"/>
  <c r="U502"/>
  <c r="V502"/>
  <c r="U503"/>
  <c r="V503"/>
  <c r="U504"/>
  <c r="V504"/>
  <c r="U505"/>
  <c r="V505"/>
  <c r="U506"/>
  <c r="V506"/>
  <c r="U507"/>
  <c r="V507"/>
  <c r="U508"/>
  <c r="V508"/>
  <c r="U509"/>
  <c r="V509"/>
  <c r="U510"/>
  <c r="V510"/>
  <c r="U511"/>
  <c r="V511"/>
  <c r="U512"/>
  <c r="V512"/>
  <c r="U513"/>
  <c r="V513"/>
  <c r="U514"/>
  <c r="V514"/>
  <c r="U515"/>
  <c r="V515"/>
  <c r="U516"/>
  <c r="V516"/>
  <c r="U517"/>
  <c r="V517"/>
  <c r="U518"/>
  <c r="V518"/>
  <c r="U519"/>
  <c r="V519"/>
  <c r="U520"/>
  <c r="V520"/>
  <c r="U521"/>
  <c r="V521"/>
  <c r="U522"/>
  <c r="V522"/>
  <c r="U523"/>
  <c r="V523"/>
  <c r="U524"/>
  <c r="V524"/>
  <c r="U525"/>
  <c r="V525"/>
  <c r="U526"/>
  <c r="V526"/>
  <c r="U527"/>
  <c r="V527"/>
  <c r="U528"/>
  <c r="V528"/>
  <c r="U529"/>
  <c r="V529"/>
  <c r="U530"/>
  <c r="V530"/>
  <c r="U531"/>
  <c r="V531"/>
  <c r="U532"/>
  <c r="V532"/>
  <c r="U533"/>
  <c r="V533"/>
  <c r="U534"/>
  <c r="V534"/>
  <c r="U535"/>
  <c r="V535"/>
  <c r="U536"/>
  <c r="V536"/>
  <c r="U537"/>
  <c r="V537"/>
  <c r="U538"/>
  <c r="V538"/>
  <c r="U539"/>
  <c r="V539"/>
  <c r="U540"/>
  <c r="V540"/>
  <c r="U541"/>
  <c r="V541"/>
  <c r="U542"/>
  <c r="V542"/>
  <c r="U543"/>
  <c r="V543"/>
  <c r="U544"/>
  <c r="V544"/>
  <c r="U545"/>
  <c r="V545"/>
  <c r="U546"/>
  <c r="V546"/>
  <c r="U547"/>
  <c r="V547"/>
  <c r="U548"/>
  <c r="V548"/>
  <c r="U549"/>
  <c r="V549"/>
  <c r="U550"/>
  <c r="V550"/>
  <c r="U551"/>
  <c r="V551"/>
  <c r="U552"/>
  <c r="V552"/>
  <c r="U553"/>
  <c r="V553"/>
  <c r="U554"/>
  <c r="V554"/>
  <c r="U555"/>
  <c r="V555"/>
  <c r="U556"/>
  <c r="V556"/>
  <c r="U557"/>
  <c r="V557"/>
  <c r="U558"/>
  <c r="V558"/>
  <c r="U559"/>
  <c r="V559"/>
  <c r="U560"/>
  <c r="V560"/>
  <c r="U561"/>
  <c r="V561"/>
  <c r="U562"/>
  <c r="V562"/>
  <c r="U563"/>
  <c r="V563"/>
  <c r="U564"/>
  <c r="V564"/>
  <c r="U565"/>
  <c r="V565"/>
  <c r="U566"/>
  <c r="V566"/>
  <c r="U567"/>
  <c r="V567"/>
  <c r="U568"/>
  <c r="V568"/>
  <c r="U569"/>
  <c r="V569"/>
  <c r="U570"/>
  <c r="V570"/>
  <c r="U571"/>
  <c r="V571"/>
  <c r="U572"/>
  <c r="V572"/>
  <c r="U573"/>
  <c r="V573"/>
  <c r="U574"/>
  <c r="V574"/>
  <c r="U575"/>
  <c r="V575"/>
  <c r="U576"/>
  <c r="V576"/>
  <c r="U577"/>
  <c r="V577"/>
  <c r="U578"/>
  <c r="V578"/>
  <c r="U579"/>
  <c r="V579"/>
  <c r="U580"/>
  <c r="V580"/>
  <c r="U581"/>
  <c r="V581"/>
  <c r="U582"/>
  <c r="V582"/>
  <c r="U583"/>
  <c r="V583"/>
  <c r="U584"/>
  <c r="V584"/>
  <c r="U585"/>
  <c r="V585"/>
  <c r="U586"/>
  <c r="V586"/>
  <c r="U587"/>
  <c r="V587"/>
  <c r="U588"/>
  <c r="V588"/>
  <c r="U589"/>
  <c r="V589"/>
  <c r="U590"/>
  <c r="V590"/>
  <c r="U591"/>
  <c r="V591"/>
  <c r="U592"/>
  <c r="V592"/>
  <c r="U593"/>
  <c r="V593"/>
  <c r="U594"/>
  <c r="V594"/>
  <c r="U595"/>
  <c r="V595"/>
  <c r="U596"/>
  <c r="V596"/>
  <c r="U597"/>
  <c r="V597"/>
  <c r="U598"/>
  <c r="V598"/>
  <c r="U599"/>
  <c r="V599"/>
  <c r="U600"/>
  <c r="V600"/>
  <c r="U601"/>
  <c r="V601"/>
  <c r="U602"/>
  <c r="V602"/>
  <c r="U603"/>
  <c r="V603"/>
  <c r="U604"/>
  <c r="V604"/>
  <c r="U605"/>
  <c r="V605"/>
  <c r="U606"/>
  <c r="V606"/>
  <c r="U607"/>
  <c r="V607"/>
  <c r="U608"/>
  <c r="V608"/>
  <c r="U609"/>
  <c r="V609"/>
  <c r="U610"/>
  <c r="V610"/>
  <c r="U611"/>
  <c r="V611"/>
  <c r="U612"/>
  <c r="V612"/>
  <c r="U613"/>
  <c r="V613"/>
  <c r="U614"/>
  <c r="V614"/>
  <c r="U615"/>
  <c r="V615"/>
  <c r="U616"/>
  <c r="V616"/>
  <c r="U617"/>
  <c r="V617"/>
  <c r="U618"/>
  <c r="V618"/>
  <c r="U619"/>
  <c r="V619"/>
  <c r="U620"/>
  <c r="V620"/>
  <c r="U621"/>
  <c r="V621"/>
  <c r="U622"/>
  <c r="V622"/>
  <c r="U623"/>
  <c r="V623"/>
  <c r="U624"/>
  <c r="V624"/>
  <c r="U625"/>
  <c r="V625"/>
  <c r="U626"/>
  <c r="V626"/>
  <c r="U627"/>
  <c r="V627"/>
  <c r="U628"/>
  <c r="V628"/>
  <c r="U629"/>
  <c r="V629"/>
  <c r="U630"/>
  <c r="V630"/>
  <c r="U631"/>
  <c r="V631"/>
  <c r="U632"/>
  <c r="V632"/>
  <c r="U633"/>
  <c r="V633"/>
  <c r="U634"/>
  <c r="V634"/>
  <c r="U635"/>
  <c r="V635"/>
  <c r="U636"/>
  <c r="V636"/>
  <c r="U637"/>
  <c r="V637"/>
  <c r="U638"/>
  <c r="V638"/>
  <c r="U639"/>
  <c r="V639"/>
  <c r="U640"/>
  <c r="V640"/>
  <c r="U641"/>
  <c r="V641"/>
  <c r="U642"/>
  <c r="V642"/>
  <c r="U643"/>
  <c r="V643"/>
  <c r="U644"/>
  <c r="V644"/>
  <c r="U645"/>
  <c r="V645"/>
  <c r="U646"/>
  <c r="V646"/>
  <c r="U647"/>
  <c r="V647"/>
  <c r="U648"/>
  <c r="V648"/>
  <c r="U649"/>
  <c r="V649"/>
  <c r="U650"/>
  <c r="V650"/>
  <c r="U651"/>
  <c r="V651"/>
  <c r="U652"/>
  <c r="V652"/>
  <c r="U653"/>
  <c r="V653"/>
  <c r="U654"/>
  <c r="V654"/>
  <c r="U655"/>
  <c r="V655"/>
  <c r="U656"/>
  <c r="V656"/>
  <c r="U657"/>
  <c r="V657"/>
  <c r="U658"/>
  <c r="V658"/>
  <c r="U659"/>
  <c r="V659"/>
  <c r="U660"/>
  <c r="V660"/>
  <c r="U661"/>
  <c r="V661"/>
  <c r="U662"/>
  <c r="V662"/>
  <c r="U663"/>
  <c r="V663"/>
  <c r="U664"/>
  <c r="V664"/>
  <c r="U665"/>
  <c r="V665"/>
  <c r="U666"/>
  <c r="V666"/>
  <c r="U667"/>
  <c r="V667"/>
  <c r="U668"/>
  <c r="V668"/>
  <c r="U669"/>
  <c r="V669"/>
  <c r="U670"/>
  <c r="V670"/>
  <c r="U671"/>
  <c r="V671"/>
  <c r="U672"/>
  <c r="V672"/>
  <c r="U673"/>
  <c r="V673"/>
  <c r="U674"/>
  <c r="V674"/>
  <c r="U675"/>
  <c r="V675"/>
  <c r="U676"/>
  <c r="V676"/>
  <c r="U677"/>
  <c r="V677"/>
  <c r="U678"/>
  <c r="V678"/>
  <c r="U679"/>
  <c r="V679"/>
  <c r="U680"/>
  <c r="V680"/>
  <c r="U681"/>
  <c r="V681"/>
  <c r="U682"/>
  <c r="V682"/>
  <c r="U683"/>
  <c r="V683"/>
  <c r="U684"/>
  <c r="V684"/>
  <c r="U685"/>
  <c r="V685"/>
  <c r="U686"/>
  <c r="V686"/>
  <c r="U687"/>
  <c r="V687"/>
  <c r="U688"/>
  <c r="V688"/>
  <c r="U689"/>
  <c r="V689"/>
  <c r="U690"/>
  <c r="V690"/>
  <c r="U691"/>
  <c r="V691"/>
  <c r="U692"/>
  <c r="V692"/>
  <c r="U693"/>
  <c r="V693"/>
  <c r="U694"/>
  <c r="V694"/>
  <c r="U695"/>
  <c r="V695"/>
  <c r="U696"/>
  <c r="V696"/>
  <c r="U697"/>
  <c r="V697"/>
  <c r="U698"/>
  <c r="V698"/>
  <c r="U699"/>
  <c r="V699"/>
  <c r="U700"/>
  <c r="V700"/>
  <c r="U701"/>
  <c r="V701"/>
  <c r="U702"/>
  <c r="V702"/>
  <c r="U703"/>
  <c r="V703"/>
  <c r="U704"/>
  <c r="V704"/>
  <c r="U705"/>
  <c r="V705"/>
  <c r="U706"/>
  <c r="V706"/>
  <c r="U707"/>
  <c r="V707"/>
  <c r="U708"/>
  <c r="V708"/>
  <c r="U709"/>
  <c r="V709"/>
  <c r="U710"/>
  <c r="V710"/>
  <c r="U711"/>
  <c r="V711"/>
  <c r="U712"/>
  <c r="V712"/>
  <c r="U713"/>
  <c r="V713"/>
  <c r="U714"/>
  <c r="V714"/>
  <c r="U715"/>
  <c r="V715"/>
  <c r="U716"/>
  <c r="V716"/>
  <c r="U717"/>
  <c r="V717"/>
  <c r="U718"/>
  <c r="V718"/>
  <c r="U719"/>
  <c r="V719"/>
  <c r="U720"/>
  <c r="V720"/>
  <c r="U721"/>
  <c r="V721"/>
  <c r="U722"/>
  <c r="V722"/>
  <c r="U723"/>
  <c r="V723"/>
  <c r="U724"/>
  <c r="V724"/>
  <c r="U725"/>
  <c r="V725"/>
  <c r="U726"/>
  <c r="V726"/>
  <c r="U727"/>
  <c r="V727"/>
  <c r="U728"/>
  <c r="V728"/>
  <c r="U729"/>
  <c r="V729"/>
  <c r="U730"/>
  <c r="V730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458"/>
  <c r="S459"/>
  <c r="S460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78"/>
  <c r="S479"/>
  <c r="S480"/>
  <c r="S481"/>
  <c r="S482"/>
  <c r="S483"/>
  <c r="S484"/>
  <c r="S485"/>
  <c r="S486"/>
  <c r="S487"/>
  <c r="S488"/>
  <c r="S489"/>
  <c r="S490"/>
  <c r="S491"/>
  <c r="S492"/>
  <c r="S493"/>
  <c r="S494"/>
  <c r="S495"/>
  <c r="S496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516"/>
  <c r="S517"/>
  <c r="S518"/>
  <c r="S519"/>
  <c r="S520"/>
  <c r="S521"/>
  <c r="S522"/>
  <c r="S523"/>
  <c r="S524"/>
  <c r="S525"/>
  <c r="S526"/>
  <c r="S527"/>
  <c r="S528"/>
  <c r="S529"/>
  <c r="S530"/>
  <c r="S531"/>
  <c r="S532"/>
  <c r="S533"/>
  <c r="S534"/>
  <c r="S535"/>
  <c r="S536"/>
  <c r="S537"/>
  <c r="S538"/>
  <c r="S539"/>
  <c r="S540"/>
  <c r="S541"/>
  <c r="S542"/>
  <c r="S543"/>
  <c r="S544"/>
  <c r="S545"/>
  <c r="S546"/>
  <c r="S547"/>
  <c r="S548"/>
  <c r="S549"/>
  <c r="S550"/>
  <c r="S551"/>
  <c r="S552"/>
  <c r="S553"/>
  <c r="S554"/>
  <c r="S555"/>
  <c r="S556"/>
  <c r="S557"/>
  <c r="S558"/>
  <c r="S559"/>
  <c r="S560"/>
  <c r="S561"/>
  <c r="S562"/>
  <c r="S563"/>
  <c r="S564"/>
  <c r="S565"/>
  <c r="S566"/>
  <c r="S567"/>
  <c r="S568"/>
  <c r="S569"/>
  <c r="S570"/>
  <c r="S571"/>
  <c r="S572"/>
  <c r="S573"/>
  <c r="S574"/>
  <c r="S575"/>
  <c r="S576"/>
  <c r="S577"/>
  <c r="S578"/>
  <c r="S579"/>
  <c r="S580"/>
  <c r="S581"/>
  <c r="S582"/>
  <c r="S583"/>
  <c r="S584"/>
  <c r="S585"/>
  <c r="S586"/>
  <c r="S587"/>
  <c r="S588"/>
  <c r="S589"/>
  <c r="S590"/>
  <c r="S591"/>
  <c r="S592"/>
  <c r="S593"/>
  <c r="S594"/>
  <c r="S595"/>
  <c r="S596"/>
  <c r="S597"/>
  <c r="S598"/>
  <c r="S599"/>
  <c r="S600"/>
  <c r="S601"/>
  <c r="S602"/>
  <c r="S603"/>
  <c r="S604"/>
  <c r="S605"/>
  <c r="S606"/>
  <c r="S607"/>
  <c r="S608"/>
  <c r="S609"/>
  <c r="S610"/>
  <c r="S611"/>
  <c r="S612"/>
  <c r="S613"/>
  <c r="S614"/>
  <c r="S615"/>
  <c r="S616"/>
  <c r="S617"/>
  <c r="S618"/>
  <c r="S619"/>
  <c r="S620"/>
  <c r="S621"/>
  <c r="S622"/>
  <c r="S623"/>
  <c r="S624"/>
  <c r="S625"/>
  <c r="S626"/>
  <c r="S627"/>
  <c r="S628"/>
  <c r="S629"/>
  <c r="S630"/>
  <c r="S631"/>
  <c r="S632"/>
  <c r="S633"/>
  <c r="S634"/>
  <c r="S635"/>
  <c r="S636"/>
  <c r="S637"/>
  <c r="S638"/>
  <c r="S639"/>
  <c r="S640"/>
  <c r="S641"/>
  <c r="S642"/>
  <c r="S643"/>
  <c r="S644"/>
  <c r="S645"/>
  <c r="S646"/>
  <c r="S647"/>
  <c r="S648"/>
  <c r="S649"/>
  <c r="S650"/>
  <c r="S651"/>
  <c r="S652"/>
  <c r="S653"/>
  <c r="S654"/>
  <c r="S655"/>
  <c r="S656"/>
  <c r="S657"/>
  <c r="S658"/>
  <c r="S659"/>
  <c r="S660"/>
  <c r="S661"/>
  <c r="S662"/>
  <c r="S663"/>
  <c r="S664"/>
  <c r="S665"/>
  <c r="S666"/>
  <c r="S667"/>
  <c r="S668"/>
  <c r="S669"/>
  <c r="S670"/>
  <c r="S671"/>
  <c r="S672"/>
  <c r="S673"/>
  <c r="S674"/>
  <c r="S675"/>
  <c r="S676"/>
  <c r="S677"/>
  <c r="S678"/>
  <c r="S679"/>
  <c r="S680"/>
  <c r="S681"/>
  <c r="S682"/>
  <c r="S683"/>
  <c r="S684"/>
  <c r="S685"/>
  <c r="S686"/>
  <c r="S687"/>
  <c r="S688"/>
  <c r="S689"/>
  <c r="S690"/>
  <c r="S691"/>
  <c r="S692"/>
  <c r="S693"/>
  <c r="S694"/>
  <c r="S695"/>
  <c r="S696"/>
  <c r="S697"/>
  <c r="S698"/>
  <c r="S699"/>
  <c r="S700"/>
  <c r="S701"/>
  <c r="S702"/>
  <c r="S703"/>
  <c r="S704"/>
  <c r="S705"/>
  <c r="S706"/>
  <c r="S707"/>
  <c r="S708"/>
  <c r="S709"/>
  <c r="S710"/>
  <c r="S711"/>
  <c r="S712"/>
  <c r="S713"/>
  <c r="S714"/>
  <c r="S715"/>
  <c r="S716"/>
  <c r="S717"/>
  <c r="S718"/>
  <c r="S719"/>
  <c r="S720"/>
  <c r="S721"/>
  <c r="S722"/>
  <c r="S723"/>
  <c r="S724"/>
  <c r="S725"/>
  <c r="S726"/>
  <c r="S727"/>
  <c r="S728"/>
  <c r="S729"/>
  <c r="S730"/>
  <c r="I10" i="10" l="1"/>
  <c r="G11"/>
  <c r="X6" i="9"/>
  <c r="Y6" s="1"/>
  <c r="Z730"/>
  <c r="Z729"/>
  <c r="Z728"/>
  <c r="Z727"/>
  <c r="Z726"/>
  <c r="Z725"/>
  <c r="Z724"/>
  <c r="Z723"/>
  <c r="Z722"/>
  <c r="Z721"/>
  <c r="Z720"/>
  <c r="Z719"/>
  <c r="Z718"/>
  <c r="Z717"/>
  <c r="Z716"/>
  <c r="Z715"/>
  <c r="Z714"/>
  <c r="Z713"/>
  <c r="Z712"/>
  <c r="Z711"/>
  <c r="Z710"/>
  <c r="Z709"/>
  <c r="Z708"/>
  <c r="Z707"/>
  <c r="Z706"/>
  <c r="Z705"/>
  <c r="Z704"/>
  <c r="Z703"/>
  <c r="Z702"/>
  <c r="Z701"/>
  <c r="Z700"/>
  <c r="Z699"/>
  <c r="Z698"/>
  <c r="Z697"/>
  <c r="Z696"/>
  <c r="Z695"/>
  <c r="Z694"/>
  <c r="Z693"/>
  <c r="Z692"/>
  <c r="Z691"/>
  <c r="Z690"/>
  <c r="Z689"/>
  <c r="Z688"/>
  <c r="Z687"/>
  <c r="Z686"/>
  <c r="Z685"/>
  <c r="Z684"/>
  <c r="Z683"/>
  <c r="Z682"/>
  <c r="Z681"/>
  <c r="Z680"/>
  <c r="Z679"/>
  <c r="Z678"/>
  <c r="Z677"/>
  <c r="Z676"/>
  <c r="Z675"/>
  <c r="Z674"/>
  <c r="Z673"/>
  <c r="Z672"/>
  <c r="Z671"/>
  <c r="Z670"/>
  <c r="Z669"/>
  <c r="Z668"/>
  <c r="Z667"/>
  <c r="Z666"/>
  <c r="Z665"/>
  <c r="Z664"/>
  <c r="Z663"/>
  <c r="Z662"/>
  <c r="Z661"/>
  <c r="Z660"/>
  <c r="Z659"/>
  <c r="Z658"/>
  <c r="Z657"/>
  <c r="Z656"/>
  <c r="Z655"/>
  <c r="Z654"/>
  <c r="Z653"/>
  <c r="Z652"/>
  <c r="Z651"/>
  <c r="Z650"/>
  <c r="Z649"/>
  <c r="Z648"/>
  <c r="Z647"/>
  <c r="Z646"/>
  <c r="Z645"/>
  <c r="Z644"/>
  <c r="Z643"/>
  <c r="Z642"/>
  <c r="Z641"/>
  <c r="Z640"/>
  <c r="Z639"/>
  <c r="Z638"/>
  <c r="Z637"/>
  <c r="Z636"/>
  <c r="Z635"/>
  <c r="Z634"/>
  <c r="Z633"/>
  <c r="Z632"/>
  <c r="Z631"/>
  <c r="Z630"/>
  <c r="Z629"/>
  <c r="Z628"/>
  <c r="Z627"/>
  <c r="Z626"/>
  <c r="Z625"/>
  <c r="Z624"/>
  <c r="Z623"/>
  <c r="Z622"/>
  <c r="Z621"/>
  <c r="Z620"/>
  <c r="Z619"/>
  <c r="Z618"/>
  <c r="Z617"/>
  <c r="Z616"/>
  <c r="Z615"/>
  <c r="Z614"/>
  <c r="Z613"/>
  <c r="Z612"/>
  <c r="Z611"/>
  <c r="Z610"/>
  <c r="Z609"/>
  <c r="Z608"/>
  <c r="Z607"/>
  <c r="Z606"/>
  <c r="Z605"/>
  <c r="Z604"/>
  <c r="Z603"/>
  <c r="Z602"/>
  <c r="Z601"/>
  <c r="Z600"/>
  <c r="Z599"/>
  <c r="Z598"/>
  <c r="Z597"/>
  <c r="Z596"/>
  <c r="Z595"/>
  <c r="Z594"/>
  <c r="Z593"/>
  <c r="Z592"/>
  <c r="Z591"/>
  <c r="Z590"/>
  <c r="Z589"/>
  <c r="Z588"/>
  <c r="Z587"/>
  <c r="Z586"/>
  <c r="Z585"/>
  <c r="Z584"/>
  <c r="Z583"/>
  <c r="Z582"/>
  <c r="Z581"/>
  <c r="Z580"/>
  <c r="Z579"/>
  <c r="Z578"/>
  <c r="Z577"/>
  <c r="Z576"/>
  <c r="Z575"/>
  <c r="Z574"/>
  <c r="Z573"/>
  <c r="Z572"/>
  <c r="Z571"/>
  <c r="Z570"/>
  <c r="Z569"/>
  <c r="Z568"/>
  <c r="Z567"/>
  <c r="Z566"/>
  <c r="Z565"/>
  <c r="Z564"/>
  <c r="Z563"/>
  <c r="Z562"/>
  <c r="Z561"/>
  <c r="Z560"/>
  <c r="Z559"/>
  <c r="Z558"/>
  <c r="Z557"/>
  <c r="Z556"/>
  <c r="Z555"/>
  <c r="Z554"/>
  <c r="Z553"/>
  <c r="Z552"/>
  <c r="Z551"/>
  <c r="Z550"/>
  <c r="Z549"/>
  <c r="Z548"/>
  <c r="Z547"/>
  <c r="Z546"/>
  <c r="Z545"/>
  <c r="Z544"/>
  <c r="Z543"/>
  <c r="Z542"/>
  <c r="Z541"/>
  <c r="Z540"/>
  <c r="Z539"/>
  <c r="Z538"/>
  <c r="Z537"/>
  <c r="Z536"/>
  <c r="Z535"/>
  <c r="Z534"/>
  <c r="Z533"/>
  <c r="Z532"/>
  <c r="Z531"/>
  <c r="Z530"/>
  <c r="Z529"/>
  <c r="Z528"/>
  <c r="Z527"/>
  <c r="Z526"/>
  <c r="Z525"/>
  <c r="Z524"/>
  <c r="Z523"/>
  <c r="Z522"/>
  <c r="Z521"/>
  <c r="Z520"/>
  <c r="Z519"/>
  <c r="Z518"/>
  <c r="Z517"/>
  <c r="Z516"/>
  <c r="Z515"/>
  <c r="Z514"/>
  <c r="Z513"/>
  <c r="Z512"/>
  <c r="Z511"/>
  <c r="Z510"/>
  <c r="Z509"/>
  <c r="Z508"/>
  <c r="Z507"/>
  <c r="Z506"/>
  <c r="Z505"/>
  <c r="Z504"/>
  <c r="Z503"/>
  <c r="Z502"/>
  <c r="Z501"/>
  <c r="Z500"/>
  <c r="Z499"/>
  <c r="Z498"/>
  <c r="Z497"/>
  <c r="Z496"/>
  <c r="Z495"/>
  <c r="Z494"/>
  <c r="Z493"/>
  <c r="Z492"/>
  <c r="Z491"/>
  <c r="Z490"/>
  <c r="Z489"/>
  <c r="Z488"/>
  <c r="Z487"/>
  <c r="Z486"/>
  <c r="Z485"/>
  <c r="Z484"/>
  <c r="Z483"/>
  <c r="Z482"/>
  <c r="Z481"/>
  <c r="Z480"/>
  <c r="Z479"/>
  <c r="Z478"/>
  <c r="Z477"/>
  <c r="Z476"/>
  <c r="Z475"/>
  <c r="Z474"/>
  <c r="Z473"/>
  <c r="Z472"/>
  <c r="Z471"/>
  <c r="Z470"/>
  <c r="Z469"/>
  <c r="Z468"/>
  <c r="Z467"/>
  <c r="Z466"/>
  <c r="Z465"/>
  <c r="Z464"/>
  <c r="Z463"/>
  <c r="Z462"/>
  <c r="Z461"/>
  <c r="Z460"/>
  <c r="Z459"/>
  <c r="Z458"/>
  <c r="Z457"/>
  <c r="Z456"/>
  <c r="Z455"/>
  <c r="Z454"/>
  <c r="Z453"/>
  <c r="Z452"/>
  <c r="Z451"/>
  <c r="Z450"/>
  <c r="Z449"/>
  <c r="Z448"/>
  <c r="Z447"/>
  <c r="Z446"/>
  <c r="Z445"/>
  <c r="Z444"/>
  <c r="Z443"/>
  <c r="Z442"/>
  <c r="Z441"/>
  <c r="Z440"/>
  <c r="Z439"/>
  <c r="Z438"/>
  <c r="Z437"/>
  <c r="Z436"/>
  <c r="Z435"/>
  <c r="Z434"/>
  <c r="Z433"/>
  <c r="Z432"/>
  <c r="Z431"/>
  <c r="Z430"/>
  <c r="Z429"/>
  <c r="Z428"/>
  <c r="Z427"/>
  <c r="Z426"/>
  <c r="Z425"/>
  <c r="Z424"/>
  <c r="Z423"/>
  <c r="Z422"/>
  <c r="Z421"/>
  <c r="Z420"/>
  <c r="Z419"/>
  <c r="Z418"/>
  <c r="Z417"/>
  <c r="Z416"/>
  <c r="Z415"/>
  <c r="Z414"/>
  <c r="Z413"/>
  <c r="Z412"/>
  <c r="Z411"/>
  <c r="Z410"/>
  <c r="Z409"/>
  <c r="Z408"/>
  <c r="Z407"/>
  <c r="Z406"/>
  <c r="Z405"/>
  <c r="Z404"/>
  <c r="Z403"/>
  <c r="Z402"/>
  <c r="Z401"/>
  <c r="Z400"/>
  <c r="Z399"/>
  <c r="Z398"/>
  <c r="Z397"/>
  <c r="Z396"/>
  <c r="Z395"/>
  <c r="Z394"/>
  <c r="Z393"/>
  <c r="Z392"/>
  <c r="Z391"/>
  <c r="Z390"/>
  <c r="Z389"/>
  <c r="Z388"/>
  <c r="Z387"/>
  <c r="Z386"/>
  <c r="Z385"/>
  <c r="Z384"/>
  <c r="Z383"/>
  <c r="Z382"/>
  <c r="Z381"/>
  <c r="Z380"/>
  <c r="Z379"/>
  <c r="Z378"/>
  <c r="Z377"/>
  <c r="Z376"/>
  <c r="Z375"/>
  <c r="Z374"/>
  <c r="Z373"/>
  <c r="Z372"/>
  <c r="Z371"/>
  <c r="Z370"/>
  <c r="Z369"/>
  <c r="Z368"/>
  <c r="Z367"/>
  <c r="Z366"/>
  <c r="Z365"/>
  <c r="Z364"/>
  <c r="Z363"/>
  <c r="Z362"/>
  <c r="Z361"/>
  <c r="Z360"/>
  <c r="Z359"/>
  <c r="Z358"/>
  <c r="Z357"/>
  <c r="Z356"/>
  <c r="Z355"/>
  <c r="Z354"/>
  <c r="Z353"/>
  <c r="Z352"/>
  <c r="Z351"/>
  <c r="Z350"/>
  <c r="Z349"/>
  <c r="Z348"/>
  <c r="Z347"/>
  <c r="Z346"/>
  <c r="Z345"/>
  <c r="Z344"/>
  <c r="Z343"/>
  <c r="Z342"/>
  <c r="Z341"/>
  <c r="Z340"/>
  <c r="Z339"/>
  <c r="Z338"/>
  <c r="Z337"/>
  <c r="Z336"/>
  <c r="Z335"/>
  <c r="Z334"/>
  <c r="Z333"/>
  <c r="Z332"/>
  <c r="Z331"/>
  <c r="Z330"/>
  <c r="Z329"/>
  <c r="Z328"/>
  <c r="Z327"/>
  <c r="Z326"/>
  <c r="Z325"/>
  <c r="Z324"/>
  <c r="Z323"/>
  <c r="Z322"/>
  <c r="Z321"/>
  <c r="Z320"/>
  <c r="Z319"/>
  <c r="Z318"/>
  <c r="Z317"/>
  <c r="Z316"/>
  <c r="Z315"/>
  <c r="Z314"/>
  <c r="Z313"/>
  <c r="Z312"/>
  <c r="Z311"/>
  <c r="Z310"/>
  <c r="Z309"/>
  <c r="Z308"/>
  <c r="Z307"/>
  <c r="Z306"/>
  <c r="Z305"/>
  <c r="Z304"/>
  <c r="Z303"/>
  <c r="Z302"/>
  <c r="Z301"/>
  <c r="Z300"/>
  <c r="Z299"/>
  <c r="Z298"/>
  <c r="Z297"/>
  <c r="Z296"/>
  <c r="Z295"/>
  <c r="Z294"/>
  <c r="Z293"/>
  <c r="Z292"/>
  <c r="Z291"/>
  <c r="Z290"/>
  <c r="Z289"/>
  <c r="Z288"/>
  <c r="Z287"/>
  <c r="Z286"/>
  <c r="Z285"/>
  <c r="Z284"/>
  <c r="Z283"/>
  <c r="Z282"/>
  <c r="Z281"/>
  <c r="Z280"/>
  <c r="Z279"/>
  <c r="Z278"/>
  <c r="Z277"/>
  <c r="Z276"/>
  <c r="Z275"/>
  <c r="Z274"/>
  <c r="Z273"/>
  <c r="Z272"/>
  <c r="Z271"/>
  <c r="Z270"/>
  <c r="Z269"/>
  <c r="Z268"/>
  <c r="Z267"/>
  <c r="Z266"/>
  <c r="Z265"/>
  <c r="Z264"/>
  <c r="Z263"/>
  <c r="Z262"/>
  <c r="Z261"/>
  <c r="Z260"/>
  <c r="Z259"/>
  <c r="Z258"/>
  <c r="Z257"/>
  <c r="Z256"/>
  <c r="Z255"/>
  <c r="Z254"/>
  <c r="Z253"/>
  <c r="Z252"/>
  <c r="Z251"/>
  <c r="Z250"/>
  <c r="Z249"/>
  <c r="Z248"/>
  <c r="Z247"/>
  <c r="Z246"/>
  <c r="Z245"/>
  <c r="Z244"/>
  <c r="Z243"/>
  <c r="Z242"/>
  <c r="Z241"/>
  <c r="Z240"/>
  <c r="Z239"/>
  <c r="Z238"/>
  <c r="Z237"/>
  <c r="Z236"/>
  <c r="Z235"/>
  <c r="Z234"/>
  <c r="Z233"/>
  <c r="Z232"/>
  <c r="Z231"/>
  <c r="Z230"/>
  <c r="Z229"/>
  <c r="Z228"/>
  <c r="Z227"/>
  <c r="Z226"/>
  <c r="Z225"/>
  <c r="Z224"/>
  <c r="Z223"/>
  <c r="Z222"/>
  <c r="Z221"/>
  <c r="Z220"/>
  <c r="Z219"/>
  <c r="Z218"/>
  <c r="Z217"/>
  <c r="Z216"/>
  <c r="Z215"/>
  <c r="Z214"/>
  <c r="Z213"/>
  <c r="Z212"/>
  <c r="Z211"/>
  <c r="Z210"/>
  <c r="Z209"/>
  <c r="Z208"/>
  <c r="Z207"/>
  <c r="Z206"/>
  <c r="Z205"/>
  <c r="Z204"/>
  <c r="Z203"/>
  <c r="Z202"/>
  <c r="Z201"/>
  <c r="Z200"/>
  <c r="Z199"/>
  <c r="Z198"/>
  <c r="Z197"/>
  <c r="Z196"/>
  <c r="Z195"/>
  <c r="Z194"/>
  <c r="Z193"/>
  <c r="Z192"/>
  <c r="Z191"/>
  <c r="Z190"/>
  <c r="Z189"/>
  <c r="Z188"/>
  <c r="Z187"/>
  <c r="Z186"/>
  <c r="Z185"/>
  <c r="Z184"/>
  <c r="Z183"/>
  <c r="Z182"/>
  <c r="Z181"/>
  <c r="Z180"/>
  <c r="Z179"/>
  <c r="Z178"/>
  <c r="Z177"/>
  <c r="Z176"/>
  <c r="Z175"/>
  <c r="Z174"/>
  <c r="Z173"/>
  <c r="Z172"/>
  <c r="Z171"/>
  <c r="Z170"/>
  <c r="Z169"/>
  <c r="Z168"/>
  <c r="Z167"/>
  <c r="Z166"/>
  <c r="Z165"/>
  <c r="Z164"/>
  <c r="Z163"/>
  <c r="Z162"/>
  <c r="Z161"/>
  <c r="Z160"/>
  <c r="Z159"/>
  <c r="Z158"/>
  <c r="Z157"/>
  <c r="Z156"/>
  <c r="Z155"/>
  <c r="Z154"/>
  <c r="Z153"/>
  <c r="Z152"/>
  <c r="Z151"/>
  <c r="Z150"/>
  <c r="Z149"/>
  <c r="Z148"/>
  <c r="Z147"/>
  <c r="Z146"/>
  <c r="Z145"/>
  <c r="Z144"/>
  <c r="Z143"/>
  <c r="Z142"/>
  <c r="Z141"/>
  <c r="Z140"/>
  <c r="Z139"/>
  <c r="Z138"/>
  <c r="Z137"/>
  <c r="Z136"/>
  <c r="Z135"/>
  <c r="Z134"/>
  <c r="Z133"/>
  <c r="Z132"/>
  <c r="Z131"/>
  <c r="Z130"/>
  <c r="Z129"/>
  <c r="Z128"/>
  <c r="Z127"/>
  <c r="Z126"/>
  <c r="Z125"/>
  <c r="Z124"/>
  <c r="Z123"/>
  <c r="Z122"/>
  <c r="Z121"/>
  <c r="Z120"/>
  <c r="Z119"/>
  <c r="Z118"/>
  <c r="Z117"/>
  <c r="Z116"/>
  <c r="Z115"/>
  <c r="Z114"/>
  <c r="Z113"/>
  <c r="Z112"/>
  <c r="Z111"/>
  <c r="Z110"/>
  <c r="Z109"/>
  <c r="Z108"/>
  <c r="Z107"/>
  <c r="Z106"/>
  <c r="Z105"/>
  <c r="Z104"/>
  <c r="Z103"/>
  <c r="Z102"/>
  <c r="Z101"/>
  <c r="Z100"/>
  <c r="Z99"/>
  <c r="Z98"/>
  <c r="Z97"/>
  <c r="Z96"/>
  <c r="Z95"/>
  <c r="Z94"/>
  <c r="Z93"/>
  <c r="Z92"/>
  <c r="Z91"/>
  <c r="Z90"/>
  <c r="Z89"/>
  <c r="Z88"/>
  <c r="Z87"/>
  <c r="T730"/>
  <c r="W730" s="1"/>
  <c r="X730" s="1"/>
  <c r="Y730" s="1"/>
  <c r="T729"/>
  <c r="W729" s="1"/>
  <c r="X729" s="1"/>
  <c r="Y729" s="1"/>
  <c r="T728"/>
  <c r="W728" s="1"/>
  <c r="X728" s="1"/>
  <c r="Y728" s="1"/>
  <c r="T727"/>
  <c r="W727" s="1"/>
  <c r="X727" s="1"/>
  <c r="Y727" s="1"/>
  <c r="T726"/>
  <c r="W726" s="1"/>
  <c r="X726" s="1"/>
  <c r="Y726" s="1"/>
  <c r="T725"/>
  <c r="W725" s="1"/>
  <c r="X725" s="1"/>
  <c r="Y725" s="1"/>
  <c r="T724"/>
  <c r="W724" s="1"/>
  <c r="X724" s="1"/>
  <c r="Y724" s="1"/>
  <c r="T723"/>
  <c r="W723" s="1"/>
  <c r="X723" s="1"/>
  <c r="Y723" s="1"/>
  <c r="T722"/>
  <c r="W722" s="1"/>
  <c r="X722" s="1"/>
  <c r="Y722" s="1"/>
  <c r="T721"/>
  <c r="W721" s="1"/>
  <c r="X721" s="1"/>
  <c r="Y721" s="1"/>
  <c r="T720"/>
  <c r="W720" s="1"/>
  <c r="X720" s="1"/>
  <c r="Y720" s="1"/>
  <c r="T719"/>
  <c r="W719" s="1"/>
  <c r="X719" s="1"/>
  <c r="Y719" s="1"/>
  <c r="T718"/>
  <c r="W718" s="1"/>
  <c r="X718" s="1"/>
  <c r="Y718" s="1"/>
  <c r="T717"/>
  <c r="W717" s="1"/>
  <c r="X717" s="1"/>
  <c r="Y717" s="1"/>
  <c r="T716"/>
  <c r="W716" s="1"/>
  <c r="X716" s="1"/>
  <c r="Y716" s="1"/>
  <c r="T715"/>
  <c r="W715" s="1"/>
  <c r="X715" s="1"/>
  <c r="Y715" s="1"/>
  <c r="T714"/>
  <c r="T713"/>
  <c r="W713" s="1"/>
  <c r="X713" s="1"/>
  <c r="Y713" s="1"/>
  <c r="T712"/>
  <c r="W712" s="1"/>
  <c r="X712" s="1"/>
  <c r="Y712" s="1"/>
  <c r="T711"/>
  <c r="W711" s="1"/>
  <c r="X711" s="1"/>
  <c r="Y711" s="1"/>
  <c r="T710"/>
  <c r="W710" s="1"/>
  <c r="X710" s="1"/>
  <c r="Y710" s="1"/>
  <c r="T709"/>
  <c r="W709" s="1"/>
  <c r="X709" s="1"/>
  <c r="Y709" s="1"/>
  <c r="T708"/>
  <c r="W708" s="1"/>
  <c r="X708" s="1"/>
  <c r="Y708" s="1"/>
  <c r="T707"/>
  <c r="W707" s="1"/>
  <c r="X707" s="1"/>
  <c r="Y707" s="1"/>
  <c r="T706"/>
  <c r="W706" s="1"/>
  <c r="X706" s="1"/>
  <c r="Y706" s="1"/>
  <c r="T705"/>
  <c r="W705" s="1"/>
  <c r="X705" s="1"/>
  <c r="Y705" s="1"/>
  <c r="T704"/>
  <c r="W704" s="1"/>
  <c r="X704" s="1"/>
  <c r="Y704" s="1"/>
  <c r="T703"/>
  <c r="W703" s="1"/>
  <c r="X703" s="1"/>
  <c r="Y703" s="1"/>
  <c r="T702"/>
  <c r="W702" s="1"/>
  <c r="X702" s="1"/>
  <c r="Y702" s="1"/>
  <c r="T701"/>
  <c r="W701" s="1"/>
  <c r="X701" s="1"/>
  <c r="Y701" s="1"/>
  <c r="T700"/>
  <c r="W700" s="1"/>
  <c r="X700" s="1"/>
  <c r="Y700" s="1"/>
  <c r="T699"/>
  <c r="W699" s="1"/>
  <c r="X699" s="1"/>
  <c r="Y699" s="1"/>
  <c r="T698"/>
  <c r="W698" s="1"/>
  <c r="X698" s="1"/>
  <c r="Y698" s="1"/>
  <c r="T697"/>
  <c r="W697" s="1"/>
  <c r="X697" s="1"/>
  <c r="Y697" s="1"/>
  <c r="T696"/>
  <c r="W696" s="1"/>
  <c r="X696" s="1"/>
  <c r="Y696" s="1"/>
  <c r="T695"/>
  <c r="W695" s="1"/>
  <c r="X695" s="1"/>
  <c r="Y695" s="1"/>
  <c r="T694"/>
  <c r="W694" s="1"/>
  <c r="X694" s="1"/>
  <c r="Y694" s="1"/>
  <c r="T693"/>
  <c r="W693" s="1"/>
  <c r="X693" s="1"/>
  <c r="Y693" s="1"/>
  <c r="T692"/>
  <c r="W692" s="1"/>
  <c r="X692" s="1"/>
  <c r="Y692" s="1"/>
  <c r="T691"/>
  <c r="T690"/>
  <c r="W690" s="1"/>
  <c r="X690" s="1"/>
  <c r="Y690" s="1"/>
  <c r="T689"/>
  <c r="W689" s="1"/>
  <c r="X689" s="1"/>
  <c r="Y689" s="1"/>
  <c r="T688"/>
  <c r="W688" s="1"/>
  <c r="X688" s="1"/>
  <c r="Y688" s="1"/>
  <c r="T687"/>
  <c r="T686"/>
  <c r="W686" s="1"/>
  <c r="X686" s="1"/>
  <c r="Y686" s="1"/>
  <c r="T685"/>
  <c r="T684"/>
  <c r="W684" s="1"/>
  <c r="X684" s="1"/>
  <c r="Y684" s="1"/>
  <c r="T683"/>
  <c r="T682"/>
  <c r="W682" s="1"/>
  <c r="T681"/>
  <c r="W681" s="1"/>
  <c r="X681" s="1"/>
  <c r="Y681" s="1"/>
  <c r="T680"/>
  <c r="W680" s="1"/>
  <c r="X680" s="1"/>
  <c r="Y680" s="1"/>
  <c r="T679"/>
  <c r="T678"/>
  <c r="W678" s="1"/>
  <c r="X678" s="1"/>
  <c r="Y678" s="1"/>
  <c r="T677"/>
  <c r="W677" s="1"/>
  <c r="X677" s="1"/>
  <c r="Y677" s="1"/>
  <c r="T676"/>
  <c r="W676" s="1"/>
  <c r="X676" s="1"/>
  <c r="Y676" s="1"/>
  <c r="T675"/>
  <c r="T674"/>
  <c r="W674" s="1"/>
  <c r="X674" s="1"/>
  <c r="Y674" s="1"/>
  <c r="T673"/>
  <c r="W673" s="1"/>
  <c r="X673" s="1"/>
  <c r="Y673" s="1"/>
  <c r="T672"/>
  <c r="W672" s="1"/>
  <c r="X672" s="1"/>
  <c r="Y672" s="1"/>
  <c r="T671"/>
  <c r="T670"/>
  <c r="W670" s="1"/>
  <c r="X670" s="1"/>
  <c r="Y670" s="1"/>
  <c r="T669"/>
  <c r="T668"/>
  <c r="W668" s="1"/>
  <c r="X668" s="1"/>
  <c r="Y668" s="1"/>
  <c r="T667"/>
  <c r="T666"/>
  <c r="W666" s="1"/>
  <c r="X666" s="1"/>
  <c r="Y666" s="1"/>
  <c r="T665"/>
  <c r="W665" s="1"/>
  <c r="X665" s="1"/>
  <c r="Y665" s="1"/>
  <c r="T664"/>
  <c r="W664" s="1"/>
  <c r="X664" s="1"/>
  <c r="Y664" s="1"/>
  <c r="T663"/>
  <c r="T662"/>
  <c r="W662" s="1"/>
  <c r="X662" s="1"/>
  <c r="Y662" s="1"/>
  <c r="T661"/>
  <c r="W661" s="1"/>
  <c r="X661" s="1"/>
  <c r="Y661" s="1"/>
  <c r="T660"/>
  <c r="W660" s="1"/>
  <c r="X660" s="1"/>
  <c r="Y660" s="1"/>
  <c r="T659"/>
  <c r="T658"/>
  <c r="W658" s="1"/>
  <c r="X658" s="1"/>
  <c r="Y658" s="1"/>
  <c r="T657"/>
  <c r="W657" s="1"/>
  <c r="X657" s="1"/>
  <c r="Y657" s="1"/>
  <c r="T656"/>
  <c r="W656" s="1"/>
  <c r="X656" s="1"/>
  <c r="Y656" s="1"/>
  <c r="T655"/>
  <c r="T654"/>
  <c r="W654" s="1"/>
  <c r="X654" s="1"/>
  <c r="Y654" s="1"/>
  <c r="T653"/>
  <c r="T652"/>
  <c r="W652" s="1"/>
  <c r="X652" s="1"/>
  <c r="Y652" s="1"/>
  <c r="T651"/>
  <c r="T650"/>
  <c r="W650" s="1"/>
  <c r="X650" s="1"/>
  <c r="Y650" s="1"/>
  <c r="T649"/>
  <c r="T648"/>
  <c r="W648" s="1"/>
  <c r="X648" s="1"/>
  <c r="Y648" s="1"/>
  <c r="T647"/>
  <c r="T646"/>
  <c r="W646" s="1"/>
  <c r="X646" s="1"/>
  <c r="Y646" s="1"/>
  <c r="T645"/>
  <c r="W645" s="1"/>
  <c r="X645" s="1"/>
  <c r="Y645" s="1"/>
  <c r="T644"/>
  <c r="W644" s="1"/>
  <c r="X644" s="1"/>
  <c r="Y644" s="1"/>
  <c r="T643"/>
  <c r="T642"/>
  <c r="W642" s="1"/>
  <c r="X642" s="1"/>
  <c r="Y642" s="1"/>
  <c r="T641"/>
  <c r="W641" s="1"/>
  <c r="X641" s="1"/>
  <c r="Y641" s="1"/>
  <c r="T640"/>
  <c r="W640" s="1"/>
  <c r="X640" s="1"/>
  <c r="Y640" s="1"/>
  <c r="T639"/>
  <c r="T638"/>
  <c r="W638" s="1"/>
  <c r="X638" s="1"/>
  <c r="Y638" s="1"/>
  <c r="T637"/>
  <c r="W637" s="1"/>
  <c r="X637" s="1"/>
  <c r="Y637" s="1"/>
  <c r="T636"/>
  <c r="W636" s="1"/>
  <c r="X636" s="1"/>
  <c r="Y636" s="1"/>
  <c r="T635"/>
  <c r="T634"/>
  <c r="W634" s="1"/>
  <c r="X634" s="1"/>
  <c r="Y634" s="1"/>
  <c r="T633"/>
  <c r="W633" s="1"/>
  <c r="X633" s="1"/>
  <c r="Y633" s="1"/>
  <c r="T632"/>
  <c r="W632" s="1"/>
  <c r="X632" s="1"/>
  <c r="Y632" s="1"/>
  <c r="T631"/>
  <c r="T630"/>
  <c r="W630" s="1"/>
  <c r="X630" s="1"/>
  <c r="Y630" s="1"/>
  <c r="T629"/>
  <c r="W629" s="1"/>
  <c r="X629" s="1"/>
  <c r="Y629" s="1"/>
  <c r="T628"/>
  <c r="W628" s="1"/>
  <c r="X628" s="1"/>
  <c r="Y628" s="1"/>
  <c r="T627"/>
  <c r="T626"/>
  <c r="W626" s="1"/>
  <c r="X626" s="1"/>
  <c r="Y626" s="1"/>
  <c r="T625"/>
  <c r="W625" s="1"/>
  <c r="X625" s="1"/>
  <c r="Y625" s="1"/>
  <c r="T624"/>
  <c r="W624" s="1"/>
  <c r="X624" s="1"/>
  <c r="Y624" s="1"/>
  <c r="T623"/>
  <c r="T622"/>
  <c r="W622" s="1"/>
  <c r="X622" s="1"/>
  <c r="Y622" s="1"/>
  <c r="T621"/>
  <c r="T620"/>
  <c r="W620" s="1"/>
  <c r="X620" s="1"/>
  <c r="Y620" s="1"/>
  <c r="T619"/>
  <c r="T618"/>
  <c r="W618" s="1"/>
  <c r="T617"/>
  <c r="T616"/>
  <c r="W616" s="1"/>
  <c r="X616" s="1"/>
  <c r="Y616" s="1"/>
  <c r="T615"/>
  <c r="T614"/>
  <c r="W614" s="1"/>
  <c r="X614" s="1"/>
  <c r="Y614" s="1"/>
  <c r="T613"/>
  <c r="W613" s="1"/>
  <c r="X613" s="1"/>
  <c r="Y613" s="1"/>
  <c r="T612"/>
  <c r="W612" s="1"/>
  <c r="X612" s="1"/>
  <c r="Y612" s="1"/>
  <c r="T611"/>
  <c r="T610"/>
  <c r="W610" s="1"/>
  <c r="X610" s="1"/>
  <c r="Y610" s="1"/>
  <c r="T609"/>
  <c r="W609" s="1"/>
  <c r="X609" s="1"/>
  <c r="Y609" s="1"/>
  <c r="T608"/>
  <c r="W608" s="1"/>
  <c r="X608" s="1"/>
  <c r="Y608" s="1"/>
  <c r="T607"/>
  <c r="T606"/>
  <c r="W606" s="1"/>
  <c r="X606" s="1"/>
  <c r="Y606" s="1"/>
  <c r="T605"/>
  <c r="T604"/>
  <c r="W604" s="1"/>
  <c r="X604" s="1"/>
  <c r="Y604" s="1"/>
  <c r="T603"/>
  <c r="T602"/>
  <c r="W602" s="1"/>
  <c r="X602" s="1"/>
  <c r="Y602" s="1"/>
  <c r="T601"/>
  <c r="W601" s="1"/>
  <c r="X601" s="1"/>
  <c r="Y601" s="1"/>
  <c r="T600"/>
  <c r="W600" s="1"/>
  <c r="X600" s="1"/>
  <c r="Y600" s="1"/>
  <c r="T599"/>
  <c r="T598"/>
  <c r="W598" s="1"/>
  <c r="X598" s="1"/>
  <c r="Y598" s="1"/>
  <c r="T597"/>
  <c r="W597" s="1"/>
  <c r="X597" s="1"/>
  <c r="Y597" s="1"/>
  <c r="T596"/>
  <c r="W596" s="1"/>
  <c r="X596" s="1"/>
  <c r="Y596" s="1"/>
  <c r="T595"/>
  <c r="T594"/>
  <c r="W594" s="1"/>
  <c r="X594" s="1"/>
  <c r="Y594" s="1"/>
  <c r="T593"/>
  <c r="W593" s="1"/>
  <c r="X593" s="1"/>
  <c r="Y593" s="1"/>
  <c r="T592"/>
  <c r="W592" s="1"/>
  <c r="X592" s="1"/>
  <c r="Y592" s="1"/>
  <c r="T591"/>
  <c r="T590"/>
  <c r="W590" s="1"/>
  <c r="X590" s="1"/>
  <c r="Y590" s="1"/>
  <c r="T589"/>
  <c r="W589" s="1"/>
  <c r="X589" s="1"/>
  <c r="Y589" s="1"/>
  <c r="T588"/>
  <c r="W588" s="1"/>
  <c r="X588" s="1"/>
  <c r="Y588" s="1"/>
  <c r="T587"/>
  <c r="T586"/>
  <c r="W586" s="1"/>
  <c r="X586" s="1"/>
  <c r="Y586" s="1"/>
  <c r="T585"/>
  <c r="T584"/>
  <c r="W584" s="1"/>
  <c r="X584" s="1"/>
  <c r="Y584" s="1"/>
  <c r="T583"/>
  <c r="T582"/>
  <c r="W582" s="1"/>
  <c r="X582" s="1"/>
  <c r="Y582" s="1"/>
  <c r="T581"/>
  <c r="W581" s="1"/>
  <c r="X581" s="1"/>
  <c r="Y581" s="1"/>
  <c r="T580"/>
  <c r="W580" s="1"/>
  <c r="X580" s="1"/>
  <c r="Y580" s="1"/>
  <c r="T579"/>
  <c r="T578"/>
  <c r="W578" s="1"/>
  <c r="X578" s="1"/>
  <c r="Y578" s="1"/>
  <c r="T577"/>
  <c r="W577" s="1"/>
  <c r="X577" s="1"/>
  <c r="Y577" s="1"/>
  <c r="T576"/>
  <c r="W576" s="1"/>
  <c r="X576" s="1"/>
  <c r="Y576" s="1"/>
  <c r="T575"/>
  <c r="T574"/>
  <c r="W574" s="1"/>
  <c r="X574" s="1"/>
  <c r="Y574" s="1"/>
  <c r="T573"/>
  <c r="T572"/>
  <c r="W572" s="1"/>
  <c r="X572" s="1"/>
  <c r="Y572" s="1"/>
  <c r="T571"/>
  <c r="T570"/>
  <c r="W570" s="1"/>
  <c r="X570" s="1"/>
  <c r="Y570" s="1"/>
  <c r="T569"/>
  <c r="W569" s="1"/>
  <c r="X569" s="1"/>
  <c r="Y569" s="1"/>
  <c r="T568"/>
  <c r="W568" s="1"/>
  <c r="X568" s="1"/>
  <c r="Y568" s="1"/>
  <c r="T567"/>
  <c r="T566"/>
  <c r="W566" s="1"/>
  <c r="X566" s="1"/>
  <c r="Y566" s="1"/>
  <c r="T565"/>
  <c r="W565" s="1"/>
  <c r="X565" s="1"/>
  <c r="Y565" s="1"/>
  <c r="T564"/>
  <c r="W564" s="1"/>
  <c r="X564" s="1"/>
  <c r="Y564" s="1"/>
  <c r="T563"/>
  <c r="T562"/>
  <c r="W562" s="1"/>
  <c r="X562" s="1"/>
  <c r="Y562" s="1"/>
  <c r="T561"/>
  <c r="W561" s="1"/>
  <c r="X561" s="1"/>
  <c r="Y561" s="1"/>
  <c r="T560"/>
  <c r="W560" s="1"/>
  <c r="X560" s="1"/>
  <c r="Y560" s="1"/>
  <c r="T559"/>
  <c r="T558"/>
  <c r="W558" s="1"/>
  <c r="X558" s="1"/>
  <c r="Y558" s="1"/>
  <c r="T557"/>
  <c r="W557" s="1"/>
  <c r="X557" s="1"/>
  <c r="Y557" s="1"/>
  <c r="T556"/>
  <c r="W556" s="1"/>
  <c r="X556" s="1"/>
  <c r="Y556" s="1"/>
  <c r="T555"/>
  <c r="T554"/>
  <c r="W554" s="1"/>
  <c r="X554" s="1"/>
  <c r="Y554" s="1"/>
  <c r="T553"/>
  <c r="W553" s="1"/>
  <c r="X553" s="1"/>
  <c r="Y553" s="1"/>
  <c r="T552"/>
  <c r="W552" s="1"/>
  <c r="X552" s="1"/>
  <c r="Y552" s="1"/>
  <c r="T551"/>
  <c r="T550"/>
  <c r="W550" s="1"/>
  <c r="X550" s="1"/>
  <c r="Y550" s="1"/>
  <c r="T549"/>
  <c r="W549" s="1"/>
  <c r="X549" s="1"/>
  <c r="Y549" s="1"/>
  <c r="T548"/>
  <c r="W548" s="1"/>
  <c r="X548" s="1"/>
  <c r="Y548" s="1"/>
  <c r="T547"/>
  <c r="T546"/>
  <c r="W546" s="1"/>
  <c r="X546" s="1"/>
  <c r="Y546" s="1"/>
  <c r="T545"/>
  <c r="W545" s="1"/>
  <c r="X545" s="1"/>
  <c r="Y545" s="1"/>
  <c r="T544"/>
  <c r="W544" s="1"/>
  <c r="X544" s="1"/>
  <c r="Y544" s="1"/>
  <c r="T543"/>
  <c r="T542"/>
  <c r="W542" s="1"/>
  <c r="X542" s="1"/>
  <c r="Y542" s="1"/>
  <c r="T541"/>
  <c r="T540"/>
  <c r="W540" s="1"/>
  <c r="T539"/>
  <c r="T538"/>
  <c r="W538" s="1"/>
  <c r="X538" s="1"/>
  <c r="Y538" s="1"/>
  <c r="T537"/>
  <c r="W537" s="1"/>
  <c r="X537" s="1"/>
  <c r="Y537" s="1"/>
  <c r="T536"/>
  <c r="W536" s="1"/>
  <c r="X536" s="1"/>
  <c r="Y536" s="1"/>
  <c r="T535"/>
  <c r="T534"/>
  <c r="W534" s="1"/>
  <c r="X534" s="1"/>
  <c r="Y534" s="1"/>
  <c r="T533"/>
  <c r="W533" s="1"/>
  <c r="X533" s="1"/>
  <c r="Y533" s="1"/>
  <c r="T532"/>
  <c r="W532" s="1"/>
  <c r="X532" s="1"/>
  <c r="Y532" s="1"/>
  <c r="T531"/>
  <c r="T530"/>
  <c r="W530" s="1"/>
  <c r="X530" s="1"/>
  <c r="Y530" s="1"/>
  <c r="T529"/>
  <c r="W529" s="1"/>
  <c r="X529" s="1"/>
  <c r="Y529" s="1"/>
  <c r="T528"/>
  <c r="W528" s="1"/>
  <c r="X528" s="1"/>
  <c r="Y528" s="1"/>
  <c r="T527"/>
  <c r="T526"/>
  <c r="W526" s="1"/>
  <c r="X526" s="1"/>
  <c r="Y526" s="1"/>
  <c r="T525"/>
  <c r="T524"/>
  <c r="W524" s="1"/>
  <c r="X524" s="1"/>
  <c r="Y524" s="1"/>
  <c r="T523"/>
  <c r="T522"/>
  <c r="W522" s="1"/>
  <c r="X522" s="1"/>
  <c r="Y522" s="1"/>
  <c r="T521"/>
  <c r="W521" s="1"/>
  <c r="X521" s="1"/>
  <c r="Y521" s="1"/>
  <c r="T520"/>
  <c r="W520" s="1"/>
  <c r="X520" s="1"/>
  <c r="Y520" s="1"/>
  <c r="T519"/>
  <c r="T518"/>
  <c r="W518" s="1"/>
  <c r="X518" s="1"/>
  <c r="Y518" s="1"/>
  <c r="T517"/>
  <c r="W517" s="1"/>
  <c r="X517" s="1"/>
  <c r="Y517" s="1"/>
  <c r="T516"/>
  <c r="W516" s="1"/>
  <c r="X516" s="1"/>
  <c r="Y516" s="1"/>
  <c r="T515"/>
  <c r="T514"/>
  <c r="W514" s="1"/>
  <c r="X514" s="1"/>
  <c r="Y514" s="1"/>
  <c r="T513"/>
  <c r="W513" s="1"/>
  <c r="X513" s="1"/>
  <c r="Y513" s="1"/>
  <c r="T512"/>
  <c r="W512" s="1"/>
  <c r="X512" s="1"/>
  <c r="Y512" s="1"/>
  <c r="T511"/>
  <c r="T510"/>
  <c r="W510" s="1"/>
  <c r="X510" s="1"/>
  <c r="Y510" s="1"/>
  <c r="T509"/>
  <c r="W509" s="1"/>
  <c r="X509" s="1"/>
  <c r="Y509" s="1"/>
  <c r="T508"/>
  <c r="W508" s="1"/>
  <c r="X508" s="1"/>
  <c r="Y508" s="1"/>
  <c r="T507"/>
  <c r="T506"/>
  <c r="W506" s="1"/>
  <c r="X506" s="1"/>
  <c r="Y506" s="1"/>
  <c r="T505"/>
  <c r="W505" s="1"/>
  <c r="X505" s="1"/>
  <c r="Y505" s="1"/>
  <c r="T504"/>
  <c r="W504" s="1"/>
  <c r="X504" s="1"/>
  <c r="Y504" s="1"/>
  <c r="T503"/>
  <c r="T502"/>
  <c r="W502" s="1"/>
  <c r="X502" s="1"/>
  <c r="Y502" s="1"/>
  <c r="T501"/>
  <c r="W501" s="1"/>
  <c r="X501" s="1"/>
  <c r="Y501" s="1"/>
  <c r="T500"/>
  <c r="W500" s="1"/>
  <c r="X500" s="1"/>
  <c r="Y500" s="1"/>
  <c r="T499"/>
  <c r="T498"/>
  <c r="W498" s="1"/>
  <c r="X498" s="1"/>
  <c r="Y498" s="1"/>
  <c r="T497"/>
  <c r="W497" s="1"/>
  <c r="X497" s="1"/>
  <c r="Y497" s="1"/>
  <c r="T496"/>
  <c r="W496" s="1"/>
  <c r="X496" s="1"/>
  <c r="Y496" s="1"/>
  <c r="T495"/>
  <c r="T494"/>
  <c r="W494" s="1"/>
  <c r="X494" s="1"/>
  <c r="Y494" s="1"/>
  <c r="T493"/>
  <c r="T492"/>
  <c r="W492" s="1"/>
  <c r="X492" s="1"/>
  <c r="Y492" s="1"/>
  <c r="T491"/>
  <c r="T490"/>
  <c r="W490" s="1"/>
  <c r="X490" s="1"/>
  <c r="Y490" s="1"/>
  <c r="T489"/>
  <c r="T488"/>
  <c r="W488" s="1"/>
  <c r="X488" s="1"/>
  <c r="Y488" s="1"/>
  <c r="T487"/>
  <c r="T486"/>
  <c r="W486" s="1"/>
  <c r="X486" s="1"/>
  <c r="Y486" s="1"/>
  <c r="T485"/>
  <c r="W485" s="1"/>
  <c r="X485" s="1"/>
  <c r="Y485" s="1"/>
  <c r="T484"/>
  <c r="W484" s="1"/>
  <c r="X484" s="1"/>
  <c r="Y484" s="1"/>
  <c r="T483"/>
  <c r="T482"/>
  <c r="W482" s="1"/>
  <c r="X482" s="1"/>
  <c r="Y482" s="1"/>
  <c r="T481"/>
  <c r="W481" s="1"/>
  <c r="X481" s="1"/>
  <c r="Y481" s="1"/>
  <c r="T480"/>
  <c r="W480" s="1"/>
  <c r="X480" s="1"/>
  <c r="Y480" s="1"/>
  <c r="T479"/>
  <c r="T478"/>
  <c r="W478" s="1"/>
  <c r="X478" s="1"/>
  <c r="Y478" s="1"/>
  <c r="T477"/>
  <c r="W477" s="1"/>
  <c r="X477" s="1"/>
  <c r="Y477" s="1"/>
  <c r="T476"/>
  <c r="W476" s="1"/>
  <c r="X476" s="1"/>
  <c r="Y476" s="1"/>
  <c r="T475"/>
  <c r="T474"/>
  <c r="W474" s="1"/>
  <c r="X474" s="1"/>
  <c r="Y474" s="1"/>
  <c r="T473"/>
  <c r="W473" s="1"/>
  <c r="X473" s="1"/>
  <c r="Y473" s="1"/>
  <c r="T472"/>
  <c r="W472" s="1"/>
  <c r="X472" s="1"/>
  <c r="Y472" s="1"/>
  <c r="T471"/>
  <c r="T470"/>
  <c r="W470" s="1"/>
  <c r="X470" s="1"/>
  <c r="Y470" s="1"/>
  <c r="T469"/>
  <c r="W469" s="1"/>
  <c r="X469" s="1"/>
  <c r="Y469" s="1"/>
  <c r="T468"/>
  <c r="W468" s="1"/>
  <c r="X468" s="1"/>
  <c r="Y468" s="1"/>
  <c r="T467"/>
  <c r="T466"/>
  <c r="W466" s="1"/>
  <c r="X466" s="1"/>
  <c r="Y466" s="1"/>
  <c r="T465"/>
  <c r="W465" s="1"/>
  <c r="X465" s="1"/>
  <c r="Y465" s="1"/>
  <c r="T464"/>
  <c r="W464" s="1"/>
  <c r="X464" s="1"/>
  <c r="Y464" s="1"/>
  <c r="T463"/>
  <c r="T462"/>
  <c r="W462" s="1"/>
  <c r="X462" s="1"/>
  <c r="Y462" s="1"/>
  <c r="T461"/>
  <c r="W461" s="1"/>
  <c r="X461" s="1"/>
  <c r="Y461" s="1"/>
  <c r="T460"/>
  <c r="W460" s="1"/>
  <c r="X460" s="1"/>
  <c r="Y460" s="1"/>
  <c r="T459"/>
  <c r="T458"/>
  <c r="W458" s="1"/>
  <c r="X458" s="1"/>
  <c r="Y458" s="1"/>
  <c r="T457"/>
  <c r="T456"/>
  <c r="W456" s="1"/>
  <c r="X456" s="1"/>
  <c r="Y456" s="1"/>
  <c r="T455"/>
  <c r="T454"/>
  <c r="W454" s="1"/>
  <c r="X454" s="1"/>
  <c r="Y454" s="1"/>
  <c r="T453"/>
  <c r="W453" s="1"/>
  <c r="X453" s="1"/>
  <c r="Y453" s="1"/>
  <c r="T452"/>
  <c r="W452" s="1"/>
  <c r="X452" s="1"/>
  <c r="Y452" s="1"/>
  <c r="T451"/>
  <c r="T450"/>
  <c r="W450" s="1"/>
  <c r="X450" s="1"/>
  <c r="Y450" s="1"/>
  <c r="T449"/>
  <c r="W449" s="1"/>
  <c r="X449" s="1"/>
  <c r="Y449" s="1"/>
  <c r="T448"/>
  <c r="W448" s="1"/>
  <c r="X448" s="1"/>
  <c r="Y448" s="1"/>
  <c r="T447"/>
  <c r="W447" s="1"/>
  <c r="X447" s="1"/>
  <c r="Y447" s="1"/>
  <c r="T446"/>
  <c r="W446" s="1"/>
  <c r="X446" s="1"/>
  <c r="Y446" s="1"/>
  <c r="T445"/>
  <c r="W445" s="1"/>
  <c r="X445" s="1"/>
  <c r="Y445" s="1"/>
  <c r="T444"/>
  <c r="W444" s="1"/>
  <c r="X444" s="1"/>
  <c r="Y444" s="1"/>
  <c r="T443"/>
  <c r="W443" s="1"/>
  <c r="X443" s="1"/>
  <c r="Y443" s="1"/>
  <c r="T442"/>
  <c r="W442" s="1"/>
  <c r="X442" s="1"/>
  <c r="Y442" s="1"/>
  <c r="T441"/>
  <c r="W441" s="1"/>
  <c r="X441" s="1"/>
  <c r="Y441" s="1"/>
  <c r="T440"/>
  <c r="W440" s="1"/>
  <c r="X440" s="1"/>
  <c r="Y440" s="1"/>
  <c r="T439"/>
  <c r="W439" s="1"/>
  <c r="X439" s="1"/>
  <c r="Y439" s="1"/>
  <c r="T438"/>
  <c r="W438" s="1"/>
  <c r="X438" s="1"/>
  <c r="Y438" s="1"/>
  <c r="T437"/>
  <c r="W437" s="1"/>
  <c r="X437" s="1"/>
  <c r="Y437" s="1"/>
  <c r="T436"/>
  <c r="W436" s="1"/>
  <c r="X436" s="1"/>
  <c r="Y436" s="1"/>
  <c r="T435"/>
  <c r="W435" s="1"/>
  <c r="X435" s="1"/>
  <c r="Y435" s="1"/>
  <c r="T434"/>
  <c r="W434" s="1"/>
  <c r="X434" s="1"/>
  <c r="Y434" s="1"/>
  <c r="T433"/>
  <c r="W433" s="1"/>
  <c r="X433" s="1"/>
  <c r="Y433" s="1"/>
  <c r="T432"/>
  <c r="W432" s="1"/>
  <c r="X432" s="1"/>
  <c r="Y432" s="1"/>
  <c r="T431"/>
  <c r="W431" s="1"/>
  <c r="X431" s="1"/>
  <c r="Y431" s="1"/>
  <c r="T430"/>
  <c r="W430" s="1"/>
  <c r="X430" s="1"/>
  <c r="Y430" s="1"/>
  <c r="T429"/>
  <c r="W429" s="1"/>
  <c r="X429" s="1"/>
  <c r="Y429" s="1"/>
  <c r="T428"/>
  <c r="W428" s="1"/>
  <c r="X428" s="1"/>
  <c r="Y428" s="1"/>
  <c r="T427"/>
  <c r="W427" s="1"/>
  <c r="X427" s="1"/>
  <c r="Y427" s="1"/>
  <c r="T426"/>
  <c r="W426" s="1"/>
  <c r="X426" s="1"/>
  <c r="Y426" s="1"/>
  <c r="T425"/>
  <c r="W425" s="1"/>
  <c r="X425" s="1"/>
  <c r="Y425" s="1"/>
  <c r="T424"/>
  <c r="W424" s="1"/>
  <c r="X424" s="1"/>
  <c r="Y424" s="1"/>
  <c r="T423"/>
  <c r="W423" s="1"/>
  <c r="X423" s="1"/>
  <c r="Y423" s="1"/>
  <c r="T422"/>
  <c r="W422" s="1"/>
  <c r="X422" s="1"/>
  <c r="Y422" s="1"/>
  <c r="T421"/>
  <c r="W421" s="1"/>
  <c r="X421" s="1"/>
  <c r="Y421" s="1"/>
  <c r="T420"/>
  <c r="W420" s="1"/>
  <c r="X420" s="1"/>
  <c r="Y420" s="1"/>
  <c r="T419"/>
  <c r="W419" s="1"/>
  <c r="X419" s="1"/>
  <c r="Y419" s="1"/>
  <c r="T418"/>
  <c r="W418" s="1"/>
  <c r="X418" s="1"/>
  <c r="Y418" s="1"/>
  <c r="T417"/>
  <c r="T416"/>
  <c r="W416" s="1"/>
  <c r="X416" s="1"/>
  <c r="Y416" s="1"/>
  <c r="T415"/>
  <c r="W415" s="1"/>
  <c r="X415" s="1"/>
  <c r="Y415" s="1"/>
  <c r="T414"/>
  <c r="W414" s="1"/>
  <c r="X414" s="1"/>
  <c r="Y414" s="1"/>
  <c r="T413"/>
  <c r="T412"/>
  <c r="W412" s="1"/>
  <c r="X412" s="1"/>
  <c r="Y412" s="1"/>
  <c r="T411"/>
  <c r="W411" s="1"/>
  <c r="X411" s="1"/>
  <c r="Y411" s="1"/>
  <c r="T410"/>
  <c r="W410" s="1"/>
  <c r="X410" s="1"/>
  <c r="Y410" s="1"/>
  <c r="T409"/>
  <c r="W409" s="1"/>
  <c r="X409" s="1"/>
  <c r="Y409" s="1"/>
  <c r="T408"/>
  <c r="W408" s="1"/>
  <c r="X408" s="1"/>
  <c r="Y408" s="1"/>
  <c r="T407"/>
  <c r="W407" s="1"/>
  <c r="X407" s="1"/>
  <c r="Y407" s="1"/>
  <c r="T406"/>
  <c r="W406" s="1"/>
  <c r="X406" s="1"/>
  <c r="Y406" s="1"/>
  <c r="T405"/>
  <c r="W405" s="1"/>
  <c r="X405" s="1"/>
  <c r="Y405" s="1"/>
  <c r="T404"/>
  <c r="W404" s="1"/>
  <c r="X404" s="1"/>
  <c r="Y404" s="1"/>
  <c r="T403"/>
  <c r="W403" s="1"/>
  <c r="X403" s="1"/>
  <c r="Y403" s="1"/>
  <c r="T402"/>
  <c r="W402" s="1"/>
  <c r="X402" s="1"/>
  <c r="Y402" s="1"/>
  <c r="T401"/>
  <c r="W401" s="1"/>
  <c r="X401" s="1"/>
  <c r="Y401" s="1"/>
  <c r="T400"/>
  <c r="W400" s="1"/>
  <c r="X400" s="1"/>
  <c r="Y400" s="1"/>
  <c r="T399"/>
  <c r="W399" s="1"/>
  <c r="X399" s="1"/>
  <c r="Y399" s="1"/>
  <c r="T398"/>
  <c r="W398" s="1"/>
  <c r="X398" s="1"/>
  <c r="Y398" s="1"/>
  <c r="T397"/>
  <c r="T396"/>
  <c r="W396" s="1"/>
  <c r="X396" s="1"/>
  <c r="Y396" s="1"/>
  <c r="T395"/>
  <c r="W395" s="1"/>
  <c r="X395" s="1"/>
  <c r="Y395" s="1"/>
  <c r="T394"/>
  <c r="W394" s="1"/>
  <c r="X394" s="1"/>
  <c r="Y394" s="1"/>
  <c r="T393"/>
  <c r="T392"/>
  <c r="W392" s="1"/>
  <c r="X392" s="1"/>
  <c r="Y392" s="1"/>
  <c r="T391"/>
  <c r="W391" s="1"/>
  <c r="X391" s="1"/>
  <c r="Y391" s="1"/>
  <c r="T390"/>
  <c r="W390" s="1"/>
  <c r="X390" s="1"/>
  <c r="Y390" s="1"/>
  <c r="T389"/>
  <c r="W389" s="1"/>
  <c r="X389" s="1"/>
  <c r="Y389" s="1"/>
  <c r="T388"/>
  <c r="W388" s="1"/>
  <c r="X388" s="1"/>
  <c r="Y388" s="1"/>
  <c r="T387"/>
  <c r="W387" s="1"/>
  <c r="X387" s="1"/>
  <c r="Y387" s="1"/>
  <c r="T386"/>
  <c r="W386" s="1"/>
  <c r="X386" s="1"/>
  <c r="Y386" s="1"/>
  <c r="T385"/>
  <c r="W385" s="1"/>
  <c r="X385" s="1"/>
  <c r="Y385" s="1"/>
  <c r="T384"/>
  <c r="W384" s="1"/>
  <c r="X384" s="1"/>
  <c r="Y384" s="1"/>
  <c r="T383"/>
  <c r="W383" s="1"/>
  <c r="X383" s="1"/>
  <c r="Y383" s="1"/>
  <c r="T382"/>
  <c r="W382" s="1"/>
  <c r="X382" s="1"/>
  <c r="Y382" s="1"/>
  <c r="T381"/>
  <c r="W381" s="1"/>
  <c r="X381" s="1"/>
  <c r="Y381" s="1"/>
  <c r="T380"/>
  <c r="W380" s="1"/>
  <c r="X380" s="1"/>
  <c r="Y380" s="1"/>
  <c r="T379"/>
  <c r="W379" s="1"/>
  <c r="X379" s="1"/>
  <c r="Y379" s="1"/>
  <c r="T378"/>
  <c r="W378" s="1"/>
  <c r="T377"/>
  <c r="W377" s="1"/>
  <c r="X377" s="1"/>
  <c r="Y377" s="1"/>
  <c r="T376"/>
  <c r="W376" s="1"/>
  <c r="X376" s="1"/>
  <c r="Y376" s="1"/>
  <c r="T375"/>
  <c r="W375" s="1"/>
  <c r="X375" s="1"/>
  <c r="Y375" s="1"/>
  <c r="T374"/>
  <c r="W374" s="1"/>
  <c r="X374" s="1"/>
  <c r="Y374" s="1"/>
  <c r="T373"/>
  <c r="W373" s="1"/>
  <c r="X373" s="1"/>
  <c r="Y373" s="1"/>
  <c r="T372"/>
  <c r="W372" s="1"/>
  <c r="X372" s="1"/>
  <c r="Y372" s="1"/>
  <c r="T371"/>
  <c r="W371" s="1"/>
  <c r="X371" s="1"/>
  <c r="Y371" s="1"/>
  <c r="T370"/>
  <c r="W370" s="1"/>
  <c r="X370" s="1"/>
  <c r="Y370" s="1"/>
  <c r="T369"/>
  <c r="W369" s="1"/>
  <c r="X369" s="1"/>
  <c r="Y369" s="1"/>
  <c r="T368"/>
  <c r="W368" s="1"/>
  <c r="X368" s="1"/>
  <c r="Y368" s="1"/>
  <c r="T367"/>
  <c r="W367" s="1"/>
  <c r="X367" s="1"/>
  <c r="Y367" s="1"/>
  <c r="T366"/>
  <c r="W366" s="1"/>
  <c r="X366" s="1"/>
  <c r="Y366" s="1"/>
  <c r="T365"/>
  <c r="W365" s="1"/>
  <c r="X365" s="1"/>
  <c r="Y365" s="1"/>
  <c r="T364"/>
  <c r="W364" s="1"/>
  <c r="X364" s="1"/>
  <c r="Y364" s="1"/>
  <c r="T363"/>
  <c r="W363" s="1"/>
  <c r="X363" s="1"/>
  <c r="Y363" s="1"/>
  <c r="T362"/>
  <c r="W362" s="1"/>
  <c r="X362" s="1"/>
  <c r="Y362" s="1"/>
  <c r="T361"/>
  <c r="W361" s="1"/>
  <c r="X361" s="1"/>
  <c r="Y361" s="1"/>
  <c r="T360"/>
  <c r="W360" s="1"/>
  <c r="X360" s="1"/>
  <c r="Y360" s="1"/>
  <c r="T359"/>
  <c r="W359" s="1"/>
  <c r="X359" s="1"/>
  <c r="Y359" s="1"/>
  <c r="T358"/>
  <c r="W358" s="1"/>
  <c r="X358" s="1"/>
  <c r="Y358" s="1"/>
  <c r="T357"/>
  <c r="W357" s="1"/>
  <c r="X357" s="1"/>
  <c r="Y357" s="1"/>
  <c r="T356"/>
  <c r="W356" s="1"/>
  <c r="X356" s="1"/>
  <c r="Y356" s="1"/>
  <c r="T355"/>
  <c r="W355" s="1"/>
  <c r="X355" s="1"/>
  <c r="Y355" s="1"/>
  <c r="T354"/>
  <c r="W354" s="1"/>
  <c r="X354" s="1"/>
  <c r="Y354" s="1"/>
  <c r="T353"/>
  <c r="W353" s="1"/>
  <c r="X353" s="1"/>
  <c r="Y353" s="1"/>
  <c r="T352"/>
  <c r="W352" s="1"/>
  <c r="X352" s="1"/>
  <c r="Y352" s="1"/>
  <c r="T351"/>
  <c r="W351" s="1"/>
  <c r="X351" s="1"/>
  <c r="Y351" s="1"/>
  <c r="T350"/>
  <c r="W350" s="1"/>
  <c r="X350" s="1"/>
  <c r="Y350" s="1"/>
  <c r="T349"/>
  <c r="W349" s="1"/>
  <c r="X349" s="1"/>
  <c r="Y349" s="1"/>
  <c r="T348"/>
  <c r="W348" s="1"/>
  <c r="X348" s="1"/>
  <c r="Y348" s="1"/>
  <c r="T347"/>
  <c r="W347" s="1"/>
  <c r="X347" s="1"/>
  <c r="Y347" s="1"/>
  <c r="T346"/>
  <c r="W346" s="1"/>
  <c r="X346" s="1"/>
  <c r="Y346" s="1"/>
  <c r="T345"/>
  <c r="W345" s="1"/>
  <c r="X345" s="1"/>
  <c r="Y345" s="1"/>
  <c r="T344"/>
  <c r="W344" s="1"/>
  <c r="X344" s="1"/>
  <c r="Y344" s="1"/>
  <c r="T343"/>
  <c r="W343" s="1"/>
  <c r="X343" s="1"/>
  <c r="Y343" s="1"/>
  <c r="T342"/>
  <c r="W342" s="1"/>
  <c r="X342" s="1"/>
  <c r="Y342" s="1"/>
  <c r="T341"/>
  <c r="W341" s="1"/>
  <c r="X341" s="1"/>
  <c r="Y341" s="1"/>
  <c r="T340"/>
  <c r="W340" s="1"/>
  <c r="X340" s="1"/>
  <c r="Y340" s="1"/>
  <c r="T339"/>
  <c r="T338"/>
  <c r="W338" s="1"/>
  <c r="X338" s="1"/>
  <c r="Y338" s="1"/>
  <c r="T337"/>
  <c r="W337" s="1"/>
  <c r="X337" s="1"/>
  <c r="Y337" s="1"/>
  <c r="T336"/>
  <c r="W336" s="1"/>
  <c r="X336" s="1"/>
  <c r="Y336" s="1"/>
  <c r="T335"/>
  <c r="T334"/>
  <c r="W334" s="1"/>
  <c r="X334" s="1"/>
  <c r="Y334" s="1"/>
  <c r="T333"/>
  <c r="W333" s="1"/>
  <c r="X333" s="1"/>
  <c r="Y333" s="1"/>
  <c r="T332"/>
  <c r="W332" s="1"/>
  <c r="X332" s="1"/>
  <c r="Y332" s="1"/>
  <c r="T331"/>
  <c r="T330"/>
  <c r="W330" s="1"/>
  <c r="X330" s="1"/>
  <c r="Y330" s="1"/>
  <c r="T329"/>
  <c r="W329" s="1"/>
  <c r="X329" s="1"/>
  <c r="Y329" s="1"/>
  <c r="T328"/>
  <c r="T327"/>
  <c r="T326"/>
  <c r="W326" s="1"/>
  <c r="X326" s="1"/>
  <c r="Y326" s="1"/>
  <c r="T325"/>
  <c r="W325" s="1"/>
  <c r="X325" s="1"/>
  <c r="Y325" s="1"/>
  <c r="T324"/>
  <c r="W324" s="1"/>
  <c r="X324" s="1"/>
  <c r="Y324" s="1"/>
  <c r="T323"/>
  <c r="T322"/>
  <c r="W322" s="1"/>
  <c r="X322" s="1"/>
  <c r="Y322" s="1"/>
  <c r="T321"/>
  <c r="T320"/>
  <c r="W320" s="1"/>
  <c r="X320" s="1"/>
  <c r="Y320" s="1"/>
  <c r="T319"/>
  <c r="T318"/>
  <c r="W318" s="1"/>
  <c r="X318" s="1"/>
  <c r="Y318" s="1"/>
  <c r="T317"/>
  <c r="W317" s="1"/>
  <c r="X317" s="1"/>
  <c r="Y317" s="1"/>
  <c r="T316"/>
  <c r="W316" s="1"/>
  <c r="X316" s="1"/>
  <c r="Y316" s="1"/>
  <c r="T315"/>
  <c r="T314"/>
  <c r="W314" s="1"/>
  <c r="X314" s="1"/>
  <c r="Y314" s="1"/>
  <c r="T313"/>
  <c r="W313" s="1"/>
  <c r="X313" s="1"/>
  <c r="Y313" s="1"/>
  <c r="T312"/>
  <c r="W312" s="1"/>
  <c r="X312" s="1"/>
  <c r="Y312" s="1"/>
  <c r="T311"/>
  <c r="T310"/>
  <c r="W310" s="1"/>
  <c r="X310" s="1"/>
  <c r="Y310" s="1"/>
  <c r="T309"/>
  <c r="W309" s="1"/>
  <c r="X309" s="1"/>
  <c r="Y309" s="1"/>
  <c r="T308"/>
  <c r="W308" s="1"/>
  <c r="X308" s="1"/>
  <c r="Y308" s="1"/>
  <c r="T307"/>
  <c r="T306"/>
  <c r="W306" s="1"/>
  <c r="X306" s="1"/>
  <c r="Y306" s="1"/>
  <c r="T305"/>
  <c r="T304"/>
  <c r="W304" s="1"/>
  <c r="X304" s="1"/>
  <c r="Y304" s="1"/>
  <c r="T303"/>
  <c r="T302"/>
  <c r="W302" s="1"/>
  <c r="X302" s="1"/>
  <c r="Y302" s="1"/>
  <c r="T301"/>
  <c r="W301" s="1"/>
  <c r="X301" s="1"/>
  <c r="Y301" s="1"/>
  <c r="T300"/>
  <c r="W300" s="1"/>
  <c r="X300" s="1"/>
  <c r="Y300" s="1"/>
  <c r="T299"/>
  <c r="T298"/>
  <c r="W298" s="1"/>
  <c r="X298" s="1"/>
  <c r="Y298" s="1"/>
  <c r="T297"/>
  <c r="W297" s="1"/>
  <c r="X297" s="1"/>
  <c r="Y297" s="1"/>
  <c r="T296"/>
  <c r="W296" s="1"/>
  <c r="X296" s="1"/>
  <c r="Y296" s="1"/>
  <c r="T295"/>
  <c r="T294"/>
  <c r="W294" s="1"/>
  <c r="X294" s="1"/>
  <c r="Y294" s="1"/>
  <c r="T293"/>
  <c r="W293" s="1"/>
  <c r="X293" s="1"/>
  <c r="Y293" s="1"/>
  <c r="T292"/>
  <c r="W292" s="1"/>
  <c r="X292" s="1"/>
  <c r="Y292" s="1"/>
  <c r="T291"/>
  <c r="T290"/>
  <c r="W290" s="1"/>
  <c r="X290" s="1"/>
  <c r="Y290" s="1"/>
  <c r="T289"/>
  <c r="W289" s="1"/>
  <c r="X289" s="1"/>
  <c r="Y289" s="1"/>
  <c r="T288"/>
  <c r="W288" s="1"/>
  <c r="X288" s="1"/>
  <c r="Y288" s="1"/>
  <c r="T287"/>
  <c r="T286"/>
  <c r="W286" s="1"/>
  <c r="X286" s="1"/>
  <c r="Y286" s="1"/>
  <c r="T285"/>
  <c r="W285" s="1"/>
  <c r="X285" s="1"/>
  <c r="Y285" s="1"/>
  <c r="T284"/>
  <c r="W284" s="1"/>
  <c r="X284" s="1"/>
  <c r="Y284" s="1"/>
  <c r="T283"/>
  <c r="W283" s="1"/>
  <c r="X283" s="1"/>
  <c r="Y283" s="1"/>
  <c r="T282"/>
  <c r="W282" s="1"/>
  <c r="X282" s="1"/>
  <c r="Y282" s="1"/>
  <c r="T281"/>
  <c r="W281" s="1"/>
  <c r="X281" s="1"/>
  <c r="Y281" s="1"/>
  <c r="T280"/>
  <c r="W280" s="1"/>
  <c r="X280" s="1"/>
  <c r="Y280" s="1"/>
  <c r="T279"/>
  <c r="W279" s="1"/>
  <c r="X279" s="1"/>
  <c r="Y279" s="1"/>
  <c r="T278"/>
  <c r="W278" s="1"/>
  <c r="X278" s="1"/>
  <c r="Y278" s="1"/>
  <c r="T277"/>
  <c r="W277" s="1"/>
  <c r="X277" s="1"/>
  <c r="Y277" s="1"/>
  <c r="T276"/>
  <c r="W276" s="1"/>
  <c r="X276" s="1"/>
  <c r="Y276" s="1"/>
  <c r="T275"/>
  <c r="W275" s="1"/>
  <c r="X275" s="1"/>
  <c r="Y275" s="1"/>
  <c r="T274"/>
  <c r="W274" s="1"/>
  <c r="X274" s="1"/>
  <c r="Y274" s="1"/>
  <c r="T273"/>
  <c r="W273" s="1"/>
  <c r="X273" s="1"/>
  <c r="Y273" s="1"/>
  <c r="T272"/>
  <c r="W272" s="1"/>
  <c r="X272" s="1"/>
  <c r="Y272" s="1"/>
  <c r="T271"/>
  <c r="W271" s="1"/>
  <c r="X271" s="1"/>
  <c r="Y271" s="1"/>
  <c r="T270"/>
  <c r="W270" s="1"/>
  <c r="X270" s="1"/>
  <c r="Y270" s="1"/>
  <c r="T269"/>
  <c r="W269" s="1"/>
  <c r="X269" s="1"/>
  <c r="Y269" s="1"/>
  <c r="T268"/>
  <c r="W268" s="1"/>
  <c r="X268" s="1"/>
  <c r="Y268" s="1"/>
  <c r="T267"/>
  <c r="W267" s="1"/>
  <c r="X267" s="1"/>
  <c r="Y267" s="1"/>
  <c r="T266"/>
  <c r="W266" s="1"/>
  <c r="X266" s="1"/>
  <c r="Y266" s="1"/>
  <c r="T265"/>
  <c r="W265" s="1"/>
  <c r="X265" s="1"/>
  <c r="Y265" s="1"/>
  <c r="T264"/>
  <c r="W264" s="1"/>
  <c r="X264" s="1"/>
  <c r="Y264" s="1"/>
  <c r="T263"/>
  <c r="W263" s="1"/>
  <c r="X263" s="1"/>
  <c r="Y263" s="1"/>
  <c r="T262"/>
  <c r="W262" s="1"/>
  <c r="X262" s="1"/>
  <c r="Y262" s="1"/>
  <c r="T261"/>
  <c r="W261" s="1"/>
  <c r="X261" s="1"/>
  <c r="Y261" s="1"/>
  <c r="T260"/>
  <c r="W260" s="1"/>
  <c r="X260" s="1"/>
  <c r="Y260" s="1"/>
  <c r="T259"/>
  <c r="T258"/>
  <c r="W258" s="1"/>
  <c r="X258" s="1"/>
  <c r="Y258" s="1"/>
  <c r="T257"/>
  <c r="W257" s="1"/>
  <c r="X257" s="1"/>
  <c r="Y257" s="1"/>
  <c r="T256"/>
  <c r="W256" s="1"/>
  <c r="X256" s="1"/>
  <c r="Y256" s="1"/>
  <c r="T255"/>
  <c r="T254"/>
  <c r="W254" s="1"/>
  <c r="X254" s="1"/>
  <c r="Y254" s="1"/>
  <c r="T253"/>
  <c r="W253" s="1"/>
  <c r="X253" s="1"/>
  <c r="Y253" s="1"/>
  <c r="T252"/>
  <c r="W252" s="1"/>
  <c r="X252" s="1"/>
  <c r="Y252" s="1"/>
  <c r="T251"/>
  <c r="T250"/>
  <c r="W250" s="1"/>
  <c r="X250" s="1"/>
  <c r="Y250" s="1"/>
  <c r="T249"/>
  <c r="T248"/>
  <c r="W248" s="1"/>
  <c r="X248" s="1"/>
  <c r="Y248" s="1"/>
  <c r="T247"/>
  <c r="T246"/>
  <c r="W246" s="1"/>
  <c r="X246" s="1"/>
  <c r="Y246" s="1"/>
  <c r="T245"/>
  <c r="W245" s="1"/>
  <c r="X245" s="1"/>
  <c r="Y245" s="1"/>
  <c r="T244"/>
  <c r="W244" s="1"/>
  <c r="X244" s="1"/>
  <c r="Y244" s="1"/>
  <c r="T243"/>
  <c r="T242"/>
  <c r="W242" s="1"/>
  <c r="X242" s="1"/>
  <c r="Y242" s="1"/>
  <c r="T241"/>
  <c r="W241" s="1"/>
  <c r="X241" s="1"/>
  <c r="Y241" s="1"/>
  <c r="T240"/>
  <c r="W240" s="1"/>
  <c r="X240" s="1"/>
  <c r="Y240" s="1"/>
  <c r="T239"/>
  <c r="T238"/>
  <c r="W238" s="1"/>
  <c r="X238" s="1"/>
  <c r="Y238" s="1"/>
  <c r="T237"/>
  <c r="W237" s="1"/>
  <c r="X237" s="1"/>
  <c r="Y237" s="1"/>
  <c r="T236"/>
  <c r="W236" s="1"/>
  <c r="X236" s="1"/>
  <c r="Y236" s="1"/>
  <c r="T235"/>
  <c r="T234"/>
  <c r="W234" s="1"/>
  <c r="X234" s="1"/>
  <c r="Y234" s="1"/>
  <c r="T233"/>
  <c r="W233" s="1"/>
  <c r="X233" s="1"/>
  <c r="Y233" s="1"/>
  <c r="T232"/>
  <c r="W232" s="1"/>
  <c r="X232" s="1"/>
  <c r="Y232" s="1"/>
  <c r="T231"/>
  <c r="T230"/>
  <c r="W230" s="1"/>
  <c r="X230" s="1"/>
  <c r="Y230" s="1"/>
  <c r="T229"/>
  <c r="W229" s="1"/>
  <c r="X229" s="1"/>
  <c r="Y229" s="1"/>
  <c r="T228"/>
  <c r="W228" s="1"/>
  <c r="X228" s="1"/>
  <c r="Y228" s="1"/>
  <c r="T227"/>
  <c r="T226"/>
  <c r="W226" s="1"/>
  <c r="X226" s="1"/>
  <c r="Y226" s="1"/>
  <c r="T225"/>
  <c r="W225" s="1"/>
  <c r="X225" s="1"/>
  <c r="Y225" s="1"/>
  <c r="T224"/>
  <c r="W224" s="1"/>
  <c r="X224" s="1"/>
  <c r="Y224" s="1"/>
  <c r="T223"/>
  <c r="T222"/>
  <c r="W222" s="1"/>
  <c r="X222" s="1"/>
  <c r="Y222" s="1"/>
  <c r="T221"/>
  <c r="W221" s="1"/>
  <c r="X221" s="1"/>
  <c r="Y221" s="1"/>
  <c r="T220"/>
  <c r="W220" s="1"/>
  <c r="T219"/>
  <c r="T218"/>
  <c r="W218" s="1"/>
  <c r="X218" s="1"/>
  <c r="Y218" s="1"/>
  <c r="T217"/>
  <c r="W217" s="1"/>
  <c r="X217" s="1"/>
  <c r="Y217" s="1"/>
  <c r="T216"/>
  <c r="W216" s="1"/>
  <c r="X216" s="1"/>
  <c r="Y216" s="1"/>
  <c r="T215"/>
  <c r="T214"/>
  <c r="W214" s="1"/>
  <c r="X214" s="1"/>
  <c r="Y214" s="1"/>
  <c r="T213"/>
  <c r="W213" s="1"/>
  <c r="X213" s="1"/>
  <c r="Y213" s="1"/>
  <c r="T212"/>
  <c r="W212" s="1"/>
  <c r="X212" s="1"/>
  <c r="Y212" s="1"/>
  <c r="T211"/>
  <c r="T210"/>
  <c r="W210" s="1"/>
  <c r="X210" s="1"/>
  <c r="Y210" s="1"/>
  <c r="T209"/>
  <c r="T208"/>
  <c r="W208" s="1"/>
  <c r="X208" s="1"/>
  <c r="Y208" s="1"/>
  <c r="T207"/>
  <c r="T206"/>
  <c r="W206" s="1"/>
  <c r="X206" s="1"/>
  <c r="Y206" s="1"/>
  <c r="T205"/>
  <c r="W205" s="1"/>
  <c r="X205" s="1"/>
  <c r="Y205" s="1"/>
  <c r="T204"/>
  <c r="W204" s="1"/>
  <c r="X204" s="1"/>
  <c r="Y204" s="1"/>
  <c r="T203"/>
  <c r="T202"/>
  <c r="W202" s="1"/>
  <c r="X202" s="1"/>
  <c r="Y202" s="1"/>
  <c r="T201"/>
  <c r="W201" s="1"/>
  <c r="X201" s="1"/>
  <c r="Y201" s="1"/>
  <c r="T200"/>
  <c r="W200" s="1"/>
  <c r="X200" s="1"/>
  <c r="Y200" s="1"/>
  <c r="T199"/>
  <c r="T198"/>
  <c r="W198" s="1"/>
  <c r="X198" s="1"/>
  <c r="Y198" s="1"/>
  <c r="T197"/>
  <c r="W197" s="1"/>
  <c r="X197" s="1"/>
  <c r="Y197" s="1"/>
  <c r="T196"/>
  <c r="W196" s="1"/>
  <c r="X196" s="1"/>
  <c r="Y196" s="1"/>
  <c r="T195"/>
  <c r="T194"/>
  <c r="W194" s="1"/>
  <c r="X194" s="1"/>
  <c r="Y194" s="1"/>
  <c r="T193"/>
  <c r="W193" s="1"/>
  <c r="X193" s="1"/>
  <c r="Y193" s="1"/>
  <c r="T192"/>
  <c r="W192" s="1"/>
  <c r="X192" s="1"/>
  <c r="Y192" s="1"/>
  <c r="T191"/>
  <c r="T190"/>
  <c r="W190" s="1"/>
  <c r="X190" s="1"/>
  <c r="Y190" s="1"/>
  <c r="T189"/>
  <c r="W189" s="1"/>
  <c r="X189" s="1"/>
  <c r="Y189" s="1"/>
  <c r="T188"/>
  <c r="W188" s="1"/>
  <c r="X188" s="1"/>
  <c r="Y188" s="1"/>
  <c r="T187"/>
  <c r="T186"/>
  <c r="W186" s="1"/>
  <c r="X186" s="1"/>
  <c r="Y186" s="1"/>
  <c r="T185"/>
  <c r="T184"/>
  <c r="W184" s="1"/>
  <c r="X184" s="1"/>
  <c r="Y184" s="1"/>
  <c r="T183"/>
  <c r="T182"/>
  <c r="W182" s="1"/>
  <c r="X182" s="1"/>
  <c r="Y182" s="1"/>
  <c r="T181"/>
  <c r="W181" s="1"/>
  <c r="X181" s="1"/>
  <c r="Y181" s="1"/>
  <c r="T180"/>
  <c r="W180" s="1"/>
  <c r="X180" s="1"/>
  <c r="Y180" s="1"/>
  <c r="T179"/>
  <c r="T178"/>
  <c r="W178" s="1"/>
  <c r="X178" s="1"/>
  <c r="Y178" s="1"/>
  <c r="T177"/>
  <c r="W177" s="1"/>
  <c r="X177" s="1"/>
  <c r="Y177" s="1"/>
  <c r="T176"/>
  <c r="W176" s="1"/>
  <c r="X176" s="1"/>
  <c r="Y176" s="1"/>
  <c r="T175"/>
  <c r="T174"/>
  <c r="W174" s="1"/>
  <c r="X174" s="1"/>
  <c r="Y174" s="1"/>
  <c r="T173"/>
  <c r="W173" s="1"/>
  <c r="X173" s="1"/>
  <c r="Y173" s="1"/>
  <c r="T172"/>
  <c r="W172" s="1"/>
  <c r="X172" s="1"/>
  <c r="Y172" s="1"/>
  <c r="T171"/>
  <c r="T170"/>
  <c r="W170" s="1"/>
  <c r="X170" s="1"/>
  <c r="Y170" s="1"/>
  <c r="T169"/>
  <c r="W169" s="1"/>
  <c r="X169" s="1"/>
  <c r="Y169" s="1"/>
  <c r="T168"/>
  <c r="W168" s="1"/>
  <c r="X168" s="1"/>
  <c r="Y168" s="1"/>
  <c r="T167"/>
  <c r="T166"/>
  <c r="W166" s="1"/>
  <c r="X166" s="1"/>
  <c r="Y166" s="1"/>
  <c r="T165"/>
  <c r="W165" s="1"/>
  <c r="X165" s="1"/>
  <c r="Y165" s="1"/>
  <c r="T164"/>
  <c r="W164" s="1"/>
  <c r="X164" s="1"/>
  <c r="Y164" s="1"/>
  <c r="T163"/>
  <c r="T162"/>
  <c r="W162" s="1"/>
  <c r="X162" s="1"/>
  <c r="Y162" s="1"/>
  <c r="T161"/>
  <c r="W161" s="1"/>
  <c r="X161" s="1"/>
  <c r="Y161" s="1"/>
  <c r="T160"/>
  <c r="W160" s="1"/>
  <c r="X160" s="1"/>
  <c r="Y160" s="1"/>
  <c r="T159"/>
  <c r="T158"/>
  <c r="W158" s="1"/>
  <c r="X158" s="1"/>
  <c r="Y158" s="1"/>
  <c r="T157"/>
  <c r="W157" s="1"/>
  <c r="X157" s="1"/>
  <c r="Y157" s="1"/>
  <c r="T156"/>
  <c r="W156" s="1"/>
  <c r="X156" s="1"/>
  <c r="Y156" s="1"/>
  <c r="T155"/>
  <c r="T154"/>
  <c r="W154" s="1"/>
  <c r="X154" s="1"/>
  <c r="Y154" s="1"/>
  <c r="T153"/>
  <c r="W153" s="1"/>
  <c r="X153" s="1"/>
  <c r="Y153" s="1"/>
  <c r="T152"/>
  <c r="W152" s="1"/>
  <c r="X152" s="1"/>
  <c r="Y152" s="1"/>
  <c r="T151"/>
  <c r="T150"/>
  <c r="W150" s="1"/>
  <c r="X150" s="1"/>
  <c r="Y150" s="1"/>
  <c r="T149"/>
  <c r="W149" s="1"/>
  <c r="X149" s="1"/>
  <c r="Y149" s="1"/>
  <c r="T148"/>
  <c r="W148" s="1"/>
  <c r="X148" s="1"/>
  <c r="Y148" s="1"/>
  <c r="T147"/>
  <c r="T146"/>
  <c r="W146" s="1"/>
  <c r="X146" s="1"/>
  <c r="Y146" s="1"/>
  <c r="T145"/>
  <c r="T144"/>
  <c r="W144" s="1"/>
  <c r="X144" s="1"/>
  <c r="Y144" s="1"/>
  <c r="T143"/>
  <c r="T142"/>
  <c r="W142" s="1"/>
  <c r="X142" s="1"/>
  <c r="Y142" s="1"/>
  <c r="T141"/>
  <c r="W141" s="1"/>
  <c r="X141" s="1"/>
  <c r="Y141" s="1"/>
  <c r="T140"/>
  <c r="W140" s="1"/>
  <c r="X140" s="1"/>
  <c r="Y140" s="1"/>
  <c r="T139"/>
  <c r="T138"/>
  <c r="W138" s="1"/>
  <c r="X138" s="1"/>
  <c r="Y138" s="1"/>
  <c r="T137"/>
  <c r="W137" s="1"/>
  <c r="X137" s="1"/>
  <c r="Y137" s="1"/>
  <c r="T136"/>
  <c r="W136" s="1"/>
  <c r="X136" s="1"/>
  <c r="Y136" s="1"/>
  <c r="T135"/>
  <c r="T134"/>
  <c r="W134" s="1"/>
  <c r="X134" s="1"/>
  <c r="Y134" s="1"/>
  <c r="T133"/>
  <c r="W133" s="1"/>
  <c r="X133" s="1"/>
  <c r="Y133" s="1"/>
  <c r="T132"/>
  <c r="W132" s="1"/>
  <c r="X132" s="1"/>
  <c r="Y132" s="1"/>
  <c r="T131"/>
  <c r="T130"/>
  <c r="W130" s="1"/>
  <c r="X130" s="1"/>
  <c r="Y130" s="1"/>
  <c r="T129"/>
  <c r="W129" s="1"/>
  <c r="X129" s="1"/>
  <c r="Y129" s="1"/>
  <c r="T128"/>
  <c r="W128" s="1"/>
  <c r="X128" s="1"/>
  <c r="Y128" s="1"/>
  <c r="T127"/>
  <c r="T126"/>
  <c r="W126" s="1"/>
  <c r="X126" s="1"/>
  <c r="Y126" s="1"/>
  <c r="T125"/>
  <c r="W125" s="1"/>
  <c r="X125" s="1"/>
  <c r="Y125" s="1"/>
  <c r="T124"/>
  <c r="W124" s="1"/>
  <c r="X124" s="1"/>
  <c r="Y124" s="1"/>
  <c r="T123"/>
  <c r="T122"/>
  <c r="W122" s="1"/>
  <c r="X122" s="1"/>
  <c r="Y122" s="1"/>
  <c r="T121"/>
  <c r="T120"/>
  <c r="W120" s="1"/>
  <c r="X120" s="1"/>
  <c r="Y120" s="1"/>
  <c r="T119"/>
  <c r="T118"/>
  <c r="W118" s="1"/>
  <c r="X118" s="1"/>
  <c r="Y118" s="1"/>
  <c r="T117"/>
  <c r="W117" s="1"/>
  <c r="X117" s="1"/>
  <c r="Y117" s="1"/>
  <c r="T116"/>
  <c r="W116" s="1"/>
  <c r="X116" s="1"/>
  <c r="Y116" s="1"/>
  <c r="T115"/>
  <c r="T114"/>
  <c r="W114" s="1"/>
  <c r="X114" s="1"/>
  <c r="Y114" s="1"/>
  <c r="T113"/>
  <c r="W113" s="1"/>
  <c r="X113" s="1"/>
  <c r="Y113" s="1"/>
  <c r="T112"/>
  <c r="W112" s="1"/>
  <c r="X112" s="1"/>
  <c r="Y112" s="1"/>
  <c r="T111"/>
  <c r="T110"/>
  <c r="W110" s="1"/>
  <c r="X110" s="1"/>
  <c r="Y110" s="1"/>
  <c r="T109"/>
  <c r="W109" s="1"/>
  <c r="X109" s="1"/>
  <c r="Y109" s="1"/>
  <c r="T108"/>
  <c r="W108" s="1"/>
  <c r="X108" s="1"/>
  <c r="Y108" s="1"/>
  <c r="T107"/>
  <c r="T106"/>
  <c r="W106" s="1"/>
  <c r="X106" s="1"/>
  <c r="Y106" s="1"/>
  <c r="T105"/>
  <c r="W105" s="1"/>
  <c r="X105" s="1"/>
  <c r="Y105" s="1"/>
  <c r="T104"/>
  <c r="W104" s="1"/>
  <c r="X104" s="1"/>
  <c r="Y104" s="1"/>
  <c r="T103"/>
  <c r="T102"/>
  <c r="W102" s="1"/>
  <c r="X102" s="1"/>
  <c r="Y102" s="1"/>
  <c r="T101"/>
  <c r="W101" s="1"/>
  <c r="X101" s="1"/>
  <c r="Y101" s="1"/>
  <c r="T100"/>
  <c r="W100" s="1"/>
  <c r="X100" s="1"/>
  <c r="Y100" s="1"/>
  <c r="T99"/>
  <c r="T98"/>
  <c r="W98" s="1"/>
  <c r="X98" s="1"/>
  <c r="Y98" s="1"/>
  <c r="T97"/>
  <c r="W97" s="1"/>
  <c r="X97" s="1"/>
  <c r="Y97" s="1"/>
  <c r="T96"/>
  <c r="W96" s="1"/>
  <c r="X96" s="1"/>
  <c r="Y96" s="1"/>
  <c r="T95"/>
  <c r="T94"/>
  <c r="W94" s="1"/>
  <c r="X94" s="1"/>
  <c r="Y94" s="1"/>
  <c r="T93"/>
  <c r="W93" s="1"/>
  <c r="X93" s="1"/>
  <c r="Y93" s="1"/>
  <c r="T92"/>
  <c r="W92" s="1"/>
  <c r="X92" s="1"/>
  <c r="Y92" s="1"/>
  <c r="T91"/>
  <c r="T90"/>
  <c r="W90" s="1"/>
  <c r="X90" s="1"/>
  <c r="Y90" s="1"/>
  <c r="T89"/>
  <c r="W89" s="1"/>
  <c r="X89" s="1"/>
  <c r="Y89" s="1"/>
  <c r="T88"/>
  <c r="W88" s="1"/>
  <c r="X88" s="1"/>
  <c r="Y88" s="1"/>
  <c r="T87"/>
  <c r="X682"/>
  <c r="Y682" s="1"/>
  <c r="X618"/>
  <c r="Y618" s="1"/>
  <c r="W685"/>
  <c r="X685" s="1"/>
  <c r="Y685" s="1"/>
  <c r="W669"/>
  <c r="X669" s="1"/>
  <c r="Y669" s="1"/>
  <c r="W653"/>
  <c r="X653" s="1"/>
  <c r="Y653" s="1"/>
  <c r="W649"/>
  <c r="X649" s="1"/>
  <c r="Y649" s="1"/>
  <c r="W621"/>
  <c r="X621" s="1"/>
  <c r="Y621" s="1"/>
  <c r="W617"/>
  <c r="X617" s="1"/>
  <c r="Y617" s="1"/>
  <c r="W605"/>
  <c r="X605" s="1"/>
  <c r="Y605" s="1"/>
  <c r="W585"/>
  <c r="X585" s="1"/>
  <c r="Y585" s="1"/>
  <c r="W573"/>
  <c r="X573" s="1"/>
  <c r="Y573" s="1"/>
  <c r="W541"/>
  <c r="X541" s="1"/>
  <c r="Y541" s="1"/>
  <c r="W525"/>
  <c r="X525" s="1"/>
  <c r="Y525" s="1"/>
  <c r="W493"/>
  <c r="X493" s="1"/>
  <c r="Y493" s="1"/>
  <c r="W489"/>
  <c r="X489" s="1"/>
  <c r="Y489" s="1"/>
  <c r="W457"/>
  <c r="X457" s="1"/>
  <c r="Y457" s="1"/>
  <c r="W417"/>
  <c r="X417" s="1"/>
  <c r="Y417" s="1"/>
  <c r="X540"/>
  <c r="Y540" s="1"/>
  <c r="W397"/>
  <c r="X397" s="1"/>
  <c r="Y397" s="1"/>
  <c r="W683"/>
  <c r="X683" s="1"/>
  <c r="Y683" s="1"/>
  <c r="W675"/>
  <c r="X675" s="1"/>
  <c r="Y675" s="1"/>
  <c r="W667"/>
  <c r="X667" s="1"/>
  <c r="Y667" s="1"/>
  <c r="W659"/>
  <c r="X659" s="1"/>
  <c r="Y659" s="1"/>
  <c r="W651"/>
  <c r="X651" s="1"/>
  <c r="Y651" s="1"/>
  <c r="W643"/>
  <c r="X643" s="1"/>
  <c r="Y643" s="1"/>
  <c r="W635"/>
  <c r="X635" s="1"/>
  <c r="Y635" s="1"/>
  <c r="W627"/>
  <c r="X627" s="1"/>
  <c r="Y627" s="1"/>
  <c r="W619"/>
  <c r="X619" s="1"/>
  <c r="Y619" s="1"/>
  <c r="W611"/>
  <c r="X611" s="1"/>
  <c r="Y611" s="1"/>
  <c r="W603"/>
  <c r="X603" s="1"/>
  <c r="Y603" s="1"/>
  <c r="W595"/>
  <c r="X595" s="1"/>
  <c r="Y595" s="1"/>
  <c r="W587"/>
  <c r="X587" s="1"/>
  <c r="Y587" s="1"/>
  <c r="W579"/>
  <c r="X579" s="1"/>
  <c r="Y579" s="1"/>
  <c r="W571"/>
  <c r="X571" s="1"/>
  <c r="Y571" s="1"/>
  <c r="W563"/>
  <c r="X563" s="1"/>
  <c r="Y563" s="1"/>
  <c r="W555"/>
  <c r="X555" s="1"/>
  <c r="Y555" s="1"/>
  <c r="W547"/>
  <c r="X547" s="1"/>
  <c r="Y547" s="1"/>
  <c r="W539"/>
  <c r="X539" s="1"/>
  <c r="Y539" s="1"/>
  <c r="W531"/>
  <c r="X531" s="1"/>
  <c r="Y531" s="1"/>
  <c r="W523"/>
  <c r="X523" s="1"/>
  <c r="Y523" s="1"/>
  <c r="W515"/>
  <c r="X515" s="1"/>
  <c r="Y515" s="1"/>
  <c r="W511"/>
  <c r="X511" s="1"/>
  <c r="Y511" s="1"/>
  <c r="W507"/>
  <c r="X507" s="1"/>
  <c r="Y507" s="1"/>
  <c r="W503"/>
  <c r="X503" s="1"/>
  <c r="Y503" s="1"/>
  <c r="W499"/>
  <c r="X499" s="1"/>
  <c r="Y499" s="1"/>
  <c r="W495"/>
  <c r="X495" s="1"/>
  <c r="Y495" s="1"/>
  <c r="W491"/>
  <c r="X491" s="1"/>
  <c r="Y491" s="1"/>
  <c r="W487"/>
  <c r="X487" s="1"/>
  <c r="Y487" s="1"/>
  <c r="W483"/>
  <c r="X483" s="1"/>
  <c r="Y483" s="1"/>
  <c r="W479"/>
  <c r="X479" s="1"/>
  <c r="Y479" s="1"/>
  <c r="W475"/>
  <c r="X475" s="1"/>
  <c r="Y475" s="1"/>
  <c r="W471"/>
  <c r="X471" s="1"/>
  <c r="Y471" s="1"/>
  <c r="W467"/>
  <c r="X467" s="1"/>
  <c r="Y467" s="1"/>
  <c r="W463"/>
  <c r="X463" s="1"/>
  <c r="Y463" s="1"/>
  <c r="W459"/>
  <c r="X459" s="1"/>
  <c r="Y459" s="1"/>
  <c r="W455"/>
  <c r="X455" s="1"/>
  <c r="Y455" s="1"/>
  <c r="W451"/>
  <c r="X451" s="1"/>
  <c r="Y451" s="1"/>
  <c r="W393"/>
  <c r="X393" s="1"/>
  <c r="Y393" s="1"/>
  <c r="W413"/>
  <c r="X413" s="1"/>
  <c r="Y413" s="1"/>
  <c r="W691"/>
  <c r="X691" s="1"/>
  <c r="Y691" s="1"/>
  <c r="W687"/>
  <c r="X687" s="1"/>
  <c r="Y687" s="1"/>
  <c r="W679"/>
  <c r="X679" s="1"/>
  <c r="Y679" s="1"/>
  <c r="W671"/>
  <c r="X671" s="1"/>
  <c r="Y671" s="1"/>
  <c r="W663"/>
  <c r="X663" s="1"/>
  <c r="Y663" s="1"/>
  <c r="W655"/>
  <c r="X655" s="1"/>
  <c r="Y655" s="1"/>
  <c r="W647"/>
  <c r="X647" s="1"/>
  <c r="Y647" s="1"/>
  <c r="W639"/>
  <c r="X639" s="1"/>
  <c r="Y639" s="1"/>
  <c r="W631"/>
  <c r="X631" s="1"/>
  <c r="Y631" s="1"/>
  <c r="W623"/>
  <c r="X623" s="1"/>
  <c r="Y623" s="1"/>
  <c r="W615"/>
  <c r="X615" s="1"/>
  <c r="Y615" s="1"/>
  <c r="W607"/>
  <c r="X607" s="1"/>
  <c r="Y607" s="1"/>
  <c r="W599"/>
  <c r="X599" s="1"/>
  <c r="Y599" s="1"/>
  <c r="W591"/>
  <c r="X591" s="1"/>
  <c r="Y591" s="1"/>
  <c r="W583"/>
  <c r="X583" s="1"/>
  <c r="Y583" s="1"/>
  <c r="W575"/>
  <c r="X575" s="1"/>
  <c r="Y575" s="1"/>
  <c r="W567"/>
  <c r="X567" s="1"/>
  <c r="Y567" s="1"/>
  <c r="W559"/>
  <c r="X559" s="1"/>
  <c r="Y559" s="1"/>
  <c r="W551"/>
  <c r="X551" s="1"/>
  <c r="Y551" s="1"/>
  <c r="W543"/>
  <c r="X543" s="1"/>
  <c r="Y543" s="1"/>
  <c r="W535"/>
  <c r="X535" s="1"/>
  <c r="Y535" s="1"/>
  <c r="W527"/>
  <c r="X527" s="1"/>
  <c r="Y527" s="1"/>
  <c r="W519"/>
  <c r="X519" s="1"/>
  <c r="Y519" s="1"/>
  <c r="W714"/>
  <c r="X714" s="1"/>
  <c r="Y714" s="1"/>
  <c r="X378"/>
  <c r="Y378" s="1"/>
  <c r="W328"/>
  <c r="X328" s="1"/>
  <c r="Y328" s="1"/>
  <c r="W247"/>
  <c r="X247" s="1"/>
  <c r="Y247" s="1"/>
  <c r="W231"/>
  <c r="X231" s="1"/>
  <c r="Y231" s="1"/>
  <c r="X220"/>
  <c r="Y220" s="1"/>
  <c r="W215"/>
  <c r="X215" s="1"/>
  <c r="Y215" s="1"/>
  <c r="W199"/>
  <c r="X199" s="1"/>
  <c r="Y199" s="1"/>
  <c r="W183"/>
  <c r="X183" s="1"/>
  <c r="Y183" s="1"/>
  <c r="W167"/>
  <c r="X167" s="1"/>
  <c r="Y167" s="1"/>
  <c r="W151"/>
  <c r="X151" s="1"/>
  <c r="Y151" s="1"/>
  <c r="W135"/>
  <c r="X135" s="1"/>
  <c r="Y135" s="1"/>
  <c r="W119"/>
  <c r="W103"/>
  <c r="X103" s="1"/>
  <c r="Y103" s="1"/>
  <c r="W87"/>
  <c r="X87" s="1"/>
  <c r="Y87" s="1"/>
  <c r="W339"/>
  <c r="X339" s="1"/>
  <c r="Y339" s="1"/>
  <c r="W335"/>
  <c r="X335" s="1"/>
  <c r="Y335" s="1"/>
  <c r="W331"/>
  <c r="X331" s="1"/>
  <c r="Y331" s="1"/>
  <c r="W327"/>
  <c r="X327" s="1"/>
  <c r="Y327" s="1"/>
  <c r="W323"/>
  <c r="X323" s="1"/>
  <c r="Y323" s="1"/>
  <c r="W311"/>
  <c r="X311" s="1"/>
  <c r="Y311" s="1"/>
  <c r="W307"/>
  <c r="X307" s="1"/>
  <c r="Y307" s="1"/>
  <c r="W303"/>
  <c r="X303" s="1"/>
  <c r="Y303" s="1"/>
  <c r="W299"/>
  <c r="X299" s="1"/>
  <c r="Y299" s="1"/>
  <c r="W295"/>
  <c r="X295" s="1"/>
  <c r="Y295" s="1"/>
  <c r="W235"/>
  <c r="X235" s="1"/>
  <c r="Y235" s="1"/>
  <c r="W203"/>
  <c r="X203" s="1"/>
  <c r="Y203" s="1"/>
  <c r="W171"/>
  <c r="X171" s="1"/>
  <c r="Y171" s="1"/>
  <c r="W139"/>
  <c r="X139" s="1"/>
  <c r="Y139" s="1"/>
  <c r="W107"/>
  <c r="X107" s="1"/>
  <c r="Y107" s="1"/>
  <c r="W91"/>
  <c r="X91" s="1"/>
  <c r="Y91" s="1"/>
  <c r="W255"/>
  <c r="X255" s="1"/>
  <c r="Y255" s="1"/>
  <c r="W239"/>
  <c r="X239" s="1"/>
  <c r="Y239" s="1"/>
  <c r="W223"/>
  <c r="X223" s="1"/>
  <c r="Y223" s="1"/>
  <c r="W207"/>
  <c r="X207" s="1"/>
  <c r="Y207" s="1"/>
  <c r="W191"/>
  <c r="X191" s="1"/>
  <c r="Y191" s="1"/>
  <c r="W175"/>
  <c r="X175" s="1"/>
  <c r="Y175" s="1"/>
  <c r="W159"/>
  <c r="X159" s="1"/>
  <c r="Y159" s="1"/>
  <c r="W143"/>
  <c r="X143" s="1"/>
  <c r="Y143" s="1"/>
  <c r="W127"/>
  <c r="X127" s="1"/>
  <c r="Y127" s="1"/>
  <c r="W111"/>
  <c r="X111" s="1"/>
  <c r="Y111" s="1"/>
  <c r="W95"/>
  <c r="X95" s="1"/>
  <c r="Y95" s="1"/>
  <c r="W319"/>
  <c r="X319" s="1"/>
  <c r="Y319" s="1"/>
  <c r="W315"/>
  <c r="X315" s="1"/>
  <c r="Y315" s="1"/>
  <c r="W291"/>
  <c r="X291" s="1"/>
  <c r="Y291" s="1"/>
  <c r="W287"/>
  <c r="X287" s="1"/>
  <c r="Y287" s="1"/>
  <c r="W251"/>
  <c r="X251" s="1"/>
  <c r="Y251" s="1"/>
  <c r="W219"/>
  <c r="X219" s="1"/>
  <c r="Y219" s="1"/>
  <c r="W187"/>
  <c r="X187" s="1"/>
  <c r="Y187" s="1"/>
  <c r="W155"/>
  <c r="X155" s="1"/>
  <c r="Y155" s="1"/>
  <c r="W123"/>
  <c r="X123" s="1"/>
  <c r="Y123" s="1"/>
  <c r="W321"/>
  <c r="X321" s="1"/>
  <c r="Y321" s="1"/>
  <c r="W305"/>
  <c r="X305" s="1"/>
  <c r="Y305" s="1"/>
  <c r="W259"/>
  <c r="X259" s="1"/>
  <c r="Y259" s="1"/>
  <c r="W243"/>
  <c r="X243" s="1"/>
  <c r="Y243" s="1"/>
  <c r="W227"/>
  <c r="X227" s="1"/>
  <c r="Y227" s="1"/>
  <c r="W211"/>
  <c r="X211" s="1"/>
  <c r="Y211" s="1"/>
  <c r="W195"/>
  <c r="X195" s="1"/>
  <c r="Y195" s="1"/>
  <c r="W179"/>
  <c r="X179" s="1"/>
  <c r="Y179" s="1"/>
  <c r="W163"/>
  <c r="X163" s="1"/>
  <c r="Y163" s="1"/>
  <c r="W147"/>
  <c r="X147" s="1"/>
  <c r="Y147" s="1"/>
  <c r="W131"/>
  <c r="X131" s="1"/>
  <c r="Y131" s="1"/>
  <c r="W115"/>
  <c r="X115" s="1"/>
  <c r="Y115" s="1"/>
  <c r="W99"/>
  <c r="X99" s="1"/>
  <c r="Y99" s="1"/>
  <c r="X119"/>
  <c r="Y119" s="1"/>
  <c r="W249"/>
  <c r="X249" s="1"/>
  <c r="Y249" s="1"/>
  <c r="W209"/>
  <c r="X209" s="1"/>
  <c r="Y209" s="1"/>
  <c r="W185"/>
  <c r="X185" s="1"/>
  <c r="Y185" s="1"/>
  <c r="W145"/>
  <c r="X145" s="1"/>
  <c r="Y145" s="1"/>
  <c r="W121"/>
  <c r="X121" s="1"/>
  <c r="Y121" s="1"/>
  <c r="V731"/>
  <c r="U731"/>
  <c r="V86"/>
  <c r="U86"/>
  <c r="V85"/>
  <c r="U85"/>
  <c r="V84"/>
  <c r="U84"/>
  <c r="V83"/>
  <c r="U83"/>
  <c r="V82"/>
  <c r="U82"/>
  <c r="V81"/>
  <c r="U81"/>
  <c r="V80"/>
  <c r="U80"/>
  <c r="V79"/>
  <c r="U79"/>
  <c r="V78"/>
  <c r="U78"/>
  <c r="V77"/>
  <c r="U77"/>
  <c r="V76"/>
  <c r="U76"/>
  <c r="V75"/>
  <c r="U75"/>
  <c r="V74"/>
  <c r="U74"/>
  <c r="V73"/>
  <c r="U73"/>
  <c r="V72"/>
  <c r="U72"/>
  <c r="V71"/>
  <c r="U71"/>
  <c r="V70"/>
  <c r="U70"/>
  <c r="V69"/>
  <c r="U69"/>
  <c r="V68"/>
  <c r="U68"/>
  <c r="V67"/>
  <c r="U67"/>
  <c r="V66"/>
  <c r="U66"/>
  <c r="V65"/>
  <c r="U65"/>
  <c r="V64"/>
  <c r="U64"/>
  <c r="V63"/>
  <c r="U63"/>
  <c r="V62"/>
  <c r="U62"/>
  <c r="V61"/>
  <c r="U61"/>
  <c r="V60"/>
  <c r="U60"/>
  <c r="V59"/>
  <c r="U59"/>
  <c r="V58"/>
  <c r="U58"/>
  <c r="V57"/>
  <c r="U57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V12"/>
  <c r="U12"/>
  <c r="S86"/>
  <c r="S731"/>
  <c r="S17"/>
  <c r="S21"/>
  <c r="S25"/>
  <c r="S29"/>
  <c r="S33"/>
  <c r="S37"/>
  <c r="S41"/>
  <c r="S45"/>
  <c r="S49"/>
  <c r="S53"/>
  <c r="S57"/>
  <c r="S61"/>
  <c r="S65"/>
  <c r="S69"/>
  <c r="S73"/>
  <c r="S77"/>
  <c r="S81"/>
  <c r="S85"/>
  <c r="S16"/>
  <c r="S20"/>
  <c r="S28"/>
  <c r="S32"/>
  <c r="S36"/>
  <c r="S40"/>
  <c r="S44"/>
  <c r="S52"/>
  <c r="S60"/>
  <c r="S68"/>
  <c r="S76"/>
  <c r="S84"/>
  <c r="S24"/>
  <c r="S48"/>
  <c r="S56"/>
  <c r="S64"/>
  <c r="S72"/>
  <c r="S80"/>
  <c r="S12"/>
  <c r="S15"/>
  <c r="S19"/>
  <c r="S23"/>
  <c r="S27"/>
  <c r="S31"/>
  <c r="S35"/>
  <c r="S39"/>
  <c r="S43"/>
  <c r="S47"/>
  <c r="S51"/>
  <c r="S55"/>
  <c r="S59"/>
  <c r="S63"/>
  <c r="S67"/>
  <c r="S71"/>
  <c r="S75"/>
  <c r="S79"/>
  <c r="S83"/>
  <c r="S13"/>
  <c r="S18"/>
  <c r="S22"/>
  <c r="S26"/>
  <c r="S30"/>
  <c r="S34"/>
  <c r="S38"/>
  <c r="S42"/>
  <c r="S46"/>
  <c r="S50"/>
  <c r="S54"/>
  <c r="S58"/>
  <c r="S62"/>
  <c r="S66"/>
  <c r="S70"/>
  <c r="S74"/>
  <c r="S78"/>
  <c r="S82"/>
  <c r="S14"/>
  <c r="G12" i="10" l="1"/>
  <c r="F12" s="1"/>
  <c r="I12" s="1"/>
  <c r="F11"/>
  <c r="I11" s="1"/>
  <c r="Z14" i="9"/>
  <c r="Z82"/>
  <c r="Z78"/>
  <c r="Z74"/>
  <c r="Z70"/>
  <c r="Z66"/>
  <c r="Z62"/>
  <c r="Z58"/>
  <c r="Z54"/>
  <c r="Z50"/>
  <c r="Z46"/>
  <c r="Z42"/>
  <c r="Z38"/>
  <c r="Z34"/>
  <c r="Z30"/>
  <c r="Z26"/>
  <c r="Z22"/>
  <c r="Z18"/>
  <c r="Z13"/>
  <c r="Z83"/>
  <c r="Z79"/>
  <c r="Z75"/>
  <c r="Z71"/>
  <c r="Z67"/>
  <c r="Z63"/>
  <c r="Z59"/>
  <c r="Z55"/>
  <c r="Z51"/>
  <c r="Z47"/>
  <c r="Z43"/>
  <c r="Z39"/>
  <c r="Z35"/>
  <c r="Z31"/>
  <c r="Z27"/>
  <c r="Z23"/>
  <c r="Z19"/>
  <c r="Z15"/>
  <c r="Z12"/>
  <c r="Z80"/>
  <c r="Z72"/>
  <c r="Z64"/>
  <c r="Z56"/>
  <c r="Z48"/>
  <c r="Z24"/>
  <c r="Z84"/>
  <c r="Z76"/>
  <c r="Z68"/>
  <c r="Z60"/>
  <c r="Z52"/>
  <c r="Z44"/>
  <c r="Z40"/>
  <c r="Z36"/>
  <c r="Z32"/>
  <c r="Z28"/>
  <c r="Z20"/>
  <c r="Z16"/>
  <c r="Z85"/>
  <c r="Z81"/>
  <c r="Z77"/>
  <c r="Z73"/>
  <c r="Z69"/>
  <c r="Z65"/>
  <c r="Z61"/>
  <c r="Z57"/>
  <c r="Z53"/>
  <c r="Z49"/>
  <c r="Z45"/>
  <c r="Z41"/>
  <c r="Z37"/>
  <c r="Z33"/>
  <c r="Z29"/>
  <c r="Z25"/>
  <c r="Z21"/>
  <c r="Z17"/>
  <c r="Z731"/>
  <c r="Z86"/>
  <c r="T86"/>
  <c r="W86" s="1"/>
  <c r="X86" s="1"/>
  <c r="Y86" s="1"/>
  <c r="T82"/>
  <c r="W82" s="1"/>
  <c r="T78"/>
  <c r="W78" s="1"/>
  <c r="X78" s="1"/>
  <c r="Y78" s="1"/>
  <c r="T74"/>
  <c r="W74" s="1"/>
  <c r="T70"/>
  <c r="W70" s="1"/>
  <c r="X70" s="1"/>
  <c r="Y70" s="1"/>
  <c r="T66"/>
  <c r="W66" s="1"/>
  <c r="X66" s="1"/>
  <c r="Y66" s="1"/>
  <c r="T62"/>
  <c r="W62" s="1"/>
  <c r="X62" s="1"/>
  <c r="Y62" s="1"/>
  <c r="T58"/>
  <c r="W58" s="1"/>
  <c r="X58" s="1"/>
  <c r="Y58" s="1"/>
  <c r="T83"/>
  <c r="W83" s="1"/>
  <c r="X83" s="1"/>
  <c r="Y83" s="1"/>
  <c r="T79"/>
  <c r="W79" s="1"/>
  <c r="X79" s="1"/>
  <c r="Y79" s="1"/>
  <c r="T75"/>
  <c r="W75" s="1"/>
  <c r="X75" s="1"/>
  <c r="Y75" s="1"/>
  <c r="T71"/>
  <c r="T67"/>
  <c r="W67" s="1"/>
  <c r="X67" s="1"/>
  <c r="Y67" s="1"/>
  <c r="T63"/>
  <c r="W63" s="1"/>
  <c r="X63" s="1"/>
  <c r="Y63" s="1"/>
  <c r="T59"/>
  <c r="W59" s="1"/>
  <c r="X59" s="1"/>
  <c r="Y59" s="1"/>
  <c r="T80"/>
  <c r="W80" s="1"/>
  <c r="X80" s="1"/>
  <c r="Y80" s="1"/>
  <c r="T72"/>
  <c r="W72" s="1"/>
  <c r="X72" s="1"/>
  <c r="Y72" s="1"/>
  <c r="T64"/>
  <c r="W64" s="1"/>
  <c r="X64" s="1"/>
  <c r="Y64" s="1"/>
  <c r="T84"/>
  <c r="W84" s="1"/>
  <c r="X84" s="1"/>
  <c r="Y84" s="1"/>
  <c r="T76"/>
  <c r="W76" s="1"/>
  <c r="T68"/>
  <c r="W68" s="1"/>
  <c r="X68" s="1"/>
  <c r="Y68" s="1"/>
  <c r="T60"/>
  <c r="W60" s="1"/>
  <c r="X60" s="1"/>
  <c r="Y60" s="1"/>
  <c r="T85"/>
  <c r="W85" s="1"/>
  <c r="X85" s="1"/>
  <c r="Y85" s="1"/>
  <c r="T81"/>
  <c r="T77"/>
  <c r="W77" s="1"/>
  <c r="X77" s="1"/>
  <c r="Y77" s="1"/>
  <c r="T73"/>
  <c r="W73" s="1"/>
  <c r="X73" s="1"/>
  <c r="Y73" s="1"/>
  <c r="T69"/>
  <c r="W69" s="1"/>
  <c r="X69" s="1"/>
  <c r="Y69" s="1"/>
  <c r="T65"/>
  <c r="T61"/>
  <c r="W61" s="1"/>
  <c r="X61" s="1"/>
  <c r="Y61" s="1"/>
  <c r="T57"/>
  <c r="W57" s="1"/>
  <c r="X57" s="1"/>
  <c r="Y57" s="1"/>
  <c r="T731"/>
  <c r="W731" s="1"/>
  <c r="X731" s="1"/>
  <c r="Y731" s="1"/>
  <c r="W65"/>
  <c r="X65" s="1"/>
  <c r="Y65" s="1"/>
  <c r="W71"/>
  <c r="X71" s="1"/>
  <c r="Y71" s="1"/>
  <c r="W81"/>
  <c r="X81" s="1"/>
  <c r="Y81" s="1"/>
  <c r="X74"/>
  <c r="Y74" s="1"/>
  <c r="X76"/>
  <c r="Y76" s="1"/>
  <c r="X82"/>
  <c r="Y82" s="1"/>
  <c r="G13" i="10" l="1"/>
  <c r="F13" s="1"/>
  <c r="I13" s="1"/>
  <c r="T49" i="9"/>
  <c r="W49" s="1"/>
  <c r="X49" s="1"/>
  <c r="Y49" s="1"/>
  <c r="T17"/>
  <c r="W17" s="1"/>
  <c r="X17" s="1"/>
  <c r="Y17" s="1"/>
  <c r="T34"/>
  <c r="W34" s="1"/>
  <c r="X34" s="1"/>
  <c r="Y34" s="1"/>
  <c r="T47"/>
  <c r="W47" s="1"/>
  <c r="X47" s="1"/>
  <c r="Y47" s="1"/>
  <c r="T15"/>
  <c r="W15" s="1"/>
  <c r="X15" s="1"/>
  <c r="Y15" s="1"/>
  <c r="T53"/>
  <c r="W53" s="1"/>
  <c r="X53" s="1"/>
  <c r="Y53" s="1"/>
  <c r="T37"/>
  <c r="W37" s="1"/>
  <c r="X37" s="1"/>
  <c r="Y37" s="1"/>
  <c r="T21"/>
  <c r="W21" s="1"/>
  <c r="X21" s="1"/>
  <c r="Y21" s="1"/>
  <c r="T54"/>
  <c r="W54" s="1"/>
  <c r="X54" s="1"/>
  <c r="Y54" s="1"/>
  <c r="T38"/>
  <c r="W38" s="1"/>
  <c r="X38" s="1"/>
  <c r="Y38" s="1"/>
  <c r="T22"/>
  <c r="W22" s="1"/>
  <c r="X22" s="1"/>
  <c r="Y22" s="1"/>
  <c r="T51"/>
  <c r="W51" s="1"/>
  <c r="X51" s="1"/>
  <c r="Y51" s="1"/>
  <c r="T35"/>
  <c r="W35" s="1"/>
  <c r="X35" s="1"/>
  <c r="Y35" s="1"/>
  <c r="T19"/>
  <c r="W19" s="1"/>
  <c r="X19" s="1"/>
  <c r="Y19" s="1"/>
  <c r="T48"/>
  <c r="W48" s="1"/>
  <c r="X48" s="1"/>
  <c r="Y48" s="1"/>
  <c r="T32"/>
  <c r="W32" s="1"/>
  <c r="X32" s="1"/>
  <c r="Y32" s="1"/>
  <c r="T16"/>
  <c r="W16" s="1"/>
  <c r="X16" s="1"/>
  <c r="Y16" s="1"/>
  <c r="T12"/>
  <c r="W12" s="1"/>
  <c r="X12" s="1"/>
  <c r="Y12" s="1"/>
  <c r="T26"/>
  <c r="W26" s="1"/>
  <c r="X26" s="1"/>
  <c r="Y26" s="1"/>
  <c r="T23"/>
  <c r="W23" s="1"/>
  <c r="X23" s="1"/>
  <c r="Y23" s="1"/>
  <c r="T20"/>
  <c r="W20" s="1"/>
  <c r="X20" s="1"/>
  <c r="Y20" s="1"/>
  <c r="T25"/>
  <c r="W25" s="1"/>
  <c r="X25" s="1"/>
  <c r="Y25" s="1"/>
  <c r="T42"/>
  <c r="W42" s="1"/>
  <c r="X42" s="1"/>
  <c r="Y42" s="1"/>
  <c r="T55"/>
  <c r="W55" s="1"/>
  <c r="X55" s="1"/>
  <c r="Y55" s="1"/>
  <c r="T39"/>
  <c r="W39" s="1"/>
  <c r="X39" s="1"/>
  <c r="Y39" s="1"/>
  <c r="T52"/>
  <c r="W52" s="1"/>
  <c r="X52" s="1"/>
  <c r="Y52" s="1"/>
  <c r="T36"/>
  <c r="W36" s="1"/>
  <c r="X36" s="1"/>
  <c r="Y36" s="1"/>
  <c r="T45"/>
  <c r="W45" s="1"/>
  <c r="X45" s="1"/>
  <c r="Y45" s="1"/>
  <c r="T29"/>
  <c r="W29" s="1"/>
  <c r="X29" s="1"/>
  <c r="Y29" s="1"/>
  <c r="T13"/>
  <c r="W13" s="1"/>
  <c r="X13" s="1"/>
  <c r="Y13" s="1"/>
  <c r="T46"/>
  <c r="W46" s="1"/>
  <c r="X46" s="1"/>
  <c r="Y46" s="1"/>
  <c r="T30"/>
  <c r="W30" s="1"/>
  <c r="X30" s="1"/>
  <c r="Y30" s="1"/>
  <c r="T14"/>
  <c r="W14" s="1"/>
  <c r="X14" s="1"/>
  <c r="Y14" s="1"/>
  <c r="T43"/>
  <c r="W43" s="1"/>
  <c r="X43" s="1"/>
  <c r="Y43" s="1"/>
  <c r="T27"/>
  <c r="W27" s="1"/>
  <c r="X27" s="1"/>
  <c r="Y27" s="1"/>
  <c r="T56"/>
  <c r="W56" s="1"/>
  <c r="X56" s="1"/>
  <c r="Y56" s="1"/>
  <c r="T40"/>
  <c r="W40" s="1"/>
  <c r="X40" s="1"/>
  <c r="Y40" s="1"/>
  <c r="T24"/>
  <c r="W24" s="1"/>
  <c r="X24" s="1"/>
  <c r="Y24" s="1"/>
  <c r="T41"/>
  <c r="W41" s="1"/>
  <c r="X41" s="1"/>
  <c r="Y41" s="1"/>
  <c r="T33"/>
  <c r="W33" s="1"/>
  <c r="X33" s="1"/>
  <c r="Y33" s="1"/>
  <c r="T50"/>
  <c r="W50" s="1"/>
  <c r="X50" s="1"/>
  <c r="Y50" s="1"/>
  <c r="T18"/>
  <c r="W18" s="1"/>
  <c r="X18" s="1"/>
  <c r="Y18" s="1"/>
  <c r="T31"/>
  <c r="W31" s="1"/>
  <c r="X31" s="1"/>
  <c r="Y31" s="1"/>
  <c r="T44"/>
  <c r="W44" s="1"/>
  <c r="X44" s="1"/>
  <c r="Y44" s="1"/>
  <c r="T28"/>
  <c r="W28" s="1"/>
  <c r="X28" s="1"/>
  <c r="Y28" s="1"/>
  <c r="G14" i="10" l="1"/>
  <c r="F14" s="1"/>
  <c r="I14" s="1"/>
  <c r="G15" l="1"/>
  <c r="F15" s="1"/>
  <c r="I15" s="1"/>
  <c r="G16" l="1"/>
  <c r="F16" s="1"/>
  <c r="I16" s="1"/>
  <c r="G17" l="1"/>
  <c r="F17" s="1"/>
  <c r="I17" s="1"/>
  <c r="G18" l="1"/>
  <c r="F18" s="1"/>
  <c r="I18" s="1"/>
  <c r="G19" l="1"/>
  <c r="F19" s="1"/>
  <c r="I19" s="1"/>
  <c r="G20" l="1"/>
  <c r="F20" s="1"/>
  <c r="I20" s="1"/>
  <c r="G21" l="1"/>
  <c r="F21" s="1"/>
  <c r="I21" s="1"/>
  <c r="G22" l="1"/>
  <c r="F22" s="1"/>
  <c r="I22" s="1"/>
  <c r="G23" l="1"/>
  <c r="F23" s="1"/>
  <c r="I23" s="1"/>
  <c r="G24" l="1"/>
  <c r="F24" s="1"/>
  <c r="I24" s="1"/>
  <c r="G25" l="1"/>
  <c r="G26" s="1"/>
  <c r="F26" s="1"/>
  <c r="I26" s="1"/>
  <c r="G27" l="1"/>
  <c r="F27" s="1"/>
  <c r="I27" s="1"/>
  <c r="F25"/>
  <c r="I25" s="1"/>
  <c r="G28" l="1"/>
  <c r="F28" s="1"/>
  <c r="I28" s="1"/>
  <c r="G29" l="1"/>
  <c r="F29" s="1"/>
  <c r="I29" s="1"/>
  <c r="G30" l="1"/>
  <c r="F30" s="1"/>
  <c r="I30" s="1"/>
  <c r="G31" l="1"/>
  <c r="F31" s="1"/>
  <c r="I31" s="1"/>
  <c r="G32" l="1"/>
  <c r="F32" l="1"/>
  <c r="I32" s="1"/>
  <c r="G33"/>
  <c r="F33" s="1"/>
  <c r="I33" s="1"/>
  <c r="G34" l="1"/>
  <c r="F34" s="1"/>
  <c r="I34" s="1"/>
  <c r="G35"/>
  <c r="F35" s="1"/>
  <c r="I35" s="1"/>
  <c r="G36" l="1"/>
  <c r="F36" s="1"/>
  <c r="I36" s="1"/>
  <c r="G37" l="1"/>
  <c r="F37" l="1"/>
  <c r="I37" s="1"/>
  <c r="G38"/>
  <c r="F38" s="1"/>
  <c r="I38" s="1"/>
  <c r="G39" l="1"/>
  <c r="F39" s="1"/>
  <c r="I39" s="1"/>
  <c r="G40" l="1"/>
  <c r="F40" s="1"/>
  <c r="I40" s="1"/>
  <c r="G41"/>
  <c r="F41" s="1"/>
  <c r="I41" s="1"/>
  <c r="G42" l="1"/>
  <c r="G43"/>
  <c r="F42"/>
  <c r="I42" s="1"/>
  <c r="G44" l="1"/>
  <c r="F43"/>
  <c r="I43" s="1"/>
  <c r="G45" l="1"/>
  <c r="F44"/>
  <c r="I44" s="1"/>
  <c r="G46" l="1"/>
  <c r="F45"/>
  <c r="I45" s="1"/>
  <c r="G47" l="1"/>
  <c r="F46"/>
  <c r="I46" s="1"/>
  <c r="G48" l="1"/>
  <c r="F47"/>
  <c r="I47" s="1"/>
  <c r="G49" l="1"/>
  <c r="F48"/>
  <c r="I48" s="1"/>
  <c r="G50" l="1"/>
  <c r="F49"/>
  <c r="I49" s="1"/>
  <c r="G51" l="1"/>
  <c r="F50"/>
  <c r="I50" s="1"/>
  <c r="G52" l="1"/>
  <c r="F51"/>
  <c r="I51" s="1"/>
  <c r="G53" l="1"/>
  <c r="F52"/>
  <c r="I52" s="1"/>
  <c r="G54" l="1"/>
  <c r="F53"/>
  <c r="I53" s="1"/>
  <c r="G55" l="1"/>
  <c r="F54"/>
  <c r="I54" s="1"/>
  <c r="G56" l="1"/>
  <c r="F55"/>
  <c r="I55" s="1"/>
  <c r="G57" l="1"/>
  <c r="F56"/>
  <c r="I56" s="1"/>
  <c r="G58" l="1"/>
  <c r="F57"/>
  <c r="I57" s="1"/>
  <c r="G59" l="1"/>
  <c r="F58"/>
  <c r="I58" s="1"/>
  <c r="G60" l="1"/>
  <c r="F60" s="1"/>
  <c r="I60" s="1"/>
  <c r="F59"/>
  <c r="I59" s="1"/>
</calcChain>
</file>

<file path=xl/sharedStrings.xml><?xml version="1.0" encoding="utf-8"?>
<sst xmlns="http://schemas.openxmlformats.org/spreadsheetml/2006/main" count="9" uniqueCount="9">
  <si>
    <t>Scenario_14_1</t>
  </si>
  <si>
    <t>name</t>
  </si>
  <si>
    <t>dir</t>
  </si>
  <si>
    <t>C:\Users\b029735\Documents\ALI_WORKSPACE\ESG Analysis\</t>
  </si>
  <si>
    <t>scn_numb</t>
  </si>
  <si>
    <t>a</t>
  </si>
  <si>
    <t>signma</t>
  </si>
  <si>
    <t>corel</t>
  </si>
  <si>
    <t>delta</t>
  </si>
</sst>
</file>

<file path=xl/styles.xml><?xml version="1.0" encoding="utf-8"?>
<styleSheet xmlns="http://schemas.openxmlformats.org/spreadsheetml/2006/main">
  <numFmts count="4">
    <numFmt numFmtId="43" formatCode="_-* #,##0.00_-;\-* #,##0.00_-;_-* &quot;-&quot;??_-;_-@_-"/>
    <numFmt numFmtId="164" formatCode="0.000%"/>
    <numFmt numFmtId="165" formatCode="0.00000%"/>
    <numFmt numFmtId="166" formatCode="0.0000000%"/>
  </numFmts>
  <fonts count="3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164" fontId="0" fillId="2" borderId="0" xfId="1" applyNumberFormat="1" applyFont="1" applyFill="1"/>
    <xf numFmtId="165" fontId="0" fillId="2" borderId="0" xfId="1" applyNumberFormat="1" applyFont="1" applyFill="1"/>
    <xf numFmtId="166" fontId="0" fillId="2" borderId="0" xfId="1" applyNumberFormat="1" applyFont="1" applyFill="1"/>
    <xf numFmtId="166" fontId="2" fillId="2" borderId="0" xfId="0" applyNumberFormat="1" applyFont="1" applyFill="1"/>
    <xf numFmtId="0" fontId="2" fillId="2" borderId="0" xfId="0" applyFont="1" applyFill="1"/>
    <xf numFmtId="9" fontId="0" fillId="2" borderId="0" xfId="1" applyFont="1" applyFill="1"/>
    <xf numFmtId="43" fontId="0" fillId="2" borderId="0" xfId="2" applyFont="1" applyFill="1"/>
    <xf numFmtId="164" fontId="0" fillId="0" borderId="0" xfId="1" applyNumberFormat="1" applyFont="1"/>
    <xf numFmtId="43" fontId="0" fillId="0" borderId="0" xfId="2" applyFont="1"/>
    <xf numFmtId="43" fontId="0" fillId="2" borderId="0" xfId="0" applyNumberFormat="1" applyFill="1"/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Output!$K$12:$K$731</c:f>
              <c:numCache>
                <c:formatCode>General</c:formatCode>
                <c:ptCount val="720"/>
                <c:pt idx="0">
                  <c:v>0.9999984567314727</c:v>
                </c:pt>
                <c:pt idx="1">
                  <c:v>0.99999568611029221</c:v>
                </c:pt>
                <c:pt idx="2">
                  <c:v>0.99998939883889382</c:v>
                </c:pt>
                <c:pt idx="3">
                  <c:v>0.99998752368270849</c:v>
                </c:pt>
                <c:pt idx="4">
                  <c:v>0.99998243830026246</c:v>
                </c:pt>
                <c:pt idx="5">
                  <c:v>0.99998081059306509</c:v>
                </c:pt>
                <c:pt idx="6">
                  <c:v>0.99997841861026915</c:v>
                </c:pt>
                <c:pt idx="7">
                  <c:v>0.99997903601299309</c:v>
                </c:pt>
                <c:pt idx="8">
                  <c:v>0.99996846030451103</c:v>
                </c:pt>
                <c:pt idx="9">
                  <c:v>0.99995926637748145</c:v>
                </c:pt>
                <c:pt idx="10">
                  <c:v>0.99996560670482126</c:v>
                </c:pt>
                <c:pt idx="11">
                  <c:v>0.99996525194987629</c:v>
                </c:pt>
                <c:pt idx="12">
                  <c:v>0.99995819717021317</c:v>
                </c:pt>
                <c:pt idx="13">
                  <c:v>0.99994417859719453</c:v>
                </c:pt>
                <c:pt idx="14">
                  <c:v>0.99995618516900808</c:v>
                </c:pt>
                <c:pt idx="15">
                  <c:v>0.99995675074704993</c:v>
                </c:pt>
                <c:pt idx="16">
                  <c:v>0.99995175837566153</c:v>
                </c:pt>
                <c:pt idx="17">
                  <c:v>0.99992343199701084</c:v>
                </c:pt>
                <c:pt idx="18">
                  <c:v>0.99993558820390338</c:v>
                </c:pt>
                <c:pt idx="19">
                  <c:v>0.99993362535333741</c:v>
                </c:pt>
                <c:pt idx="20">
                  <c:v>0.99994384436455697</c:v>
                </c:pt>
                <c:pt idx="21">
                  <c:v>0.99993574421224674</c:v>
                </c:pt>
                <c:pt idx="22">
                  <c:v>0.99994014812990661</c:v>
                </c:pt>
                <c:pt idx="23">
                  <c:v>0.99994577543894625</c:v>
                </c:pt>
                <c:pt idx="24">
                  <c:v>0.99998410907992619</c:v>
                </c:pt>
                <c:pt idx="25">
                  <c:v>0.99996853111008277</c:v>
                </c:pt>
                <c:pt idx="26">
                  <c:v>0.99996632732081125</c:v>
                </c:pt>
                <c:pt idx="27">
                  <c:v>0.99996060668759712</c:v>
                </c:pt>
                <c:pt idx="28">
                  <c:v>0.99993115663984333</c:v>
                </c:pt>
                <c:pt idx="29">
                  <c:v>0.99996323045344981</c:v>
                </c:pt>
                <c:pt idx="30">
                  <c:v>0.99996159332524115</c:v>
                </c:pt>
                <c:pt idx="31">
                  <c:v>0.99997469965596431</c:v>
                </c:pt>
                <c:pt idx="32">
                  <c:v>0.99999782592268915</c:v>
                </c:pt>
                <c:pt idx="33">
                  <c:v>0.99995897484999385</c:v>
                </c:pt>
                <c:pt idx="34">
                  <c:v>0.99996406793560089</c:v>
                </c:pt>
                <c:pt idx="35">
                  <c:v>0.9999967527949879</c:v>
                </c:pt>
                <c:pt idx="36">
                  <c:v>1.0000445445850807</c:v>
                </c:pt>
                <c:pt idx="37">
                  <c:v>1.0000085564177303</c:v>
                </c:pt>
                <c:pt idx="38">
                  <c:v>1.0000144161236175</c:v>
                </c:pt>
                <c:pt idx="39">
                  <c:v>1.0000121817824328</c:v>
                </c:pt>
                <c:pt idx="40">
                  <c:v>1.0000081836383836</c:v>
                </c:pt>
                <c:pt idx="41">
                  <c:v>1.0000155857693851</c:v>
                </c:pt>
                <c:pt idx="42">
                  <c:v>1.0000394348523129</c:v>
                </c:pt>
                <c:pt idx="43">
                  <c:v>1.000003298166652</c:v>
                </c:pt>
                <c:pt idx="44">
                  <c:v>1.0000339414302097</c:v>
                </c:pt>
                <c:pt idx="45">
                  <c:v>1.000018776861791</c:v>
                </c:pt>
                <c:pt idx="46">
                  <c:v>1.0000345043494532</c:v>
                </c:pt>
                <c:pt idx="47">
                  <c:v>1.0000032173932649</c:v>
                </c:pt>
                <c:pt idx="48">
                  <c:v>1.0000027052964262</c:v>
                </c:pt>
                <c:pt idx="49">
                  <c:v>0.99998071415991907</c:v>
                </c:pt>
                <c:pt idx="50">
                  <c:v>1.0000021070712239</c:v>
                </c:pt>
                <c:pt idx="51">
                  <c:v>0.99998060798504007</c:v>
                </c:pt>
                <c:pt idx="52">
                  <c:v>0.99997714889413314</c:v>
                </c:pt>
                <c:pt idx="53">
                  <c:v>1.0000094535495396</c:v>
                </c:pt>
                <c:pt idx="54">
                  <c:v>1.000037166876645</c:v>
                </c:pt>
                <c:pt idx="55">
                  <c:v>1.0000543645457558</c:v>
                </c:pt>
                <c:pt idx="56">
                  <c:v>1.0000480302311694</c:v>
                </c:pt>
                <c:pt idx="57">
                  <c:v>1.0000400730227668</c:v>
                </c:pt>
                <c:pt idx="58">
                  <c:v>1.0000255757567682</c:v>
                </c:pt>
                <c:pt idx="59">
                  <c:v>1.0000392842307113</c:v>
                </c:pt>
                <c:pt idx="60">
                  <c:v>0.99998347701454726</c:v>
                </c:pt>
                <c:pt idx="61">
                  <c:v>1.0000197870866958</c:v>
                </c:pt>
                <c:pt idx="62">
                  <c:v>1.0000396005421608</c:v>
                </c:pt>
                <c:pt idx="63">
                  <c:v>1.0000310087395181</c:v>
                </c:pt>
                <c:pt idx="64">
                  <c:v>1.0000770678773192</c:v>
                </c:pt>
                <c:pt idx="65">
                  <c:v>1.0000871491774812</c:v>
                </c:pt>
                <c:pt idx="66">
                  <c:v>1.0000755295065158</c:v>
                </c:pt>
                <c:pt idx="67">
                  <c:v>1.0000785603861662</c:v>
                </c:pt>
                <c:pt idx="68">
                  <c:v>1.0001033885671491</c:v>
                </c:pt>
                <c:pt idx="69">
                  <c:v>1.0000901540358751</c:v>
                </c:pt>
                <c:pt idx="70">
                  <c:v>1.0001142140853243</c:v>
                </c:pt>
                <c:pt idx="71">
                  <c:v>1.0000937996417172</c:v>
                </c:pt>
                <c:pt idx="72">
                  <c:v>1.0000764276666232</c:v>
                </c:pt>
                <c:pt idx="73">
                  <c:v>1.0000600374543065</c:v>
                </c:pt>
                <c:pt idx="74">
                  <c:v>1.0001118658017059</c:v>
                </c:pt>
                <c:pt idx="75">
                  <c:v>1.0000822459972991</c:v>
                </c:pt>
                <c:pt idx="76">
                  <c:v>1.0001445839251684</c:v>
                </c:pt>
                <c:pt idx="77">
                  <c:v>1.0001476293082525</c:v>
                </c:pt>
                <c:pt idx="78">
                  <c:v>1.0001871737780739</c:v>
                </c:pt>
                <c:pt idx="79">
                  <c:v>1.000257528140972</c:v>
                </c:pt>
                <c:pt idx="80">
                  <c:v>1.0002732333419255</c:v>
                </c:pt>
                <c:pt idx="81">
                  <c:v>1.0002748622470983</c:v>
                </c:pt>
                <c:pt idx="82">
                  <c:v>1.0002676348485748</c:v>
                </c:pt>
                <c:pt idx="83">
                  <c:v>1.0002979617628587</c:v>
                </c:pt>
                <c:pt idx="84">
                  <c:v>1.0003233331476307</c:v>
                </c:pt>
                <c:pt idx="85">
                  <c:v>1.0003490631960823</c:v>
                </c:pt>
                <c:pt idx="86">
                  <c:v>1.0003655193708589</c:v>
                </c:pt>
                <c:pt idx="87">
                  <c:v>1.000334529311381</c:v>
                </c:pt>
                <c:pt idx="88">
                  <c:v>1.0003419724235596</c:v>
                </c:pt>
                <c:pt idx="89">
                  <c:v>1.0003677914698745</c:v>
                </c:pt>
                <c:pt idx="90">
                  <c:v>1.0003983441991007</c:v>
                </c:pt>
                <c:pt idx="91">
                  <c:v>1.0004288485293136</c:v>
                </c:pt>
                <c:pt idx="92">
                  <c:v>1.0003155079535868</c:v>
                </c:pt>
                <c:pt idx="93">
                  <c:v>1.0003823651240202</c:v>
                </c:pt>
                <c:pt idx="94">
                  <c:v>1.0004165635181894</c:v>
                </c:pt>
                <c:pt idx="95">
                  <c:v>1.0004196183773491</c:v>
                </c:pt>
                <c:pt idx="96">
                  <c:v>1.0003418739369816</c:v>
                </c:pt>
                <c:pt idx="97">
                  <c:v>1.0003353013354213</c:v>
                </c:pt>
                <c:pt idx="98">
                  <c:v>1.0003266494689627</c:v>
                </c:pt>
                <c:pt idx="99">
                  <c:v>1.0003224949320095</c:v>
                </c:pt>
                <c:pt idx="100">
                  <c:v>1.0003219110183663</c:v>
                </c:pt>
                <c:pt idx="101">
                  <c:v>1.0003826117435239</c:v>
                </c:pt>
                <c:pt idx="102">
                  <c:v>1.0004289355011093</c:v>
                </c:pt>
                <c:pt idx="103">
                  <c:v>1.0004846842328403</c:v>
                </c:pt>
                <c:pt idx="104">
                  <c:v>1.0005431862231338</c:v>
                </c:pt>
                <c:pt idx="105">
                  <c:v>1.0005677641118844</c:v>
                </c:pt>
                <c:pt idx="106">
                  <c:v>1.0004890571786591</c:v>
                </c:pt>
                <c:pt idx="107">
                  <c:v>1.0003950855751074</c:v>
                </c:pt>
                <c:pt idx="108">
                  <c:v>1.0004127550578175</c:v>
                </c:pt>
                <c:pt idx="109">
                  <c:v>1.0003720571112815</c:v>
                </c:pt>
                <c:pt idx="110">
                  <c:v>1.0003603647090629</c:v>
                </c:pt>
                <c:pt idx="111">
                  <c:v>1.0003739568195358</c:v>
                </c:pt>
                <c:pt idx="112">
                  <c:v>1.0004714130937395</c:v>
                </c:pt>
                <c:pt idx="113">
                  <c:v>1.0005588059825035</c:v>
                </c:pt>
                <c:pt idx="114">
                  <c:v>1.0005784522122698</c:v>
                </c:pt>
                <c:pt idx="115">
                  <c:v>1.0005551396491679</c:v>
                </c:pt>
                <c:pt idx="116">
                  <c:v>1.0005854691092457</c:v>
                </c:pt>
                <c:pt idx="117">
                  <c:v>1.0006682156216575</c:v>
                </c:pt>
                <c:pt idx="118">
                  <c:v>1.0006173811666919</c:v>
                </c:pt>
                <c:pt idx="119">
                  <c:v>1.000616225909152</c:v>
                </c:pt>
                <c:pt idx="120">
                  <c:v>1.0005328203182979</c:v>
                </c:pt>
                <c:pt idx="121">
                  <c:v>1.0005237492245971</c:v>
                </c:pt>
                <c:pt idx="122">
                  <c:v>1.0005671492997392</c:v>
                </c:pt>
                <c:pt idx="123">
                  <c:v>1.0006019874755006</c:v>
                </c:pt>
                <c:pt idx="124">
                  <c:v>1.0005860093098755</c:v>
                </c:pt>
                <c:pt idx="125">
                  <c:v>1.0005849672604381</c:v>
                </c:pt>
                <c:pt idx="126">
                  <c:v>1.0006273852176124</c:v>
                </c:pt>
                <c:pt idx="127">
                  <c:v>1.0006931752895571</c:v>
                </c:pt>
                <c:pt idx="128">
                  <c:v>1.000665428887374</c:v>
                </c:pt>
                <c:pt idx="129">
                  <c:v>1.0006275436557848</c:v>
                </c:pt>
                <c:pt idx="130">
                  <c:v>1.0005854815837563</c:v>
                </c:pt>
                <c:pt idx="131">
                  <c:v>1.0005739493040555</c:v>
                </c:pt>
                <c:pt idx="132">
                  <c:v>1.0006115831466647</c:v>
                </c:pt>
                <c:pt idx="133">
                  <c:v>1.0006200207419249</c:v>
                </c:pt>
                <c:pt idx="134">
                  <c:v>1.0005352845695337</c:v>
                </c:pt>
                <c:pt idx="135">
                  <c:v>1.0005530777443956</c:v>
                </c:pt>
                <c:pt idx="136">
                  <c:v>1.0005189302496551</c:v>
                </c:pt>
                <c:pt idx="137">
                  <c:v>1.0004553481136302</c:v>
                </c:pt>
                <c:pt idx="138">
                  <c:v>1.000454319590097</c:v>
                </c:pt>
                <c:pt idx="139">
                  <c:v>1.0004590417600756</c:v>
                </c:pt>
                <c:pt idx="140">
                  <c:v>1.0004642125986047</c:v>
                </c:pt>
                <c:pt idx="141">
                  <c:v>1.0004963028806064</c:v>
                </c:pt>
                <c:pt idx="142">
                  <c:v>1.0004294380822276</c:v>
                </c:pt>
                <c:pt idx="143">
                  <c:v>1.0004852100008974</c:v>
                </c:pt>
                <c:pt idx="144">
                  <c:v>1.0004451248573771</c:v>
                </c:pt>
                <c:pt idx="145">
                  <c:v>1.0005200435128832</c:v>
                </c:pt>
                <c:pt idx="146">
                  <c:v>1.000539991074179</c:v>
                </c:pt>
                <c:pt idx="147">
                  <c:v>1.0004954455069426</c:v>
                </c:pt>
                <c:pt idx="148">
                  <c:v>1.0005093429023855</c:v>
                </c:pt>
                <c:pt idx="149">
                  <c:v>1.0005215605162496</c:v>
                </c:pt>
                <c:pt idx="150">
                  <c:v>1.0005184889874374</c:v>
                </c:pt>
                <c:pt idx="151">
                  <c:v>1.0005178739409393</c:v>
                </c:pt>
                <c:pt idx="152">
                  <c:v>1.0005528164931765</c:v>
                </c:pt>
                <c:pt idx="153">
                  <c:v>1.0006041149647107</c:v>
                </c:pt>
                <c:pt idx="154">
                  <c:v>1.0005227185804209</c:v>
                </c:pt>
                <c:pt idx="155">
                  <c:v>1.0004503474754944</c:v>
                </c:pt>
                <c:pt idx="156">
                  <c:v>1.0004459577919962</c:v>
                </c:pt>
                <c:pt idx="157">
                  <c:v>1.0004720917393843</c:v>
                </c:pt>
                <c:pt idx="158">
                  <c:v>1.0004696493728418</c:v>
                </c:pt>
                <c:pt idx="159">
                  <c:v>1.0005281269989399</c:v>
                </c:pt>
                <c:pt idx="160">
                  <c:v>1.0005535626169049</c:v>
                </c:pt>
                <c:pt idx="161">
                  <c:v>1.0005710359895561</c:v>
                </c:pt>
                <c:pt idx="162">
                  <c:v>1.0005426920240477</c:v>
                </c:pt>
                <c:pt idx="163">
                  <c:v>1.0005234515519321</c:v>
                </c:pt>
                <c:pt idx="164">
                  <c:v>1.0005248289880289</c:v>
                </c:pt>
                <c:pt idx="165">
                  <c:v>1.0006294985294617</c:v>
                </c:pt>
                <c:pt idx="166">
                  <c:v>1.0005632911704763</c:v>
                </c:pt>
                <c:pt idx="167">
                  <c:v>1.0005069524509109</c:v>
                </c:pt>
                <c:pt idx="168">
                  <c:v>1.0004858202916689</c:v>
                </c:pt>
                <c:pt idx="169">
                  <c:v>1.0004681199091525</c:v>
                </c:pt>
                <c:pt idx="170">
                  <c:v>1.0004432380496455</c:v>
                </c:pt>
                <c:pt idx="171">
                  <c:v>1.0004662919168323</c:v>
                </c:pt>
                <c:pt idx="172">
                  <c:v>1.0004992121729888</c:v>
                </c:pt>
                <c:pt idx="173">
                  <c:v>1.0005199214275369</c:v>
                </c:pt>
                <c:pt idx="174">
                  <c:v>1.0005488586089948</c:v>
                </c:pt>
                <c:pt idx="175">
                  <c:v>1.0004594385270331</c:v>
                </c:pt>
                <c:pt idx="176">
                  <c:v>1.0005266092127056</c:v>
                </c:pt>
                <c:pt idx="177">
                  <c:v>1.0006482176566656</c:v>
                </c:pt>
                <c:pt idx="178">
                  <c:v>1.0007369811750488</c:v>
                </c:pt>
                <c:pt idx="179">
                  <c:v>1.0006837145651875</c:v>
                </c:pt>
                <c:pt idx="180">
                  <c:v>1.0006994848225168</c:v>
                </c:pt>
                <c:pt idx="181">
                  <c:v>1.0007091683925358</c:v>
                </c:pt>
                <c:pt idx="182">
                  <c:v>1.0007527602621986</c:v>
                </c:pt>
                <c:pt idx="183">
                  <c:v>1.0008272628202388</c:v>
                </c:pt>
                <c:pt idx="184">
                  <c:v>1.0008851555319824</c:v>
                </c:pt>
                <c:pt idx="185">
                  <c:v>1.0008813083709249</c:v>
                </c:pt>
                <c:pt idx="186">
                  <c:v>1.000981211667096</c:v>
                </c:pt>
                <c:pt idx="187">
                  <c:v>1.0009654377035815</c:v>
                </c:pt>
                <c:pt idx="188">
                  <c:v>1.0009934421865947</c:v>
                </c:pt>
                <c:pt idx="189">
                  <c:v>1.0009740961092599</c:v>
                </c:pt>
                <c:pt idx="190">
                  <c:v>1.0009698967509084</c:v>
                </c:pt>
                <c:pt idx="191">
                  <c:v>1.0009368673003403</c:v>
                </c:pt>
                <c:pt idx="192">
                  <c:v>1.000997351966203</c:v>
                </c:pt>
                <c:pt idx="193">
                  <c:v>1.0010424105434113</c:v>
                </c:pt>
                <c:pt idx="194">
                  <c:v>1.0011745884262579</c:v>
                </c:pt>
                <c:pt idx="195">
                  <c:v>1.0012572482517748</c:v>
                </c:pt>
                <c:pt idx="196">
                  <c:v>1.0012708605185345</c:v>
                </c:pt>
                <c:pt idx="197">
                  <c:v>1.0012600371974203</c:v>
                </c:pt>
                <c:pt idx="198">
                  <c:v>1.0011725607210997</c:v>
                </c:pt>
                <c:pt idx="199">
                  <c:v>1.0011742372533254</c:v>
                </c:pt>
                <c:pt idx="200">
                  <c:v>1.0011240159686516</c:v>
                </c:pt>
                <c:pt idx="201">
                  <c:v>1.0011286259290617</c:v>
                </c:pt>
                <c:pt idx="202">
                  <c:v>1.0011956161134854</c:v>
                </c:pt>
                <c:pt idx="203">
                  <c:v>1.0011222486890599</c:v>
                </c:pt>
                <c:pt idx="204">
                  <c:v>1.0013044804532834</c:v>
                </c:pt>
                <c:pt idx="205">
                  <c:v>1.0012208620028487</c:v>
                </c:pt>
                <c:pt idx="206">
                  <c:v>1.0012566000177001</c:v>
                </c:pt>
                <c:pt idx="207">
                  <c:v>1.001198426975739</c:v>
                </c:pt>
                <c:pt idx="208">
                  <c:v>1.0011724927705816</c:v>
                </c:pt>
                <c:pt idx="209">
                  <c:v>1.001297986913084</c:v>
                </c:pt>
                <c:pt idx="210">
                  <c:v>1.0012540315092553</c:v>
                </c:pt>
                <c:pt idx="211">
                  <c:v>1.0011295841967773</c:v>
                </c:pt>
                <c:pt idx="212">
                  <c:v>1.0010607955346511</c:v>
                </c:pt>
                <c:pt idx="213">
                  <c:v>1.0010177556338331</c:v>
                </c:pt>
                <c:pt idx="214">
                  <c:v>1.0008778316654772</c:v>
                </c:pt>
                <c:pt idx="215">
                  <c:v>1.0008902211722441</c:v>
                </c:pt>
                <c:pt idx="216">
                  <c:v>1.0007624052912107</c:v>
                </c:pt>
                <c:pt idx="217">
                  <c:v>1.0006594774582274</c:v>
                </c:pt>
                <c:pt idx="218">
                  <c:v>1.0006625355016863</c:v>
                </c:pt>
                <c:pt idx="219">
                  <c:v>1.0006830624691532</c:v>
                </c:pt>
                <c:pt idx="220">
                  <c:v>1.0007174954756868</c:v>
                </c:pt>
                <c:pt idx="221">
                  <c:v>1.0007188109629526</c:v>
                </c:pt>
                <c:pt idx="222">
                  <c:v>1.0007365990528052</c:v>
                </c:pt>
                <c:pt idx="223">
                  <c:v>1.0007315309301468</c:v>
                </c:pt>
                <c:pt idx="224">
                  <c:v>1.0007505630302596</c:v>
                </c:pt>
                <c:pt idx="225">
                  <c:v>1.0007635315101111</c:v>
                </c:pt>
                <c:pt idx="226">
                  <c:v>1.0008542050262434</c:v>
                </c:pt>
                <c:pt idx="227">
                  <c:v>1.0008590426589141</c:v>
                </c:pt>
                <c:pt idx="228">
                  <c:v>1.0008527128552034</c:v>
                </c:pt>
                <c:pt idx="229">
                  <c:v>1.0008812985292703</c:v>
                </c:pt>
                <c:pt idx="230">
                  <c:v>1.0008883670941255</c:v>
                </c:pt>
                <c:pt idx="231">
                  <c:v>1.0008735456753932</c:v>
                </c:pt>
                <c:pt idx="232">
                  <c:v>1.000842855423296</c:v>
                </c:pt>
                <c:pt idx="233">
                  <c:v>1.0008244866927072</c:v>
                </c:pt>
                <c:pt idx="234">
                  <c:v>1.0008268874923774</c:v>
                </c:pt>
                <c:pt idx="235">
                  <c:v>1.0007214325326623</c:v>
                </c:pt>
                <c:pt idx="236">
                  <c:v>1.0007182041214109</c:v>
                </c:pt>
                <c:pt idx="237">
                  <c:v>1.0007966644416273</c:v>
                </c:pt>
                <c:pt idx="238">
                  <c:v>1.000860734701738</c:v>
                </c:pt>
                <c:pt idx="239">
                  <c:v>1.0008392972245599</c:v>
                </c:pt>
                <c:pt idx="240">
                  <c:v>1.0008293089393747</c:v>
                </c:pt>
                <c:pt idx="241">
                  <c:v>1.0008627861243264</c:v>
                </c:pt>
                <c:pt idx="242">
                  <c:v>1.0008988342336238</c:v>
                </c:pt>
                <c:pt idx="243">
                  <c:v>1.0009354138672084</c:v>
                </c:pt>
                <c:pt idx="244">
                  <c:v>1.0010186119685172</c:v>
                </c:pt>
                <c:pt idx="245">
                  <c:v>1.0009012462607134</c:v>
                </c:pt>
                <c:pt idx="246">
                  <c:v>1.0009814576766154</c:v>
                </c:pt>
                <c:pt idx="247">
                  <c:v>1.0010944494475844</c:v>
                </c:pt>
                <c:pt idx="248">
                  <c:v>1.0011107495296052</c:v>
                </c:pt>
                <c:pt idx="249">
                  <c:v>1.0009701166395228</c:v>
                </c:pt>
                <c:pt idx="250">
                  <c:v>1.0008478717160258</c:v>
                </c:pt>
                <c:pt idx="251">
                  <c:v>1.0008945679681862</c:v>
                </c:pt>
                <c:pt idx="252">
                  <c:v>1.0009059134363496</c:v>
                </c:pt>
                <c:pt idx="253">
                  <c:v>1.0008412753093638</c:v>
                </c:pt>
                <c:pt idx="254">
                  <c:v>1.0008627716223486</c:v>
                </c:pt>
                <c:pt idx="255">
                  <c:v>1.0009187260643704</c:v>
                </c:pt>
                <c:pt idx="256">
                  <c:v>1.0010551436717383</c:v>
                </c:pt>
                <c:pt idx="257">
                  <c:v>1.0012195877215828</c:v>
                </c:pt>
                <c:pt idx="258">
                  <c:v>1.0011667582712065</c:v>
                </c:pt>
                <c:pt idx="259">
                  <c:v>1.0010605638498955</c:v>
                </c:pt>
                <c:pt idx="260">
                  <c:v>1.0010696847631622</c:v>
                </c:pt>
                <c:pt idx="261">
                  <c:v>1.0010651357808509</c:v>
                </c:pt>
                <c:pt idx="262">
                  <c:v>1.0011052612515496</c:v>
                </c:pt>
                <c:pt idx="263">
                  <c:v>1.0011994840274065</c:v>
                </c:pt>
                <c:pt idx="264">
                  <c:v>1.001221169687516</c:v>
                </c:pt>
                <c:pt idx="265">
                  <c:v>1.0012026376672332</c:v>
                </c:pt>
                <c:pt idx="266">
                  <c:v>1.0011923653985659</c:v>
                </c:pt>
                <c:pt idx="267">
                  <c:v>1.0012273899178237</c:v>
                </c:pt>
                <c:pt idx="268">
                  <c:v>1.0012576111523408</c:v>
                </c:pt>
                <c:pt idx="269">
                  <c:v>1.0013417311862884</c:v>
                </c:pt>
                <c:pt idx="270">
                  <c:v>1.0012279529392807</c:v>
                </c:pt>
                <c:pt idx="271">
                  <c:v>1.0012263166391859</c:v>
                </c:pt>
                <c:pt idx="272">
                  <c:v>1.0012192039642058</c:v>
                </c:pt>
                <c:pt idx="273">
                  <c:v>1.0012747692380071</c:v>
                </c:pt>
                <c:pt idx="274">
                  <c:v>1.0013786818280812</c:v>
                </c:pt>
                <c:pt idx="275">
                  <c:v>1.0013183086158122</c:v>
                </c:pt>
                <c:pt idx="276">
                  <c:v>1.0012766981131078</c:v>
                </c:pt>
                <c:pt idx="277">
                  <c:v>1.0013161368050365</c:v>
                </c:pt>
                <c:pt idx="278">
                  <c:v>1.0012774753450491</c:v>
                </c:pt>
                <c:pt idx="279">
                  <c:v>1.0013366576533826</c:v>
                </c:pt>
                <c:pt idx="280">
                  <c:v>1.0013460337979123</c:v>
                </c:pt>
                <c:pt idx="281">
                  <c:v>1.0013955621648722</c:v>
                </c:pt>
                <c:pt idx="282">
                  <c:v>1.001504005886944</c:v>
                </c:pt>
                <c:pt idx="283">
                  <c:v>1.0015086217333955</c:v>
                </c:pt>
                <c:pt idx="284">
                  <c:v>1.0015025232432451</c:v>
                </c:pt>
                <c:pt idx="285">
                  <c:v>1.0015668288319008</c:v>
                </c:pt>
                <c:pt idx="286">
                  <c:v>1.0016243705704049</c:v>
                </c:pt>
                <c:pt idx="287">
                  <c:v>1.0015602710802121</c:v>
                </c:pt>
                <c:pt idx="288">
                  <c:v>1.0015819653676239</c:v>
                </c:pt>
                <c:pt idx="289">
                  <c:v>1.0015977281693678</c:v>
                </c:pt>
                <c:pt idx="290">
                  <c:v>1.0015155795472221</c:v>
                </c:pt>
                <c:pt idx="291">
                  <c:v>1.0015198953233133</c:v>
                </c:pt>
                <c:pt idx="292">
                  <c:v>1.0014533763962401</c:v>
                </c:pt>
                <c:pt idx="293">
                  <c:v>1.0014989967284809</c:v>
                </c:pt>
                <c:pt idx="294">
                  <c:v>1.0015541729155961</c:v>
                </c:pt>
                <c:pt idx="295">
                  <c:v>1.0015208590613243</c:v>
                </c:pt>
                <c:pt idx="296">
                  <c:v>1.0015110050582772</c:v>
                </c:pt>
                <c:pt idx="297">
                  <c:v>1.0012278244459145</c:v>
                </c:pt>
                <c:pt idx="298">
                  <c:v>1.001201329298651</c:v>
                </c:pt>
                <c:pt idx="299">
                  <c:v>1.0011470830003646</c:v>
                </c:pt>
                <c:pt idx="300">
                  <c:v>1.0011617024389889</c:v>
                </c:pt>
                <c:pt idx="301">
                  <c:v>1.0011740808483658</c:v>
                </c:pt>
                <c:pt idx="302">
                  <c:v>1.0011896993269376</c:v>
                </c:pt>
                <c:pt idx="303">
                  <c:v>1.0012713794881407</c:v>
                </c:pt>
                <c:pt idx="304">
                  <c:v>1.0010956546432572</c:v>
                </c:pt>
                <c:pt idx="305">
                  <c:v>1.0011235504793472</c:v>
                </c:pt>
                <c:pt idx="306">
                  <c:v>1.0011320996447726</c:v>
                </c:pt>
                <c:pt idx="307">
                  <c:v>1.0010534367143533</c:v>
                </c:pt>
                <c:pt idx="308">
                  <c:v>1.0010810169383118</c:v>
                </c:pt>
                <c:pt idx="309">
                  <c:v>1.0011491155619454</c:v>
                </c:pt>
                <c:pt idx="310">
                  <c:v>1.0012333272509975</c:v>
                </c:pt>
                <c:pt idx="311">
                  <c:v>1.0012718809738939</c:v>
                </c:pt>
                <c:pt idx="312">
                  <c:v>1.0014011099217708</c:v>
                </c:pt>
                <c:pt idx="313">
                  <c:v>1.0014335498292382</c:v>
                </c:pt>
                <c:pt idx="314">
                  <c:v>1.0014104933978236</c:v>
                </c:pt>
                <c:pt idx="315">
                  <c:v>1.0013896073392023</c:v>
                </c:pt>
                <c:pt idx="316">
                  <c:v>1.0014369911766019</c:v>
                </c:pt>
                <c:pt idx="317">
                  <c:v>1.0013668589261231</c:v>
                </c:pt>
                <c:pt idx="318">
                  <c:v>1.0013576091202758</c:v>
                </c:pt>
                <c:pt idx="319">
                  <c:v>1.0012635608810978</c:v>
                </c:pt>
                <c:pt idx="320">
                  <c:v>1.0013129463057382</c:v>
                </c:pt>
                <c:pt idx="321">
                  <c:v>1.001232044815914</c:v>
                </c:pt>
                <c:pt idx="322">
                  <c:v>1.0012444455185743</c:v>
                </c:pt>
                <c:pt idx="323">
                  <c:v>1.0012250471061144</c:v>
                </c:pt>
                <c:pt idx="324">
                  <c:v>1.0012277415535065</c:v>
                </c:pt>
                <c:pt idx="325">
                  <c:v>1.0012534982798635</c:v>
                </c:pt>
                <c:pt idx="326">
                  <c:v>1.0011731636384296</c:v>
                </c:pt>
                <c:pt idx="327">
                  <c:v>1.0012483218785881</c:v>
                </c:pt>
                <c:pt idx="328">
                  <c:v>1.0013441309752387</c:v>
                </c:pt>
                <c:pt idx="329">
                  <c:v>1.001270847554419</c:v>
                </c:pt>
                <c:pt idx="330">
                  <c:v>1.0012789199973866</c:v>
                </c:pt>
                <c:pt idx="331">
                  <c:v>1.0013684924940798</c:v>
                </c:pt>
                <c:pt idx="332">
                  <c:v>1.001360639033297</c:v>
                </c:pt>
                <c:pt idx="333">
                  <c:v>1.0012871384379054</c:v>
                </c:pt>
                <c:pt idx="334">
                  <c:v>1.0013063370187918</c:v>
                </c:pt>
                <c:pt idx="335">
                  <c:v>1.0011308026428876</c:v>
                </c:pt>
                <c:pt idx="336">
                  <c:v>1.0010888934117008</c:v>
                </c:pt>
                <c:pt idx="337">
                  <c:v>1.0011431920029212</c:v>
                </c:pt>
                <c:pt idx="338">
                  <c:v>1.0010847763002184</c:v>
                </c:pt>
                <c:pt idx="339">
                  <c:v>1.0009745659655205</c:v>
                </c:pt>
                <c:pt idx="340">
                  <c:v>1.0008683144615109</c:v>
                </c:pt>
                <c:pt idx="341">
                  <c:v>1.0008772469715181</c:v>
                </c:pt>
                <c:pt idx="342">
                  <c:v>1.00069285255041</c:v>
                </c:pt>
                <c:pt idx="343">
                  <c:v>1.0006666799272665</c:v>
                </c:pt>
                <c:pt idx="344">
                  <c:v>1.0007402364266995</c:v>
                </c:pt>
                <c:pt idx="345">
                  <c:v>1.0006975245743486</c:v>
                </c:pt>
                <c:pt idx="346">
                  <c:v>1.0007643843700063</c:v>
                </c:pt>
                <c:pt idx="347">
                  <c:v>1.000762879123225</c:v>
                </c:pt>
                <c:pt idx="348">
                  <c:v>1.00080520199366</c:v>
                </c:pt>
                <c:pt idx="349">
                  <c:v>1.0007795983837307</c:v>
                </c:pt>
                <c:pt idx="350">
                  <c:v>1.000734307426975</c:v>
                </c:pt>
                <c:pt idx="351">
                  <c:v>1.000696620122536</c:v>
                </c:pt>
                <c:pt idx="352">
                  <c:v>1.0006010642992271</c:v>
                </c:pt>
                <c:pt idx="353">
                  <c:v>1.0006047350683829</c:v>
                </c:pt>
                <c:pt idx="354">
                  <c:v>1.0007518282726666</c:v>
                </c:pt>
                <c:pt idx="355">
                  <c:v>1.0007402381946597</c:v>
                </c:pt>
                <c:pt idx="356">
                  <c:v>1.0008532728886195</c:v>
                </c:pt>
                <c:pt idx="357">
                  <c:v>1.0007491957716488</c:v>
                </c:pt>
                <c:pt idx="358">
                  <c:v>1.0008008414695826</c:v>
                </c:pt>
                <c:pt idx="359">
                  <c:v>1.0006784284579588</c:v>
                </c:pt>
                <c:pt idx="360">
                  <c:v>1.0006904481347878</c:v>
                </c:pt>
                <c:pt idx="361">
                  <c:v>1.0007233338441586</c:v>
                </c:pt>
                <c:pt idx="362">
                  <c:v>1.0007191710810777</c:v>
                </c:pt>
                <c:pt idx="363">
                  <c:v>1.000655990679193</c:v>
                </c:pt>
                <c:pt idx="364">
                  <c:v>1.0006729780356327</c:v>
                </c:pt>
                <c:pt idx="365">
                  <c:v>1.0006708310533439</c:v>
                </c:pt>
                <c:pt idx="366">
                  <c:v>1.0007134718349062</c:v>
                </c:pt>
                <c:pt idx="367">
                  <c:v>1.000732630493065</c:v>
                </c:pt>
                <c:pt idx="368">
                  <c:v>1.0006335399680284</c:v>
                </c:pt>
                <c:pt idx="369">
                  <c:v>1.0007135490195542</c:v>
                </c:pt>
                <c:pt idx="370">
                  <c:v>1.000695304793741</c:v>
                </c:pt>
                <c:pt idx="371">
                  <c:v>1.0007127334528714</c:v>
                </c:pt>
                <c:pt idx="372">
                  <c:v>1.0007261487464516</c:v>
                </c:pt>
                <c:pt idx="373">
                  <c:v>1.0007331599454234</c:v>
                </c:pt>
                <c:pt idx="374">
                  <c:v>1.0007456535933295</c:v>
                </c:pt>
                <c:pt idx="375">
                  <c:v>1.0008220886423831</c:v>
                </c:pt>
                <c:pt idx="376">
                  <c:v>1.0008993882746906</c:v>
                </c:pt>
                <c:pt idx="377">
                  <c:v>1.0009072952378777</c:v>
                </c:pt>
                <c:pt idx="378">
                  <c:v>1.0007956741217703</c:v>
                </c:pt>
                <c:pt idx="379">
                  <c:v>1.0008227671076175</c:v>
                </c:pt>
                <c:pt idx="380">
                  <c:v>1.0008364615940184</c:v>
                </c:pt>
                <c:pt idx="381">
                  <c:v>1.0007508943248986</c:v>
                </c:pt>
                <c:pt idx="382">
                  <c:v>1.0007126947557805</c:v>
                </c:pt>
                <c:pt idx="383">
                  <c:v>1.0007383359779185</c:v>
                </c:pt>
                <c:pt idx="384">
                  <c:v>1.0006863835454449</c:v>
                </c:pt>
                <c:pt idx="385">
                  <c:v>1.0006219515131296</c:v>
                </c:pt>
                <c:pt idx="386">
                  <c:v>1.0006381456989564</c:v>
                </c:pt>
                <c:pt idx="387">
                  <c:v>1.0006054503611486</c:v>
                </c:pt>
                <c:pt idx="388">
                  <c:v>1.0006053823965657</c:v>
                </c:pt>
                <c:pt idx="389">
                  <c:v>1.0006420151905286</c:v>
                </c:pt>
                <c:pt idx="390">
                  <c:v>1.0005324449281043</c:v>
                </c:pt>
                <c:pt idx="391">
                  <c:v>1.0005619531402454</c:v>
                </c:pt>
                <c:pt idx="392">
                  <c:v>1.0006696859095947</c:v>
                </c:pt>
                <c:pt idx="393">
                  <c:v>1.0005080012524667</c:v>
                </c:pt>
                <c:pt idx="394">
                  <c:v>1.0004217612183657</c:v>
                </c:pt>
                <c:pt idx="395">
                  <c:v>1.0002333755165864</c:v>
                </c:pt>
                <c:pt idx="396">
                  <c:v>1.0003518016820385</c:v>
                </c:pt>
                <c:pt idx="397">
                  <c:v>1.0002684548017968</c:v>
                </c:pt>
                <c:pt idx="398">
                  <c:v>1.0002645307698712</c:v>
                </c:pt>
                <c:pt idx="399">
                  <c:v>1.0003690763119908</c:v>
                </c:pt>
                <c:pt idx="400">
                  <c:v>1.0003273339362782</c:v>
                </c:pt>
                <c:pt idx="401">
                  <c:v>1.0003423444525519</c:v>
                </c:pt>
                <c:pt idx="402">
                  <c:v>1.0004141724534001</c:v>
                </c:pt>
                <c:pt idx="403">
                  <c:v>1.0005254258290075</c:v>
                </c:pt>
                <c:pt idx="404">
                  <c:v>1.0005551670473913</c:v>
                </c:pt>
                <c:pt idx="405">
                  <c:v>1.0005859969636501</c:v>
                </c:pt>
                <c:pt idx="406">
                  <c:v>1.0005386836038446</c:v>
                </c:pt>
                <c:pt idx="407">
                  <c:v>1.0004530933826872</c:v>
                </c:pt>
                <c:pt idx="408">
                  <c:v>1.000442741303343</c:v>
                </c:pt>
                <c:pt idx="409">
                  <c:v>1.000468981393249</c:v>
                </c:pt>
                <c:pt idx="410">
                  <c:v>1.0004770217431644</c:v>
                </c:pt>
                <c:pt idx="411">
                  <c:v>1.0005401380937677</c:v>
                </c:pt>
                <c:pt idx="412">
                  <c:v>1.0006096287561999</c:v>
                </c:pt>
                <c:pt idx="413">
                  <c:v>1.0005172390537869</c:v>
                </c:pt>
                <c:pt idx="414">
                  <c:v>1.0005543783880682</c:v>
                </c:pt>
                <c:pt idx="415">
                  <c:v>1.0007273843829887</c:v>
                </c:pt>
                <c:pt idx="416">
                  <c:v>1.0007760068522658</c:v>
                </c:pt>
                <c:pt idx="417">
                  <c:v>1.0007315333282365</c:v>
                </c:pt>
                <c:pt idx="418">
                  <c:v>1.0007509183323451</c:v>
                </c:pt>
                <c:pt idx="419">
                  <c:v>1.0006892790251951</c:v>
                </c:pt>
                <c:pt idx="420">
                  <c:v>1.0006864427193674</c:v>
                </c:pt>
                <c:pt idx="421">
                  <c:v>1.0005986467623154</c:v>
                </c:pt>
                <c:pt idx="422">
                  <c:v>1.0006668840541852</c:v>
                </c:pt>
                <c:pt idx="423">
                  <c:v>1.0006342611530747</c:v>
                </c:pt>
                <c:pt idx="424">
                  <c:v>1.0004264577026709</c:v>
                </c:pt>
                <c:pt idx="425">
                  <c:v>1.0004359051909206</c:v>
                </c:pt>
                <c:pt idx="426">
                  <c:v>1.0004635112092235</c:v>
                </c:pt>
                <c:pt idx="427">
                  <c:v>1.0005103962631654</c:v>
                </c:pt>
                <c:pt idx="428">
                  <c:v>1.0005776160536417</c:v>
                </c:pt>
                <c:pt idx="429">
                  <c:v>1.000420265589248</c:v>
                </c:pt>
                <c:pt idx="430">
                  <c:v>1.0005181868935731</c:v>
                </c:pt>
                <c:pt idx="431">
                  <c:v>1.0005820959392615</c:v>
                </c:pt>
                <c:pt idx="432">
                  <c:v>1.0005687529023364</c:v>
                </c:pt>
                <c:pt idx="433">
                  <c:v>1.0005613941285065</c:v>
                </c:pt>
                <c:pt idx="434">
                  <c:v>1.0006419944287714</c:v>
                </c:pt>
                <c:pt idx="435">
                  <c:v>1.0007060069064801</c:v>
                </c:pt>
                <c:pt idx="436">
                  <c:v>1.0008355924656365</c:v>
                </c:pt>
                <c:pt idx="437">
                  <c:v>1.0008258200762161</c:v>
                </c:pt>
                <c:pt idx="438">
                  <c:v>1.0008408041724246</c:v>
                </c:pt>
                <c:pt idx="439">
                  <c:v>1.0007058777242421</c:v>
                </c:pt>
                <c:pt idx="440">
                  <c:v>1.0006734240139128</c:v>
                </c:pt>
                <c:pt idx="441">
                  <c:v>1.0006259326420202</c:v>
                </c:pt>
                <c:pt idx="442">
                  <c:v>1.0005666799361428</c:v>
                </c:pt>
                <c:pt idx="443">
                  <c:v>1.0007907706017614</c:v>
                </c:pt>
                <c:pt idx="444">
                  <c:v>1.0009846986808848</c:v>
                </c:pt>
                <c:pt idx="445">
                  <c:v>1.000951661365455</c:v>
                </c:pt>
                <c:pt idx="446">
                  <c:v>1.0009409602899859</c:v>
                </c:pt>
                <c:pt idx="447">
                  <c:v>1.0008729665670739</c:v>
                </c:pt>
                <c:pt idx="448">
                  <c:v>1.0008330345636036</c:v>
                </c:pt>
                <c:pt idx="449">
                  <c:v>1.0006802411603728</c:v>
                </c:pt>
                <c:pt idx="450">
                  <c:v>1.0007713459104102</c:v>
                </c:pt>
                <c:pt idx="451">
                  <c:v>1.0008282584468919</c:v>
                </c:pt>
                <c:pt idx="452">
                  <c:v>1.0008980379258881</c:v>
                </c:pt>
                <c:pt idx="453">
                  <c:v>1.0009558688536433</c:v>
                </c:pt>
                <c:pt idx="454">
                  <c:v>1.0006895224715799</c:v>
                </c:pt>
                <c:pt idx="455">
                  <c:v>1.00065292056674</c:v>
                </c:pt>
                <c:pt idx="456">
                  <c:v>1.0005622484897041</c:v>
                </c:pt>
                <c:pt idx="457">
                  <c:v>1.0005074761541362</c:v>
                </c:pt>
                <c:pt idx="458">
                  <c:v>1.000523016806449</c:v>
                </c:pt>
                <c:pt idx="459">
                  <c:v>1.0006630602721875</c:v>
                </c:pt>
                <c:pt idx="460">
                  <c:v>1.0005091184557213</c:v>
                </c:pt>
                <c:pt idx="461">
                  <c:v>1.0005317768610578</c:v>
                </c:pt>
                <c:pt idx="462">
                  <c:v>1.0005867771021408</c:v>
                </c:pt>
                <c:pt idx="463">
                  <c:v>1.0007034873061311</c:v>
                </c:pt>
                <c:pt idx="464">
                  <c:v>1.0007461172574978</c:v>
                </c:pt>
                <c:pt idx="465">
                  <c:v>1.0006911576962756</c:v>
                </c:pt>
                <c:pt idx="466">
                  <c:v>1.0007364056754395</c:v>
                </c:pt>
                <c:pt idx="467">
                  <c:v>1.0007584145442627</c:v>
                </c:pt>
                <c:pt idx="468">
                  <c:v>1.0007721201344582</c:v>
                </c:pt>
                <c:pt idx="469">
                  <c:v>1.0006800779317782</c:v>
                </c:pt>
                <c:pt idx="470">
                  <c:v>1.0006815707315599</c:v>
                </c:pt>
                <c:pt idx="471">
                  <c:v>1.0006753035601825</c:v>
                </c:pt>
                <c:pt idx="472">
                  <c:v>1.0007901899068055</c:v>
                </c:pt>
                <c:pt idx="473">
                  <c:v>1.0005435557024598</c:v>
                </c:pt>
                <c:pt idx="474">
                  <c:v>1.000600064785824</c:v>
                </c:pt>
                <c:pt idx="475">
                  <c:v>1.0007070132884597</c:v>
                </c:pt>
                <c:pt idx="476">
                  <c:v>1.0006825835083084</c:v>
                </c:pt>
                <c:pt idx="477">
                  <c:v>1.0006785510622678</c:v>
                </c:pt>
                <c:pt idx="478">
                  <c:v>1.0006856081024114</c:v>
                </c:pt>
                <c:pt idx="479">
                  <c:v>1.0005840930419232</c:v>
                </c:pt>
                <c:pt idx="480">
                  <c:v>1.0005012653779595</c:v>
                </c:pt>
                <c:pt idx="481">
                  <c:v>1.0005552361928878</c:v>
                </c:pt>
                <c:pt idx="482">
                  <c:v>1.0006553124906807</c:v>
                </c:pt>
                <c:pt idx="483">
                  <c:v>1.0006315517021711</c:v>
                </c:pt>
                <c:pt idx="484">
                  <c:v>1.0006699397599201</c:v>
                </c:pt>
                <c:pt idx="485">
                  <c:v>1.0007007378916712</c:v>
                </c:pt>
                <c:pt idx="486">
                  <c:v>1.000648159589399</c:v>
                </c:pt>
                <c:pt idx="487">
                  <c:v>1.0007939995217012</c:v>
                </c:pt>
                <c:pt idx="488">
                  <c:v>1.0007768293417327</c:v>
                </c:pt>
                <c:pt idx="489">
                  <c:v>1.0006020440131711</c:v>
                </c:pt>
                <c:pt idx="490">
                  <c:v>1.0005522165526586</c:v>
                </c:pt>
                <c:pt idx="491">
                  <c:v>1.0004531285118736</c:v>
                </c:pt>
                <c:pt idx="492">
                  <c:v>1.0004459503442678</c:v>
                </c:pt>
                <c:pt idx="493">
                  <c:v>1.0005993431244156</c:v>
                </c:pt>
                <c:pt idx="494">
                  <c:v>1.000585197179833</c:v>
                </c:pt>
                <c:pt idx="495">
                  <c:v>1.0007208378202974</c:v>
                </c:pt>
                <c:pt idx="496">
                  <c:v>1.0005511460027532</c:v>
                </c:pt>
                <c:pt idx="497">
                  <c:v>1.0004184531673446</c:v>
                </c:pt>
                <c:pt idx="498">
                  <c:v>1.0003438083683156</c:v>
                </c:pt>
                <c:pt idx="499">
                  <c:v>1.0004211176474542</c:v>
                </c:pt>
                <c:pt idx="500">
                  <c:v>1.0003816946124136</c:v>
                </c:pt>
                <c:pt idx="501">
                  <c:v>1.0005313073721478</c:v>
                </c:pt>
                <c:pt idx="502">
                  <c:v>1.0004635141649594</c:v>
                </c:pt>
                <c:pt idx="503">
                  <c:v>1.0005367192807035</c:v>
                </c:pt>
                <c:pt idx="504">
                  <c:v>1.0004266918733069</c:v>
                </c:pt>
                <c:pt idx="505">
                  <c:v>1.0004208758775037</c:v>
                </c:pt>
                <c:pt idx="506">
                  <c:v>1.0005052174540865</c:v>
                </c:pt>
                <c:pt idx="507">
                  <c:v>1.0005282399314712</c:v>
                </c:pt>
                <c:pt idx="508">
                  <c:v>1.0004232843398757</c:v>
                </c:pt>
                <c:pt idx="509">
                  <c:v>1.0004429063744134</c:v>
                </c:pt>
                <c:pt idx="510">
                  <c:v>1.0006231065724123</c:v>
                </c:pt>
                <c:pt idx="511">
                  <c:v>1.0006262800440517</c:v>
                </c:pt>
                <c:pt idx="512">
                  <c:v>1.0006873946806407</c:v>
                </c:pt>
                <c:pt idx="513">
                  <c:v>1.0005978395411053</c:v>
                </c:pt>
                <c:pt idx="514">
                  <c:v>1.0006203186577427</c:v>
                </c:pt>
                <c:pt idx="515">
                  <c:v>1.0005286647057712</c:v>
                </c:pt>
                <c:pt idx="516">
                  <c:v>1.0005041130004657</c:v>
                </c:pt>
                <c:pt idx="517">
                  <c:v>1.0005614274949299</c:v>
                </c:pt>
                <c:pt idx="518">
                  <c:v>1.0004813854352097</c:v>
                </c:pt>
                <c:pt idx="519">
                  <c:v>1.0005537799855351</c:v>
                </c:pt>
                <c:pt idx="520">
                  <c:v>1.0003833422225026</c:v>
                </c:pt>
                <c:pt idx="521">
                  <c:v>1.0004009113580687</c:v>
                </c:pt>
                <c:pt idx="522">
                  <c:v>1.0005392360668965</c:v>
                </c:pt>
                <c:pt idx="523">
                  <c:v>1.0004597742069812</c:v>
                </c:pt>
                <c:pt idx="524">
                  <c:v>1.0006091233605696</c:v>
                </c:pt>
                <c:pt idx="525">
                  <c:v>1.0005574887038666</c:v>
                </c:pt>
                <c:pt idx="526">
                  <c:v>1.0007053079517862</c:v>
                </c:pt>
                <c:pt idx="527">
                  <c:v>1.0007627167592796</c:v>
                </c:pt>
                <c:pt idx="528">
                  <c:v>1.000851084536273</c:v>
                </c:pt>
                <c:pt idx="529">
                  <c:v>1.0009381933989339</c:v>
                </c:pt>
                <c:pt idx="530">
                  <c:v>1.0007744543999577</c:v>
                </c:pt>
                <c:pt idx="531">
                  <c:v>1.0007946218319157</c:v>
                </c:pt>
                <c:pt idx="532">
                  <c:v>1.000759684265752</c:v>
                </c:pt>
                <c:pt idx="533">
                  <c:v>1.0007276532630749</c:v>
                </c:pt>
                <c:pt idx="534">
                  <c:v>1.0007092865036553</c:v>
                </c:pt>
                <c:pt idx="535">
                  <c:v>1.0008228830056551</c:v>
                </c:pt>
                <c:pt idx="536">
                  <c:v>1.0007039092088228</c:v>
                </c:pt>
                <c:pt idx="537">
                  <c:v>1.0006071043791689</c:v>
                </c:pt>
                <c:pt idx="538">
                  <c:v>1.0005978570776819</c:v>
                </c:pt>
                <c:pt idx="539">
                  <c:v>1.0006097172272166</c:v>
                </c:pt>
                <c:pt idx="540">
                  <c:v>1.0007547817030402</c:v>
                </c:pt>
                <c:pt idx="541">
                  <c:v>1.0007113247502513</c:v>
                </c:pt>
                <c:pt idx="542">
                  <c:v>1.0006736472199036</c:v>
                </c:pt>
                <c:pt idx="543">
                  <c:v>1.0006171083559789</c:v>
                </c:pt>
                <c:pt idx="544">
                  <c:v>1.0005893324827444</c:v>
                </c:pt>
                <c:pt idx="545">
                  <c:v>1.0005300832429227</c:v>
                </c:pt>
                <c:pt idx="546">
                  <c:v>1.0004317904157793</c:v>
                </c:pt>
                <c:pt idx="547">
                  <c:v>1.0003616343845581</c:v>
                </c:pt>
                <c:pt idx="548">
                  <c:v>1.0004037032638298</c:v>
                </c:pt>
                <c:pt idx="549">
                  <c:v>1.0005094140788386</c:v>
                </c:pt>
                <c:pt idx="550">
                  <c:v>1.0003979508176388</c:v>
                </c:pt>
                <c:pt idx="551">
                  <c:v>1.0003676105609414</c:v>
                </c:pt>
                <c:pt idx="552">
                  <c:v>1.0004515101768974</c:v>
                </c:pt>
                <c:pt idx="553">
                  <c:v>1.0004686601583663</c:v>
                </c:pt>
                <c:pt idx="554">
                  <c:v>1.0005586023978932</c:v>
                </c:pt>
                <c:pt idx="555">
                  <c:v>1.0006684072543808</c:v>
                </c:pt>
                <c:pt idx="556">
                  <c:v>1.0006553783561905</c:v>
                </c:pt>
                <c:pt idx="557">
                  <c:v>1.0007242572008692</c:v>
                </c:pt>
                <c:pt idx="558">
                  <c:v>1.0006475091009062</c:v>
                </c:pt>
                <c:pt idx="559">
                  <c:v>1.0006180880863373</c:v>
                </c:pt>
                <c:pt idx="560">
                  <c:v>1.0006810088236269</c:v>
                </c:pt>
                <c:pt idx="561">
                  <c:v>1.0006244958554757</c:v>
                </c:pt>
                <c:pt idx="562">
                  <c:v>1.0004611824033602</c:v>
                </c:pt>
                <c:pt idx="563">
                  <c:v>1.0004005642743385</c:v>
                </c:pt>
                <c:pt idx="564">
                  <c:v>1.0002288696972392</c:v>
                </c:pt>
                <c:pt idx="565">
                  <c:v>1.0003846021868046</c:v>
                </c:pt>
                <c:pt idx="566">
                  <c:v>1.0003194554630257</c:v>
                </c:pt>
                <c:pt idx="567">
                  <c:v>1.0003369828976945</c:v>
                </c:pt>
                <c:pt idx="568">
                  <c:v>1.0003213549842302</c:v>
                </c:pt>
                <c:pt idx="569">
                  <c:v>1.0003683655068978</c:v>
                </c:pt>
                <c:pt idx="570">
                  <c:v>1.0003642654508855</c:v>
                </c:pt>
                <c:pt idx="571">
                  <c:v>1.0003467493464537</c:v>
                </c:pt>
                <c:pt idx="572">
                  <c:v>1.0005179121045553</c:v>
                </c:pt>
                <c:pt idx="573">
                  <c:v>1.000583021316239</c:v>
                </c:pt>
                <c:pt idx="574">
                  <c:v>1.0002693611745026</c:v>
                </c:pt>
                <c:pt idx="575">
                  <c:v>1.000168004400587</c:v>
                </c:pt>
                <c:pt idx="576">
                  <c:v>1.0001166853672037</c:v>
                </c:pt>
                <c:pt idx="577">
                  <c:v>1.0001719432986951</c:v>
                </c:pt>
                <c:pt idx="578">
                  <c:v>1.0003278002156608</c:v>
                </c:pt>
                <c:pt idx="579">
                  <c:v>1.0002937196380108</c:v>
                </c:pt>
                <c:pt idx="580">
                  <c:v>1.0002530039295239</c:v>
                </c:pt>
                <c:pt idx="581">
                  <c:v>1.0003751384693003</c:v>
                </c:pt>
                <c:pt idx="582">
                  <c:v>1.0003628456603544</c:v>
                </c:pt>
                <c:pt idx="583">
                  <c:v>1.0004533735250853</c:v>
                </c:pt>
                <c:pt idx="584">
                  <c:v>1.0004307058958981</c:v>
                </c:pt>
                <c:pt idx="585">
                  <c:v>1.0003461012170929</c:v>
                </c:pt>
                <c:pt idx="586">
                  <c:v>1.0003869738666633</c:v>
                </c:pt>
                <c:pt idx="587">
                  <c:v>1.0004817754999538</c:v>
                </c:pt>
                <c:pt idx="588">
                  <c:v>1.0005176462302499</c:v>
                </c:pt>
                <c:pt idx="589">
                  <c:v>1.0006790228451983</c:v>
                </c:pt>
                <c:pt idx="590">
                  <c:v>1.000706599246262</c:v>
                </c:pt>
                <c:pt idx="591">
                  <c:v>1.0005321846255106</c:v>
                </c:pt>
                <c:pt idx="592">
                  <c:v>1.0005062114959848</c:v>
                </c:pt>
                <c:pt idx="593">
                  <c:v>1.0003673341412427</c:v>
                </c:pt>
                <c:pt idx="594">
                  <c:v>1.0003116537595194</c:v>
                </c:pt>
                <c:pt idx="595">
                  <c:v>1.0003302034919825</c:v>
                </c:pt>
                <c:pt idx="596">
                  <c:v>1.0003533424955346</c:v>
                </c:pt>
                <c:pt idx="597">
                  <c:v>1.0005863663796242</c:v>
                </c:pt>
                <c:pt idx="598">
                  <c:v>1.0006643638032493</c:v>
                </c:pt>
                <c:pt idx="599">
                  <c:v>1.0005273825551313</c:v>
                </c:pt>
                <c:pt idx="600">
                  <c:v>1.0003999961316814</c:v>
                </c:pt>
                <c:pt idx="601">
                  <c:v>1.0002173938275354</c:v>
                </c:pt>
                <c:pt idx="602">
                  <c:v>1.0003360039269225</c:v>
                </c:pt>
                <c:pt idx="603">
                  <c:v>1.0001890871302352</c:v>
                </c:pt>
                <c:pt idx="604">
                  <c:v>1.0001818007358527</c:v>
                </c:pt>
                <c:pt idx="605">
                  <c:v>1.0002500931916563</c:v>
                </c:pt>
                <c:pt idx="606">
                  <c:v>1.0001734228524917</c:v>
                </c:pt>
                <c:pt idx="607">
                  <c:v>1.0002307336194585</c:v>
                </c:pt>
                <c:pt idx="608">
                  <c:v>1.0002095498181804</c:v>
                </c:pt>
                <c:pt idx="609">
                  <c:v>1.0001525120493886</c:v>
                </c:pt>
                <c:pt idx="610">
                  <c:v>1.000053197551239</c:v>
                </c:pt>
                <c:pt idx="611">
                  <c:v>1.0000069193990224</c:v>
                </c:pt>
                <c:pt idx="612">
                  <c:v>1.0000166168257829</c:v>
                </c:pt>
                <c:pt idx="613">
                  <c:v>1.0000947606191821</c:v>
                </c:pt>
                <c:pt idx="614">
                  <c:v>0.99997718603242103</c:v>
                </c:pt>
                <c:pt idx="615">
                  <c:v>1.0001090273699327</c:v>
                </c:pt>
                <c:pt idx="616">
                  <c:v>1.0002467914259592</c:v>
                </c:pt>
                <c:pt idx="617">
                  <c:v>1.0002394838961137</c:v>
                </c:pt>
                <c:pt idx="618">
                  <c:v>1.0004607909186281</c:v>
                </c:pt>
                <c:pt idx="619">
                  <c:v>1.0003834759764516</c:v>
                </c:pt>
                <c:pt idx="620">
                  <c:v>1.0003149902037833</c:v>
                </c:pt>
                <c:pt idx="621">
                  <c:v>1.0005554620118524</c:v>
                </c:pt>
                <c:pt idx="622">
                  <c:v>1.000487383127098</c:v>
                </c:pt>
                <c:pt idx="623">
                  <c:v>1.0004569070188778</c:v>
                </c:pt>
                <c:pt idx="624">
                  <c:v>1.0004009034884316</c:v>
                </c:pt>
                <c:pt idx="625">
                  <c:v>1.0003885010292002</c:v>
                </c:pt>
                <c:pt idx="626">
                  <c:v>1.0003223021535701</c:v>
                </c:pt>
                <c:pt idx="627">
                  <c:v>1.0002801902274527</c:v>
                </c:pt>
                <c:pt idx="628">
                  <c:v>1.0004519785749282</c:v>
                </c:pt>
                <c:pt idx="629">
                  <c:v>1.0004940397056379</c:v>
                </c:pt>
                <c:pt idx="630">
                  <c:v>1.0007131223340902</c:v>
                </c:pt>
                <c:pt idx="631">
                  <c:v>1.0009051602748376</c:v>
                </c:pt>
                <c:pt idx="632">
                  <c:v>1.0006683403399241</c:v>
                </c:pt>
                <c:pt idx="633">
                  <c:v>1.0007484738489951</c:v>
                </c:pt>
                <c:pt idx="634">
                  <c:v>1.0008704671490194</c:v>
                </c:pt>
                <c:pt idx="635">
                  <c:v>1.0007267592901985</c:v>
                </c:pt>
                <c:pt idx="636">
                  <c:v>1.0007949496303803</c:v>
                </c:pt>
                <c:pt idx="637">
                  <c:v>1.0007885015841951</c:v>
                </c:pt>
                <c:pt idx="638">
                  <c:v>1.0006664291120992</c:v>
                </c:pt>
                <c:pt idx="639">
                  <c:v>1.0006672999699235</c:v>
                </c:pt>
                <c:pt idx="640">
                  <c:v>1.000646503054138</c:v>
                </c:pt>
                <c:pt idx="641">
                  <c:v>1.0007983388046082</c:v>
                </c:pt>
                <c:pt idx="642">
                  <c:v>1.0007545466215109</c:v>
                </c:pt>
                <c:pt idx="643">
                  <c:v>1.0006918797564421</c:v>
                </c:pt>
                <c:pt idx="644">
                  <c:v>1.0007687237839031</c:v>
                </c:pt>
                <c:pt idx="645">
                  <c:v>1.0008292547026492</c:v>
                </c:pt>
                <c:pt idx="646">
                  <c:v>1.0007947533613013</c:v>
                </c:pt>
                <c:pt idx="647">
                  <c:v>1.0007405320099032</c:v>
                </c:pt>
                <c:pt idx="648">
                  <c:v>1.0007427810979685</c:v>
                </c:pt>
                <c:pt idx="649">
                  <c:v>1.0007493583834464</c:v>
                </c:pt>
                <c:pt idx="650">
                  <c:v>1.0007173547230193</c:v>
                </c:pt>
                <c:pt idx="651">
                  <c:v>1.0007168983861612</c:v>
                </c:pt>
                <c:pt idx="652">
                  <c:v>1.0006747227423212</c:v>
                </c:pt>
                <c:pt idx="653">
                  <c:v>1.0007197276627988</c:v>
                </c:pt>
                <c:pt idx="654">
                  <c:v>1.0006848384448237</c:v>
                </c:pt>
                <c:pt idx="655">
                  <c:v>1.0007293245560627</c:v>
                </c:pt>
                <c:pt idx="656">
                  <c:v>1.0006041755286104</c:v>
                </c:pt>
                <c:pt idx="657">
                  <c:v>1.0005658302106784</c:v>
                </c:pt>
                <c:pt idx="658">
                  <c:v>1.0005171048670285</c:v>
                </c:pt>
                <c:pt idx="659">
                  <c:v>1.0004041308016141</c:v>
                </c:pt>
                <c:pt idx="660">
                  <c:v>1.0003779196100249</c:v>
                </c:pt>
                <c:pt idx="661">
                  <c:v>1.0005443607031146</c:v>
                </c:pt>
                <c:pt idx="662">
                  <c:v>1.0004902593200724</c:v>
                </c:pt>
                <c:pt idx="663">
                  <c:v>1.0005545733970489</c:v>
                </c:pt>
                <c:pt idx="664">
                  <c:v>1.0005923705442519</c:v>
                </c:pt>
                <c:pt idx="665">
                  <c:v>1.0007931378232253</c:v>
                </c:pt>
                <c:pt idx="666">
                  <c:v>1.0008755621294654</c:v>
                </c:pt>
                <c:pt idx="667">
                  <c:v>1.0010578110934678</c:v>
                </c:pt>
                <c:pt idx="668">
                  <c:v>1.0009665736771844</c:v>
                </c:pt>
                <c:pt idx="669">
                  <c:v>1.0010628226860288</c:v>
                </c:pt>
                <c:pt idx="670">
                  <c:v>1.0009960113070109</c:v>
                </c:pt>
                <c:pt idx="671">
                  <c:v>1.0009955516371158</c:v>
                </c:pt>
                <c:pt idx="672">
                  <c:v>1.0011345549747337</c:v>
                </c:pt>
                <c:pt idx="673">
                  <c:v>1.0010828727486296</c:v>
                </c:pt>
                <c:pt idx="674">
                  <c:v>1.0010650970772239</c:v>
                </c:pt>
                <c:pt idx="675">
                  <c:v>1.0010772683595399</c:v>
                </c:pt>
                <c:pt idx="676">
                  <c:v>1.0010155033531301</c:v>
                </c:pt>
                <c:pt idx="677">
                  <c:v>1.0009403118547977</c:v>
                </c:pt>
                <c:pt idx="678">
                  <c:v>1.0008207188095859</c:v>
                </c:pt>
                <c:pt idx="679">
                  <c:v>1.0008325720248274</c:v>
                </c:pt>
                <c:pt idx="680">
                  <c:v>1.0007406367894853</c:v>
                </c:pt>
                <c:pt idx="681">
                  <c:v>1.0004957865939275</c:v>
                </c:pt>
                <c:pt idx="682">
                  <c:v>1.0003438357139629</c:v>
                </c:pt>
                <c:pt idx="683">
                  <c:v>1.0002882970020635</c:v>
                </c:pt>
                <c:pt idx="684">
                  <c:v>1.0002446731768189</c:v>
                </c:pt>
                <c:pt idx="685">
                  <c:v>1.0003521627203826</c:v>
                </c:pt>
                <c:pt idx="686">
                  <c:v>1.0002819259811768</c:v>
                </c:pt>
                <c:pt idx="687">
                  <c:v>1.0005266355938611</c:v>
                </c:pt>
                <c:pt idx="688">
                  <c:v>1.0005925428867941</c:v>
                </c:pt>
                <c:pt idx="689">
                  <c:v>1.0006871312383192</c:v>
                </c:pt>
                <c:pt idx="690">
                  <c:v>1.0006457482934807</c:v>
                </c:pt>
                <c:pt idx="691">
                  <c:v>1.0007850119894575</c:v>
                </c:pt>
                <c:pt idx="692">
                  <c:v>1.0005664497644196</c:v>
                </c:pt>
                <c:pt idx="693">
                  <c:v>1.0005612302108906</c:v>
                </c:pt>
                <c:pt idx="694">
                  <c:v>1.0004702537669188</c:v>
                </c:pt>
                <c:pt idx="695">
                  <c:v>1.0004338498829217</c:v>
                </c:pt>
                <c:pt idx="696">
                  <c:v>1.000318008235958</c:v>
                </c:pt>
                <c:pt idx="697">
                  <c:v>1.0001790269678577</c:v>
                </c:pt>
                <c:pt idx="698">
                  <c:v>1.0002050454254157</c:v>
                </c:pt>
                <c:pt idx="699">
                  <c:v>1.0001347853968134</c:v>
                </c:pt>
                <c:pt idx="700">
                  <c:v>0.99999516191875959</c:v>
                </c:pt>
                <c:pt idx="701">
                  <c:v>1.0000199900265676</c:v>
                </c:pt>
                <c:pt idx="702">
                  <c:v>0.99993682106021409</c:v>
                </c:pt>
                <c:pt idx="703">
                  <c:v>0.99999900279292597</c:v>
                </c:pt>
                <c:pt idx="704">
                  <c:v>1.0000966161029168</c:v>
                </c:pt>
                <c:pt idx="705">
                  <c:v>1.0002127694915328</c:v>
                </c:pt>
                <c:pt idx="706">
                  <c:v>1.0003725096878899</c:v>
                </c:pt>
                <c:pt idx="707">
                  <c:v>1.0002194202656698</c:v>
                </c:pt>
                <c:pt idx="708">
                  <c:v>1.0000350455016935</c:v>
                </c:pt>
                <c:pt idx="709">
                  <c:v>0.99982099609184061</c:v>
                </c:pt>
                <c:pt idx="710">
                  <c:v>0.99987414906028038</c:v>
                </c:pt>
                <c:pt idx="711">
                  <c:v>0.99981400423199251</c:v>
                </c:pt>
                <c:pt idx="712">
                  <c:v>0.99986916607475829</c:v>
                </c:pt>
                <c:pt idx="713">
                  <c:v>0.99963881915700836</c:v>
                </c:pt>
                <c:pt idx="714">
                  <c:v>0.99952934216862066</c:v>
                </c:pt>
                <c:pt idx="715">
                  <c:v>0.99952180914679178</c:v>
                </c:pt>
                <c:pt idx="716">
                  <c:v>0.99962617019859279</c:v>
                </c:pt>
                <c:pt idx="717">
                  <c:v>0.99974368091372012</c:v>
                </c:pt>
                <c:pt idx="718">
                  <c:v>0.99962089050532488</c:v>
                </c:pt>
                <c:pt idx="719">
                  <c:v>0.999540309249078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Output!$L$12:$L$731</c:f>
              <c:numCache>
                <c:formatCode>General</c:formatCode>
                <c:ptCount val="720"/>
                <c:pt idx="0">
                  <c:v>1.0562975790544609</c:v>
                </c:pt>
                <c:pt idx="1">
                  <c:v>1.0779824358966745</c:v>
                </c:pt>
                <c:pt idx="2">
                  <c:v>1.0890510278955834</c:v>
                </c:pt>
                <c:pt idx="3">
                  <c:v>1.0978753534663641</c:v>
                </c:pt>
                <c:pt idx="4">
                  <c:v>1.1201558467562835</c:v>
                </c:pt>
                <c:pt idx="5">
                  <c:v>1.1446131317307568</c:v>
                </c:pt>
                <c:pt idx="6">
                  <c:v>1.1491864685996116</c:v>
                </c:pt>
                <c:pt idx="7">
                  <c:v>1.1762677143339708</c:v>
                </c:pt>
                <c:pt idx="8">
                  <c:v>1.1871843341722592</c:v>
                </c:pt>
                <c:pt idx="9">
                  <c:v>1.1938983251993165</c:v>
                </c:pt>
                <c:pt idx="10">
                  <c:v>1.2018550772669014</c:v>
                </c:pt>
                <c:pt idx="11">
                  <c:v>1.2357884814229727</c:v>
                </c:pt>
                <c:pt idx="12">
                  <c:v>1.230910670813397</c:v>
                </c:pt>
                <c:pt idx="13">
                  <c:v>1.223974219406319</c:v>
                </c:pt>
                <c:pt idx="14">
                  <c:v>1.2180233237246638</c:v>
                </c:pt>
                <c:pt idx="15">
                  <c:v>1.2170074736280398</c:v>
                </c:pt>
                <c:pt idx="16">
                  <c:v>1.22060470253138</c:v>
                </c:pt>
                <c:pt idx="17">
                  <c:v>1.2239867689022548</c:v>
                </c:pt>
                <c:pt idx="18">
                  <c:v>1.2484961442605507</c:v>
                </c:pt>
                <c:pt idx="19">
                  <c:v>1.2525638868583435</c:v>
                </c:pt>
                <c:pt idx="20">
                  <c:v>1.2278090554682626</c:v>
                </c:pt>
                <c:pt idx="21">
                  <c:v>1.2562602677607948</c:v>
                </c:pt>
                <c:pt idx="22">
                  <c:v>1.2545031174048384</c:v>
                </c:pt>
                <c:pt idx="23">
                  <c:v>1.2549158424252842</c:v>
                </c:pt>
                <c:pt idx="24">
                  <c:v>1.2763248817307482</c:v>
                </c:pt>
                <c:pt idx="25">
                  <c:v>1.273456989857185</c:v>
                </c:pt>
                <c:pt idx="26">
                  <c:v>1.303624005265307</c:v>
                </c:pt>
                <c:pt idx="27">
                  <c:v>1.3126676114501812</c:v>
                </c:pt>
                <c:pt idx="28">
                  <c:v>1.3233117648335488</c:v>
                </c:pt>
                <c:pt idx="29">
                  <c:v>1.3519752368663711</c:v>
                </c:pt>
                <c:pt idx="30">
                  <c:v>1.3779912862081194</c:v>
                </c:pt>
                <c:pt idx="31">
                  <c:v>1.3835438675768472</c:v>
                </c:pt>
                <c:pt idx="32">
                  <c:v>1.4279094639693963</c:v>
                </c:pt>
                <c:pt idx="33">
                  <c:v>1.4635198439852781</c:v>
                </c:pt>
                <c:pt idx="34">
                  <c:v>1.4706742573240084</c:v>
                </c:pt>
                <c:pt idx="35">
                  <c:v>1.4859938114189211</c:v>
                </c:pt>
                <c:pt idx="36">
                  <c:v>1.4631884251483664</c:v>
                </c:pt>
                <c:pt idx="37">
                  <c:v>1.4694295874323526</c:v>
                </c:pt>
                <c:pt idx="38">
                  <c:v>1.4973080782525749</c:v>
                </c:pt>
                <c:pt idx="39">
                  <c:v>1.5129230560204638</c:v>
                </c:pt>
                <c:pt idx="40">
                  <c:v>1.5009324386428224</c:v>
                </c:pt>
                <c:pt idx="41">
                  <c:v>1.4799165860836423</c:v>
                </c:pt>
                <c:pt idx="42">
                  <c:v>1.481538337920516</c:v>
                </c:pt>
                <c:pt idx="43">
                  <c:v>1.4896487746641798</c:v>
                </c:pt>
                <c:pt idx="44">
                  <c:v>1.5063358834750653</c:v>
                </c:pt>
                <c:pt idx="45">
                  <c:v>1.473135367095171</c:v>
                </c:pt>
                <c:pt idx="46">
                  <c:v>1.4793473976358331</c:v>
                </c:pt>
                <c:pt idx="47">
                  <c:v>1.4701957029572768</c:v>
                </c:pt>
                <c:pt idx="48">
                  <c:v>1.493781637019407</c:v>
                </c:pt>
                <c:pt idx="49">
                  <c:v>1.4654068284118429</c:v>
                </c:pt>
                <c:pt idx="50">
                  <c:v>1.5113316467401123</c:v>
                </c:pt>
                <c:pt idx="51">
                  <c:v>1.5151471635974547</c:v>
                </c:pt>
                <c:pt idx="52">
                  <c:v>1.4976305927189582</c:v>
                </c:pt>
                <c:pt idx="53">
                  <c:v>1.5147094208718521</c:v>
                </c:pt>
                <c:pt idx="54">
                  <c:v>1.5519776325347752</c:v>
                </c:pt>
                <c:pt idx="55">
                  <c:v>1.5599115952862841</c:v>
                </c:pt>
                <c:pt idx="56">
                  <c:v>1.5267426530209627</c:v>
                </c:pt>
                <c:pt idx="57">
                  <c:v>1.5070435185161706</c:v>
                </c:pt>
                <c:pt idx="58">
                  <c:v>1.5547114034673082</c:v>
                </c:pt>
                <c:pt idx="59">
                  <c:v>1.5484452813983935</c:v>
                </c:pt>
                <c:pt idx="60">
                  <c:v>1.5100143915144508</c:v>
                </c:pt>
                <c:pt idx="61">
                  <c:v>1.5201173658284228</c:v>
                </c:pt>
                <c:pt idx="62">
                  <c:v>1.5396793163331401</c:v>
                </c:pt>
                <c:pt idx="63">
                  <c:v>1.5449916942634092</c:v>
                </c:pt>
                <c:pt idx="64">
                  <c:v>1.5612524503310741</c:v>
                </c:pt>
                <c:pt idx="65">
                  <c:v>1.5845777285055458</c:v>
                </c:pt>
                <c:pt idx="66">
                  <c:v>1.548142975476537</c:v>
                </c:pt>
                <c:pt idx="67">
                  <c:v>1.5787375909052372</c:v>
                </c:pt>
                <c:pt idx="68">
                  <c:v>1.5613173608366477</c:v>
                </c:pt>
                <c:pt idx="69">
                  <c:v>1.5815801511886236</c:v>
                </c:pt>
                <c:pt idx="70">
                  <c:v>1.5903272265452768</c:v>
                </c:pt>
                <c:pt idx="71">
                  <c:v>1.5776943067691682</c:v>
                </c:pt>
                <c:pt idx="72">
                  <c:v>1.5634106411276221</c:v>
                </c:pt>
                <c:pt idx="73">
                  <c:v>1.5414165176254324</c:v>
                </c:pt>
                <c:pt idx="74">
                  <c:v>1.5331090126576121</c:v>
                </c:pt>
                <c:pt idx="75">
                  <c:v>1.5354706459642362</c:v>
                </c:pt>
                <c:pt idx="76">
                  <c:v>1.5440259725334504</c:v>
                </c:pt>
                <c:pt idx="77">
                  <c:v>1.559260697286853</c:v>
                </c:pt>
                <c:pt idx="78">
                  <c:v>1.565056178679161</c:v>
                </c:pt>
                <c:pt idx="79">
                  <c:v>1.5583117589763595</c:v>
                </c:pt>
                <c:pt idx="80">
                  <c:v>1.5358153562444197</c:v>
                </c:pt>
                <c:pt idx="81">
                  <c:v>1.5379076188297005</c:v>
                </c:pt>
                <c:pt idx="82">
                  <c:v>1.5413100708672836</c:v>
                </c:pt>
                <c:pt idx="83">
                  <c:v>1.5510508458917822</c:v>
                </c:pt>
                <c:pt idx="84">
                  <c:v>1.5756579384513791</c:v>
                </c:pt>
                <c:pt idx="85">
                  <c:v>1.5816768209588077</c:v>
                </c:pt>
                <c:pt idx="86">
                  <c:v>1.5530292088247815</c:v>
                </c:pt>
                <c:pt idx="87">
                  <c:v>1.5581024618361277</c:v>
                </c:pt>
                <c:pt idx="88">
                  <c:v>1.5619005201722851</c:v>
                </c:pt>
                <c:pt idx="89">
                  <c:v>1.5810386500990325</c:v>
                </c:pt>
                <c:pt idx="90">
                  <c:v>1.5987225313480089</c:v>
                </c:pt>
                <c:pt idx="91">
                  <c:v>1.6211236238295417</c:v>
                </c:pt>
                <c:pt idx="92">
                  <c:v>1.6218105237360434</c:v>
                </c:pt>
                <c:pt idx="93">
                  <c:v>1.6467816914533162</c:v>
                </c:pt>
                <c:pt idx="94">
                  <c:v>1.6657237182584896</c:v>
                </c:pt>
                <c:pt idx="95">
                  <c:v>1.6275545729581449</c:v>
                </c:pt>
                <c:pt idx="96">
                  <c:v>1.6448771662650119</c:v>
                </c:pt>
                <c:pt idx="97">
                  <c:v>1.6248438326829986</c:v>
                </c:pt>
                <c:pt idx="98">
                  <c:v>1.6397418648207467</c:v>
                </c:pt>
                <c:pt idx="99">
                  <c:v>1.6776198773703976</c:v>
                </c:pt>
                <c:pt idx="100">
                  <c:v>1.6751925899803359</c:v>
                </c:pt>
                <c:pt idx="101">
                  <c:v>1.7044306270950027</c:v>
                </c:pt>
                <c:pt idx="102">
                  <c:v>1.6724310433728029</c:v>
                </c:pt>
                <c:pt idx="103">
                  <c:v>1.7048788630057095</c:v>
                </c:pt>
                <c:pt idx="104">
                  <c:v>1.6809414841917556</c:v>
                </c:pt>
                <c:pt idx="105">
                  <c:v>1.656901238439622</c:v>
                </c:pt>
                <c:pt idx="106">
                  <c:v>1.6724513894653095</c:v>
                </c:pt>
                <c:pt idx="107">
                  <c:v>1.6561772171671545</c:v>
                </c:pt>
                <c:pt idx="108">
                  <c:v>1.6494428926522506</c:v>
                </c:pt>
                <c:pt idx="109">
                  <c:v>1.6211204289550742</c:v>
                </c:pt>
                <c:pt idx="110">
                  <c:v>1.6444587821186725</c:v>
                </c:pt>
                <c:pt idx="111">
                  <c:v>1.6780027178509036</c:v>
                </c:pt>
                <c:pt idx="112">
                  <c:v>1.6605248261692556</c:v>
                </c:pt>
                <c:pt idx="113">
                  <c:v>1.6555318521092</c:v>
                </c:pt>
                <c:pt idx="114">
                  <c:v>1.6667411890890409</c:v>
                </c:pt>
                <c:pt idx="115">
                  <c:v>1.6873411759329584</c:v>
                </c:pt>
                <c:pt idx="116">
                  <c:v>1.6848105065897019</c:v>
                </c:pt>
                <c:pt idx="117">
                  <c:v>1.6757021477448242</c:v>
                </c:pt>
                <c:pt idx="118">
                  <c:v>1.6800927186996277</c:v>
                </c:pt>
                <c:pt idx="119">
                  <c:v>1.6877143466713826</c:v>
                </c:pt>
                <c:pt idx="120">
                  <c:v>1.6909795437137625</c:v>
                </c:pt>
                <c:pt idx="121">
                  <c:v>1.695237257256295</c:v>
                </c:pt>
                <c:pt idx="122">
                  <c:v>1.6860410104948698</c:v>
                </c:pt>
                <c:pt idx="123">
                  <c:v>1.6932938328984266</c:v>
                </c:pt>
                <c:pt idx="124">
                  <c:v>1.7303635945901517</c:v>
                </c:pt>
                <c:pt idx="125">
                  <c:v>1.7796395064196764</c:v>
                </c:pt>
                <c:pt idx="126">
                  <c:v>1.7665355276688259</c:v>
                </c:pt>
                <c:pt idx="127">
                  <c:v>1.7849750419440737</c:v>
                </c:pt>
                <c:pt idx="128">
                  <c:v>1.7964235193243099</c:v>
                </c:pt>
                <c:pt idx="129">
                  <c:v>1.8071208830615504</c:v>
                </c:pt>
                <c:pt idx="130">
                  <c:v>1.7768176682225758</c:v>
                </c:pt>
                <c:pt idx="131">
                  <c:v>1.77213734727465</c:v>
                </c:pt>
                <c:pt idx="132">
                  <c:v>1.8076499385879261</c:v>
                </c:pt>
                <c:pt idx="133">
                  <c:v>1.794087619933677</c:v>
                </c:pt>
                <c:pt idx="134">
                  <c:v>1.7912629460468847</c:v>
                </c:pt>
                <c:pt idx="135">
                  <c:v>1.8283534957933711</c:v>
                </c:pt>
                <c:pt idx="136">
                  <c:v>1.8331394975148982</c:v>
                </c:pt>
                <c:pt idx="137">
                  <c:v>1.8307355675118209</c:v>
                </c:pt>
                <c:pt idx="138">
                  <c:v>1.8311251340325747</c:v>
                </c:pt>
                <c:pt idx="139">
                  <c:v>1.8750094479293402</c:v>
                </c:pt>
                <c:pt idx="140">
                  <c:v>1.8638906384855816</c:v>
                </c:pt>
                <c:pt idx="141">
                  <c:v>1.8619171093771254</c:v>
                </c:pt>
                <c:pt idx="142">
                  <c:v>1.8512037692739758</c:v>
                </c:pt>
                <c:pt idx="143">
                  <c:v>1.8739944600404022</c:v>
                </c:pt>
                <c:pt idx="144">
                  <c:v>1.8539332384674714</c:v>
                </c:pt>
                <c:pt idx="145">
                  <c:v>1.8785984032683389</c:v>
                </c:pt>
                <c:pt idx="146">
                  <c:v>1.8773732854724781</c:v>
                </c:pt>
                <c:pt idx="147">
                  <c:v>1.8199145876615024</c:v>
                </c:pt>
                <c:pt idx="148">
                  <c:v>1.8345918870341418</c:v>
                </c:pt>
                <c:pt idx="149">
                  <c:v>1.8095498708016804</c:v>
                </c:pt>
                <c:pt idx="150">
                  <c:v>1.8061968723671582</c:v>
                </c:pt>
                <c:pt idx="151">
                  <c:v>1.8580255074388481</c:v>
                </c:pt>
                <c:pt idx="152">
                  <c:v>1.843923975186448</c:v>
                </c:pt>
                <c:pt idx="153">
                  <c:v>1.8332543226697642</c:v>
                </c:pt>
                <c:pt idx="154">
                  <c:v>1.8645864645508952</c:v>
                </c:pt>
                <c:pt idx="155">
                  <c:v>1.8811360737654164</c:v>
                </c:pt>
                <c:pt idx="156">
                  <c:v>1.9236259318629552</c:v>
                </c:pt>
                <c:pt idx="157">
                  <c:v>1.909028371582556</c:v>
                </c:pt>
                <c:pt idx="158">
                  <c:v>1.8839768986113583</c:v>
                </c:pt>
                <c:pt idx="159">
                  <c:v>1.8936356165351984</c:v>
                </c:pt>
                <c:pt idx="160">
                  <c:v>1.8889913011074153</c:v>
                </c:pt>
                <c:pt idx="161">
                  <c:v>1.9266556269063346</c:v>
                </c:pt>
                <c:pt idx="162">
                  <c:v>1.9557890942322933</c:v>
                </c:pt>
                <c:pt idx="163">
                  <c:v>1.9718051240384682</c:v>
                </c:pt>
                <c:pt idx="164">
                  <c:v>1.9550890873818838</c:v>
                </c:pt>
                <c:pt idx="165">
                  <c:v>1.9630640715502694</c:v>
                </c:pt>
                <c:pt idx="166">
                  <c:v>1.9609862091775665</c:v>
                </c:pt>
                <c:pt idx="167">
                  <c:v>1.9923340206372895</c:v>
                </c:pt>
                <c:pt idx="168">
                  <c:v>2.0129986731002893</c:v>
                </c:pt>
                <c:pt idx="169">
                  <c:v>2.036107669523215</c:v>
                </c:pt>
                <c:pt idx="170">
                  <c:v>2.0162005644459304</c:v>
                </c:pt>
                <c:pt idx="171">
                  <c:v>2.0445414027386168</c:v>
                </c:pt>
                <c:pt idx="172">
                  <c:v>2.0079052250442815</c:v>
                </c:pt>
                <c:pt idx="173">
                  <c:v>2.0552757530080918</c:v>
                </c:pt>
                <c:pt idx="174">
                  <c:v>2.0824456943158847</c:v>
                </c:pt>
                <c:pt idx="175">
                  <c:v>2.0999809130233662</c:v>
                </c:pt>
                <c:pt idx="176">
                  <c:v>2.1042719055474115</c:v>
                </c:pt>
                <c:pt idx="177">
                  <c:v>2.1545827608561563</c:v>
                </c:pt>
                <c:pt idx="178">
                  <c:v>2.1806585472743132</c:v>
                </c:pt>
                <c:pt idx="179">
                  <c:v>2.1653102802999737</c:v>
                </c:pt>
                <c:pt idx="180">
                  <c:v>2.1433628130578195</c:v>
                </c:pt>
                <c:pt idx="181">
                  <c:v>2.1834801509452491</c:v>
                </c:pt>
                <c:pt idx="182">
                  <c:v>2.162879510691218</c:v>
                </c:pt>
                <c:pt idx="183">
                  <c:v>2.0780722335812216</c:v>
                </c:pt>
                <c:pt idx="184">
                  <c:v>2.0813511428243561</c:v>
                </c:pt>
                <c:pt idx="185">
                  <c:v>2.1074822237168425</c:v>
                </c:pt>
                <c:pt idx="186">
                  <c:v>2.0717828388789585</c:v>
                </c:pt>
                <c:pt idx="187">
                  <c:v>2.0823204054998379</c:v>
                </c:pt>
                <c:pt idx="188">
                  <c:v>2.1301618410352701</c:v>
                </c:pt>
                <c:pt idx="189">
                  <c:v>2.1410707506374305</c:v>
                </c:pt>
                <c:pt idx="190">
                  <c:v>2.1290229627240818</c:v>
                </c:pt>
                <c:pt idx="191">
                  <c:v>2.1279834394288017</c:v>
                </c:pt>
                <c:pt idx="192">
                  <c:v>2.1534618544317503</c:v>
                </c:pt>
                <c:pt idx="193">
                  <c:v>2.1840606631257233</c:v>
                </c:pt>
                <c:pt idx="194">
                  <c:v>2.1865144843929198</c:v>
                </c:pt>
                <c:pt idx="195">
                  <c:v>2.2032309332590483</c:v>
                </c:pt>
                <c:pt idx="196">
                  <c:v>2.1564422127144853</c:v>
                </c:pt>
                <c:pt idx="197">
                  <c:v>2.1677434785394554</c:v>
                </c:pt>
                <c:pt idx="198">
                  <c:v>2.1309000392248043</c:v>
                </c:pt>
                <c:pt idx="199">
                  <c:v>2.1435911639975442</c:v>
                </c:pt>
                <c:pt idx="200">
                  <c:v>2.1496401038855901</c:v>
                </c:pt>
                <c:pt idx="201">
                  <c:v>2.1012139080952652</c:v>
                </c:pt>
                <c:pt idx="202">
                  <c:v>2.1314219210344612</c:v>
                </c:pt>
                <c:pt idx="203">
                  <c:v>2.1443260771927233</c:v>
                </c:pt>
                <c:pt idx="204">
                  <c:v>2.1258620307789484</c:v>
                </c:pt>
                <c:pt idx="205">
                  <c:v>2.1166737737974683</c:v>
                </c:pt>
                <c:pt idx="206">
                  <c:v>2.1384311684820418</c:v>
                </c:pt>
                <c:pt idx="207">
                  <c:v>2.1054896929472888</c:v>
                </c:pt>
                <c:pt idx="208">
                  <c:v>2.0851606479254499</c:v>
                </c:pt>
                <c:pt idx="209">
                  <c:v>2.0744631112434573</c:v>
                </c:pt>
                <c:pt idx="210">
                  <c:v>2.0838819302776552</c:v>
                </c:pt>
                <c:pt idx="211">
                  <c:v>2.1112794763786495</c:v>
                </c:pt>
                <c:pt idx="212">
                  <c:v>2.1487867175914666</c:v>
                </c:pt>
                <c:pt idx="213">
                  <c:v>2.1003299287152148</c:v>
                </c:pt>
                <c:pt idx="214">
                  <c:v>2.0931177344034833</c:v>
                </c:pt>
                <c:pt idx="215">
                  <c:v>2.0844664947909775</c:v>
                </c:pt>
                <c:pt idx="216">
                  <c:v>2.0806099761248684</c:v>
                </c:pt>
                <c:pt idx="217">
                  <c:v>2.0784217547334776</c:v>
                </c:pt>
                <c:pt idx="218">
                  <c:v>2.0944141905283011</c:v>
                </c:pt>
                <c:pt idx="219">
                  <c:v>2.090780238118461</c:v>
                </c:pt>
                <c:pt idx="220">
                  <c:v>2.0750764651821569</c:v>
                </c:pt>
                <c:pt idx="221">
                  <c:v>2.0926533205637576</c:v>
                </c:pt>
                <c:pt idx="222">
                  <c:v>2.1361028716696646</c:v>
                </c:pt>
                <c:pt idx="223">
                  <c:v>2.148735345983392</c:v>
                </c:pt>
                <c:pt idx="224">
                  <c:v>2.1271190267187041</c:v>
                </c:pt>
                <c:pt idx="225">
                  <c:v>2.0916582333672711</c:v>
                </c:pt>
                <c:pt idx="226">
                  <c:v>2.0878758608884227</c:v>
                </c:pt>
                <c:pt idx="227">
                  <c:v>2.0809457352637879</c:v>
                </c:pt>
                <c:pt idx="228">
                  <c:v>2.1074705325367287</c:v>
                </c:pt>
                <c:pt idx="229">
                  <c:v>2.126100702679274</c:v>
                </c:pt>
                <c:pt idx="230">
                  <c:v>2.119315275518066</c:v>
                </c:pt>
                <c:pt idx="231">
                  <c:v>2.1539889171899325</c:v>
                </c:pt>
                <c:pt idx="232">
                  <c:v>2.1302849737382754</c:v>
                </c:pt>
                <c:pt idx="233">
                  <c:v>2.2045171310295819</c:v>
                </c:pt>
                <c:pt idx="234">
                  <c:v>2.1979030879085579</c:v>
                </c:pt>
                <c:pt idx="235">
                  <c:v>2.1841693222739802</c:v>
                </c:pt>
                <c:pt idx="236">
                  <c:v>2.1660680611393954</c:v>
                </c:pt>
                <c:pt idx="237">
                  <c:v>2.1663455008998072</c:v>
                </c:pt>
                <c:pt idx="238">
                  <c:v>2.1665129637572242</c:v>
                </c:pt>
                <c:pt idx="239">
                  <c:v>2.2078298973786001</c:v>
                </c:pt>
                <c:pt idx="240">
                  <c:v>2.2519171093169352</c:v>
                </c:pt>
                <c:pt idx="241">
                  <c:v>2.3362232416280344</c:v>
                </c:pt>
                <c:pt idx="242">
                  <c:v>2.3381195783955948</c:v>
                </c:pt>
                <c:pt idx="243">
                  <c:v>2.2897045080476066</c:v>
                </c:pt>
                <c:pt idx="244">
                  <c:v>2.3224083304248144</c:v>
                </c:pt>
                <c:pt idx="245">
                  <c:v>2.337902578201009</c:v>
                </c:pt>
                <c:pt idx="246">
                  <c:v>2.3819708348771065</c:v>
                </c:pt>
                <c:pt idx="247">
                  <c:v>2.3715078485312091</c:v>
                </c:pt>
                <c:pt idx="248">
                  <c:v>2.3457282408739824</c:v>
                </c:pt>
                <c:pt idx="249">
                  <c:v>2.337015397114425</c:v>
                </c:pt>
                <c:pt idx="250">
                  <c:v>2.3006988930597121</c:v>
                </c:pt>
                <c:pt idx="251">
                  <c:v>2.2899971132316024</c:v>
                </c:pt>
                <c:pt idx="252">
                  <c:v>2.2835966611802268</c:v>
                </c:pt>
                <c:pt idx="253">
                  <c:v>2.2719791210490565</c:v>
                </c:pt>
                <c:pt idx="254">
                  <c:v>2.2748020316370212</c:v>
                </c:pt>
                <c:pt idx="255">
                  <c:v>2.3129567292511442</c:v>
                </c:pt>
                <c:pt idx="256">
                  <c:v>2.3683955457249506</c:v>
                </c:pt>
                <c:pt idx="257">
                  <c:v>2.3878729665569094</c:v>
                </c:pt>
                <c:pt idx="258">
                  <c:v>2.3890625261016698</c:v>
                </c:pt>
                <c:pt idx="259">
                  <c:v>2.4466313608355388</c:v>
                </c:pt>
                <c:pt idx="260">
                  <c:v>2.4335575510601433</c:v>
                </c:pt>
                <c:pt idx="261">
                  <c:v>2.5213647919733839</c:v>
                </c:pt>
                <c:pt idx="262">
                  <c:v>2.5625871933004993</c:v>
                </c:pt>
                <c:pt idx="263">
                  <c:v>2.5307142783859993</c:v>
                </c:pt>
                <c:pt idx="264">
                  <c:v>2.4849466195395697</c:v>
                </c:pt>
                <c:pt idx="265">
                  <c:v>2.5154542984636024</c:v>
                </c:pt>
                <c:pt idx="266">
                  <c:v>2.5572707699419728</c:v>
                </c:pt>
                <c:pt idx="267">
                  <c:v>2.5617647032065918</c:v>
                </c:pt>
                <c:pt idx="268">
                  <c:v>2.5906573610678918</c:v>
                </c:pt>
                <c:pt idx="269">
                  <c:v>2.6329998621472344</c:v>
                </c:pt>
                <c:pt idx="270">
                  <c:v>2.6174039303197687</c:v>
                </c:pt>
                <c:pt idx="271">
                  <c:v>2.6376579622395848</c:v>
                </c:pt>
                <c:pt idx="272">
                  <c:v>2.5943434417867737</c:v>
                </c:pt>
                <c:pt idx="273">
                  <c:v>2.586984694047453</c:v>
                </c:pt>
                <c:pt idx="274">
                  <c:v>2.557094296644578</c:v>
                </c:pt>
                <c:pt idx="275">
                  <c:v>2.6011604848490846</c:v>
                </c:pt>
                <c:pt idx="276">
                  <c:v>2.5980424030498956</c:v>
                </c:pt>
                <c:pt idx="277">
                  <c:v>2.6019845042755745</c:v>
                </c:pt>
                <c:pt idx="278">
                  <c:v>2.5406959026206732</c:v>
                </c:pt>
                <c:pt idx="279">
                  <c:v>2.5666838417040139</c:v>
                </c:pt>
                <c:pt idx="280">
                  <c:v>2.5817171489113373</c:v>
                </c:pt>
                <c:pt idx="281">
                  <c:v>2.6298882616151631</c:v>
                </c:pt>
                <c:pt idx="282">
                  <c:v>2.6244458180324308</c:v>
                </c:pt>
                <c:pt idx="283">
                  <c:v>2.6799994563197935</c:v>
                </c:pt>
                <c:pt idx="284">
                  <c:v>2.6042364698598264</c:v>
                </c:pt>
                <c:pt idx="285">
                  <c:v>2.5907318504059074</c:v>
                </c:pt>
                <c:pt idx="286">
                  <c:v>2.6404817235681075</c:v>
                </c:pt>
                <c:pt idx="287">
                  <c:v>2.6780537470815031</c:v>
                </c:pt>
                <c:pt idx="288">
                  <c:v>2.6998761729815928</c:v>
                </c:pt>
                <c:pt idx="289">
                  <c:v>2.7285332372596738</c:v>
                </c:pt>
                <c:pt idx="290">
                  <c:v>2.7295290475121021</c:v>
                </c:pt>
                <c:pt idx="291">
                  <c:v>2.7006304000085506</c:v>
                </c:pt>
                <c:pt idx="292">
                  <c:v>2.6711302076821815</c:v>
                </c:pt>
                <c:pt idx="293">
                  <c:v>2.7033521926394761</c:v>
                </c:pt>
                <c:pt idx="294">
                  <c:v>2.6965808605742154</c:v>
                </c:pt>
                <c:pt idx="295">
                  <c:v>2.7000746569987188</c:v>
                </c:pt>
                <c:pt idx="296">
                  <c:v>2.6889065602329318</c:v>
                </c:pt>
                <c:pt idx="297">
                  <c:v>2.6819270368108277</c:v>
                </c:pt>
                <c:pt idx="298">
                  <c:v>2.6792187683634734</c:v>
                </c:pt>
                <c:pt idx="299">
                  <c:v>2.6783230484099922</c:v>
                </c:pt>
                <c:pt idx="300">
                  <c:v>2.6317436721794305</c:v>
                </c:pt>
                <c:pt idx="301">
                  <c:v>2.7044702969611847</c:v>
                </c:pt>
                <c:pt idx="302">
                  <c:v>2.7221037830168413</c:v>
                </c:pt>
                <c:pt idx="303">
                  <c:v>2.6916327387535026</c:v>
                </c:pt>
                <c:pt idx="304">
                  <c:v>2.6687206089366309</c:v>
                </c:pt>
                <c:pt idx="305">
                  <c:v>2.6727957524475694</c:v>
                </c:pt>
                <c:pt idx="306">
                  <c:v>2.68704254471962</c:v>
                </c:pt>
                <c:pt idx="307">
                  <c:v>2.6844725483738228</c:v>
                </c:pt>
                <c:pt idx="308">
                  <c:v>2.667743132298348</c:v>
                </c:pt>
                <c:pt idx="309">
                  <c:v>2.672850624028611</c:v>
                </c:pt>
                <c:pt idx="310">
                  <c:v>2.6047231546255958</c:v>
                </c:pt>
                <c:pt idx="311">
                  <c:v>2.6427031482973606</c:v>
                </c:pt>
                <c:pt idx="312">
                  <c:v>2.5919304735544997</c:v>
                </c:pt>
                <c:pt idx="313">
                  <c:v>2.4806114381455262</c:v>
                </c:pt>
                <c:pt idx="314">
                  <c:v>2.4542896441181621</c:v>
                </c:pt>
                <c:pt idx="315">
                  <c:v>2.4591401426299271</c:v>
                </c:pt>
                <c:pt idx="316">
                  <c:v>2.4853025479304129</c:v>
                </c:pt>
                <c:pt idx="317">
                  <c:v>2.5170546943244143</c:v>
                </c:pt>
                <c:pt idx="318">
                  <c:v>2.5022934756098429</c:v>
                </c:pt>
                <c:pt idx="319">
                  <c:v>2.4866401326733674</c:v>
                </c:pt>
                <c:pt idx="320">
                  <c:v>2.4683365900560954</c:v>
                </c:pt>
                <c:pt idx="321">
                  <c:v>2.4781548180843167</c:v>
                </c:pt>
                <c:pt idx="322">
                  <c:v>2.4405227249373906</c:v>
                </c:pt>
                <c:pt idx="323">
                  <c:v>2.4421076377721511</c:v>
                </c:pt>
                <c:pt idx="324">
                  <c:v>2.4494314125607741</c:v>
                </c:pt>
                <c:pt idx="325">
                  <c:v>2.4444700999611402</c:v>
                </c:pt>
                <c:pt idx="326">
                  <c:v>2.4606617862606108</c:v>
                </c:pt>
                <c:pt idx="327">
                  <c:v>2.4574756280260961</c:v>
                </c:pt>
                <c:pt idx="328">
                  <c:v>2.4989854185587776</c:v>
                </c:pt>
                <c:pt idx="329">
                  <c:v>2.4435148285286643</c:v>
                </c:pt>
                <c:pt idx="330">
                  <c:v>2.4325317803914785</c:v>
                </c:pt>
                <c:pt idx="331">
                  <c:v>2.4360696157651467</c:v>
                </c:pt>
                <c:pt idx="332">
                  <c:v>2.4853390200193219</c:v>
                </c:pt>
                <c:pt idx="333">
                  <c:v>2.5042986231380349</c:v>
                </c:pt>
                <c:pt idx="334">
                  <c:v>2.5348467403652952</c:v>
                </c:pt>
                <c:pt idx="335">
                  <c:v>2.5826904846448087</c:v>
                </c:pt>
                <c:pt idx="336">
                  <c:v>2.5604537029909511</c:v>
                </c:pt>
                <c:pt idx="337">
                  <c:v>2.5406872721594875</c:v>
                </c:pt>
                <c:pt idx="338">
                  <c:v>2.5002055653389021</c:v>
                </c:pt>
                <c:pt idx="339">
                  <c:v>2.4546549771333539</c:v>
                </c:pt>
                <c:pt idx="340">
                  <c:v>2.4161312152133063</c:v>
                </c:pt>
                <c:pt idx="341">
                  <c:v>2.447192838530559</c:v>
                </c:pt>
                <c:pt idx="342">
                  <c:v>2.4638718531028561</c:v>
                </c:pt>
                <c:pt idx="343">
                  <c:v>2.4703103378007034</c:v>
                </c:pt>
                <c:pt idx="344">
                  <c:v>2.5404686741270002</c:v>
                </c:pt>
                <c:pt idx="345">
                  <c:v>2.5255955753960291</c:v>
                </c:pt>
                <c:pt idx="346">
                  <c:v>2.5517877233650585</c:v>
                </c:pt>
                <c:pt idx="347">
                  <c:v>2.5994605172806557</c:v>
                </c:pt>
                <c:pt idx="348">
                  <c:v>2.5494666181759942</c:v>
                </c:pt>
                <c:pt idx="349">
                  <c:v>2.52191031921179</c:v>
                </c:pt>
                <c:pt idx="350">
                  <c:v>2.459663145861593</c:v>
                </c:pt>
                <c:pt idx="351">
                  <c:v>2.5036190077595566</c:v>
                </c:pt>
                <c:pt idx="352">
                  <c:v>2.4758055336786819</c:v>
                </c:pt>
                <c:pt idx="353">
                  <c:v>2.4905930780691223</c:v>
                </c:pt>
                <c:pt idx="354">
                  <c:v>2.5181229902270563</c:v>
                </c:pt>
                <c:pt idx="355">
                  <c:v>2.5597420468366336</c:v>
                </c:pt>
                <c:pt idx="356">
                  <c:v>2.54197833245258</c:v>
                </c:pt>
                <c:pt idx="357">
                  <c:v>2.6374031532122526</c:v>
                </c:pt>
                <c:pt idx="358">
                  <c:v>2.6147965957039307</c:v>
                </c:pt>
                <c:pt idx="359">
                  <c:v>2.6327635457805489</c:v>
                </c:pt>
                <c:pt idx="360">
                  <c:v>2.5781922843856364</c:v>
                </c:pt>
                <c:pt idx="361">
                  <c:v>2.601379168660463</c:v>
                </c:pt>
                <c:pt idx="362">
                  <c:v>2.5978660378309586</c:v>
                </c:pt>
                <c:pt idx="363">
                  <c:v>2.6294978247377321</c:v>
                </c:pt>
                <c:pt idx="364">
                  <c:v>2.6720628136533247</c:v>
                </c:pt>
                <c:pt idx="365">
                  <c:v>2.67060741920745</c:v>
                </c:pt>
                <c:pt idx="366">
                  <c:v>2.6392586408121801</c:v>
                </c:pt>
                <c:pt idx="367">
                  <c:v>2.6509805845256511</c:v>
                </c:pt>
                <c:pt idx="368">
                  <c:v>2.7075920357815395</c:v>
                </c:pt>
                <c:pt idx="369">
                  <c:v>2.8106172508879461</c:v>
                </c:pt>
                <c:pt idx="370">
                  <c:v>2.7760209953201325</c:v>
                </c:pt>
                <c:pt idx="371">
                  <c:v>2.7536671589650963</c:v>
                </c:pt>
                <c:pt idx="372">
                  <c:v>2.7156355390836695</c:v>
                </c:pt>
                <c:pt idx="373">
                  <c:v>2.7355298775105483</c:v>
                </c:pt>
                <c:pt idx="374">
                  <c:v>2.7309666406512534</c:v>
                </c:pt>
                <c:pt idx="375">
                  <c:v>2.7065190373488335</c:v>
                </c:pt>
                <c:pt idx="376">
                  <c:v>2.723513880227213</c:v>
                </c:pt>
                <c:pt idx="377">
                  <c:v>2.7743141084359935</c:v>
                </c:pt>
                <c:pt idx="378">
                  <c:v>2.7405942354850965</c:v>
                </c:pt>
                <c:pt idx="379">
                  <c:v>2.6947318842537258</c:v>
                </c:pt>
                <c:pt idx="380">
                  <c:v>2.7462360127409773</c:v>
                </c:pt>
                <c:pt idx="381">
                  <c:v>2.7438073716268017</c:v>
                </c:pt>
                <c:pt idx="382">
                  <c:v>2.7459296916611797</c:v>
                </c:pt>
                <c:pt idx="383">
                  <c:v>2.7622168953544306</c:v>
                </c:pt>
                <c:pt idx="384">
                  <c:v>2.7794261014843458</c:v>
                </c:pt>
                <c:pt idx="385">
                  <c:v>2.7222293305475822</c:v>
                </c:pt>
                <c:pt idx="386">
                  <c:v>2.7105200691897333</c:v>
                </c:pt>
                <c:pt idx="387">
                  <c:v>2.7627213393568257</c:v>
                </c:pt>
                <c:pt idx="388">
                  <c:v>2.7049354288893603</c:v>
                </c:pt>
                <c:pt idx="389">
                  <c:v>2.7014345368419601</c:v>
                </c:pt>
                <c:pt idx="390">
                  <c:v>2.6972225049941287</c:v>
                </c:pt>
                <c:pt idx="391">
                  <c:v>2.7316472338931748</c:v>
                </c:pt>
                <c:pt idx="392">
                  <c:v>2.7023563623894544</c:v>
                </c:pt>
                <c:pt idx="393">
                  <c:v>2.7133608375739393</c:v>
                </c:pt>
                <c:pt idx="394">
                  <c:v>2.6897896788337543</c:v>
                </c:pt>
                <c:pt idx="395">
                  <c:v>2.6173496374056571</c:v>
                </c:pt>
                <c:pt idx="396">
                  <c:v>2.5780343764007299</c:v>
                </c:pt>
                <c:pt idx="397">
                  <c:v>2.5450379515726511</c:v>
                </c:pt>
                <c:pt idx="398">
                  <c:v>2.5583885196774521</c:v>
                </c:pt>
                <c:pt idx="399">
                  <c:v>2.6129858826216634</c:v>
                </c:pt>
                <c:pt idx="400">
                  <c:v>2.6080039918073044</c:v>
                </c:pt>
                <c:pt idx="401">
                  <c:v>2.6055233284484856</c:v>
                </c:pt>
                <c:pt idx="402">
                  <c:v>2.5827155621921043</c:v>
                </c:pt>
                <c:pt idx="403">
                  <c:v>2.5882488578926375</c:v>
                </c:pt>
                <c:pt idx="404">
                  <c:v>2.5858762390543895</c:v>
                </c:pt>
                <c:pt idx="405">
                  <c:v>2.5194484308822154</c:v>
                </c:pt>
                <c:pt idx="406">
                  <c:v>2.5814482211328476</c:v>
                </c:pt>
                <c:pt idx="407">
                  <c:v>2.6020424967631484</c:v>
                </c:pt>
                <c:pt idx="408">
                  <c:v>2.5735116552525894</c:v>
                </c:pt>
                <c:pt idx="409">
                  <c:v>2.6079768869835109</c:v>
                </c:pt>
                <c:pt idx="410">
                  <c:v>2.6467241616710484</c:v>
                </c:pt>
                <c:pt idx="411">
                  <c:v>2.7208018584997844</c:v>
                </c:pt>
                <c:pt idx="412">
                  <c:v>2.7239998250442654</c:v>
                </c:pt>
                <c:pt idx="413">
                  <c:v>2.7617159102858757</c:v>
                </c:pt>
                <c:pt idx="414">
                  <c:v>2.7551125536669505</c:v>
                </c:pt>
                <c:pt idx="415">
                  <c:v>2.7898056964761522</c:v>
                </c:pt>
                <c:pt idx="416">
                  <c:v>2.817225599608713</c:v>
                </c:pt>
                <c:pt idx="417">
                  <c:v>2.8698325315012285</c:v>
                </c:pt>
                <c:pt idx="418">
                  <c:v>2.8425651687100948</c:v>
                </c:pt>
                <c:pt idx="419">
                  <c:v>2.8311545306249015</c:v>
                </c:pt>
                <c:pt idx="420">
                  <c:v>2.8237980780148346</c:v>
                </c:pt>
                <c:pt idx="421">
                  <c:v>2.8412835250324386</c:v>
                </c:pt>
                <c:pt idx="422">
                  <c:v>2.8890279384479349</c:v>
                </c:pt>
                <c:pt idx="423">
                  <c:v>2.9130421786900675</c:v>
                </c:pt>
                <c:pt idx="424">
                  <c:v>2.9745096493222376</c:v>
                </c:pt>
                <c:pt idx="425">
                  <c:v>2.9880103030354213</c:v>
                </c:pt>
                <c:pt idx="426">
                  <c:v>2.9102731844186382</c:v>
                </c:pt>
                <c:pt idx="427">
                  <c:v>2.9471777052873329</c:v>
                </c:pt>
                <c:pt idx="428">
                  <c:v>2.9567871131702215</c:v>
                </c:pt>
                <c:pt idx="429">
                  <c:v>2.8763969020213094</c:v>
                </c:pt>
                <c:pt idx="430">
                  <c:v>2.8096780268969161</c:v>
                </c:pt>
                <c:pt idx="431">
                  <c:v>2.7726944692596858</c:v>
                </c:pt>
                <c:pt idx="432">
                  <c:v>2.7920784295400334</c:v>
                </c:pt>
                <c:pt idx="433">
                  <c:v>2.7932609273968256</c:v>
                </c:pt>
                <c:pt idx="434">
                  <c:v>2.8138861255103191</c:v>
                </c:pt>
                <c:pt idx="435">
                  <c:v>2.7952868237158111</c:v>
                </c:pt>
                <c:pt idx="436">
                  <c:v>2.7896970077531669</c:v>
                </c:pt>
                <c:pt idx="437">
                  <c:v>2.8437834603413377</c:v>
                </c:pt>
                <c:pt idx="438">
                  <c:v>2.881637864213594</c:v>
                </c:pt>
                <c:pt idx="439">
                  <c:v>2.9223114530717837</c:v>
                </c:pt>
                <c:pt idx="440">
                  <c:v>2.9875618910023038</c:v>
                </c:pt>
                <c:pt idx="441">
                  <c:v>3.0705824518665885</c:v>
                </c:pt>
                <c:pt idx="442">
                  <c:v>3.0862232985661966</c:v>
                </c:pt>
                <c:pt idx="443">
                  <c:v>3.11221119536645</c:v>
                </c:pt>
                <c:pt idx="444">
                  <c:v>3.1472050798233968</c:v>
                </c:pt>
                <c:pt idx="445">
                  <c:v>3.135836082991446</c:v>
                </c:pt>
                <c:pt idx="446">
                  <c:v>3.0522854076483785</c:v>
                </c:pt>
                <c:pt idx="447">
                  <c:v>3.0372268642376219</c:v>
                </c:pt>
                <c:pt idx="448">
                  <c:v>3.0430692599891866</c:v>
                </c:pt>
                <c:pt idx="449">
                  <c:v>3.0252325783397271</c:v>
                </c:pt>
                <c:pt idx="450">
                  <c:v>3.1702191100171553</c:v>
                </c:pt>
                <c:pt idx="451">
                  <c:v>3.2212265450360107</c:v>
                </c:pt>
                <c:pt idx="452">
                  <c:v>3.2349317205722889</c:v>
                </c:pt>
                <c:pt idx="453">
                  <c:v>3.2262806559868213</c:v>
                </c:pt>
                <c:pt idx="454">
                  <c:v>3.1391868691158527</c:v>
                </c:pt>
                <c:pt idx="455">
                  <c:v>3.1390754887323888</c:v>
                </c:pt>
                <c:pt idx="456">
                  <c:v>3.068906732215785</c:v>
                </c:pt>
                <c:pt idx="457">
                  <c:v>3.1209132215620716</c:v>
                </c:pt>
                <c:pt idx="458">
                  <c:v>3.1141785034823615</c:v>
                </c:pt>
                <c:pt idx="459">
                  <c:v>3.1754255656531933</c:v>
                </c:pt>
                <c:pt idx="460">
                  <c:v>3.12437480088819</c:v>
                </c:pt>
                <c:pt idx="461">
                  <c:v>3.1157053462367346</c:v>
                </c:pt>
                <c:pt idx="462">
                  <c:v>3.0709855365204723</c:v>
                </c:pt>
                <c:pt idx="463">
                  <c:v>3.0307195609755326</c:v>
                </c:pt>
                <c:pt idx="464">
                  <c:v>3.0432935339615566</c:v>
                </c:pt>
                <c:pt idx="465">
                  <c:v>3.054386524644443</c:v>
                </c:pt>
                <c:pt idx="466">
                  <c:v>3.0370435476145707</c:v>
                </c:pt>
                <c:pt idx="467">
                  <c:v>3.0684746509258072</c:v>
                </c:pt>
                <c:pt idx="468">
                  <c:v>3.0994348067098518</c:v>
                </c:pt>
                <c:pt idx="469">
                  <c:v>3.0832575295156577</c:v>
                </c:pt>
                <c:pt idx="470">
                  <c:v>2.9969176027041344</c:v>
                </c:pt>
                <c:pt idx="471">
                  <c:v>2.9399478815258653</c:v>
                </c:pt>
                <c:pt idx="472">
                  <c:v>2.9177318736834201</c:v>
                </c:pt>
                <c:pt idx="473">
                  <c:v>3.0134693489974564</c:v>
                </c:pt>
                <c:pt idx="474">
                  <c:v>3.0350937231399864</c:v>
                </c:pt>
                <c:pt idx="475">
                  <c:v>3.0094443029581686</c:v>
                </c:pt>
                <c:pt idx="476">
                  <c:v>3.0160970497958561</c:v>
                </c:pt>
                <c:pt idx="477">
                  <c:v>3.0064033444996632</c:v>
                </c:pt>
                <c:pt idx="478">
                  <c:v>2.9915385933389373</c:v>
                </c:pt>
                <c:pt idx="479">
                  <c:v>3.001881882190931</c:v>
                </c:pt>
                <c:pt idx="480">
                  <c:v>2.9837478175591827</c:v>
                </c:pt>
                <c:pt idx="481">
                  <c:v>3.0300368900548329</c:v>
                </c:pt>
                <c:pt idx="482">
                  <c:v>3.1256600071340412</c:v>
                </c:pt>
                <c:pt idx="483">
                  <c:v>3.1974769338949423</c:v>
                </c:pt>
                <c:pt idx="484">
                  <c:v>3.2541292757653912</c:v>
                </c:pt>
                <c:pt idx="485">
                  <c:v>3.3582675467407173</c:v>
                </c:pt>
                <c:pt idx="486">
                  <c:v>3.3564178111532956</c:v>
                </c:pt>
                <c:pt idx="487">
                  <c:v>3.2554534949065861</c:v>
                </c:pt>
                <c:pt idx="488">
                  <c:v>3.2598126544046564</c:v>
                </c:pt>
                <c:pt idx="489">
                  <c:v>3.1778510144432346</c:v>
                </c:pt>
                <c:pt idx="490">
                  <c:v>3.2274752694396756</c:v>
                </c:pt>
                <c:pt idx="491">
                  <c:v>3.1666973720538416</c:v>
                </c:pt>
                <c:pt idx="492">
                  <c:v>3.2081489057628403</c:v>
                </c:pt>
                <c:pt idx="493">
                  <c:v>3.1206234905502526</c:v>
                </c:pt>
                <c:pt idx="494">
                  <c:v>3.120323940384321</c:v>
                </c:pt>
                <c:pt idx="495">
                  <c:v>3.153789104157636</c:v>
                </c:pt>
                <c:pt idx="496">
                  <c:v>3.1963694964475193</c:v>
                </c:pt>
                <c:pt idx="497">
                  <c:v>3.1689021192662747</c:v>
                </c:pt>
                <c:pt idx="498">
                  <c:v>3.1834515293558368</c:v>
                </c:pt>
                <c:pt idx="499">
                  <c:v>3.1754179872762003</c:v>
                </c:pt>
                <c:pt idx="500">
                  <c:v>3.1980511038855051</c:v>
                </c:pt>
                <c:pt idx="501">
                  <c:v>3.2747870519143256</c:v>
                </c:pt>
                <c:pt idx="502">
                  <c:v>3.2816015256386151</c:v>
                </c:pt>
                <c:pt idx="503">
                  <c:v>3.3142861948280853</c:v>
                </c:pt>
                <c:pt idx="504">
                  <c:v>3.2980089073217882</c:v>
                </c:pt>
                <c:pt idx="505">
                  <c:v>3.2935699228319435</c:v>
                </c:pt>
                <c:pt idx="506">
                  <c:v>3.4121287824329971</c:v>
                </c:pt>
                <c:pt idx="507">
                  <c:v>3.3664973334668171</c:v>
                </c:pt>
                <c:pt idx="508">
                  <c:v>3.3523739718477183</c:v>
                </c:pt>
                <c:pt idx="509">
                  <c:v>3.3477247434624871</c:v>
                </c:pt>
                <c:pt idx="510">
                  <c:v>3.3970648856930858</c:v>
                </c:pt>
                <c:pt idx="511">
                  <c:v>3.3042505007562197</c:v>
                </c:pt>
                <c:pt idx="512">
                  <c:v>3.3153074919129382</c:v>
                </c:pt>
                <c:pt idx="513">
                  <c:v>3.3826562953961075</c:v>
                </c:pt>
                <c:pt idx="514">
                  <c:v>3.3533455981699958</c:v>
                </c:pt>
                <c:pt idx="515">
                  <c:v>3.3834854048384977</c:v>
                </c:pt>
                <c:pt idx="516">
                  <c:v>3.3872907331500235</c:v>
                </c:pt>
                <c:pt idx="517">
                  <c:v>3.3216082889381635</c:v>
                </c:pt>
                <c:pt idx="518">
                  <c:v>3.3085645840665823</c:v>
                </c:pt>
                <c:pt idx="519">
                  <c:v>3.3619351623254778</c:v>
                </c:pt>
                <c:pt idx="520">
                  <c:v>3.3142799446798277</c:v>
                </c:pt>
                <c:pt idx="521">
                  <c:v>3.3206333692699337</c:v>
                </c:pt>
                <c:pt idx="522">
                  <c:v>3.3418628024544144</c:v>
                </c:pt>
                <c:pt idx="523">
                  <c:v>3.4330380025424474</c:v>
                </c:pt>
                <c:pt idx="524">
                  <c:v>3.4145886283705318</c:v>
                </c:pt>
                <c:pt idx="525">
                  <c:v>3.3880443867076404</c:v>
                </c:pt>
                <c:pt idx="526">
                  <c:v>3.4482019366548724</c:v>
                </c:pt>
                <c:pt idx="527">
                  <c:v>3.4443723482167061</c:v>
                </c:pt>
                <c:pt idx="528">
                  <c:v>3.4699015316557662</c:v>
                </c:pt>
                <c:pt idx="529">
                  <c:v>3.4441247940884856</c:v>
                </c:pt>
                <c:pt idx="530">
                  <c:v>3.3855314600829143</c:v>
                </c:pt>
                <c:pt idx="531">
                  <c:v>3.4291885659626264</c:v>
                </c:pt>
                <c:pt idx="532">
                  <c:v>3.4205601306905691</c:v>
                </c:pt>
                <c:pt idx="533">
                  <c:v>3.3614974365517445</c:v>
                </c:pt>
                <c:pt idx="534">
                  <c:v>3.2835107554527116</c:v>
                </c:pt>
                <c:pt idx="535">
                  <c:v>3.3394308896846758</c:v>
                </c:pt>
                <c:pt idx="536">
                  <c:v>3.2765876455751926</c:v>
                </c:pt>
                <c:pt idx="537">
                  <c:v>3.2780928800141926</c:v>
                </c:pt>
                <c:pt idx="538">
                  <c:v>3.2481787842634873</c:v>
                </c:pt>
                <c:pt idx="539">
                  <c:v>3.3585781692832772</c:v>
                </c:pt>
                <c:pt idx="540">
                  <c:v>3.3142978443744577</c:v>
                </c:pt>
                <c:pt idx="541">
                  <c:v>3.2904664153466996</c:v>
                </c:pt>
                <c:pt idx="542">
                  <c:v>3.2961675756630502</c:v>
                </c:pt>
                <c:pt idx="543">
                  <c:v>3.3366307346750892</c:v>
                </c:pt>
                <c:pt idx="544">
                  <c:v>3.2866416539085255</c:v>
                </c:pt>
                <c:pt idx="545">
                  <c:v>3.2961016322957253</c:v>
                </c:pt>
                <c:pt idx="546">
                  <c:v>3.2643364631874845</c:v>
                </c:pt>
                <c:pt idx="547">
                  <c:v>3.289186811271481</c:v>
                </c:pt>
                <c:pt idx="548">
                  <c:v>3.3177120355749339</c:v>
                </c:pt>
                <c:pt idx="549">
                  <c:v>3.3134470133597489</c:v>
                </c:pt>
                <c:pt idx="550">
                  <c:v>3.3056899113763536</c:v>
                </c:pt>
                <c:pt idx="551">
                  <c:v>3.3040363186698052</c:v>
                </c:pt>
                <c:pt idx="552">
                  <c:v>3.3072845957987282</c:v>
                </c:pt>
                <c:pt idx="553">
                  <c:v>3.3303395156654667</c:v>
                </c:pt>
                <c:pt idx="554">
                  <c:v>3.3025309825738205</c:v>
                </c:pt>
                <c:pt idx="555">
                  <c:v>3.3248422762027485</c:v>
                </c:pt>
                <c:pt idx="556">
                  <c:v>3.3645106047183351</c:v>
                </c:pt>
                <c:pt idx="557">
                  <c:v>3.3900709372567559</c:v>
                </c:pt>
                <c:pt idx="558">
                  <c:v>3.3683201573788408</c:v>
                </c:pt>
                <c:pt idx="559">
                  <c:v>3.4075764464195477</c:v>
                </c:pt>
                <c:pt idx="560">
                  <c:v>3.3153136269766454</c:v>
                </c:pt>
                <c:pt idx="561">
                  <c:v>3.3320198537701504</c:v>
                </c:pt>
                <c:pt idx="562">
                  <c:v>3.3801474721014637</c:v>
                </c:pt>
                <c:pt idx="563">
                  <c:v>3.3134198520256564</c:v>
                </c:pt>
                <c:pt idx="564">
                  <c:v>3.3836820635132874</c:v>
                </c:pt>
                <c:pt idx="565">
                  <c:v>3.4296706198822435</c:v>
                </c:pt>
                <c:pt idx="566">
                  <c:v>3.4209272969013647</c:v>
                </c:pt>
                <c:pt idx="567">
                  <c:v>3.4297654920054024</c:v>
                </c:pt>
                <c:pt idx="568">
                  <c:v>3.4654855152620723</c:v>
                </c:pt>
                <c:pt idx="569">
                  <c:v>3.4533702111677833</c:v>
                </c:pt>
                <c:pt idx="570">
                  <c:v>3.4858959417004569</c:v>
                </c:pt>
                <c:pt idx="571">
                  <c:v>3.5189694465352499</c:v>
                </c:pt>
                <c:pt idx="572">
                  <c:v>3.4936019772800821</c:v>
                </c:pt>
                <c:pt idx="573">
                  <c:v>3.4674573274852376</c:v>
                </c:pt>
                <c:pt idx="574">
                  <c:v>3.5837963249711637</c:v>
                </c:pt>
                <c:pt idx="575">
                  <c:v>3.5647038047628858</c:v>
                </c:pt>
                <c:pt idx="576">
                  <c:v>3.5567852005638736</c:v>
                </c:pt>
                <c:pt idx="577">
                  <c:v>3.5685166438835334</c:v>
                </c:pt>
                <c:pt idx="578">
                  <c:v>3.5763811579228788</c:v>
                </c:pt>
                <c:pt idx="579">
                  <c:v>3.6087017717210199</c:v>
                </c:pt>
                <c:pt idx="580">
                  <c:v>3.5697276234936797</c:v>
                </c:pt>
                <c:pt idx="581">
                  <c:v>3.616548277287305</c:v>
                </c:pt>
                <c:pt idx="582">
                  <c:v>3.6435670952269188</c:v>
                </c:pt>
                <c:pt idx="583">
                  <c:v>3.5955716227763328</c:v>
                </c:pt>
                <c:pt idx="584">
                  <c:v>3.6845538394473492</c:v>
                </c:pt>
                <c:pt idx="585">
                  <c:v>3.7679107538417096</c:v>
                </c:pt>
                <c:pt idx="586">
                  <c:v>3.8028885112653255</c:v>
                </c:pt>
                <c:pt idx="587">
                  <c:v>3.7759432924029213</c:v>
                </c:pt>
                <c:pt idx="588">
                  <c:v>3.691683594491121</c:v>
                </c:pt>
                <c:pt idx="589">
                  <c:v>3.6249940277720172</c:v>
                </c:pt>
                <c:pt idx="590">
                  <c:v>3.5964991828264603</c:v>
                </c:pt>
                <c:pt idx="591">
                  <c:v>3.5943482269240872</c:v>
                </c:pt>
                <c:pt idx="592">
                  <c:v>3.5855586515448876</c:v>
                </c:pt>
                <c:pt idx="593">
                  <c:v>3.6035065451250374</c:v>
                </c:pt>
                <c:pt idx="594">
                  <c:v>3.6265052552285337</c:v>
                </c:pt>
                <c:pt idx="595">
                  <c:v>3.6314192460230141</c:v>
                </c:pt>
                <c:pt idx="596">
                  <c:v>3.5894346914124862</c:v>
                </c:pt>
                <c:pt idx="597">
                  <c:v>3.6390416403359089</c:v>
                </c:pt>
                <c:pt idx="598">
                  <c:v>3.5845255161040233</c:v>
                </c:pt>
                <c:pt idx="599">
                  <c:v>3.6453577145532683</c:v>
                </c:pt>
                <c:pt idx="600">
                  <c:v>3.6269087969808536</c:v>
                </c:pt>
                <c:pt idx="601">
                  <c:v>3.6762464396484424</c:v>
                </c:pt>
                <c:pt idx="602">
                  <c:v>3.6762064896891813</c:v>
                </c:pt>
                <c:pt idx="603">
                  <c:v>3.6392458527103875</c:v>
                </c:pt>
                <c:pt idx="604">
                  <c:v>3.6556216847379219</c:v>
                </c:pt>
                <c:pt idx="605">
                  <c:v>3.6897147859276651</c:v>
                </c:pt>
                <c:pt idx="606">
                  <c:v>3.6733476839681951</c:v>
                </c:pt>
                <c:pt idx="607">
                  <c:v>3.7074007609012409</c:v>
                </c:pt>
                <c:pt idx="608">
                  <c:v>3.713713808005588</c:v>
                </c:pt>
                <c:pt idx="609">
                  <c:v>3.6868406950971888</c:v>
                </c:pt>
                <c:pt idx="610">
                  <c:v>3.7348217596575841</c:v>
                </c:pt>
                <c:pt idx="611">
                  <c:v>3.710520117689418</c:v>
                </c:pt>
                <c:pt idx="612">
                  <c:v>3.7487782763006052</c:v>
                </c:pt>
                <c:pt idx="613">
                  <c:v>3.7263115952304093</c:v>
                </c:pt>
                <c:pt idx="614">
                  <c:v>3.6680682983859363</c:v>
                </c:pt>
                <c:pt idx="615">
                  <c:v>3.6282926331817253</c:v>
                </c:pt>
                <c:pt idx="616">
                  <c:v>3.5302862800875467</c:v>
                </c:pt>
                <c:pt idx="617">
                  <c:v>3.5106378406938581</c:v>
                </c:pt>
                <c:pt idx="618">
                  <c:v>3.502431879688189</c:v>
                </c:pt>
                <c:pt idx="619">
                  <c:v>3.4807159443281264</c:v>
                </c:pt>
                <c:pt idx="620">
                  <c:v>3.4560784393510651</c:v>
                </c:pt>
                <c:pt idx="621">
                  <c:v>3.4242796794065087</c:v>
                </c:pt>
                <c:pt idx="622">
                  <c:v>3.3736407818252632</c:v>
                </c:pt>
                <c:pt idx="623">
                  <c:v>3.4230524137795251</c:v>
                </c:pt>
                <c:pt idx="624">
                  <c:v>3.4276672781856865</c:v>
                </c:pt>
                <c:pt idx="625">
                  <c:v>3.510020375175555</c:v>
                </c:pt>
                <c:pt idx="626">
                  <c:v>3.4944638735661844</c:v>
                </c:pt>
                <c:pt idx="627">
                  <c:v>3.5523593411110417</c:v>
                </c:pt>
                <c:pt idx="628">
                  <c:v>3.6079475582570208</c:v>
                </c:pt>
                <c:pt idx="629">
                  <c:v>3.571011029976876</c:v>
                </c:pt>
                <c:pt idx="630">
                  <c:v>3.5821699033530239</c:v>
                </c:pt>
                <c:pt idx="631">
                  <c:v>3.5943268772133425</c:v>
                </c:pt>
                <c:pt idx="632">
                  <c:v>3.5409822245838405</c:v>
                </c:pt>
                <c:pt idx="633">
                  <c:v>3.5597860160336063</c:v>
                </c:pt>
                <c:pt idx="634">
                  <c:v>3.6156225523537429</c:v>
                </c:pt>
                <c:pt idx="635">
                  <c:v>3.6402089595238203</c:v>
                </c:pt>
                <c:pt idx="636">
                  <c:v>3.6056812550273381</c:v>
                </c:pt>
                <c:pt idx="637">
                  <c:v>3.6148544229791799</c:v>
                </c:pt>
                <c:pt idx="638">
                  <c:v>3.6710723698260357</c:v>
                </c:pt>
                <c:pt idx="639">
                  <c:v>3.6078654785355631</c:v>
                </c:pt>
                <c:pt idx="640">
                  <c:v>3.6717959704108369</c:v>
                </c:pt>
                <c:pt idx="641">
                  <c:v>3.7563694502425409</c:v>
                </c:pt>
                <c:pt idx="642">
                  <c:v>3.7737833322721546</c:v>
                </c:pt>
                <c:pt idx="643">
                  <c:v>3.8435528988330216</c:v>
                </c:pt>
                <c:pt idx="644">
                  <c:v>3.8383290573769084</c:v>
                </c:pt>
                <c:pt idx="645">
                  <c:v>3.8101497414446603</c:v>
                </c:pt>
                <c:pt idx="646">
                  <c:v>3.8294128653236594</c:v>
                </c:pt>
                <c:pt idx="647">
                  <c:v>3.7822149320409379</c:v>
                </c:pt>
                <c:pt idx="648">
                  <c:v>3.7356029565356432</c:v>
                </c:pt>
                <c:pt idx="649">
                  <c:v>3.7689462104506339</c:v>
                </c:pt>
                <c:pt idx="650">
                  <c:v>3.763990404462016</c:v>
                </c:pt>
                <c:pt idx="651">
                  <c:v>3.7379761626167847</c:v>
                </c:pt>
                <c:pt idx="652">
                  <c:v>3.7725403522355996</c:v>
                </c:pt>
                <c:pt idx="653">
                  <c:v>3.8273059382856047</c:v>
                </c:pt>
                <c:pt idx="654">
                  <c:v>3.7649413055166474</c:v>
                </c:pt>
                <c:pt idx="655">
                  <c:v>3.7585001111825251</c:v>
                </c:pt>
                <c:pt idx="656">
                  <c:v>3.7076754559696088</c:v>
                </c:pt>
                <c:pt idx="657">
                  <c:v>3.6790186907352886</c:v>
                </c:pt>
                <c:pt idx="658">
                  <c:v>3.7805392989729416</c:v>
                </c:pt>
                <c:pt idx="659">
                  <c:v>3.7206835951192603</c:v>
                </c:pt>
                <c:pt idx="660">
                  <c:v>3.753440814474422</c:v>
                </c:pt>
                <c:pt idx="661">
                  <c:v>3.7417376008408034</c:v>
                </c:pt>
                <c:pt idx="662">
                  <c:v>3.7339079737568532</c:v>
                </c:pt>
                <c:pt idx="663">
                  <c:v>3.728150572007995</c:v>
                </c:pt>
                <c:pt idx="664">
                  <c:v>3.7575742933019489</c:v>
                </c:pt>
                <c:pt idx="665">
                  <c:v>3.8598780618960209</c:v>
                </c:pt>
                <c:pt idx="666">
                  <c:v>3.8956164115754817</c:v>
                </c:pt>
                <c:pt idx="667">
                  <c:v>3.886166681272055</c:v>
                </c:pt>
                <c:pt idx="668">
                  <c:v>3.7766484931009576</c:v>
                </c:pt>
                <c:pt idx="669">
                  <c:v>3.8533349540304882</c:v>
                </c:pt>
                <c:pt idx="670">
                  <c:v>3.7630934549151451</c:v>
                </c:pt>
                <c:pt idx="671">
                  <c:v>3.7371637444534409</c:v>
                </c:pt>
                <c:pt idx="672">
                  <c:v>3.7950947106628243</c:v>
                </c:pt>
                <c:pt idx="673">
                  <c:v>3.7477555955697173</c:v>
                </c:pt>
                <c:pt idx="674">
                  <c:v>3.7829162154834215</c:v>
                </c:pt>
                <c:pt idx="675">
                  <c:v>3.7997139135069196</c:v>
                </c:pt>
                <c:pt idx="676">
                  <c:v>3.6920059188898313</c:v>
                </c:pt>
                <c:pt idx="677">
                  <c:v>3.7085984942038022</c:v>
                </c:pt>
                <c:pt idx="678">
                  <c:v>3.6784646017869007</c:v>
                </c:pt>
                <c:pt idx="679">
                  <c:v>3.6448731725069825</c:v>
                </c:pt>
                <c:pt idx="680">
                  <c:v>3.6048132939333133</c:v>
                </c:pt>
                <c:pt idx="681">
                  <c:v>3.6107306579848992</c:v>
                </c:pt>
                <c:pt idx="682">
                  <c:v>3.5533894553271823</c:v>
                </c:pt>
                <c:pt idx="683">
                  <c:v>3.5955949429540555</c:v>
                </c:pt>
                <c:pt idx="684">
                  <c:v>3.5192481689297264</c:v>
                </c:pt>
                <c:pt idx="685">
                  <c:v>3.4639905141011917</c:v>
                </c:pt>
                <c:pt idx="686">
                  <c:v>3.458015779908258</c:v>
                </c:pt>
                <c:pt idx="687">
                  <c:v>3.5061236873559367</c:v>
                </c:pt>
                <c:pt idx="688">
                  <c:v>3.5267929022912892</c:v>
                </c:pt>
                <c:pt idx="689">
                  <c:v>3.5268800758013259</c:v>
                </c:pt>
                <c:pt idx="690">
                  <c:v>3.4674908417185515</c:v>
                </c:pt>
                <c:pt idx="691">
                  <c:v>3.4571091820473727</c:v>
                </c:pt>
                <c:pt idx="692">
                  <c:v>3.4437120444402085</c:v>
                </c:pt>
                <c:pt idx="693">
                  <c:v>3.522180351557862</c:v>
                </c:pt>
                <c:pt idx="694">
                  <c:v>3.5240832102185631</c:v>
                </c:pt>
                <c:pt idx="695">
                  <c:v>3.4864234938525409</c:v>
                </c:pt>
                <c:pt idx="696">
                  <c:v>3.4794339756466117</c:v>
                </c:pt>
                <c:pt idx="697">
                  <c:v>3.5286703808789248</c:v>
                </c:pt>
                <c:pt idx="698">
                  <c:v>3.4837142047737557</c:v>
                </c:pt>
                <c:pt idx="699">
                  <c:v>3.5011577123288191</c:v>
                </c:pt>
                <c:pt idx="700">
                  <c:v>3.5217922723291801</c:v>
                </c:pt>
                <c:pt idx="701">
                  <c:v>3.5255394934321567</c:v>
                </c:pt>
                <c:pt idx="702">
                  <c:v>3.5231685335626275</c:v>
                </c:pt>
                <c:pt idx="703">
                  <c:v>3.5474947592860797</c:v>
                </c:pt>
                <c:pt idx="704">
                  <c:v>3.6912041934296935</c:v>
                </c:pt>
                <c:pt idx="705">
                  <c:v>3.7286907623667709</c:v>
                </c:pt>
                <c:pt idx="706">
                  <c:v>3.787534804775273</c:v>
                </c:pt>
                <c:pt idx="707">
                  <c:v>3.7795063721992554</c:v>
                </c:pt>
                <c:pt idx="708">
                  <c:v>3.8208577588385446</c:v>
                </c:pt>
                <c:pt idx="709">
                  <c:v>3.8651147455078361</c:v>
                </c:pt>
                <c:pt idx="710">
                  <c:v>3.8492651789007186</c:v>
                </c:pt>
                <c:pt idx="711">
                  <c:v>3.9167500803943898</c:v>
                </c:pt>
                <c:pt idx="712">
                  <c:v>3.8332824953424223</c:v>
                </c:pt>
                <c:pt idx="713">
                  <c:v>3.8169939631068401</c:v>
                </c:pt>
                <c:pt idx="714">
                  <c:v>3.8292039411559284</c:v>
                </c:pt>
                <c:pt idx="715">
                  <c:v>3.8585968150390673</c:v>
                </c:pt>
                <c:pt idx="716">
                  <c:v>3.7991272288961553</c:v>
                </c:pt>
                <c:pt idx="717">
                  <c:v>3.8495681266641513</c:v>
                </c:pt>
                <c:pt idx="718">
                  <c:v>3.8503297934167695</c:v>
                </c:pt>
                <c:pt idx="719">
                  <c:v>3.9006604866685524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Output!$M$12:$M$731</c:f>
              <c:numCache>
                <c:formatCode>General</c:formatCode>
                <c:ptCount val="720"/>
                <c:pt idx="0">
                  <c:v>0.94650570833364933</c:v>
                </c:pt>
                <c:pt idx="1">
                  <c:v>0.92727245592091423</c:v>
                </c:pt>
                <c:pt idx="2">
                  <c:v>0.91765690467817218</c:v>
                </c:pt>
                <c:pt idx="3">
                  <c:v>0.91009148833127618</c:v>
                </c:pt>
                <c:pt idx="4">
                  <c:v>0.891803474339253</c:v>
                </c:pt>
                <c:pt idx="5">
                  <c:v>0.87256624362366386</c:v>
                </c:pt>
                <c:pt idx="6">
                  <c:v>0.86891271029880623</c:v>
                </c:pt>
                <c:pt idx="7">
                  <c:v>0.84873087111049117</c:v>
                </c:pt>
                <c:pt idx="8">
                  <c:v>0.84075128719844672</c:v>
                </c:pt>
                <c:pt idx="9">
                  <c:v>0.83584909550844588</c:v>
                </c:pt>
                <c:pt idx="10">
                  <c:v>0.83014248224178022</c:v>
                </c:pt>
                <c:pt idx="11">
                  <c:v>0.80717949561546842</c:v>
                </c:pt>
                <c:pt idx="12">
                  <c:v>0.81020934684775114</c:v>
                </c:pt>
                <c:pt idx="13">
                  <c:v>0.81463119646790982</c:v>
                </c:pt>
                <c:pt idx="14">
                  <c:v>0.81844071287826181</c:v>
                </c:pt>
                <c:pt idx="15">
                  <c:v>0.8189532423828243</c:v>
                </c:pt>
                <c:pt idx="16">
                  <c:v>0.81636962061955232</c:v>
                </c:pt>
                <c:pt idx="17">
                  <c:v>0.8139442743629921</c:v>
                </c:pt>
                <c:pt idx="18">
                  <c:v>0.79779941295854095</c:v>
                </c:pt>
                <c:pt idx="19">
                  <c:v>0.79504288149747426</c:v>
                </c:pt>
                <c:pt idx="20">
                  <c:v>0.81090341556643519</c:v>
                </c:pt>
                <c:pt idx="21">
                  <c:v>0.79237334840711882</c:v>
                </c:pt>
                <c:pt idx="22">
                  <c:v>0.7933179131368161</c:v>
                </c:pt>
                <c:pt idx="23">
                  <c:v>0.79289179819630529</c:v>
                </c:pt>
                <c:pt idx="24">
                  <c:v>0.77942945497114346</c:v>
                </c:pt>
                <c:pt idx="25">
                  <c:v>0.7810220410518024</c:v>
                </c:pt>
                <c:pt idx="26">
                  <c:v>0.76278956732389636</c:v>
                </c:pt>
                <c:pt idx="27">
                  <c:v>0.75737653508972336</c:v>
                </c:pt>
                <c:pt idx="28">
                  <c:v>0.75112802114705846</c:v>
                </c:pt>
                <c:pt idx="29">
                  <c:v>0.73505006887302937</c:v>
                </c:pt>
                <c:pt idx="30">
                  <c:v>0.72102232225256169</c:v>
                </c:pt>
                <c:pt idx="31">
                  <c:v>0.71797904594868345</c:v>
                </c:pt>
                <c:pt idx="32">
                  <c:v>0.69552629471308303</c:v>
                </c:pt>
                <c:pt idx="33">
                  <c:v>0.67846138118189525</c:v>
                </c:pt>
                <c:pt idx="34">
                  <c:v>0.67502021495605491</c:v>
                </c:pt>
                <c:pt idx="35">
                  <c:v>0.66792206487189276</c:v>
                </c:pt>
                <c:pt idx="36">
                  <c:v>0.67819105375678412</c:v>
                </c:pt>
                <c:pt idx="37">
                  <c:v>0.6751698725741373</c:v>
                </c:pt>
                <c:pt idx="38">
                  <c:v>0.66246080729020496</c:v>
                </c:pt>
                <c:pt idx="39">
                  <c:v>0.65548693234729627</c:v>
                </c:pt>
                <c:pt idx="40">
                  <c:v>0.66058583591356457</c:v>
                </c:pt>
                <c:pt idx="41">
                  <c:v>0.66982705578877</c:v>
                </c:pt>
                <c:pt idx="42">
                  <c:v>0.66895445620234251</c:v>
                </c:pt>
                <c:pt idx="43">
                  <c:v>0.66517372140086839</c:v>
                </c:pt>
                <c:pt idx="44">
                  <c:v>0.65766793416562053</c:v>
                </c:pt>
                <c:pt idx="45">
                  <c:v>0.67234991590170179</c:v>
                </c:pt>
                <c:pt idx="46">
                  <c:v>0.66938713486763057</c:v>
                </c:pt>
                <c:pt idx="47">
                  <c:v>0.67341363616997374</c:v>
                </c:pt>
                <c:pt idx="48">
                  <c:v>0.66264276550019474</c:v>
                </c:pt>
                <c:pt idx="49">
                  <c:v>0.67533286999784181</c:v>
                </c:pt>
                <c:pt idx="50">
                  <c:v>0.65467513266276256</c:v>
                </c:pt>
                <c:pt idx="51">
                  <c:v>0.65289046510528281</c:v>
                </c:pt>
                <c:pt idx="52">
                  <c:v>0.66038919965659582</c:v>
                </c:pt>
                <c:pt idx="53">
                  <c:v>0.65280708720082536</c:v>
                </c:pt>
                <c:pt idx="54">
                  <c:v>0.63699826756262568</c:v>
                </c:pt>
                <c:pt idx="55">
                  <c:v>0.63362637211868356</c:v>
                </c:pt>
                <c:pt idx="56">
                  <c:v>0.64725723621590714</c:v>
                </c:pt>
                <c:pt idx="57">
                  <c:v>0.65558118560362244</c:v>
                </c:pt>
                <c:pt idx="58">
                  <c:v>0.63534850593372061</c:v>
                </c:pt>
                <c:pt idx="59">
                  <c:v>0.63778669645564956</c:v>
                </c:pt>
                <c:pt idx="60">
                  <c:v>0.65388256058193184</c:v>
                </c:pt>
                <c:pt idx="61">
                  <c:v>0.64940143329466848</c:v>
                </c:pt>
                <c:pt idx="62">
                  <c:v>0.64101709135498985</c:v>
                </c:pt>
                <c:pt idx="63">
                  <c:v>0.63867991361922494</c:v>
                </c:pt>
                <c:pt idx="64">
                  <c:v>0.63189627580635677</c:v>
                </c:pt>
                <c:pt idx="65">
                  <c:v>0.62246495149039716</c:v>
                </c:pt>
                <c:pt idx="66">
                  <c:v>0.63698162738051456</c:v>
                </c:pt>
                <c:pt idx="67">
                  <c:v>0.62450733685085591</c:v>
                </c:pt>
                <c:pt idx="68">
                  <c:v>0.63134366660440078</c:v>
                </c:pt>
                <c:pt idx="69">
                  <c:v>0.62312522603647647</c:v>
                </c:pt>
                <c:pt idx="70">
                  <c:v>0.61956883880165814</c:v>
                </c:pt>
                <c:pt idx="71">
                  <c:v>0.62439975605548093</c:v>
                </c:pt>
                <c:pt idx="72">
                  <c:v>0.62997315139176857</c:v>
                </c:pt>
                <c:pt idx="73">
                  <c:v>0.63882899303336638</c:v>
                </c:pt>
                <c:pt idx="74">
                  <c:v>0.64215683920412947</c:v>
                </c:pt>
                <c:pt idx="75">
                  <c:v>0.64103560565960793</c:v>
                </c:pt>
                <c:pt idx="76">
                  <c:v>0.63735088205932722</c:v>
                </c:pt>
                <c:pt idx="77">
                  <c:v>0.63099218799413748</c:v>
                </c:pt>
                <c:pt idx="78">
                  <c:v>0.62852463586289065</c:v>
                </c:pt>
                <c:pt idx="79">
                  <c:v>0.63111341384113262</c:v>
                </c:pt>
                <c:pt idx="80">
                  <c:v>0.64022447855714704</c:v>
                </c:pt>
                <c:pt idx="81">
                  <c:v>0.63922029315769546</c:v>
                </c:pt>
                <c:pt idx="82">
                  <c:v>0.63767634754839386</c:v>
                </c:pt>
                <c:pt idx="83">
                  <c:v>0.63353966614020063</c:v>
                </c:pt>
                <c:pt idx="84">
                  <c:v>0.62351574800862186</c:v>
                </c:pt>
                <c:pt idx="85">
                  <c:v>0.62101364197251707</c:v>
                </c:pt>
                <c:pt idx="86">
                  <c:v>0.63233728268356126</c:v>
                </c:pt>
                <c:pt idx="87">
                  <c:v>0.63014706930842368</c:v>
                </c:pt>
                <c:pt idx="88">
                  <c:v>0.62848379881989758</c:v>
                </c:pt>
                <c:pt idx="89">
                  <c:v>0.62074680329518772</c:v>
                </c:pt>
                <c:pt idx="90">
                  <c:v>0.6137526846216198</c:v>
                </c:pt>
                <c:pt idx="91">
                  <c:v>0.60514561093648345</c:v>
                </c:pt>
                <c:pt idx="92">
                  <c:v>0.60476330286221536</c:v>
                </c:pt>
                <c:pt idx="93">
                  <c:v>0.59546883474983026</c:v>
                </c:pt>
                <c:pt idx="94">
                  <c:v>0.58857473906501523</c:v>
                </c:pt>
                <c:pt idx="95">
                  <c:v>0.60225241557679476</c:v>
                </c:pt>
                <c:pt idx="96">
                  <c:v>0.59578581723223467</c:v>
                </c:pt>
                <c:pt idx="97">
                  <c:v>0.60300585342219093</c:v>
                </c:pt>
                <c:pt idx="98">
                  <c:v>0.5974027140334035</c:v>
                </c:pt>
                <c:pt idx="99">
                  <c:v>0.58379266631188953</c:v>
                </c:pt>
                <c:pt idx="100">
                  <c:v>0.58451677169680138</c:v>
                </c:pt>
                <c:pt idx="101">
                  <c:v>0.5743702180256155</c:v>
                </c:pt>
                <c:pt idx="102">
                  <c:v>0.58523803576130473</c:v>
                </c:pt>
                <c:pt idx="103">
                  <c:v>0.57397999957073487</c:v>
                </c:pt>
                <c:pt idx="104">
                  <c:v>0.58203246916330664</c:v>
                </c:pt>
                <c:pt idx="105">
                  <c:v>0.59035426863614526</c:v>
                </c:pt>
                <c:pt idx="106">
                  <c:v>0.5847434272371157</c:v>
                </c:pt>
                <c:pt idx="107">
                  <c:v>0.59036631256829419</c:v>
                </c:pt>
                <c:pt idx="108">
                  <c:v>0.59265317090593705</c:v>
                </c:pt>
                <c:pt idx="109">
                  <c:v>0.60288175269195299</c:v>
                </c:pt>
                <c:pt idx="110">
                  <c:v>0.59420177901506299</c:v>
                </c:pt>
                <c:pt idx="111">
                  <c:v>0.5822021462545991</c:v>
                </c:pt>
                <c:pt idx="112">
                  <c:v>0.58820757226967424</c:v>
                </c:pt>
                <c:pt idx="113">
                  <c:v>0.58985866709220403</c:v>
                </c:pt>
                <c:pt idx="114">
                  <c:v>0.58576964213330407</c:v>
                </c:pt>
                <c:pt idx="115">
                  <c:v>0.57849771173092679</c:v>
                </c:pt>
                <c:pt idx="116">
                  <c:v>0.57924595502470155</c:v>
                </c:pt>
                <c:pt idx="117">
                  <c:v>0.58227315435765747</c:v>
                </c:pt>
                <c:pt idx="118">
                  <c:v>0.58063052787695302</c:v>
                </c:pt>
                <c:pt idx="119">
                  <c:v>0.57788802583871013</c:v>
                </c:pt>
                <c:pt idx="120">
                  <c:v>0.5766520047103223</c:v>
                </c:pt>
                <c:pt idx="121">
                  <c:v>0.57508387912834624</c:v>
                </c:pt>
                <c:pt idx="122">
                  <c:v>0.57810013354147238</c:v>
                </c:pt>
                <c:pt idx="123">
                  <c:v>0.57550406986630631</c:v>
                </c:pt>
                <c:pt idx="124">
                  <c:v>0.56305766946828217</c:v>
                </c:pt>
                <c:pt idx="125">
                  <c:v>0.54735328858160648</c:v>
                </c:pt>
                <c:pt idx="126">
                  <c:v>0.55129863318166916</c:v>
                </c:pt>
                <c:pt idx="127">
                  <c:v>0.54548983931039452</c:v>
                </c:pt>
                <c:pt idx="128">
                  <c:v>0.5419005646911379</c:v>
                </c:pt>
                <c:pt idx="129">
                  <c:v>0.53858053468346623</c:v>
                </c:pt>
                <c:pt idx="130">
                  <c:v>0.54765179540664777</c:v>
                </c:pt>
                <c:pt idx="131">
                  <c:v>0.5489837932947168</c:v>
                </c:pt>
                <c:pt idx="132">
                  <c:v>0.53808649600483138</c:v>
                </c:pt>
                <c:pt idx="133">
                  <c:v>0.54204119786839133</c:v>
                </c:pt>
                <c:pt idx="134">
                  <c:v>0.542782860425015</c:v>
                </c:pt>
                <c:pt idx="135">
                  <c:v>0.53166102370489221</c:v>
                </c:pt>
                <c:pt idx="136">
                  <c:v>0.53016248881505845</c:v>
                </c:pt>
                <c:pt idx="137">
                  <c:v>0.53074805901577127</c:v>
                </c:pt>
                <c:pt idx="138">
                  <c:v>0.53052460629823373</c:v>
                </c:pt>
                <c:pt idx="139">
                  <c:v>0.51799982997929783</c:v>
                </c:pt>
                <c:pt idx="140">
                  <c:v>0.52098134486200076</c:v>
                </c:pt>
                <c:pt idx="141">
                  <c:v>0.52142491475629116</c:v>
                </c:pt>
                <c:pt idx="142">
                  <c:v>0.52433327257485796</c:v>
                </c:pt>
                <c:pt idx="143">
                  <c:v>0.51784866765146054</c:v>
                </c:pt>
                <c:pt idx="144">
                  <c:v>0.52334321352514324</c:v>
                </c:pt>
                <c:pt idx="145">
                  <c:v>0.51636436201765556</c:v>
                </c:pt>
                <c:pt idx="146">
                  <c:v>0.51659369063215888</c:v>
                </c:pt>
                <c:pt idx="147">
                  <c:v>0.53279267709699651</c:v>
                </c:pt>
                <c:pt idx="148">
                  <c:v>0.52842007307927841</c:v>
                </c:pt>
                <c:pt idx="149">
                  <c:v>0.5356211786434546</c:v>
                </c:pt>
                <c:pt idx="150">
                  <c:v>0.53650371465879199</c:v>
                </c:pt>
                <c:pt idx="151">
                  <c:v>0.52142958612441781</c:v>
                </c:pt>
                <c:pt idx="152">
                  <c:v>0.52530780325151882</c:v>
                </c:pt>
                <c:pt idx="153">
                  <c:v>0.52825506248517273</c:v>
                </c:pt>
                <c:pt idx="154">
                  <c:v>0.5192701762585813</c:v>
                </c:pt>
                <c:pt idx="155">
                  <c:v>0.51459459183174272</c:v>
                </c:pt>
                <c:pt idx="156">
                  <c:v>0.50312318204176387</c:v>
                </c:pt>
                <c:pt idx="157">
                  <c:v>0.50686475135528963</c:v>
                </c:pt>
                <c:pt idx="158">
                  <c:v>0.51349760476368111</c:v>
                </c:pt>
                <c:pt idx="159">
                  <c:v>0.51077202610187145</c:v>
                </c:pt>
                <c:pt idx="160">
                  <c:v>0.51192115994058329</c:v>
                </c:pt>
                <c:pt idx="161">
                  <c:v>0.50180902325855548</c:v>
                </c:pt>
                <c:pt idx="162">
                  <c:v>0.4942310917417192</c:v>
                </c:pt>
                <c:pt idx="163">
                  <c:v>0.49011457118742302</c:v>
                </c:pt>
                <c:pt idx="164">
                  <c:v>0.49420208779586677</c:v>
                </c:pt>
                <c:pt idx="165">
                  <c:v>0.49209185279617496</c:v>
                </c:pt>
                <c:pt idx="166">
                  <c:v>0.49251065606826089</c:v>
                </c:pt>
                <c:pt idx="167">
                  <c:v>0.48466040636677082</c:v>
                </c:pt>
                <c:pt idx="168">
                  <c:v>0.47958514962333609</c:v>
                </c:pt>
                <c:pt idx="169">
                  <c:v>0.47404328326730277</c:v>
                </c:pt>
                <c:pt idx="170">
                  <c:v>0.47862406082509046</c:v>
                </c:pt>
                <c:pt idx="171">
                  <c:v>0.4718911923961045</c:v>
                </c:pt>
                <c:pt idx="172">
                  <c:v>0.48040121073209152</c:v>
                </c:pt>
                <c:pt idx="173">
                  <c:v>0.46923103230382585</c:v>
                </c:pt>
                <c:pt idx="174">
                  <c:v>0.46301244311053935</c:v>
                </c:pt>
                <c:pt idx="175">
                  <c:v>0.45905055991782101</c:v>
                </c:pt>
                <c:pt idx="176">
                  <c:v>0.45801904228601686</c:v>
                </c:pt>
                <c:pt idx="177">
                  <c:v>0.4472308278914458</c:v>
                </c:pt>
                <c:pt idx="178">
                  <c:v>0.44179090096654933</c:v>
                </c:pt>
                <c:pt idx="179">
                  <c:v>0.4448297441483815</c:v>
                </c:pt>
                <c:pt idx="180">
                  <c:v>0.44929107059248125</c:v>
                </c:pt>
                <c:pt idx="181">
                  <c:v>0.44094432016342761</c:v>
                </c:pt>
                <c:pt idx="182">
                  <c:v>0.44505142547052068</c:v>
                </c:pt>
                <c:pt idx="183">
                  <c:v>0.4631177274173951</c:v>
                </c:pt>
                <c:pt idx="184">
                  <c:v>0.46229182236681504</c:v>
                </c:pt>
                <c:pt idx="185">
                  <c:v>0.45646466979985961</c:v>
                </c:pt>
                <c:pt idx="186">
                  <c:v>0.46423339605984359</c:v>
                </c:pt>
                <c:pt idx="187">
                  <c:v>0.46178793053752659</c:v>
                </c:pt>
                <c:pt idx="188">
                  <c:v>0.45132257167045942</c:v>
                </c:pt>
                <c:pt idx="189">
                  <c:v>0.44892951406590093</c:v>
                </c:pt>
                <c:pt idx="190">
                  <c:v>0.45137588548722707</c:v>
                </c:pt>
                <c:pt idx="191">
                  <c:v>0.45150231039240712</c:v>
                </c:pt>
                <c:pt idx="192">
                  <c:v>0.44606747656825158</c:v>
                </c:pt>
                <c:pt idx="193">
                  <c:v>0.4397264276800868</c:v>
                </c:pt>
                <c:pt idx="194">
                  <c:v>0.43914144641591418</c:v>
                </c:pt>
                <c:pt idx="195">
                  <c:v>0.43571878905478006</c:v>
                </c:pt>
                <c:pt idx="196">
                  <c:v>0.44507992468076801</c:v>
                </c:pt>
                <c:pt idx="197">
                  <c:v>0.44266732302702555</c:v>
                </c:pt>
                <c:pt idx="198">
                  <c:v>0.45022727058804235</c:v>
                </c:pt>
                <c:pt idx="199">
                  <c:v>0.44746846940614876</c:v>
                </c:pt>
                <c:pt idx="200">
                  <c:v>0.44611637322809156</c:v>
                </c:pt>
                <c:pt idx="201">
                  <c:v>0.45630284214786287</c:v>
                </c:pt>
                <c:pt idx="202">
                  <c:v>0.44974209044713503</c:v>
                </c:pt>
                <c:pt idx="203">
                  <c:v>0.44694250341301633</c:v>
                </c:pt>
                <c:pt idx="204">
                  <c:v>0.45073048359533113</c:v>
                </c:pt>
                <c:pt idx="205">
                  <c:v>0.45259275709323371</c:v>
                </c:pt>
                <c:pt idx="206">
                  <c:v>0.44789454654990357</c:v>
                </c:pt>
                <c:pt idx="207">
                  <c:v>0.45480732706422711</c:v>
                </c:pt>
                <c:pt idx="208">
                  <c:v>0.45914575605078528</c:v>
                </c:pt>
                <c:pt idx="209">
                  <c:v>0.46141732777612571</c:v>
                </c:pt>
                <c:pt idx="210">
                  <c:v>0.45923610979980517</c:v>
                </c:pt>
                <c:pt idx="211">
                  <c:v>0.45318229481516098</c:v>
                </c:pt>
                <c:pt idx="212">
                  <c:v>0.44517920699880331</c:v>
                </c:pt>
                <c:pt idx="213">
                  <c:v>0.45535507738935566</c:v>
                </c:pt>
                <c:pt idx="214">
                  <c:v>0.45682889831172446</c:v>
                </c:pt>
                <c:pt idx="215">
                  <c:v>0.45862933478401952</c:v>
                </c:pt>
                <c:pt idx="216">
                  <c:v>0.45938371313482251</c:v>
                </c:pt>
                <c:pt idx="217">
                  <c:v>0.45977156967442928</c:v>
                </c:pt>
                <c:pt idx="218">
                  <c:v>0.45616582166759723</c:v>
                </c:pt>
                <c:pt idx="219">
                  <c:v>0.45686348651080627</c:v>
                </c:pt>
                <c:pt idx="220">
                  <c:v>0.4602250498791976</c:v>
                </c:pt>
                <c:pt idx="221">
                  <c:v>0.45626440955030595</c:v>
                </c:pt>
                <c:pt idx="222">
                  <c:v>0.44689061923586543</c:v>
                </c:pt>
                <c:pt idx="223">
                  <c:v>0.44417079171920909</c:v>
                </c:pt>
                <c:pt idx="224">
                  <c:v>0.4485911009716963</c:v>
                </c:pt>
                <c:pt idx="225">
                  <c:v>0.4561012303817244</c:v>
                </c:pt>
                <c:pt idx="226">
                  <c:v>0.45683231476827635</c:v>
                </c:pt>
                <c:pt idx="227">
                  <c:v>0.45825821257365473</c:v>
                </c:pt>
                <c:pt idx="228">
                  <c:v>0.45239627808518457</c:v>
                </c:pt>
                <c:pt idx="229">
                  <c:v>0.44833869678968558</c:v>
                </c:pt>
                <c:pt idx="230">
                  <c:v>0.44968045301753246</c:v>
                </c:pt>
                <c:pt idx="231">
                  <c:v>0.44234959675804641</c:v>
                </c:pt>
                <c:pt idx="232">
                  <c:v>0.44717850307711804</c:v>
                </c:pt>
                <c:pt idx="233">
                  <c:v>0.43203075695973087</c:v>
                </c:pt>
                <c:pt idx="234">
                  <c:v>0.43324057807702343</c:v>
                </c:pt>
                <c:pt idx="235">
                  <c:v>0.43587392060822339</c:v>
                </c:pt>
                <c:pt idx="236">
                  <c:v>0.43942484804961401</c:v>
                </c:pt>
                <c:pt idx="237">
                  <c:v>0.43927704606008855</c:v>
                </c:pt>
                <c:pt idx="238">
                  <c:v>0.43915159242641949</c:v>
                </c:pt>
                <c:pt idx="239">
                  <c:v>0.43084361975296215</c:v>
                </c:pt>
                <c:pt idx="240">
                  <c:v>0.42232072779958274</c:v>
                </c:pt>
                <c:pt idx="241">
                  <c:v>0.40699584902791391</c:v>
                </c:pt>
                <c:pt idx="242">
                  <c:v>0.40658104103031451</c:v>
                </c:pt>
                <c:pt idx="243">
                  <c:v>0.41509158065650958</c:v>
                </c:pt>
                <c:pt idx="244">
                  <c:v>0.40916106965807564</c:v>
                </c:pt>
                <c:pt idx="245">
                  <c:v>0.40636472186283157</c:v>
                </c:pt>
                <c:pt idx="246">
                  <c:v>0.39876358352670815</c:v>
                </c:pt>
                <c:pt idx="247">
                  <c:v>0.40043947704855964</c:v>
                </c:pt>
                <c:pt idx="248">
                  <c:v>0.40475598315136002</c:v>
                </c:pt>
                <c:pt idx="249">
                  <c:v>0.40618036190202567</c:v>
                </c:pt>
                <c:pt idx="250">
                  <c:v>0.41250596620173868</c:v>
                </c:pt>
                <c:pt idx="251">
                  <c:v>0.41434738749450639</c:v>
                </c:pt>
                <c:pt idx="252">
                  <c:v>0.41542216261559495</c:v>
                </c:pt>
                <c:pt idx="253">
                  <c:v>0.41745940294652989</c:v>
                </c:pt>
                <c:pt idx="254">
                  <c:v>0.41685450402968294</c:v>
                </c:pt>
                <c:pt idx="255">
                  <c:v>0.40989263929756692</c:v>
                </c:pt>
                <c:pt idx="256">
                  <c:v>0.4002145872788429</c:v>
                </c:pt>
                <c:pt idx="257">
                  <c:v>0.39686742441890116</c:v>
                </c:pt>
                <c:pt idx="258">
                  <c:v>0.39658718581958641</c:v>
                </c:pt>
                <c:pt idx="259">
                  <c:v>0.38717488448274551</c:v>
                </c:pt>
                <c:pt idx="260">
                  <c:v>0.3891738190564043</c:v>
                </c:pt>
                <c:pt idx="261">
                  <c:v>0.37554248475479468</c:v>
                </c:pt>
                <c:pt idx="262">
                  <c:v>0.36942444555891252</c:v>
                </c:pt>
                <c:pt idx="263">
                  <c:v>0.37399921279947368</c:v>
                </c:pt>
                <c:pt idx="264">
                  <c:v>0.38080817359521679</c:v>
                </c:pt>
                <c:pt idx="265">
                  <c:v>0.37611132996176311</c:v>
                </c:pt>
                <c:pt idx="266">
                  <c:v>0.36988409312815829</c:v>
                </c:pt>
                <c:pt idx="267">
                  <c:v>0.36915831409130984</c:v>
                </c:pt>
                <c:pt idx="268">
                  <c:v>0.36496518344309614</c:v>
                </c:pt>
                <c:pt idx="269">
                  <c:v>0.35902120394560677</c:v>
                </c:pt>
                <c:pt idx="270">
                  <c:v>0.36108521590903681</c:v>
                </c:pt>
                <c:pt idx="271">
                  <c:v>0.35823787622244435</c:v>
                </c:pt>
                <c:pt idx="272">
                  <c:v>0.36414305672410596</c:v>
                </c:pt>
                <c:pt idx="273">
                  <c:v>0.36510280046282556</c:v>
                </c:pt>
                <c:pt idx="274">
                  <c:v>0.36929361739711147</c:v>
                </c:pt>
                <c:pt idx="275">
                  <c:v>0.3629617995161219</c:v>
                </c:pt>
                <c:pt idx="276">
                  <c:v>0.36332171400216673</c:v>
                </c:pt>
                <c:pt idx="277">
                  <c:v>0.36269569882670866</c:v>
                </c:pt>
                <c:pt idx="278">
                  <c:v>0.37136754449047638</c:v>
                </c:pt>
                <c:pt idx="279">
                  <c:v>0.36753083289314714</c:v>
                </c:pt>
                <c:pt idx="280">
                  <c:v>0.36531459014932161</c:v>
                </c:pt>
                <c:pt idx="281">
                  <c:v>0.35854849404856554</c:v>
                </c:pt>
                <c:pt idx="282">
                  <c:v>0.35921718897710891</c:v>
                </c:pt>
                <c:pt idx="283">
                  <c:v>0.35169770735038169</c:v>
                </c:pt>
                <c:pt idx="284">
                  <c:v>0.36185397578684353</c:v>
                </c:pt>
                <c:pt idx="285">
                  <c:v>0.36366442842482594</c:v>
                </c:pt>
                <c:pt idx="286">
                  <c:v>0.35673822199994182</c:v>
                </c:pt>
                <c:pt idx="287">
                  <c:v>0.35166005700595965</c:v>
                </c:pt>
                <c:pt idx="288">
                  <c:v>0.34874501385542123</c:v>
                </c:pt>
                <c:pt idx="289">
                  <c:v>0.34501035232525451</c:v>
                </c:pt>
                <c:pt idx="290">
                  <c:v>0.34481263911346305</c:v>
                </c:pt>
                <c:pt idx="291">
                  <c:v>0.3484297803233008</c:v>
                </c:pt>
                <c:pt idx="292">
                  <c:v>0.35220448519328257</c:v>
                </c:pt>
                <c:pt idx="293">
                  <c:v>0.34793397083272121</c:v>
                </c:pt>
                <c:pt idx="294">
                  <c:v>0.34873500064997626</c:v>
                </c:pt>
                <c:pt idx="295">
                  <c:v>0.34821119885706431</c:v>
                </c:pt>
                <c:pt idx="296">
                  <c:v>0.34958462055912348</c:v>
                </c:pt>
                <c:pt idx="297">
                  <c:v>0.35042137750018731</c:v>
                </c:pt>
                <c:pt idx="298">
                  <c:v>0.35070252774500438</c:v>
                </c:pt>
                <c:pt idx="299">
                  <c:v>0.35074673441403331</c:v>
                </c:pt>
                <c:pt idx="300">
                  <c:v>0.35688026237091403</c:v>
                </c:pt>
                <c:pt idx="301">
                  <c:v>0.34721095777130695</c:v>
                </c:pt>
                <c:pt idx="302">
                  <c:v>0.34488990435453282</c:v>
                </c:pt>
                <c:pt idx="303">
                  <c:v>0.34872162581236393</c:v>
                </c:pt>
                <c:pt idx="304">
                  <c:v>0.35164228652712853</c:v>
                </c:pt>
                <c:pt idx="305">
                  <c:v>0.35103300685487798</c:v>
                </c:pt>
                <c:pt idx="306">
                  <c:v>0.34909908134946821</c:v>
                </c:pt>
                <c:pt idx="307">
                  <c:v>0.34936050256245682</c:v>
                </c:pt>
                <c:pt idx="308">
                  <c:v>0.35147810976393379</c:v>
                </c:pt>
                <c:pt idx="309">
                  <c:v>0.35073340088386518</c:v>
                </c:pt>
                <c:pt idx="310">
                  <c:v>0.35983198620714901</c:v>
                </c:pt>
                <c:pt idx="311">
                  <c:v>0.35458672837334188</c:v>
                </c:pt>
                <c:pt idx="312">
                  <c:v>0.36145732729188929</c:v>
                </c:pt>
                <c:pt idx="313">
                  <c:v>0.37759928283024113</c:v>
                </c:pt>
                <c:pt idx="314">
                  <c:v>0.38156946209725728</c:v>
                </c:pt>
                <c:pt idx="315">
                  <c:v>0.38073751180928134</c:v>
                </c:pt>
                <c:pt idx="316">
                  <c:v>0.37665106839056678</c:v>
                </c:pt>
                <c:pt idx="317">
                  <c:v>0.37182221862768428</c:v>
                </c:pt>
                <c:pt idx="318">
                  <c:v>0.37393771433375383</c:v>
                </c:pt>
                <c:pt idx="319">
                  <c:v>0.37621325768811575</c:v>
                </c:pt>
                <c:pt idx="320">
                  <c:v>0.37892405420849717</c:v>
                </c:pt>
                <c:pt idx="321">
                  <c:v>0.37734416939474053</c:v>
                </c:pt>
                <c:pt idx="322">
                  <c:v>0.38308288068602758</c:v>
                </c:pt>
                <c:pt idx="323">
                  <c:v>0.38275451337156696</c:v>
                </c:pt>
                <c:pt idx="324">
                  <c:v>0.38153058753674185</c:v>
                </c:pt>
                <c:pt idx="325">
                  <c:v>0.38222530609178956</c:v>
                </c:pt>
                <c:pt idx="326">
                  <c:v>0.37963108294055598</c:v>
                </c:pt>
                <c:pt idx="327">
                  <c:v>0.38004409665537364</c:v>
                </c:pt>
                <c:pt idx="328">
                  <c:v>0.37365346190894305</c:v>
                </c:pt>
                <c:pt idx="329">
                  <c:v>0.38205622073755818</c:v>
                </c:pt>
                <c:pt idx="330">
                  <c:v>0.38370128469600862</c:v>
                </c:pt>
                <c:pt idx="331">
                  <c:v>0.38306423287001146</c:v>
                </c:pt>
                <c:pt idx="332">
                  <c:v>0.37539214594132492</c:v>
                </c:pt>
                <c:pt idx="333">
                  <c:v>0.37247251188985853</c:v>
                </c:pt>
                <c:pt idx="334">
                  <c:v>0.36790709052456699</c:v>
                </c:pt>
                <c:pt idx="335">
                  <c:v>0.36101647701128786</c:v>
                </c:pt>
                <c:pt idx="336">
                  <c:v>0.36407594108425456</c:v>
                </c:pt>
                <c:pt idx="337">
                  <c:v>0.36683200383205139</c:v>
                </c:pt>
                <c:pt idx="338">
                  <c:v>0.37269385712233588</c:v>
                </c:pt>
                <c:pt idx="339">
                  <c:v>0.37953079248186744</c:v>
                </c:pt>
                <c:pt idx="340">
                  <c:v>0.38550186185597912</c:v>
                </c:pt>
                <c:pt idx="341">
                  <c:v>0.38052949530435404</c:v>
                </c:pt>
                <c:pt idx="342">
                  <c:v>0.37787479437830723</c:v>
                </c:pt>
                <c:pt idx="343">
                  <c:v>0.37681141109752303</c:v>
                </c:pt>
                <c:pt idx="344">
                  <c:v>0.36632894903564273</c:v>
                </c:pt>
                <c:pt idx="345">
                  <c:v>0.36840948082389102</c:v>
                </c:pt>
                <c:pt idx="346">
                  <c:v>0.36455208323108323</c:v>
                </c:pt>
                <c:pt idx="347">
                  <c:v>0.35779183431736516</c:v>
                </c:pt>
                <c:pt idx="348">
                  <c:v>0.36473197824947834</c:v>
                </c:pt>
                <c:pt idx="349">
                  <c:v>0.36864050740431858</c:v>
                </c:pt>
                <c:pt idx="350">
                  <c:v>0.37789102895047189</c:v>
                </c:pt>
                <c:pt idx="351">
                  <c:v>0.37117908594094423</c:v>
                </c:pt>
                <c:pt idx="352">
                  <c:v>0.37527076346071664</c:v>
                </c:pt>
                <c:pt idx="353">
                  <c:v>0.37296493709511325</c:v>
                </c:pt>
                <c:pt idx="354">
                  <c:v>0.36881057561154573</c:v>
                </c:pt>
                <c:pt idx="355">
                  <c:v>0.36273847581732582</c:v>
                </c:pt>
                <c:pt idx="356">
                  <c:v>0.36519725425052946</c:v>
                </c:pt>
                <c:pt idx="357">
                  <c:v>0.35191060013633702</c:v>
                </c:pt>
                <c:pt idx="358">
                  <c:v>0.35487914724170116</c:v>
                </c:pt>
                <c:pt idx="359">
                  <c:v>0.35238390017289756</c:v>
                </c:pt>
                <c:pt idx="360">
                  <c:v>0.35976766820833839</c:v>
                </c:pt>
                <c:pt idx="361">
                  <c:v>0.35648667368832676</c:v>
                </c:pt>
                <c:pt idx="362">
                  <c:v>0.3568943949543269</c:v>
                </c:pt>
                <c:pt idx="363">
                  <c:v>0.35252765001029424</c:v>
                </c:pt>
                <c:pt idx="364">
                  <c:v>0.34683974690240321</c:v>
                </c:pt>
                <c:pt idx="365">
                  <c:v>0.34695647310058492</c:v>
                </c:pt>
                <c:pt idx="366">
                  <c:v>0.35100444445270618</c:v>
                </c:pt>
                <c:pt idx="367">
                  <c:v>0.3493795995085166</c:v>
                </c:pt>
                <c:pt idx="368">
                  <c:v>0.34200336848384832</c:v>
                </c:pt>
                <c:pt idx="369">
                  <c:v>0.329398355029967</c:v>
                </c:pt>
                <c:pt idx="370">
                  <c:v>0.3334340206770085</c:v>
                </c:pt>
                <c:pt idx="371">
                  <c:v>0.33607076341894271</c:v>
                </c:pt>
                <c:pt idx="372">
                  <c:v>0.34070634067444083</c:v>
                </c:pt>
                <c:pt idx="373">
                  <c:v>0.33815807223727229</c:v>
                </c:pt>
                <c:pt idx="374">
                  <c:v>0.33865254861634164</c:v>
                </c:pt>
                <c:pt idx="375">
                  <c:v>0.34164036675610632</c:v>
                </c:pt>
                <c:pt idx="376">
                  <c:v>0.33943779262636009</c:v>
                </c:pt>
                <c:pt idx="377">
                  <c:v>0.333152962249885</c:v>
                </c:pt>
                <c:pt idx="378">
                  <c:v>0.33718177432683583</c:v>
                </c:pt>
                <c:pt idx="379">
                  <c:v>0.34284892534214118</c:v>
                </c:pt>
                <c:pt idx="380">
                  <c:v>0.33634890444470827</c:v>
                </c:pt>
                <c:pt idx="381">
                  <c:v>0.33657649148670005</c:v>
                </c:pt>
                <c:pt idx="382">
                  <c:v>0.33624629405150208</c:v>
                </c:pt>
                <c:pt idx="383">
                  <c:v>0.33419401197904475</c:v>
                </c:pt>
                <c:pt idx="384">
                  <c:v>0.33205561743227524</c:v>
                </c:pt>
                <c:pt idx="385">
                  <c:v>0.33896181487883192</c:v>
                </c:pt>
                <c:pt idx="386">
                  <c:v>0.34035519203348641</c:v>
                </c:pt>
                <c:pt idx="387">
                  <c:v>0.33385466358489235</c:v>
                </c:pt>
                <c:pt idx="388">
                  <c:v>0.34091581550323502</c:v>
                </c:pt>
                <c:pt idx="389">
                  <c:v>0.34128651257675013</c:v>
                </c:pt>
                <c:pt idx="390">
                  <c:v>0.34174826673321002</c:v>
                </c:pt>
                <c:pt idx="391">
                  <c:v>0.33737119823821288</c:v>
                </c:pt>
                <c:pt idx="392">
                  <c:v>0.34095692848731696</c:v>
                </c:pt>
                <c:pt idx="393">
                  <c:v>0.33950338511602379</c:v>
                </c:pt>
                <c:pt idx="394">
                  <c:v>0.3424071780316828</c:v>
                </c:pt>
                <c:pt idx="395">
                  <c:v>0.35181063501076937</c:v>
                </c:pt>
                <c:pt idx="396">
                  <c:v>0.35710137565208255</c:v>
                </c:pt>
                <c:pt idx="397">
                  <c:v>0.36165584312494181</c:v>
                </c:pt>
                <c:pt idx="398">
                  <c:v>0.35969365232197287</c:v>
                </c:pt>
                <c:pt idx="399">
                  <c:v>0.35210462504082402</c:v>
                </c:pt>
                <c:pt idx="400">
                  <c:v>0.35270373882137573</c:v>
                </c:pt>
                <c:pt idx="401">
                  <c:v>0.35296599821098584</c:v>
                </c:pt>
                <c:pt idx="402">
                  <c:v>0.35600883799924371</c:v>
                </c:pt>
                <c:pt idx="403">
                  <c:v>0.35517374123103646</c:v>
                </c:pt>
                <c:pt idx="404">
                  <c:v>0.35542556901155298</c:v>
                </c:pt>
                <c:pt idx="405">
                  <c:v>0.36472073270673372</c:v>
                </c:pt>
                <c:pt idx="406">
                  <c:v>0.35588692184236981</c:v>
                </c:pt>
                <c:pt idx="407">
                  <c:v>0.35299664985708346</c:v>
                </c:pt>
                <c:pt idx="408">
                  <c:v>0.35683574448772964</c:v>
                </c:pt>
                <c:pt idx="409">
                  <c:v>0.35204669762618157</c:v>
                </c:pt>
                <c:pt idx="410">
                  <c:v>0.34682057418405854</c:v>
                </c:pt>
                <c:pt idx="411">
                  <c:v>0.3373076116239993</c:v>
                </c:pt>
                <c:pt idx="412">
                  <c:v>0.33684143091695085</c:v>
                </c:pt>
                <c:pt idx="413">
                  <c:v>0.33217205940965611</c:v>
                </c:pt>
                <c:pt idx="414">
                  <c:v>0.33289883651471858</c:v>
                </c:pt>
                <c:pt idx="415">
                  <c:v>0.32869052727778081</c:v>
                </c:pt>
                <c:pt idx="416">
                  <c:v>0.3254235967825771</c:v>
                </c:pt>
                <c:pt idx="417">
                  <c:v>0.3193917063559128</c:v>
                </c:pt>
                <c:pt idx="418">
                  <c:v>0.32238830629751536</c:v>
                </c:pt>
                <c:pt idx="419">
                  <c:v>0.32362022690475262</c:v>
                </c:pt>
                <c:pt idx="420">
                  <c:v>0.32439572070371392</c:v>
                </c:pt>
                <c:pt idx="421">
                  <c:v>0.32233220837502014</c:v>
                </c:pt>
                <c:pt idx="422">
                  <c:v>0.31693927269526512</c:v>
                </c:pt>
                <c:pt idx="423">
                  <c:v>0.31426104317107711</c:v>
                </c:pt>
                <c:pt idx="424">
                  <c:v>0.30770280880696749</c:v>
                </c:pt>
                <c:pt idx="425">
                  <c:v>0.30624871433060868</c:v>
                </c:pt>
                <c:pt idx="426">
                  <c:v>0.31436350979015992</c:v>
                </c:pt>
                <c:pt idx="427">
                  <c:v>0.31036238846063507</c:v>
                </c:pt>
                <c:pt idx="428">
                  <c:v>0.30928928453397464</c:v>
                </c:pt>
                <c:pt idx="429">
                  <c:v>0.31786714438953745</c:v>
                </c:pt>
                <c:pt idx="430">
                  <c:v>0.32534745930880765</c:v>
                </c:pt>
                <c:pt idx="431">
                  <c:v>0.32961842540560565</c:v>
                </c:pt>
                <c:pt idx="432">
                  <c:v>0.32726186816706321</c:v>
                </c:pt>
                <c:pt idx="433">
                  <c:v>0.32705518168533371</c:v>
                </c:pt>
                <c:pt idx="434">
                  <c:v>0.32459030542490136</c:v>
                </c:pt>
                <c:pt idx="435">
                  <c:v>0.32668200102887246</c:v>
                </c:pt>
                <c:pt idx="436">
                  <c:v>0.32726839754491821</c:v>
                </c:pt>
                <c:pt idx="437">
                  <c:v>0.32097714109655623</c:v>
                </c:pt>
                <c:pt idx="438">
                  <c:v>0.31669466581331479</c:v>
                </c:pt>
                <c:pt idx="439">
                  <c:v>0.31222176347050129</c:v>
                </c:pt>
                <c:pt idx="440">
                  <c:v>0.30533900317770712</c:v>
                </c:pt>
                <c:pt idx="441">
                  <c:v>0.29702154495374872</c:v>
                </c:pt>
                <c:pt idx="442">
                  <c:v>0.29545469313332362</c:v>
                </c:pt>
                <c:pt idx="443">
                  <c:v>0.29292652513256401</c:v>
                </c:pt>
                <c:pt idx="444">
                  <c:v>0.28960912327563032</c:v>
                </c:pt>
                <c:pt idx="445">
                  <c:v>0.2905985555109909</c:v>
                </c:pt>
                <c:pt idx="446">
                  <c:v>0.29849096217492438</c:v>
                </c:pt>
                <c:pt idx="447">
                  <c:v>0.29990839030867406</c:v>
                </c:pt>
                <c:pt idx="448">
                  <c:v>0.29927024100488403</c:v>
                </c:pt>
                <c:pt idx="449">
                  <c:v>0.30097202042376525</c:v>
                </c:pt>
                <c:pt idx="450">
                  <c:v>0.28714756291322602</c:v>
                </c:pt>
                <c:pt idx="451">
                  <c:v>0.28254177352132509</c:v>
                </c:pt>
                <c:pt idx="452">
                  <c:v>0.28128614412580621</c:v>
                </c:pt>
                <c:pt idx="453">
                  <c:v>0.28198164260518244</c:v>
                </c:pt>
                <c:pt idx="454">
                  <c:v>0.28974458828583988</c:v>
                </c:pt>
                <c:pt idx="455">
                  <c:v>0.28969450962193505</c:v>
                </c:pt>
                <c:pt idx="456">
                  <c:v>0.29625647851102294</c:v>
                </c:pt>
                <c:pt idx="457">
                  <c:v>0.29125901411501187</c:v>
                </c:pt>
                <c:pt idx="458">
                  <c:v>0.29182808651815073</c:v>
                </c:pt>
                <c:pt idx="459">
                  <c:v>0.28613973797439962</c:v>
                </c:pt>
                <c:pt idx="460">
                  <c:v>0.29075454193441086</c:v>
                </c:pt>
                <c:pt idx="461">
                  <c:v>0.29150283084088163</c:v>
                </c:pt>
                <c:pt idx="462">
                  <c:v>0.29568609863542744</c:v>
                </c:pt>
                <c:pt idx="463">
                  <c:v>0.29955215480136793</c:v>
                </c:pt>
                <c:pt idx="464">
                  <c:v>0.29825235309989068</c:v>
                </c:pt>
                <c:pt idx="465">
                  <c:v>0.29710724963534185</c:v>
                </c:pt>
                <c:pt idx="466">
                  <c:v>0.29874163034727419</c:v>
                </c:pt>
                <c:pt idx="467">
                  <c:v>0.2956199560775763</c:v>
                </c:pt>
                <c:pt idx="468">
                  <c:v>0.29260605180992411</c:v>
                </c:pt>
                <c:pt idx="469">
                  <c:v>0.29408002811958378</c:v>
                </c:pt>
                <c:pt idx="470">
                  <c:v>0.30248932402380624</c:v>
                </c:pt>
                <c:pt idx="471">
                  <c:v>0.30828666842558855</c:v>
                </c:pt>
                <c:pt idx="472">
                  <c:v>0.3105692964151982</c:v>
                </c:pt>
                <c:pt idx="473">
                  <c:v>0.30063991607938667</c:v>
                </c:pt>
                <c:pt idx="474">
                  <c:v>0.29843574218044483</c:v>
                </c:pt>
                <c:pt idx="475">
                  <c:v>0.30091660528753228</c:v>
                </c:pt>
                <c:pt idx="476">
                  <c:v>0.30019031320484857</c:v>
                </c:pt>
                <c:pt idx="477">
                  <c:v>0.30109549796269863</c:v>
                </c:pt>
                <c:pt idx="478">
                  <c:v>0.30252858764646517</c:v>
                </c:pt>
                <c:pt idx="479">
                  <c:v>0.30142339162387211</c:v>
                </c:pt>
                <c:pt idx="480">
                  <c:v>0.30319215461575272</c:v>
                </c:pt>
                <c:pt idx="481">
                  <c:v>0.29849817472822132</c:v>
                </c:pt>
                <c:pt idx="482">
                  <c:v>0.28930596072840264</c:v>
                </c:pt>
                <c:pt idx="483">
                  <c:v>0.28274909239287327</c:v>
                </c:pt>
                <c:pt idx="484">
                  <c:v>0.27776873420321557</c:v>
                </c:pt>
                <c:pt idx="485">
                  <c:v>0.26909919038701396</c:v>
                </c:pt>
                <c:pt idx="486">
                  <c:v>0.26919140458850888</c:v>
                </c:pt>
                <c:pt idx="487">
                  <c:v>0.27748226569540357</c:v>
                </c:pt>
                <c:pt idx="488">
                  <c:v>0.27705347919990464</c:v>
                </c:pt>
                <c:pt idx="489">
                  <c:v>0.28413991029502939</c:v>
                </c:pt>
                <c:pt idx="490">
                  <c:v>0.27971281914400209</c:v>
                </c:pt>
                <c:pt idx="491">
                  <c:v>0.28502191515721542</c:v>
                </c:pt>
                <c:pt idx="492">
                  <c:v>0.28128062593457626</c:v>
                </c:pt>
                <c:pt idx="493">
                  <c:v>0.28910958224966543</c:v>
                </c:pt>
                <c:pt idx="494">
                  <c:v>0.28907710607178561</c:v>
                </c:pt>
                <c:pt idx="495">
                  <c:v>0.28595010156620371</c:v>
                </c:pt>
                <c:pt idx="496">
                  <c:v>0.2820820479978316</c:v>
                </c:pt>
                <c:pt idx="497">
                  <c:v>0.2844678056054486</c:v>
                </c:pt>
                <c:pt idx="498">
                  <c:v>0.28310870788647008</c:v>
                </c:pt>
                <c:pt idx="499">
                  <c:v>0.28376582519048843</c:v>
                </c:pt>
                <c:pt idx="500">
                  <c:v>0.28169887595438492</c:v>
                </c:pt>
                <c:pt idx="501">
                  <c:v>0.27504070386600898</c:v>
                </c:pt>
                <c:pt idx="502">
                  <c:v>0.27441238761407089</c:v>
                </c:pt>
                <c:pt idx="503">
                  <c:v>0.2716496010471286</c:v>
                </c:pt>
                <c:pt idx="504">
                  <c:v>0.27293345768735522</c:v>
                </c:pt>
                <c:pt idx="505">
                  <c:v>0.27324437817507385</c:v>
                </c:pt>
                <c:pt idx="506">
                  <c:v>0.26369520408831715</c:v>
                </c:pt>
                <c:pt idx="507">
                  <c:v>0.26721380579958176</c:v>
                </c:pt>
                <c:pt idx="508">
                  <c:v>0.26828366415088689</c:v>
                </c:pt>
                <c:pt idx="509">
                  <c:v>0.26860028498142713</c:v>
                </c:pt>
                <c:pt idx="510">
                  <c:v>0.26464390183038505</c:v>
                </c:pt>
                <c:pt idx="511">
                  <c:v>0.27202091097318937</c:v>
                </c:pt>
                <c:pt idx="512">
                  <c:v>0.27105720892172708</c:v>
                </c:pt>
                <c:pt idx="513">
                  <c:v>0.26560511041724288</c:v>
                </c:pt>
                <c:pt idx="514">
                  <c:v>0.26787088146994187</c:v>
                </c:pt>
                <c:pt idx="515">
                  <c:v>0.26542940635490003</c:v>
                </c:pt>
                <c:pt idx="516">
                  <c:v>0.2650759893982596</c:v>
                </c:pt>
                <c:pt idx="517">
                  <c:v>0.27026136852076604</c:v>
                </c:pt>
                <c:pt idx="518">
                  <c:v>0.27127032800631024</c:v>
                </c:pt>
                <c:pt idx="519">
                  <c:v>0.26690831139584259</c:v>
                </c:pt>
                <c:pt idx="520">
                  <c:v>0.27068972083082654</c:v>
                </c:pt>
                <c:pt idx="521">
                  <c:v>0.27011552568535185</c:v>
                </c:pt>
                <c:pt idx="522">
                  <c:v>0.26834368582662044</c:v>
                </c:pt>
                <c:pt idx="523">
                  <c:v>0.26116255464529303</c:v>
                </c:pt>
                <c:pt idx="524">
                  <c:v>0.26251894565506867</c:v>
                </c:pt>
                <c:pt idx="525">
                  <c:v>0.2645205832408008</c:v>
                </c:pt>
                <c:pt idx="526">
                  <c:v>0.25985159899636662</c:v>
                </c:pt>
                <c:pt idx="527">
                  <c:v>0.26008632182918046</c:v>
                </c:pt>
                <c:pt idx="528">
                  <c:v>0.25811900264853549</c:v>
                </c:pt>
                <c:pt idx="529">
                  <c:v>0.259996661639603</c:v>
                </c:pt>
                <c:pt idx="530">
                  <c:v>0.2644413216655776</c:v>
                </c:pt>
                <c:pt idx="531">
                  <c:v>0.26102032609554082</c:v>
                </c:pt>
                <c:pt idx="532">
                  <c:v>0.2616242446360767</c:v>
                </c:pt>
                <c:pt idx="533">
                  <c:v>0.26616561789291149</c:v>
                </c:pt>
                <c:pt idx="534">
                  <c:v>0.27243055658172044</c:v>
                </c:pt>
                <c:pt idx="535">
                  <c:v>0.26781279552419862</c:v>
                </c:pt>
                <c:pt idx="536">
                  <c:v>0.27289244693014914</c:v>
                </c:pt>
                <c:pt idx="537">
                  <c:v>0.27271031956371256</c:v>
                </c:pt>
                <c:pt idx="538">
                  <c:v>0.27516451293023308</c:v>
                </c:pt>
                <c:pt idx="539">
                  <c:v>0.2660641801961437</c:v>
                </c:pt>
                <c:pt idx="540">
                  <c:v>0.2695627376784705</c:v>
                </c:pt>
                <c:pt idx="541">
                  <c:v>0.27145850456546872</c:v>
                </c:pt>
                <c:pt idx="542">
                  <c:v>0.27093253079785562</c:v>
                </c:pt>
                <c:pt idx="543">
                  <c:v>0.26759119118753422</c:v>
                </c:pt>
                <c:pt idx="544">
                  <c:v>0.27160460289655908</c:v>
                </c:pt>
                <c:pt idx="545">
                  <c:v>0.27076866788007214</c:v>
                </c:pt>
                <c:pt idx="546">
                  <c:v>0.27334655728680274</c:v>
                </c:pt>
                <c:pt idx="547">
                  <c:v>0.2712248680036784</c:v>
                </c:pt>
                <c:pt idx="548">
                  <c:v>0.26883690108263814</c:v>
                </c:pt>
                <c:pt idx="549">
                  <c:v>0.26912687005367347</c:v>
                </c:pt>
                <c:pt idx="550">
                  <c:v>0.26970220697606312</c:v>
                </c:pt>
                <c:pt idx="551">
                  <c:v>0.26978097629654374</c:v>
                </c:pt>
                <c:pt idx="552">
                  <c:v>0.26945986539802891</c:v>
                </c:pt>
                <c:pt idx="553">
                  <c:v>0.26753873414007334</c:v>
                </c:pt>
                <c:pt idx="554">
                  <c:v>0.26973530870726947</c:v>
                </c:pt>
                <c:pt idx="555">
                  <c:v>0.26786944288805831</c:v>
                </c:pt>
                <c:pt idx="556">
                  <c:v>0.26465606017140214</c:v>
                </c:pt>
                <c:pt idx="557">
                  <c:v>0.26260590083276403</c:v>
                </c:pt>
                <c:pt idx="558">
                  <c:v>0.26424660980798592</c:v>
                </c:pt>
                <c:pt idx="559">
                  <c:v>0.26114799918197446</c:v>
                </c:pt>
                <c:pt idx="560">
                  <c:v>0.26835964809837715</c:v>
                </c:pt>
                <c:pt idx="561">
                  <c:v>0.26695851260579867</c:v>
                </c:pt>
                <c:pt idx="562">
                  <c:v>0.26310265340115108</c:v>
                </c:pt>
                <c:pt idx="563">
                  <c:v>0.26834526000806169</c:v>
                </c:pt>
                <c:pt idx="564">
                  <c:v>0.26271832777203669</c:v>
                </c:pt>
                <c:pt idx="565">
                  <c:v>0.25914153642038057</c:v>
                </c:pt>
                <c:pt idx="566">
                  <c:v>0.25974973902443482</c:v>
                </c:pt>
                <c:pt idx="567">
                  <c:v>0.2590264179733715</c:v>
                </c:pt>
                <c:pt idx="568">
                  <c:v>0.25630313622488993</c:v>
                </c:pt>
                <c:pt idx="569">
                  <c:v>0.25714873479894551</c:v>
                </c:pt>
                <c:pt idx="570">
                  <c:v>0.25469629857953885</c:v>
                </c:pt>
                <c:pt idx="571">
                  <c:v>0.25224994381264676</c:v>
                </c:pt>
                <c:pt idx="572">
                  <c:v>0.25402863319740926</c:v>
                </c:pt>
                <c:pt idx="573">
                  <c:v>0.25589069462824704</c:v>
                </c:pt>
                <c:pt idx="574">
                  <c:v>0.24753226769896547</c:v>
                </c:pt>
                <c:pt idx="575">
                  <c:v>0.2488062081996871</c:v>
                </c:pt>
                <c:pt idx="576">
                  <c:v>0.24930819004365218</c:v>
                </c:pt>
                <c:pt idx="577">
                  <c:v>0.24843683024728774</c:v>
                </c:pt>
                <c:pt idx="578">
                  <c:v>0.24783887548001629</c:v>
                </c:pt>
                <c:pt idx="579">
                  <c:v>0.24556799104644073</c:v>
                </c:pt>
                <c:pt idx="580">
                  <c:v>0.24819737972513897</c:v>
                </c:pt>
                <c:pt idx="581">
                  <c:v>0.24493312699897421</c:v>
                </c:pt>
                <c:pt idx="582">
                  <c:v>0.24306618500062729</c:v>
                </c:pt>
                <c:pt idx="583">
                  <c:v>0.24625944349055082</c:v>
                </c:pt>
                <c:pt idx="584">
                  <c:v>0.24026220209058918</c:v>
                </c:pt>
                <c:pt idx="585">
                  <c:v>0.23489797581154612</c:v>
                </c:pt>
                <c:pt idx="586">
                  <c:v>0.23268897709110525</c:v>
                </c:pt>
                <c:pt idx="587">
                  <c:v>0.23430063345021787</c:v>
                </c:pt>
                <c:pt idx="588">
                  <c:v>0.23959843454445781</c:v>
                </c:pt>
                <c:pt idx="589">
                  <c:v>0.2439555342108036</c:v>
                </c:pt>
                <c:pt idx="590">
                  <c:v>0.24583715759994093</c:v>
                </c:pt>
                <c:pt idx="591">
                  <c:v>0.24593303183809856</c:v>
                </c:pt>
                <c:pt idx="592">
                  <c:v>0.24648455159652116</c:v>
                </c:pt>
                <c:pt idx="593">
                  <c:v>0.24520580225914856</c:v>
                </c:pt>
                <c:pt idx="594">
                  <c:v>0.2435999913329463</c:v>
                </c:pt>
                <c:pt idx="595">
                  <c:v>0.24321967895052904</c:v>
                </c:pt>
                <c:pt idx="596">
                  <c:v>0.2460132894691282</c:v>
                </c:pt>
                <c:pt idx="597">
                  <c:v>0.2426091189355469</c:v>
                </c:pt>
                <c:pt idx="598">
                  <c:v>0.24624759158856929</c:v>
                </c:pt>
                <c:pt idx="599">
                  <c:v>0.24208787490638797</c:v>
                </c:pt>
                <c:pt idx="600">
                  <c:v>0.24326861175214143</c:v>
                </c:pt>
                <c:pt idx="601">
                  <c:v>0.23995379166557465</c:v>
                </c:pt>
                <c:pt idx="602">
                  <c:v>0.2399064136098899</c:v>
                </c:pt>
                <c:pt idx="603">
                  <c:v>0.24229245031136984</c:v>
                </c:pt>
                <c:pt idx="604">
                  <c:v>0.24115682358659979</c:v>
                </c:pt>
                <c:pt idx="605">
                  <c:v>0.23887875406616604</c:v>
                </c:pt>
                <c:pt idx="606">
                  <c:v>0.23989312794934664</c:v>
                </c:pt>
                <c:pt idx="607">
                  <c:v>0.2376401571160538</c:v>
                </c:pt>
                <c:pt idx="608">
                  <c:v>0.23718676677781214</c:v>
                </c:pt>
                <c:pt idx="609">
                  <c:v>0.23886583502902678</c:v>
                </c:pt>
                <c:pt idx="610">
                  <c:v>0.23574801852323643</c:v>
                </c:pt>
                <c:pt idx="611">
                  <c:v>0.23724259342250026</c:v>
                </c:pt>
                <c:pt idx="612">
                  <c:v>0.23477249806654432</c:v>
                </c:pt>
                <c:pt idx="613">
                  <c:v>0.23613878777535185</c:v>
                </c:pt>
                <c:pt idx="614">
                  <c:v>0.23983833794316406</c:v>
                </c:pt>
                <c:pt idx="615">
                  <c:v>0.24241709041715626</c:v>
                </c:pt>
                <c:pt idx="616">
                  <c:v>0.24909507358818175</c:v>
                </c:pt>
                <c:pt idx="617">
                  <c:v>0.25043703624860497</c:v>
                </c:pt>
                <c:pt idx="618">
                  <c:v>0.25097150217315051</c:v>
                </c:pt>
                <c:pt idx="619">
                  <c:v>0.25248468885937075</c:v>
                </c:pt>
                <c:pt idx="620">
                  <c:v>0.25423161763917773</c:v>
                </c:pt>
                <c:pt idx="621">
                  <c:v>0.2565390278687269</c:v>
                </c:pt>
                <c:pt idx="622">
                  <c:v>0.26033547837694415</c:v>
                </c:pt>
                <c:pt idx="623">
                  <c:v>0.25652409754905375</c:v>
                </c:pt>
                <c:pt idx="624">
                  <c:v>0.25612535936041536</c:v>
                </c:pt>
                <c:pt idx="625">
                  <c:v>0.25006397126909591</c:v>
                </c:pt>
                <c:pt idx="626">
                  <c:v>0.25112487193151506</c:v>
                </c:pt>
                <c:pt idx="627">
                  <c:v>0.24698064169076533</c:v>
                </c:pt>
                <c:pt idx="628">
                  <c:v>0.24312471567879709</c:v>
                </c:pt>
                <c:pt idx="629">
                  <c:v>0.24558829131419588</c:v>
                </c:pt>
                <c:pt idx="630">
                  <c:v>0.24477225599588309</c:v>
                </c:pt>
                <c:pt idx="631">
                  <c:v>0.24389355428004364</c:v>
                </c:pt>
                <c:pt idx="632">
                  <c:v>0.24751622260935613</c:v>
                </c:pt>
                <c:pt idx="633">
                  <c:v>0.24615748421172517</c:v>
                </c:pt>
                <c:pt idx="634">
                  <c:v>0.24230555608443202</c:v>
                </c:pt>
                <c:pt idx="635">
                  <c:v>0.24061886108371977</c:v>
                </c:pt>
                <c:pt idx="636">
                  <c:v>0.24287240375131472</c:v>
                </c:pt>
                <c:pt idx="637">
                  <c:v>0.24220561831030835</c:v>
                </c:pt>
                <c:pt idx="638">
                  <c:v>0.23844685629781254</c:v>
                </c:pt>
                <c:pt idx="639">
                  <c:v>0.24257371134274902</c:v>
                </c:pt>
                <c:pt idx="640">
                  <c:v>0.23830055305251163</c:v>
                </c:pt>
                <c:pt idx="641">
                  <c:v>0.23288676758659982</c:v>
                </c:pt>
                <c:pt idx="642">
                  <c:v>0.2317638374556853</c:v>
                </c:pt>
                <c:pt idx="643">
                  <c:v>0.22750937344247635</c:v>
                </c:pt>
                <c:pt idx="644">
                  <c:v>0.22777154897416779</c:v>
                </c:pt>
                <c:pt idx="645">
                  <c:v>0.2294083160285478</c:v>
                </c:pt>
                <c:pt idx="646">
                  <c:v>0.22820677352795762</c:v>
                </c:pt>
                <c:pt idx="647">
                  <c:v>0.23100641490178847</c:v>
                </c:pt>
                <c:pt idx="648">
                  <c:v>0.23384013689689254</c:v>
                </c:pt>
                <c:pt idx="649">
                  <c:v>0.23172311058288594</c:v>
                </c:pt>
                <c:pt idx="650">
                  <c:v>0.23197987138879311</c:v>
                </c:pt>
                <c:pt idx="651">
                  <c:v>0.23354566230855686</c:v>
                </c:pt>
                <c:pt idx="652">
                  <c:v>0.23135770147601945</c:v>
                </c:pt>
                <c:pt idx="653">
                  <c:v>0.22799965915910994</c:v>
                </c:pt>
                <c:pt idx="654">
                  <c:v>0.23172809354645146</c:v>
                </c:pt>
                <c:pt idx="655">
                  <c:v>0.23207686718824183</c:v>
                </c:pt>
                <c:pt idx="656">
                  <c:v>0.23520915994037583</c:v>
                </c:pt>
                <c:pt idx="657">
                  <c:v>0.23699188234124322</c:v>
                </c:pt>
                <c:pt idx="658">
                  <c:v>0.23057978492415579</c:v>
                </c:pt>
                <c:pt idx="659">
                  <c:v>0.23424038300389963</c:v>
                </c:pt>
                <c:pt idx="660">
                  <c:v>0.23214773914611347</c:v>
                </c:pt>
                <c:pt idx="661">
                  <c:v>0.23282532861767039</c:v>
                </c:pt>
                <c:pt idx="662">
                  <c:v>0.23326493779911689</c:v>
                </c:pt>
                <c:pt idx="663">
                  <c:v>0.23357650316288334</c:v>
                </c:pt>
                <c:pt idx="664">
                  <c:v>0.23169920443323533</c:v>
                </c:pt>
                <c:pt idx="665">
                  <c:v>0.22551116865812462</c:v>
                </c:pt>
                <c:pt idx="666">
                  <c:v>0.22339578559314244</c:v>
                </c:pt>
                <c:pt idx="667">
                  <c:v>0.22389235312036548</c:v>
                </c:pt>
                <c:pt idx="668">
                  <c:v>0.23033696555531294</c:v>
                </c:pt>
                <c:pt idx="669">
                  <c:v>0.2257059285193149</c:v>
                </c:pt>
                <c:pt idx="670">
                  <c:v>0.23107036301026912</c:v>
                </c:pt>
                <c:pt idx="671">
                  <c:v>0.23262513904876783</c:v>
                </c:pt>
                <c:pt idx="672">
                  <c:v>0.22902646810872473</c:v>
                </c:pt>
                <c:pt idx="673">
                  <c:v>0.2318710642261404</c:v>
                </c:pt>
                <c:pt idx="674">
                  <c:v>0.2296680673553391</c:v>
                </c:pt>
                <c:pt idx="675">
                  <c:v>0.22860512442513006</c:v>
                </c:pt>
                <c:pt idx="676">
                  <c:v>0.23522527987511399</c:v>
                </c:pt>
                <c:pt idx="677">
                  <c:v>0.23412408154313488</c:v>
                </c:pt>
                <c:pt idx="678">
                  <c:v>0.23599285001652301</c:v>
                </c:pt>
                <c:pt idx="679">
                  <c:v>0.23811816499576197</c:v>
                </c:pt>
                <c:pt idx="680">
                  <c:v>0.24071419105240485</c:v>
                </c:pt>
                <c:pt idx="681">
                  <c:v>0.24026964065673179</c:v>
                </c:pt>
                <c:pt idx="682">
                  <c:v>0.24409602382639561</c:v>
                </c:pt>
                <c:pt idx="683">
                  <c:v>0.2411805467549763</c:v>
                </c:pt>
                <c:pt idx="684">
                  <c:v>0.24636140090940248</c:v>
                </c:pt>
                <c:pt idx="685">
                  <c:v>0.25023922494035916</c:v>
                </c:pt>
                <c:pt idx="686">
                  <c:v>0.25061936860700929</c:v>
                </c:pt>
                <c:pt idx="687">
                  <c:v>0.24712910211455574</c:v>
                </c:pt>
                <c:pt idx="688">
                  <c:v>0.24562959272558327</c:v>
                </c:pt>
                <c:pt idx="689">
                  <c:v>0.24557235529357668</c:v>
                </c:pt>
                <c:pt idx="690">
                  <c:v>0.24972634880805389</c:v>
                </c:pt>
                <c:pt idx="691">
                  <c:v>0.25042409706860203</c:v>
                </c:pt>
                <c:pt idx="692">
                  <c:v>0.25134595750154648</c:v>
                </c:pt>
                <c:pt idx="693">
                  <c:v>0.24569519664509834</c:v>
                </c:pt>
                <c:pt idx="694">
                  <c:v>0.24551137794037939</c:v>
                </c:pt>
                <c:pt idx="695">
                  <c:v>0.24811165215877293</c:v>
                </c:pt>
                <c:pt idx="696">
                  <c:v>0.24855827268253172</c:v>
                </c:pt>
                <c:pt idx="697">
                  <c:v>0.24503902294858979</c:v>
                </c:pt>
                <c:pt idx="698">
                  <c:v>0.24814946710122002</c:v>
                </c:pt>
                <c:pt idx="699">
                  <c:v>0.24686169899080967</c:v>
                </c:pt>
                <c:pt idx="700">
                  <c:v>0.24536418699736048</c:v>
                </c:pt>
                <c:pt idx="701">
                  <c:v>0.24505233668136872</c:v>
                </c:pt>
                <c:pt idx="702">
                  <c:v>0.2451661659773213</c:v>
                </c:pt>
                <c:pt idx="703">
                  <c:v>0.2434342680140911</c:v>
                </c:pt>
                <c:pt idx="704">
                  <c:v>0.23390792013426362</c:v>
                </c:pt>
                <c:pt idx="705">
                  <c:v>0.2315080799169105</c:v>
                </c:pt>
                <c:pt idx="706">
                  <c:v>0.22786383874193358</c:v>
                </c:pt>
                <c:pt idx="707">
                  <c:v>0.22830029992966561</c:v>
                </c:pt>
                <c:pt idx="708">
                  <c:v>0.22578246786136277</c:v>
                </c:pt>
                <c:pt idx="709">
                  <c:v>0.22315068085372072</c:v>
                </c:pt>
                <c:pt idx="710">
                  <c:v>0.22402284013945675</c:v>
                </c:pt>
                <c:pt idx="711">
                  <c:v>0.22011710420454803</c:v>
                </c:pt>
                <c:pt idx="712">
                  <c:v>0.22486317979589168</c:v>
                </c:pt>
                <c:pt idx="713">
                  <c:v>0.22577571315622175</c:v>
                </c:pt>
                <c:pt idx="714">
                  <c:v>0.22500891244826299</c:v>
                </c:pt>
                <c:pt idx="715">
                  <c:v>0.22324839141877734</c:v>
                </c:pt>
                <c:pt idx="716">
                  <c:v>0.22669577389916096</c:v>
                </c:pt>
                <c:pt idx="717">
                  <c:v>0.22367877407638886</c:v>
                </c:pt>
                <c:pt idx="718">
                  <c:v>0.22358794056544659</c:v>
                </c:pt>
                <c:pt idx="719">
                  <c:v>0.2206569833747522</c:v>
                </c:pt>
              </c:numCache>
            </c:numRef>
          </c:val>
        </c:ser>
        <c:marker val="1"/>
        <c:axId val="83441152"/>
        <c:axId val="83442688"/>
      </c:lineChart>
      <c:catAx>
        <c:axId val="83441152"/>
        <c:scaling>
          <c:orientation val="minMax"/>
        </c:scaling>
        <c:axPos val="b"/>
        <c:tickLblPos val="nextTo"/>
        <c:crossAx val="83442688"/>
        <c:crosses val="autoZero"/>
        <c:auto val="1"/>
        <c:lblAlgn val="ctr"/>
        <c:lblOffset val="100"/>
      </c:catAx>
      <c:valAx>
        <c:axId val="83442688"/>
        <c:scaling>
          <c:orientation val="minMax"/>
        </c:scaling>
        <c:axPos val="l"/>
        <c:majorGridlines/>
        <c:numFmt formatCode="General" sourceLinked="1"/>
        <c:tickLblPos val="nextTo"/>
        <c:crossAx val="834411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Output!$O$12:$O$731</c:f>
              <c:numCache>
                <c:formatCode>General</c:formatCode>
                <c:ptCount val="720"/>
                <c:pt idx="0">
                  <c:v>3.25469392179638E-3</c:v>
                </c:pt>
                <c:pt idx="1">
                  <c:v>3.2546976776552852E-3</c:v>
                </c:pt>
                <c:pt idx="2">
                  <c:v>3.2546968163967363E-3</c:v>
                </c:pt>
                <c:pt idx="3">
                  <c:v>3.2544724108402546E-3</c:v>
                </c:pt>
                <c:pt idx="4">
                  <c:v>3.2544272460430308E-3</c:v>
                </c:pt>
                <c:pt idx="5">
                  <c:v>3.2547454408474626E-3</c:v>
                </c:pt>
                <c:pt idx="6">
                  <c:v>3.2554193458301846E-3</c:v>
                </c:pt>
                <c:pt idx="7">
                  <c:v>3.2557570614892986E-3</c:v>
                </c:pt>
                <c:pt idx="8">
                  <c:v>3.254909913991441E-3</c:v>
                </c:pt>
                <c:pt idx="9">
                  <c:v>3.2527179335215825E-3</c:v>
                </c:pt>
                <c:pt idx="10">
                  <c:v>3.2516938077362034E-3</c:v>
                </c:pt>
                <c:pt idx="11">
                  <c:v>3.2550582311892335E-3</c:v>
                </c:pt>
                <c:pt idx="12">
                  <c:v>3.265393760554818E-3</c:v>
                </c:pt>
                <c:pt idx="13">
                  <c:v>3.2828525888097442E-3</c:v>
                </c:pt>
                <c:pt idx="14">
                  <c:v>3.3069482320222721E-3</c:v>
                </c:pt>
                <c:pt idx="15">
                  <c:v>3.3372217978713536E-3</c:v>
                </c:pt>
                <c:pt idx="16">
                  <c:v>3.3731820633009849E-3</c:v>
                </c:pt>
                <c:pt idx="17">
                  <c:v>3.4143666781156603E-3</c:v>
                </c:pt>
                <c:pt idx="18">
                  <c:v>3.4603145373604755E-3</c:v>
                </c:pt>
                <c:pt idx="19">
                  <c:v>3.5105719156634748E-3</c:v>
                </c:pt>
                <c:pt idx="20">
                  <c:v>3.564640032786684E-3</c:v>
                </c:pt>
                <c:pt idx="21">
                  <c:v>3.622059552079092E-3</c:v>
                </c:pt>
                <c:pt idx="22">
                  <c:v>3.6823103449467407E-3</c:v>
                </c:pt>
                <c:pt idx="23">
                  <c:v>3.7449666529399787E-3</c:v>
                </c:pt>
                <c:pt idx="24">
                  <c:v>3.8097026817582504E-3</c:v>
                </c:pt>
                <c:pt idx="25">
                  <c:v>3.8764940908661274E-3</c:v>
                </c:pt>
                <c:pt idx="26">
                  <c:v>3.9454666314731046E-3</c:v>
                </c:pt>
                <c:pt idx="27">
                  <c:v>4.0167655287534918E-3</c:v>
                </c:pt>
                <c:pt idx="28">
                  <c:v>4.0905230857800293E-3</c:v>
                </c:pt>
                <c:pt idx="29">
                  <c:v>4.1668879474043626E-3</c:v>
                </c:pt>
                <c:pt idx="30">
                  <c:v>4.2459900543937255E-3</c:v>
                </c:pt>
                <c:pt idx="31">
                  <c:v>4.3279384040623859E-3</c:v>
                </c:pt>
                <c:pt idx="32">
                  <c:v>4.4128227537536856E-3</c:v>
                </c:pt>
                <c:pt idx="33">
                  <c:v>4.5007612350763063E-3</c:v>
                </c:pt>
                <c:pt idx="34">
                  <c:v>4.5918647655527048E-3</c:v>
                </c:pt>
                <c:pt idx="35">
                  <c:v>4.6863404763086945E-3</c:v>
                </c:pt>
                <c:pt idx="36">
                  <c:v>4.7842698477040093E-3</c:v>
                </c:pt>
                <c:pt idx="37">
                  <c:v>4.8854812461609307E-3</c:v>
                </c:pt>
                <c:pt idx="38">
                  <c:v>4.9898364238231277E-3</c:v>
                </c:pt>
                <c:pt idx="39">
                  <c:v>5.0971604374607949E-3</c:v>
                </c:pt>
                <c:pt idx="40">
                  <c:v>5.2072767488636797E-3</c:v>
                </c:pt>
                <c:pt idx="41">
                  <c:v>5.3200435504465217E-3</c:v>
                </c:pt>
                <c:pt idx="42">
                  <c:v>5.4352489581065968E-3</c:v>
                </c:pt>
                <c:pt idx="43">
                  <c:v>5.5527827777323577E-3</c:v>
                </c:pt>
                <c:pt idx="44">
                  <c:v>5.672510944349494E-3</c:v>
                </c:pt>
                <c:pt idx="45">
                  <c:v>5.7942706153022092E-3</c:v>
                </c:pt>
                <c:pt idx="46">
                  <c:v>5.9178766944649065E-3</c:v>
                </c:pt>
                <c:pt idx="47">
                  <c:v>6.0431615592697156E-3</c:v>
                </c:pt>
                <c:pt idx="48">
                  <c:v>6.1699963713309543E-3</c:v>
                </c:pt>
                <c:pt idx="49">
                  <c:v>6.2983299046642013E-3</c:v>
                </c:pt>
                <c:pt idx="50">
                  <c:v>6.4282455737340359E-3</c:v>
                </c:pt>
                <c:pt idx="51">
                  <c:v>6.5598184070425405E-3</c:v>
                </c:pt>
                <c:pt idx="52">
                  <c:v>6.6930882682652111E-3</c:v>
                </c:pt>
                <c:pt idx="53">
                  <c:v>6.8280835796631859E-3</c:v>
                </c:pt>
                <c:pt idx="54">
                  <c:v>6.9648533232949568E-3</c:v>
                </c:pt>
                <c:pt idx="55">
                  <c:v>7.103422070553863E-3</c:v>
                </c:pt>
                <c:pt idx="56">
                  <c:v>7.243863940896573E-3</c:v>
                </c:pt>
                <c:pt idx="57">
                  <c:v>7.3862002750266827E-3</c:v>
                </c:pt>
                <c:pt idx="58">
                  <c:v>7.5305151056582319E-3</c:v>
                </c:pt>
                <c:pt idx="59">
                  <c:v>7.6768495658604344E-3</c:v>
                </c:pt>
                <c:pt idx="60">
                  <c:v>7.8252261722715835E-3</c:v>
                </c:pt>
                <c:pt idx="61">
                  <c:v>7.9755159128750749E-3</c:v>
                </c:pt>
                <c:pt idx="62">
                  <c:v>8.1273758511443278E-3</c:v>
                </c:pt>
                <c:pt idx="63">
                  <c:v>8.2805654219653881E-3</c:v>
                </c:pt>
                <c:pt idx="64">
                  <c:v>8.4349086681140724E-3</c:v>
                </c:pt>
                <c:pt idx="65">
                  <c:v>8.5901424613812893E-3</c:v>
                </c:pt>
                <c:pt idx="66">
                  <c:v>8.7459596427306614E-3</c:v>
                </c:pt>
                <c:pt idx="67">
                  <c:v>8.9021080784015272E-3</c:v>
                </c:pt>
                <c:pt idx="68">
                  <c:v>9.0583088974151311E-3</c:v>
                </c:pt>
                <c:pt idx="69">
                  <c:v>9.2144362364742216E-3</c:v>
                </c:pt>
                <c:pt idx="70">
                  <c:v>9.3702296228729866E-3</c:v>
                </c:pt>
                <c:pt idx="71">
                  <c:v>9.5254185345211226E-3</c:v>
                </c:pt>
                <c:pt idx="72">
                  <c:v>9.6797818177593673E-3</c:v>
                </c:pt>
                <c:pt idx="73">
                  <c:v>9.8333201074506105E-3</c:v>
                </c:pt>
                <c:pt idx="74">
                  <c:v>9.9860920766648258E-3</c:v>
                </c:pt>
                <c:pt idx="75">
                  <c:v>1.0138152110170015E-2</c:v>
                </c:pt>
                <c:pt idx="76">
                  <c:v>1.0289437554227895E-2</c:v>
                </c:pt>
                <c:pt idx="77">
                  <c:v>1.0439999951959822E-2</c:v>
                </c:pt>
                <c:pt idx="78">
                  <c:v>1.058993669321673E-2</c:v>
                </c:pt>
                <c:pt idx="79">
                  <c:v>1.0739199751870515E-2</c:v>
                </c:pt>
                <c:pt idx="80">
                  <c:v>1.0887854090287842E-2</c:v>
                </c:pt>
                <c:pt idx="81">
                  <c:v>1.1035994681545029E-2</c:v>
                </c:pt>
                <c:pt idx="82">
                  <c:v>1.1183636054739824E-2</c:v>
                </c:pt>
                <c:pt idx="83">
                  <c:v>1.1330772856807071E-2</c:v>
                </c:pt>
                <c:pt idx="84">
                  <c:v>1.1477349839995692E-2</c:v>
                </c:pt>
                <c:pt idx="85">
                  <c:v>1.1623402763333818E-2</c:v>
                </c:pt>
                <c:pt idx="86">
                  <c:v>1.1768816903184078E-2</c:v>
                </c:pt>
                <c:pt idx="87">
                  <c:v>1.191352364076954E-2</c:v>
                </c:pt>
                <c:pt idx="88">
                  <c:v>1.2057460253948341E-2</c:v>
                </c:pt>
                <c:pt idx="89">
                  <c:v>1.2200479465171638E-2</c:v>
                </c:pt>
                <c:pt idx="90">
                  <c:v>1.2342451867775737E-2</c:v>
                </c:pt>
                <c:pt idx="91">
                  <c:v>1.2483328860476015E-2</c:v>
                </c:pt>
                <c:pt idx="92">
                  <c:v>1.262305861593583E-2</c:v>
                </c:pt>
                <c:pt idx="93">
                  <c:v>1.2761514590186349E-2</c:v>
                </c:pt>
                <c:pt idx="94">
                  <c:v>1.2898498092472416E-2</c:v>
                </c:pt>
                <c:pt idx="95">
                  <c:v>1.3034016735491361E-2</c:v>
                </c:pt>
                <c:pt idx="96">
                  <c:v>1.3168009395480233E-2</c:v>
                </c:pt>
                <c:pt idx="97">
                  <c:v>1.3300563985656391E-2</c:v>
                </c:pt>
                <c:pt idx="98">
                  <c:v>1.3431753737998771E-2</c:v>
                </c:pt>
                <c:pt idx="99">
                  <c:v>1.356156314573448E-2</c:v>
                </c:pt>
                <c:pt idx="100">
                  <c:v>1.3690237298718204E-2</c:v>
                </c:pt>
                <c:pt idx="101">
                  <c:v>1.3817878880815935E-2</c:v>
                </c:pt>
                <c:pt idx="102">
                  <c:v>1.3944543305158949E-2</c:v>
                </c:pt>
                <c:pt idx="103">
                  <c:v>1.4070309244734711E-2</c:v>
                </c:pt>
                <c:pt idx="104">
                  <c:v>1.4195262967233812E-2</c:v>
                </c:pt>
                <c:pt idx="105">
                  <c:v>1.431948448101187E-2</c:v>
                </c:pt>
                <c:pt idx="106">
                  <c:v>1.4443035537540849E-2</c:v>
                </c:pt>
                <c:pt idx="107">
                  <c:v>1.4565979599592719E-2</c:v>
                </c:pt>
                <c:pt idx="108">
                  <c:v>1.4688345695621096E-2</c:v>
                </c:pt>
                <c:pt idx="109">
                  <c:v>1.4810150738173499E-2</c:v>
                </c:pt>
                <c:pt idx="110">
                  <c:v>1.4931174028948939E-2</c:v>
                </c:pt>
                <c:pt idx="111">
                  <c:v>1.5051131936305952E-2</c:v>
                </c:pt>
                <c:pt idx="112">
                  <c:v>1.516992442065835E-2</c:v>
                </c:pt>
                <c:pt idx="113">
                  <c:v>1.5287399733700961E-2</c:v>
                </c:pt>
                <c:pt idx="114">
                  <c:v>1.5403315587051242E-2</c:v>
                </c:pt>
                <c:pt idx="115">
                  <c:v>1.551749888830542E-2</c:v>
                </c:pt>
                <c:pt idx="116">
                  <c:v>1.5629811698315212E-2</c:v>
                </c:pt>
                <c:pt idx="117">
                  <c:v>1.5740140851331574E-2</c:v>
                </c:pt>
                <c:pt idx="118">
                  <c:v>1.5848250890117762E-2</c:v>
                </c:pt>
                <c:pt idx="119">
                  <c:v>1.5954001688119876E-2</c:v>
                </c:pt>
                <c:pt idx="120">
                  <c:v>1.6057299120911951E-2</c:v>
                </c:pt>
                <c:pt idx="121">
                  <c:v>1.615847524051657E-2</c:v>
                </c:pt>
                <c:pt idx="122">
                  <c:v>1.6257852472158617E-2</c:v>
                </c:pt>
                <c:pt idx="123">
                  <c:v>1.6355860774077413E-2</c:v>
                </c:pt>
                <c:pt idx="124">
                  <c:v>1.6452900573787073E-2</c:v>
                </c:pt>
                <c:pt idx="125">
                  <c:v>1.6549347064353959E-2</c:v>
                </c:pt>
                <c:pt idx="126">
                  <c:v>1.6645466583901342E-2</c:v>
                </c:pt>
                <c:pt idx="127">
                  <c:v>1.674177735616672E-2</c:v>
                </c:pt>
                <c:pt idx="128">
                  <c:v>1.6838681559525295E-2</c:v>
                </c:pt>
                <c:pt idx="129">
                  <c:v>1.693653685373888E-2</c:v>
                </c:pt>
                <c:pt idx="130">
                  <c:v>1.7035750472203723E-2</c:v>
                </c:pt>
                <c:pt idx="131">
                  <c:v>1.7136724888268149E-2</c:v>
                </c:pt>
                <c:pt idx="132">
                  <c:v>1.7239649389901638E-2</c:v>
                </c:pt>
                <c:pt idx="133">
                  <c:v>1.7343984665237198E-2</c:v>
                </c:pt>
                <c:pt idx="134">
                  <c:v>1.7449241642651526E-2</c:v>
                </c:pt>
                <c:pt idx="135">
                  <c:v>1.755486659598509E-2</c:v>
                </c:pt>
                <c:pt idx="136">
                  <c:v>1.7660139558156551E-2</c:v>
                </c:pt>
                <c:pt idx="137">
                  <c:v>1.7764515282147637E-2</c:v>
                </c:pt>
                <c:pt idx="138">
                  <c:v>1.7867419699909352E-2</c:v>
                </c:pt>
                <c:pt idx="139">
                  <c:v>1.7968167805655084E-2</c:v>
                </c:pt>
                <c:pt idx="140">
                  <c:v>1.8066203899043353E-2</c:v>
                </c:pt>
                <c:pt idx="141">
                  <c:v>1.8160946409952222E-2</c:v>
                </c:pt>
                <c:pt idx="142">
                  <c:v>1.8251723672336226E-2</c:v>
                </c:pt>
                <c:pt idx="143">
                  <c:v>1.8337966422881644E-2</c:v>
                </c:pt>
                <c:pt idx="144">
                  <c:v>1.8419234634622771E-2</c:v>
                </c:pt>
                <c:pt idx="145">
                  <c:v>1.8495839877069025E-2</c:v>
                </c:pt>
                <c:pt idx="146">
                  <c:v>1.8568315704616579E-2</c:v>
                </c:pt>
                <c:pt idx="147">
                  <c:v>1.8637146998588646E-2</c:v>
                </c:pt>
                <c:pt idx="148">
                  <c:v>1.8702912080234085E-2</c:v>
                </c:pt>
                <c:pt idx="149">
                  <c:v>1.8766144865859893E-2</c:v>
                </c:pt>
                <c:pt idx="150">
                  <c:v>1.8827315364545828E-2</c:v>
                </c:pt>
                <c:pt idx="151">
                  <c:v>1.8886964289617038E-2</c:v>
                </c:pt>
                <c:pt idx="152">
                  <c:v>1.8945628477713618E-2</c:v>
                </c:pt>
                <c:pt idx="153">
                  <c:v>1.9003817533739125E-2</c:v>
                </c:pt>
                <c:pt idx="154">
                  <c:v>1.9061985985375864E-2</c:v>
                </c:pt>
                <c:pt idx="155">
                  <c:v>1.9120811739650433E-2</c:v>
                </c:pt>
                <c:pt idx="156">
                  <c:v>1.918071865718992E-2</c:v>
                </c:pt>
                <c:pt idx="157">
                  <c:v>1.9241619584953913E-2</c:v>
                </c:pt>
                <c:pt idx="158">
                  <c:v>1.9303651205585529E-2</c:v>
                </c:pt>
                <c:pt idx="159">
                  <c:v>1.9366897450017496E-2</c:v>
                </c:pt>
                <c:pt idx="160">
                  <c:v>1.9431265389522355E-2</c:v>
                </c:pt>
                <c:pt idx="161">
                  <c:v>1.9496794222336671E-2</c:v>
                </c:pt>
                <c:pt idx="162">
                  <c:v>1.9563469553782513E-2</c:v>
                </c:pt>
                <c:pt idx="163">
                  <c:v>1.9631243057532045E-2</c:v>
                </c:pt>
                <c:pt idx="164">
                  <c:v>1.9700247883940716E-2</c:v>
                </c:pt>
                <c:pt idx="165">
                  <c:v>1.9770583530269052E-2</c:v>
                </c:pt>
                <c:pt idx="166">
                  <c:v>1.9842075420414673E-2</c:v>
                </c:pt>
                <c:pt idx="167">
                  <c:v>1.9914768196609076E-2</c:v>
                </c:pt>
                <c:pt idx="168">
                  <c:v>1.9988633996607455E-2</c:v>
                </c:pt>
                <c:pt idx="169">
                  <c:v>2.0063112456547093E-2</c:v>
                </c:pt>
                <c:pt idx="170">
                  <c:v>2.0137695078759729E-2</c:v>
                </c:pt>
                <c:pt idx="171">
                  <c:v>2.0211985435729465E-2</c:v>
                </c:pt>
                <c:pt idx="172">
                  <c:v>2.0285347199304121E-2</c:v>
                </c:pt>
                <c:pt idx="173">
                  <c:v>2.0357052768116092E-2</c:v>
                </c:pt>
                <c:pt idx="174">
                  <c:v>2.0426490134405541E-2</c:v>
                </c:pt>
                <c:pt idx="175">
                  <c:v>2.049303685914737E-2</c:v>
                </c:pt>
                <c:pt idx="176">
                  <c:v>2.0556306583715319E-2</c:v>
                </c:pt>
                <c:pt idx="177">
                  <c:v>2.0615619515396966E-2</c:v>
                </c:pt>
                <c:pt idx="178">
                  <c:v>2.0670505492760338E-2</c:v>
                </c:pt>
                <c:pt idx="179">
                  <c:v>2.0720381004632023E-2</c:v>
                </c:pt>
                <c:pt idx="180">
                  <c:v>2.076489164948727E-2</c:v>
                </c:pt>
                <c:pt idx="181">
                  <c:v>2.0804417707257775E-2</c:v>
                </c:pt>
                <c:pt idx="182">
                  <c:v>2.0839470371685861E-2</c:v>
                </c:pt>
                <c:pt idx="183">
                  <c:v>2.0870853010119358E-2</c:v>
                </c:pt>
                <c:pt idx="184">
                  <c:v>2.0899147955717408E-2</c:v>
                </c:pt>
                <c:pt idx="185">
                  <c:v>2.0924818162273706E-2</c:v>
                </c:pt>
                <c:pt idx="186">
                  <c:v>2.0948525057908927E-2</c:v>
                </c:pt>
                <c:pt idx="187">
                  <c:v>2.097078847405914E-2</c:v>
                </c:pt>
                <c:pt idx="188">
                  <c:v>2.0992116207643914E-2</c:v>
                </c:pt>
                <c:pt idx="189">
                  <c:v>2.1013166778853547E-2</c:v>
                </c:pt>
                <c:pt idx="190">
                  <c:v>2.103459530562338E-2</c:v>
                </c:pt>
                <c:pt idx="191">
                  <c:v>2.1057035919823389E-2</c:v>
                </c:pt>
                <c:pt idx="192">
                  <c:v>2.1080826861808743E-2</c:v>
                </c:pt>
                <c:pt idx="193">
                  <c:v>2.1106045852790273E-2</c:v>
                </c:pt>
                <c:pt idx="194">
                  <c:v>2.1132503144126964E-2</c:v>
                </c:pt>
                <c:pt idx="195">
                  <c:v>2.11599542550947E-2</c:v>
                </c:pt>
                <c:pt idx="196">
                  <c:v>2.1188346353324446E-2</c:v>
                </c:pt>
                <c:pt idx="197">
                  <c:v>2.1217586679863853E-2</c:v>
                </c:pt>
                <c:pt idx="198">
                  <c:v>2.1247442345699197E-2</c:v>
                </c:pt>
                <c:pt idx="199">
                  <c:v>2.127765151765864E-2</c:v>
                </c:pt>
                <c:pt idx="200">
                  <c:v>2.1308111254432525E-2</c:v>
                </c:pt>
                <c:pt idx="201">
                  <c:v>2.1338660461493762E-2</c:v>
                </c:pt>
                <c:pt idx="202">
                  <c:v>2.1369223668857948E-2</c:v>
                </c:pt>
                <c:pt idx="203">
                  <c:v>2.1399749873088601E-2</c:v>
                </c:pt>
                <c:pt idx="204">
                  <c:v>2.1430165033089709E-2</c:v>
                </c:pt>
                <c:pt idx="205">
                  <c:v>2.1460368680374334E-2</c:v>
                </c:pt>
                <c:pt idx="206">
                  <c:v>2.1490381259776418E-2</c:v>
                </c:pt>
                <c:pt idx="207">
                  <c:v>2.1520140043074256E-2</c:v>
                </c:pt>
                <c:pt idx="208">
                  <c:v>2.1549693826929259E-2</c:v>
                </c:pt>
                <c:pt idx="209">
                  <c:v>2.1578962966972658E-2</c:v>
                </c:pt>
                <c:pt idx="210">
                  <c:v>2.1608004858584169E-2</c:v>
                </c:pt>
                <c:pt idx="211">
                  <c:v>2.1636894314927001E-2</c:v>
                </c:pt>
                <c:pt idx="212">
                  <c:v>2.1665674514547005E-2</c:v>
                </c:pt>
                <c:pt idx="213">
                  <c:v>2.1694368689144605E-2</c:v>
                </c:pt>
                <c:pt idx="214">
                  <c:v>2.1722975896016468E-2</c:v>
                </c:pt>
                <c:pt idx="215">
                  <c:v>2.1751512739948256E-2</c:v>
                </c:pt>
                <c:pt idx="216">
                  <c:v>2.1779876673797712E-2</c:v>
                </c:pt>
                <c:pt idx="217">
                  <c:v>2.1808331047370177E-2</c:v>
                </c:pt>
                <c:pt idx="218">
                  <c:v>2.1836953602712046E-2</c:v>
                </c:pt>
                <c:pt idx="219">
                  <c:v>2.1865836268651167E-2</c:v>
                </c:pt>
                <c:pt idx="220">
                  <c:v>2.1895027989109632E-2</c:v>
                </c:pt>
                <c:pt idx="221">
                  <c:v>2.1924489764792901E-2</c:v>
                </c:pt>
                <c:pt idx="222">
                  <c:v>2.1954286806112628E-2</c:v>
                </c:pt>
                <c:pt idx="223">
                  <c:v>2.1984566608380721E-2</c:v>
                </c:pt>
                <c:pt idx="224">
                  <c:v>2.201549252025807E-2</c:v>
                </c:pt>
                <c:pt idx="225">
                  <c:v>2.2047113455917429E-2</c:v>
                </c:pt>
                <c:pt idx="226">
                  <c:v>2.2079525353043812E-2</c:v>
                </c:pt>
                <c:pt idx="227">
                  <c:v>2.2112806926192205E-2</c:v>
                </c:pt>
                <c:pt idx="228">
                  <c:v>2.2146860673375929E-2</c:v>
                </c:pt>
                <c:pt idx="229">
                  <c:v>2.218149903621178E-2</c:v>
                </c:pt>
                <c:pt idx="230">
                  <c:v>2.2216194962971239E-2</c:v>
                </c:pt>
                <c:pt idx="231">
                  <c:v>2.2250555822189745E-2</c:v>
                </c:pt>
                <c:pt idx="232">
                  <c:v>2.2284421839814522E-2</c:v>
                </c:pt>
                <c:pt idx="233">
                  <c:v>2.2317393662281249E-2</c:v>
                </c:pt>
                <c:pt idx="234">
                  <c:v>2.2349213924876158E-2</c:v>
                </c:pt>
                <c:pt idx="235">
                  <c:v>2.2379497430786873E-2</c:v>
                </c:pt>
                <c:pt idx="236">
                  <c:v>2.240783395128159E-2</c:v>
                </c:pt>
                <c:pt idx="237">
                  <c:v>2.2433856726334425E-2</c:v>
                </c:pt>
                <c:pt idx="238">
                  <c:v>2.2457019915416255E-2</c:v>
                </c:pt>
                <c:pt idx="239">
                  <c:v>2.2477081173149789E-2</c:v>
                </c:pt>
                <c:pt idx="240">
                  <c:v>2.2493731674377165E-2</c:v>
                </c:pt>
                <c:pt idx="241">
                  <c:v>2.2507238722009791E-2</c:v>
                </c:pt>
                <c:pt idx="242">
                  <c:v>2.2518075298240531E-2</c:v>
                </c:pt>
                <c:pt idx="243">
                  <c:v>2.252662487211857E-2</c:v>
                </c:pt>
                <c:pt idx="244">
                  <c:v>2.253321096290959E-2</c:v>
                </c:pt>
                <c:pt idx="245">
                  <c:v>2.2538164339971762E-2</c:v>
                </c:pt>
                <c:pt idx="246">
                  <c:v>2.2541982864373002E-2</c:v>
                </c:pt>
                <c:pt idx="247">
                  <c:v>2.25449852320809E-2</c:v>
                </c:pt>
                <c:pt idx="248">
                  <c:v>2.2547407787551432E-2</c:v>
                </c:pt>
                <c:pt idx="249">
                  <c:v>2.254977601290778E-2</c:v>
                </c:pt>
                <c:pt idx="250">
                  <c:v>2.255233114971256E-2</c:v>
                </c:pt>
                <c:pt idx="251">
                  <c:v>2.2555477924484091E-2</c:v>
                </c:pt>
                <c:pt idx="252">
                  <c:v>2.2559598948043345E-2</c:v>
                </c:pt>
                <c:pt idx="253">
                  <c:v>2.2564454973634931E-2</c:v>
                </c:pt>
                <c:pt idx="254">
                  <c:v>2.2569936186806035E-2</c:v>
                </c:pt>
                <c:pt idx="255">
                  <c:v>2.2575958469102035E-2</c:v>
                </c:pt>
                <c:pt idx="256">
                  <c:v>2.2582475488503537E-2</c:v>
                </c:pt>
                <c:pt idx="257">
                  <c:v>2.25894357593866E-2</c:v>
                </c:pt>
                <c:pt idx="258">
                  <c:v>2.2596870219484297E-2</c:v>
                </c:pt>
                <c:pt idx="259">
                  <c:v>2.260464638018336E-2</c:v>
                </c:pt>
                <c:pt idx="260">
                  <c:v>2.2612709581272733E-2</c:v>
                </c:pt>
                <c:pt idx="261">
                  <c:v>2.2620842134578198E-2</c:v>
                </c:pt>
                <c:pt idx="262">
                  <c:v>2.2628926131101682E-2</c:v>
                </c:pt>
                <c:pt idx="263">
                  <c:v>2.263690375847921E-2</c:v>
                </c:pt>
                <c:pt idx="264">
                  <c:v>2.2644745783476656E-2</c:v>
                </c:pt>
                <c:pt idx="265">
                  <c:v>2.2652384620010124E-2</c:v>
                </c:pt>
                <c:pt idx="266">
                  <c:v>2.2659911833884334E-2</c:v>
                </c:pt>
                <c:pt idx="267">
                  <c:v>2.2667205746738223E-2</c:v>
                </c:pt>
                <c:pt idx="268">
                  <c:v>2.2674239909743807E-2</c:v>
                </c:pt>
                <c:pt idx="269">
                  <c:v>2.2681214594442542E-2</c:v>
                </c:pt>
                <c:pt idx="270">
                  <c:v>2.2688128630310937E-2</c:v>
                </c:pt>
                <c:pt idx="271">
                  <c:v>2.269498812895291E-2</c:v>
                </c:pt>
                <c:pt idx="272">
                  <c:v>2.2701806649454603E-2</c:v>
                </c:pt>
                <c:pt idx="273">
                  <c:v>2.2708574497098739E-2</c:v>
                </c:pt>
                <c:pt idx="274">
                  <c:v>2.2715235091001769E-2</c:v>
                </c:pt>
                <c:pt idx="275">
                  <c:v>2.27219530414191E-2</c:v>
                </c:pt>
                <c:pt idx="276">
                  <c:v>2.2728665931106576E-2</c:v>
                </c:pt>
                <c:pt idx="277">
                  <c:v>2.2735392941257853E-2</c:v>
                </c:pt>
                <c:pt idx="278">
                  <c:v>2.2742240200372438E-2</c:v>
                </c:pt>
                <c:pt idx="279">
                  <c:v>2.274920061204589E-2</c:v>
                </c:pt>
                <c:pt idx="280">
                  <c:v>2.2756296141955814E-2</c:v>
                </c:pt>
                <c:pt idx="281">
                  <c:v>2.2763563704178261E-2</c:v>
                </c:pt>
                <c:pt idx="282">
                  <c:v>2.2770965346349599E-2</c:v>
                </c:pt>
                <c:pt idx="283">
                  <c:v>2.2778426289577464E-2</c:v>
                </c:pt>
                <c:pt idx="284">
                  <c:v>2.2785936681379175E-2</c:v>
                </c:pt>
                <c:pt idx="285">
                  <c:v>2.2793613661814646E-2</c:v>
                </c:pt>
                <c:pt idx="286">
                  <c:v>2.280165618795707E-2</c:v>
                </c:pt>
                <c:pt idx="287">
                  <c:v>2.2809928182600917E-2</c:v>
                </c:pt>
                <c:pt idx="288">
                  <c:v>2.281843724574649E-2</c:v>
                </c:pt>
                <c:pt idx="289">
                  <c:v>2.2827086737090361E-2</c:v>
                </c:pt>
                <c:pt idx="290">
                  <c:v>2.2835824773577065E-2</c:v>
                </c:pt>
                <c:pt idx="291">
                  <c:v>2.2844521635347802E-2</c:v>
                </c:pt>
                <c:pt idx="292">
                  <c:v>2.2853054248245103E-2</c:v>
                </c:pt>
                <c:pt idx="293">
                  <c:v>2.2861389563879914E-2</c:v>
                </c:pt>
                <c:pt idx="294">
                  <c:v>2.2869354282599619E-2</c:v>
                </c:pt>
                <c:pt idx="295">
                  <c:v>2.2876881677957019E-2</c:v>
                </c:pt>
                <c:pt idx="296">
                  <c:v>2.2883796955523783E-2</c:v>
                </c:pt>
                <c:pt idx="297">
                  <c:v>2.289001334324104E-2</c:v>
                </c:pt>
                <c:pt idx="298">
                  <c:v>2.2895520278501467E-2</c:v>
                </c:pt>
                <c:pt idx="299">
                  <c:v>2.2900360849553263E-2</c:v>
                </c:pt>
                <c:pt idx="300">
                  <c:v>2.2904351284639156E-2</c:v>
                </c:pt>
                <c:pt idx="301">
                  <c:v>2.2907519275392689E-2</c:v>
                </c:pt>
                <c:pt idx="302">
                  <c:v>2.2909849952692019E-2</c:v>
                </c:pt>
                <c:pt idx="303">
                  <c:v>2.2911558802087933E-2</c:v>
                </c:pt>
                <c:pt idx="304">
                  <c:v>2.2912897664234634E-2</c:v>
                </c:pt>
                <c:pt idx="305">
                  <c:v>2.2913868627598147E-2</c:v>
                </c:pt>
                <c:pt idx="306">
                  <c:v>2.2914484153159293E-2</c:v>
                </c:pt>
                <c:pt idx="307">
                  <c:v>2.2914921880730153E-2</c:v>
                </c:pt>
                <c:pt idx="308">
                  <c:v>2.291522097002523E-2</c:v>
                </c:pt>
                <c:pt idx="309">
                  <c:v>2.2915569385843937E-2</c:v>
                </c:pt>
                <c:pt idx="310">
                  <c:v>2.2915994141112978E-2</c:v>
                </c:pt>
                <c:pt idx="311">
                  <c:v>2.291669103007335E-2</c:v>
                </c:pt>
                <c:pt idx="312">
                  <c:v>2.2917629256120821E-2</c:v>
                </c:pt>
                <c:pt idx="313">
                  <c:v>2.2918899349411746E-2</c:v>
                </c:pt>
                <c:pt idx="314">
                  <c:v>2.2920474368060263E-2</c:v>
                </c:pt>
                <c:pt idx="315">
                  <c:v>2.2922208873181794E-2</c:v>
                </c:pt>
                <c:pt idx="316">
                  <c:v>2.2924011915328116E-2</c:v>
                </c:pt>
                <c:pt idx="317">
                  <c:v>2.2925925936881811E-2</c:v>
                </c:pt>
                <c:pt idx="318">
                  <c:v>2.2927933385899272E-2</c:v>
                </c:pt>
                <c:pt idx="319">
                  <c:v>2.2929973944766112E-2</c:v>
                </c:pt>
                <c:pt idx="320">
                  <c:v>2.2931972894750369E-2</c:v>
                </c:pt>
                <c:pt idx="321">
                  <c:v>2.2934016871591991E-2</c:v>
                </c:pt>
                <c:pt idx="322">
                  <c:v>2.293590890217493E-2</c:v>
                </c:pt>
                <c:pt idx="323">
                  <c:v>2.2937729637208592E-2</c:v>
                </c:pt>
                <c:pt idx="324">
                  <c:v>2.2939575137126564E-2</c:v>
                </c:pt>
                <c:pt idx="325">
                  <c:v>2.2941443670251849E-2</c:v>
                </c:pt>
                <c:pt idx="326">
                  <c:v>2.2943155686043364E-2</c:v>
                </c:pt>
                <c:pt idx="327">
                  <c:v>2.294485520962319E-2</c:v>
                </c:pt>
                <c:pt idx="328">
                  <c:v>2.2946622932092292E-2</c:v>
                </c:pt>
                <c:pt idx="329">
                  <c:v>2.2948315541712179E-2</c:v>
                </c:pt>
                <c:pt idx="330">
                  <c:v>2.2950032810930356E-2</c:v>
                </c:pt>
                <c:pt idx="331">
                  <c:v>2.2951706004396895E-2</c:v>
                </c:pt>
                <c:pt idx="332">
                  <c:v>2.2953312159722065E-2</c:v>
                </c:pt>
                <c:pt idx="333">
                  <c:v>2.2955004708584987E-2</c:v>
                </c:pt>
                <c:pt idx="334">
                  <c:v>2.2956826639946505E-2</c:v>
                </c:pt>
                <c:pt idx="335">
                  <c:v>2.2958855509917105E-2</c:v>
                </c:pt>
                <c:pt idx="336">
                  <c:v>2.2960952180891864E-2</c:v>
                </c:pt>
                <c:pt idx="337">
                  <c:v>2.2963141960203843E-2</c:v>
                </c:pt>
                <c:pt idx="338">
                  <c:v>2.2965396533785466E-2</c:v>
                </c:pt>
                <c:pt idx="339">
                  <c:v>2.2967685897728712E-2</c:v>
                </c:pt>
                <c:pt idx="340">
                  <c:v>2.296999965266747E-2</c:v>
                </c:pt>
                <c:pt idx="341">
                  <c:v>2.2972236977915984E-2</c:v>
                </c:pt>
                <c:pt idx="342">
                  <c:v>2.2974381644253972E-2</c:v>
                </c:pt>
                <c:pt idx="343">
                  <c:v>2.2976559806084939E-2</c:v>
                </c:pt>
                <c:pt idx="344">
                  <c:v>2.2978647030406758E-2</c:v>
                </c:pt>
                <c:pt idx="345">
                  <c:v>2.2980554338727158E-2</c:v>
                </c:pt>
                <c:pt idx="346">
                  <c:v>2.2982223260936362E-2</c:v>
                </c:pt>
                <c:pt idx="347">
                  <c:v>2.2983623462352068E-2</c:v>
                </c:pt>
                <c:pt idx="348">
                  <c:v>2.2984651136740857E-2</c:v>
                </c:pt>
                <c:pt idx="349">
                  <c:v>2.2985473330403804E-2</c:v>
                </c:pt>
                <c:pt idx="350">
                  <c:v>2.2986259520747551E-2</c:v>
                </c:pt>
                <c:pt idx="351">
                  <c:v>2.298707438495937E-2</c:v>
                </c:pt>
                <c:pt idx="352">
                  <c:v>2.2988033433701524E-2</c:v>
                </c:pt>
                <c:pt idx="353">
                  <c:v>2.2989284520752919E-2</c:v>
                </c:pt>
                <c:pt idx="354">
                  <c:v>2.2990828006431221E-2</c:v>
                </c:pt>
                <c:pt idx="355">
                  <c:v>2.2992736252097794E-2</c:v>
                </c:pt>
                <c:pt idx="356">
                  <c:v>2.2995254127923033E-2</c:v>
                </c:pt>
                <c:pt idx="357">
                  <c:v>2.2998418206017519E-2</c:v>
                </c:pt>
                <c:pt idx="358">
                  <c:v>2.3002413360432298E-2</c:v>
                </c:pt>
                <c:pt idx="359">
                  <c:v>2.3007388739328886E-2</c:v>
                </c:pt>
                <c:pt idx="360">
                  <c:v>2.3013237481925127E-2</c:v>
                </c:pt>
                <c:pt idx="361">
                  <c:v>2.301989712788724E-2</c:v>
                </c:pt>
                <c:pt idx="362">
                  <c:v>2.302741671024313E-2</c:v>
                </c:pt>
                <c:pt idx="363">
                  <c:v>2.3035756324538768E-2</c:v>
                </c:pt>
                <c:pt idx="364">
                  <c:v>2.3044644499234507E-2</c:v>
                </c:pt>
                <c:pt idx="365">
                  <c:v>2.3054040715081131E-2</c:v>
                </c:pt>
                <c:pt idx="366">
                  <c:v>2.3063835372660772E-2</c:v>
                </c:pt>
                <c:pt idx="367">
                  <c:v>2.3073868088059842E-2</c:v>
                </c:pt>
                <c:pt idx="368">
                  <c:v>2.3084036465804449E-2</c:v>
                </c:pt>
                <c:pt idx="369">
                  <c:v>2.3094271478390216E-2</c:v>
                </c:pt>
                <c:pt idx="370">
                  <c:v>2.3104488068872497E-2</c:v>
                </c:pt>
                <c:pt idx="371">
                  <c:v>2.3114729078434131E-2</c:v>
                </c:pt>
                <c:pt idx="372">
                  <c:v>2.3124933135701117E-2</c:v>
                </c:pt>
                <c:pt idx="373">
                  <c:v>2.3134873187463656E-2</c:v>
                </c:pt>
                <c:pt idx="374">
                  <c:v>2.3144543129513796E-2</c:v>
                </c:pt>
                <c:pt idx="375">
                  <c:v>2.3153999927999592E-2</c:v>
                </c:pt>
                <c:pt idx="376">
                  <c:v>2.3163403807258641E-2</c:v>
                </c:pt>
                <c:pt idx="377">
                  <c:v>2.3172894448713857E-2</c:v>
                </c:pt>
                <c:pt idx="378">
                  <c:v>2.3182417394846052E-2</c:v>
                </c:pt>
                <c:pt idx="379">
                  <c:v>2.319186350107914E-2</c:v>
                </c:pt>
                <c:pt idx="380">
                  <c:v>2.3201265956751326E-2</c:v>
                </c:pt>
                <c:pt idx="381">
                  <c:v>2.3210599775068452E-2</c:v>
                </c:pt>
                <c:pt idx="382">
                  <c:v>2.3219979179075319E-2</c:v>
                </c:pt>
                <c:pt idx="383">
                  <c:v>2.3229339838294297E-2</c:v>
                </c:pt>
                <c:pt idx="384">
                  <c:v>2.3238725480376136E-2</c:v>
                </c:pt>
                <c:pt idx="385">
                  <c:v>2.32482659780903E-2</c:v>
                </c:pt>
                <c:pt idx="386">
                  <c:v>2.3257857368212908E-2</c:v>
                </c:pt>
                <c:pt idx="387">
                  <c:v>2.3267578217913913E-2</c:v>
                </c:pt>
                <c:pt idx="388">
                  <c:v>2.3277447258338253E-2</c:v>
                </c:pt>
                <c:pt idx="389">
                  <c:v>2.3287416421918332E-2</c:v>
                </c:pt>
                <c:pt idx="390">
                  <c:v>2.3297306055774562E-2</c:v>
                </c:pt>
                <c:pt idx="391">
                  <c:v>2.33072359244712E-2</c:v>
                </c:pt>
                <c:pt idx="392">
                  <c:v>2.3317289125394679E-2</c:v>
                </c:pt>
                <c:pt idx="393">
                  <c:v>2.332748968547085E-2</c:v>
                </c:pt>
                <c:pt idx="394">
                  <c:v>2.3337603103354691E-2</c:v>
                </c:pt>
                <c:pt idx="395">
                  <c:v>2.3347774993194969E-2</c:v>
                </c:pt>
                <c:pt idx="396">
                  <c:v>2.3357945467480525E-2</c:v>
                </c:pt>
                <c:pt idx="397">
                  <c:v>2.3368127209404364E-2</c:v>
                </c:pt>
                <c:pt idx="398">
                  <c:v>2.3378399219512028E-2</c:v>
                </c:pt>
                <c:pt idx="399">
                  <c:v>2.3388674608480351E-2</c:v>
                </c:pt>
                <c:pt idx="400">
                  <c:v>2.3398993995079241E-2</c:v>
                </c:pt>
                <c:pt idx="401">
                  <c:v>2.3409391359098208E-2</c:v>
                </c:pt>
                <c:pt idx="402">
                  <c:v>2.3419813135619829E-2</c:v>
                </c:pt>
                <c:pt idx="403">
                  <c:v>2.3430090731266666E-2</c:v>
                </c:pt>
                <c:pt idx="404">
                  <c:v>2.3440399487770026E-2</c:v>
                </c:pt>
                <c:pt idx="405">
                  <c:v>2.3450709696961315E-2</c:v>
                </c:pt>
                <c:pt idx="406">
                  <c:v>2.3461063075699298E-2</c:v>
                </c:pt>
                <c:pt idx="407">
                  <c:v>2.3471516973877976E-2</c:v>
                </c:pt>
                <c:pt idx="408">
                  <c:v>2.3482018644420538E-2</c:v>
                </c:pt>
                <c:pt idx="409">
                  <c:v>2.3492539089708005E-2</c:v>
                </c:pt>
                <c:pt idx="410">
                  <c:v>2.3503085243716366E-2</c:v>
                </c:pt>
                <c:pt idx="411">
                  <c:v>2.3513694714315768E-2</c:v>
                </c:pt>
                <c:pt idx="412">
                  <c:v>2.3524264371829938E-2</c:v>
                </c:pt>
                <c:pt idx="413">
                  <c:v>2.3534846275940935E-2</c:v>
                </c:pt>
                <c:pt idx="414">
                  <c:v>2.3545423920824281E-2</c:v>
                </c:pt>
                <c:pt idx="415">
                  <c:v>2.3556062838912165E-2</c:v>
                </c:pt>
                <c:pt idx="416">
                  <c:v>2.3566717249561855E-2</c:v>
                </c:pt>
                <c:pt idx="417">
                  <c:v>2.3577352914516569E-2</c:v>
                </c:pt>
                <c:pt idx="418">
                  <c:v>2.3588024080740233E-2</c:v>
                </c:pt>
                <c:pt idx="419">
                  <c:v>2.359876598858569E-2</c:v>
                </c:pt>
                <c:pt idx="420">
                  <c:v>2.360957517771535E-2</c:v>
                </c:pt>
                <c:pt idx="421">
                  <c:v>2.3620344972838409E-2</c:v>
                </c:pt>
                <c:pt idx="422">
                  <c:v>2.3631133771636961E-2</c:v>
                </c:pt>
                <c:pt idx="423">
                  <c:v>2.3641945891761211E-2</c:v>
                </c:pt>
                <c:pt idx="424">
                  <c:v>2.3652788509226762E-2</c:v>
                </c:pt>
                <c:pt idx="425">
                  <c:v>2.3663507629996479E-2</c:v>
                </c:pt>
                <c:pt idx="426">
                  <c:v>2.3674313875697357E-2</c:v>
                </c:pt>
                <c:pt idx="427">
                  <c:v>2.3685211500961503E-2</c:v>
                </c:pt>
                <c:pt idx="428">
                  <c:v>2.3696146746112558E-2</c:v>
                </c:pt>
                <c:pt idx="429">
                  <c:v>2.3706936548992322E-2</c:v>
                </c:pt>
                <c:pt idx="430">
                  <c:v>2.3717711123518746E-2</c:v>
                </c:pt>
                <c:pt idx="431">
                  <c:v>2.3728469440710484E-2</c:v>
                </c:pt>
                <c:pt idx="432">
                  <c:v>2.3739118761446062E-2</c:v>
                </c:pt>
                <c:pt idx="433">
                  <c:v>2.3749702795762738E-2</c:v>
                </c:pt>
                <c:pt idx="434">
                  <c:v>2.3760331174871963E-2</c:v>
                </c:pt>
                <c:pt idx="435">
                  <c:v>2.3770913385304331E-2</c:v>
                </c:pt>
                <c:pt idx="436">
                  <c:v>2.3781495306628098E-2</c:v>
                </c:pt>
                <c:pt idx="437">
                  <c:v>2.3792107176972929E-2</c:v>
                </c:pt>
                <c:pt idx="438">
                  <c:v>2.3802873887007879E-2</c:v>
                </c:pt>
                <c:pt idx="439">
                  <c:v>2.3813668041465435E-2</c:v>
                </c:pt>
                <c:pt idx="440">
                  <c:v>2.3824520437519134E-2</c:v>
                </c:pt>
                <c:pt idx="441">
                  <c:v>2.3835404700679991E-2</c:v>
                </c:pt>
                <c:pt idx="442">
                  <c:v>2.384630533643823E-2</c:v>
                </c:pt>
                <c:pt idx="443">
                  <c:v>2.3857208310263771E-2</c:v>
                </c:pt>
                <c:pt idx="444">
                  <c:v>2.3868102652572443E-2</c:v>
                </c:pt>
                <c:pt idx="445">
                  <c:v>2.3878879683450219E-2</c:v>
                </c:pt>
                <c:pt idx="446">
                  <c:v>2.388950450930738E-2</c:v>
                </c:pt>
                <c:pt idx="447">
                  <c:v>2.390011397915278E-2</c:v>
                </c:pt>
                <c:pt idx="448">
                  <c:v>2.39107161946331E-2</c:v>
                </c:pt>
                <c:pt idx="449">
                  <c:v>2.3921305027998829E-2</c:v>
                </c:pt>
                <c:pt idx="450">
                  <c:v>2.3931939584857381E-2</c:v>
                </c:pt>
                <c:pt idx="451">
                  <c:v>2.3942558224599619E-2</c:v>
                </c:pt>
                <c:pt idx="452">
                  <c:v>2.3953337924375668E-2</c:v>
                </c:pt>
                <c:pt idx="453">
                  <c:v>2.3964114281393532E-2</c:v>
                </c:pt>
                <c:pt idx="454">
                  <c:v>2.3974827143114746E-2</c:v>
                </c:pt>
                <c:pt idx="455">
                  <c:v>2.3985523305490978E-2</c:v>
                </c:pt>
                <c:pt idx="456">
                  <c:v>2.3996341704121408E-2</c:v>
                </c:pt>
                <c:pt idx="457">
                  <c:v>2.4007280184450357E-2</c:v>
                </c:pt>
                <c:pt idx="458">
                  <c:v>2.4018291290231843E-2</c:v>
                </c:pt>
                <c:pt idx="459">
                  <c:v>2.4029159491112041E-2</c:v>
                </c:pt>
                <c:pt idx="460">
                  <c:v>2.4040004814417475E-2</c:v>
                </c:pt>
                <c:pt idx="461">
                  <c:v>2.4051001152525273E-2</c:v>
                </c:pt>
                <c:pt idx="462">
                  <c:v>2.4062050544814223E-2</c:v>
                </c:pt>
                <c:pt idx="463">
                  <c:v>2.40732889155044E-2</c:v>
                </c:pt>
                <c:pt idx="464">
                  <c:v>2.4084668403228086E-2</c:v>
                </c:pt>
                <c:pt idx="465">
                  <c:v>2.4096045399094254E-2</c:v>
                </c:pt>
                <c:pt idx="466">
                  <c:v>2.4107692497413812E-2</c:v>
                </c:pt>
                <c:pt idx="467">
                  <c:v>2.4119590225743393E-2</c:v>
                </c:pt>
                <c:pt idx="468">
                  <c:v>2.4131782914658589E-2</c:v>
                </c:pt>
                <c:pt idx="469">
                  <c:v>2.414406555738205E-2</c:v>
                </c:pt>
                <c:pt idx="470">
                  <c:v>2.4156310299457508E-2</c:v>
                </c:pt>
                <c:pt idx="471">
                  <c:v>2.4168531751572568E-2</c:v>
                </c:pt>
                <c:pt idx="472">
                  <c:v>2.4180642196361311E-2</c:v>
                </c:pt>
                <c:pt idx="473">
                  <c:v>2.4192549488978296E-2</c:v>
                </c:pt>
                <c:pt idx="474">
                  <c:v>2.4204178912839769E-2</c:v>
                </c:pt>
                <c:pt idx="475">
                  <c:v>2.421537777959519E-2</c:v>
                </c:pt>
                <c:pt idx="476">
                  <c:v>2.4226145578330038E-2</c:v>
                </c:pt>
                <c:pt idx="477">
                  <c:v>2.4236301346096334E-2</c:v>
                </c:pt>
                <c:pt idx="478">
                  <c:v>2.4245784832260191E-2</c:v>
                </c:pt>
                <c:pt idx="479">
                  <c:v>2.4254588229609735E-2</c:v>
                </c:pt>
                <c:pt idx="480">
                  <c:v>2.4262633332798142E-2</c:v>
                </c:pt>
                <c:pt idx="481">
                  <c:v>2.4269988929441041E-2</c:v>
                </c:pt>
                <c:pt idx="482">
                  <c:v>2.42766981058464E-2</c:v>
                </c:pt>
                <c:pt idx="483">
                  <c:v>2.4282887995347183E-2</c:v>
                </c:pt>
                <c:pt idx="484">
                  <c:v>2.4288564940016563E-2</c:v>
                </c:pt>
                <c:pt idx="485">
                  <c:v>2.429387237509583E-2</c:v>
                </c:pt>
                <c:pt idx="486">
                  <c:v>2.4298816751386641E-2</c:v>
                </c:pt>
                <c:pt idx="487">
                  <c:v>2.4303540271991102E-2</c:v>
                </c:pt>
                <c:pt idx="488">
                  <c:v>2.4308192695464519E-2</c:v>
                </c:pt>
                <c:pt idx="489">
                  <c:v>2.4312938350907691E-2</c:v>
                </c:pt>
                <c:pt idx="490">
                  <c:v>2.4317916562819959E-2</c:v>
                </c:pt>
                <c:pt idx="491">
                  <c:v>2.4323152236712099E-2</c:v>
                </c:pt>
                <c:pt idx="492">
                  <c:v>2.4328504861267315E-2</c:v>
                </c:pt>
                <c:pt idx="493">
                  <c:v>2.4334134328011785E-2</c:v>
                </c:pt>
                <c:pt idx="494">
                  <c:v>2.4339951587328098E-2</c:v>
                </c:pt>
                <c:pt idx="495">
                  <c:v>2.4345807304591467E-2</c:v>
                </c:pt>
                <c:pt idx="496">
                  <c:v>2.4351781917138764E-2</c:v>
                </c:pt>
                <c:pt idx="497">
                  <c:v>2.435782583330847E-2</c:v>
                </c:pt>
                <c:pt idx="498">
                  <c:v>2.4363815438113612E-2</c:v>
                </c:pt>
                <c:pt idx="499">
                  <c:v>2.4369766301163092E-2</c:v>
                </c:pt>
                <c:pt idx="500">
                  <c:v>2.4375675642482136E-2</c:v>
                </c:pt>
                <c:pt idx="501">
                  <c:v>2.4381676215270202E-2</c:v>
                </c:pt>
                <c:pt idx="502">
                  <c:v>2.4387716703970216E-2</c:v>
                </c:pt>
                <c:pt idx="503">
                  <c:v>2.4393776746810453E-2</c:v>
                </c:pt>
                <c:pt idx="504">
                  <c:v>2.4399841204931834E-2</c:v>
                </c:pt>
                <c:pt idx="505">
                  <c:v>2.4406088832993163E-2</c:v>
                </c:pt>
                <c:pt idx="506">
                  <c:v>2.4412375045272307E-2</c:v>
                </c:pt>
                <c:pt idx="507">
                  <c:v>2.441879633576801E-2</c:v>
                </c:pt>
                <c:pt idx="508">
                  <c:v>2.4425205943543818E-2</c:v>
                </c:pt>
                <c:pt idx="509">
                  <c:v>2.4431657240368866E-2</c:v>
                </c:pt>
                <c:pt idx="510">
                  <c:v>2.4438043600433647E-2</c:v>
                </c:pt>
                <c:pt idx="511">
                  <c:v>2.444441772780688E-2</c:v>
                </c:pt>
                <c:pt idx="512">
                  <c:v>2.4450812802355466E-2</c:v>
                </c:pt>
                <c:pt idx="513">
                  <c:v>2.4457250155406028E-2</c:v>
                </c:pt>
                <c:pt idx="514">
                  <c:v>2.4463724311020129E-2</c:v>
                </c:pt>
                <c:pt idx="515">
                  <c:v>2.4470194469097942E-2</c:v>
                </c:pt>
                <c:pt idx="516">
                  <c:v>2.4476691659988656E-2</c:v>
                </c:pt>
                <c:pt idx="517">
                  <c:v>2.4483142558319723E-2</c:v>
                </c:pt>
                <c:pt idx="518">
                  <c:v>2.448966292372633E-2</c:v>
                </c:pt>
                <c:pt idx="519">
                  <c:v>2.4496359551369948E-2</c:v>
                </c:pt>
                <c:pt idx="520">
                  <c:v>2.4503093631065252E-2</c:v>
                </c:pt>
                <c:pt idx="521">
                  <c:v>2.4509903125584674E-2</c:v>
                </c:pt>
                <c:pt idx="522">
                  <c:v>2.4516694953715685E-2</c:v>
                </c:pt>
                <c:pt idx="523">
                  <c:v>2.4523458220152235E-2</c:v>
                </c:pt>
                <c:pt idx="524">
                  <c:v>2.4530324084990559E-2</c:v>
                </c:pt>
                <c:pt idx="525">
                  <c:v>2.4537224300578267E-2</c:v>
                </c:pt>
                <c:pt idx="526">
                  <c:v>2.4544117384637854E-2</c:v>
                </c:pt>
                <c:pt idx="527">
                  <c:v>2.4551025973223329E-2</c:v>
                </c:pt>
                <c:pt idx="528">
                  <c:v>2.4557867253834395E-2</c:v>
                </c:pt>
                <c:pt idx="529">
                  <c:v>2.4564710623758992E-2</c:v>
                </c:pt>
                <c:pt idx="530">
                  <c:v>2.4571765293228531E-2</c:v>
                </c:pt>
                <c:pt idx="531">
                  <c:v>2.4578878665524724E-2</c:v>
                </c:pt>
                <c:pt idx="532">
                  <c:v>2.4586009310592065E-2</c:v>
                </c:pt>
                <c:pt idx="533">
                  <c:v>2.459325473682121E-2</c:v>
                </c:pt>
                <c:pt idx="534">
                  <c:v>2.4600402853478233E-2</c:v>
                </c:pt>
                <c:pt idx="535">
                  <c:v>2.4607565696219604E-2</c:v>
                </c:pt>
                <c:pt idx="536">
                  <c:v>2.4614600269498594E-2</c:v>
                </c:pt>
                <c:pt idx="537">
                  <c:v>2.4621561176335072E-2</c:v>
                </c:pt>
                <c:pt idx="538">
                  <c:v>2.462841910993464E-2</c:v>
                </c:pt>
                <c:pt idx="539">
                  <c:v>2.4635227935643073E-2</c:v>
                </c:pt>
                <c:pt idx="540">
                  <c:v>2.4641931091870413E-2</c:v>
                </c:pt>
                <c:pt idx="541">
                  <c:v>2.4648690401071878E-2</c:v>
                </c:pt>
                <c:pt idx="542">
                  <c:v>2.4655643301460931E-2</c:v>
                </c:pt>
                <c:pt idx="543">
                  <c:v>2.4662629859746238E-2</c:v>
                </c:pt>
                <c:pt idx="544">
                  <c:v>2.4669641907394374E-2</c:v>
                </c:pt>
                <c:pt idx="545">
                  <c:v>2.4676684521537529E-2</c:v>
                </c:pt>
                <c:pt idx="546">
                  <c:v>2.4683607300046539E-2</c:v>
                </c:pt>
                <c:pt idx="547">
                  <c:v>2.4690497478993399E-2</c:v>
                </c:pt>
                <c:pt idx="548">
                  <c:v>2.4697451979462832E-2</c:v>
                </c:pt>
                <c:pt idx="549">
                  <c:v>2.4704406408849442E-2</c:v>
                </c:pt>
                <c:pt idx="550">
                  <c:v>2.4711487861326882E-2</c:v>
                </c:pt>
                <c:pt idx="551">
                  <c:v>2.4718699585273392E-2</c:v>
                </c:pt>
                <c:pt idx="552">
                  <c:v>2.4726030443564907E-2</c:v>
                </c:pt>
                <c:pt idx="553">
                  <c:v>2.4733379595873746E-2</c:v>
                </c:pt>
                <c:pt idx="554">
                  <c:v>2.4740742731260992E-2</c:v>
                </c:pt>
                <c:pt idx="555">
                  <c:v>2.4748249498196227E-2</c:v>
                </c:pt>
                <c:pt idx="556">
                  <c:v>2.4755806918495347E-2</c:v>
                </c:pt>
                <c:pt idx="557">
                  <c:v>2.4763345584068445E-2</c:v>
                </c:pt>
                <c:pt idx="558">
                  <c:v>2.4770939711573368E-2</c:v>
                </c:pt>
                <c:pt idx="559">
                  <c:v>2.4778434197019143E-2</c:v>
                </c:pt>
                <c:pt idx="560">
                  <c:v>2.4785818912165691E-2</c:v>
                </c:pt>
                <c:pt idx="561">
                  <c:v>2.4793138589938618E-2</c:v>
                </c:pt>
                <c:pt idx="562">
                  <c:v>2.4800511081629735E-2</c:v>
                </c:pt>
                <c:pt idx="563">
                  <c:v>2.4808023276347305E-2</c:v>
                </c:pt>
                <c:pt idx="564">
                  <c:v>2.4815548023962335E-2</c:v>
                </c:pt>
                <c:pt idx="565">
                  <c:v>2.482300732095951E-2</c:v>
                </c:pt>
                <c:pt idx="566">
                  <c:v>2.4830411360217217E-2</c:v>
                </c:pt>
                <c:pt idx="567">
                  <c:v>2.4837626239917143E-2</c:v>
                </c:pt>
                <c:pt idx="568">
                  <c:v>2.4844735033314698E-2</c:v>
                </c:pt>
                <c:pt idx="569">
                  <c:v>2.4851918440220788E-2</c:v>
                </c:pt>
                <c:pt idx="570">
                  <c:v>2.4859137906143889E-2</c:v>
                </c:pt>
                <c:pt idx="571">
                  <c:v>2.4866262439898781E-2</c:v>
                </c:pt>
                <c:pt idx="572">
                  <c:v>2.4873208592842623E-2</c:v>
                </c:pt>
                <c:pt idx="573">
                  <c:v>2.4879938179684591E-2</c:v>
                </c:pt>
                <c:pt idx="574">
                  <c:v>2.4886617874888873E-2</c:v>
                </c:pt>
                <c:pt idx="575">
                  <c:v>2.489315514349693E-2</c:v>
                </c:pt>
                <c:pt idx="576">
                  <c:v>2.4899642542207584E-2</c:v>
                </c:pt>
                <c:pt idx="577">
                  <c:v>2.4906148610316696E-2</c:v>
                </c:pt>
                <c:pt idx="578">
                  <c:v>2.4912578030727852E-2</c:v>
                </c:pt>
                <c:pt idx="579">
                  <c:v>2.4918924265736414E-2</c:v>
                </c:pt>
                <c:pt idx="580">
                  <c:v>2.4925267071554361E-2</c:v>
                </c:pt>
                <c:pt idx="581">
                  <c:v>2.4931756993107859E-2</c:v>
                </c:pt>
                <c:pt idx="582">
                  <c:v>2.4938335542604221E-2</c:v>
                </c:pt>
                <c:pt idx="583">
                  <c:v>2.4945120294704592E-2</c:v>
                </c:pt>
                <c:pt idx="584">
                  <c:v>2.4952118317207145E-2</c:v>
                </c:pt>
                <c:pt idx="585">
                  <c:v>2.4959396274567659E-2</c:v>
                </c:pt>
                <c:pt idx="586">
                  <c:v>2.4967066421102212E-2</c:v>
                </c:pt>
                <c:pt idx="587">
                  <c:v>2.4975065154190908E-2</c:v>
                </c:pt>
                <c:pt idx="588">
                  <c:v>2.498334569109267E-2</c:v>
                </c:pt>
                <c:pt idx="589">
                  <c:v>2.499186241987297E-2</c:v>
                </c:pt>
                <c:pt idx="590">
                  <c:v>2.5000485268661304E-2</c:v>
                </c:pt>
                <c:pt idx="591">
                  <c:v>2.5009181456598292E-2</c:v>
                </c:pt>
                <c:pt idx="592">
                  <c:v>2.5017825750408038E-2</c:v>
                </c:pt>
                <c:pt idx="593">
                  <c:v>2.5026288872555785E-2</c:v>
                </c:pt>
                <c:pt idx="594">
                  <c:v>2.5034322496333666E-2</c:v>
                </c:pt>
                <c:pt idx="595">
                  <c:v>2.5041681736375589E-2</c:v>
                </c:pt>
                <c:pt idx="596">
                  <c:v>2.5048220464788749E-2</c:v>
                </c:pt>
                <c:pt idx="597">
                  <c:v>2.5053783432415273E-2</c:v>
                </c:pt>
                <c:pt idx="598">
                  <c:v>2.5058104003873007E-2</c:v>
                </c:pt>
                <c:pt idx="599">
                  <c:v>2.5060980311948183E-2</c:v>
                </c:pt>
                <c:pt idx="600">
                  <c:v>2.5062557777225814E-2</c:v>
                </c:pt>
                <c:pt idx="601">
                  <c:v>2.5062957359108559E-2</c:v>
                </c:pt>
                <c:pt idx="602">
                  <c:v>2.5062291681545938E-2</c:v>
                </c:pt>
                <c:pt idx="603">
                  <c:v>2.5060674601209643E-2</c:v>
                </c:pt>
                <c:pt idx="604">
                  <c:v>2.5058293995949187E-2</c:v>
                </c:pt>
                <c:pt idx="605">
                  <c:v>2.5055130986213554E-2</c:v>
                </c:pt>
                <c:pt idx="606">
                  <c:v>2.5051406840062924E-2</c:v>
                </c:pt>
                <c:pt idx="607">
                  <c:v>2.504741889466057E-2</c:v>
                </c:pt>
                <c:pt idx="608">
                  <c:v>2.5043276865237132E-2</c:v>
                </c:pt>
                <c:pt idx="609">
                  <c:v>2.5039164350068949E-2</c:v>
                </c:pt>
                <c:pt idx="610">
                  <c:v>2.5035102147594114E-2</c:v>
                </c:pt>
                <c:pt idx="611">
                  <c:v>2.5031303236400099E-2</c:v>
                </c:pt>
                <c:pt idx="612">
                  <c:v>2.5027832691775616E-2</c:v>
                </c:pt>
                <c:pt idx="613">
                  <c:v>2.5024659265891085E-2</c:v>
                </c:pt>
                <c:pt idx="614">
                  <c:v>2.5021683459200927E-2</c:v>
                </c:pt>
                <c:pt idx="615">
                  <c:v>2.5018855454672695E-2</c:v>
                </c:pt>
                <c:pt idx="616">
                  <c:v>2.5016179787391592E-2</c:v>
                </c:pt>
                <c:pt idx="617">
                  <c:v>2.501362905651287E-2</c:v>
                </c:pt>
                <c:pt idx="618">
                  <c:v>2.5011336818184259E-2</c:v>
                </c:pt>
                <c:pt idx="619">
                  <c:v>2.5009211133372782E-2</c:v>
                </c:pt>
                <c:pt idx="620">
                  <c:v>2.5007065321755319E-2</c:v>
                </c:pt>
                <c:pt idx="621">
                  <c:v>2.5004865871256072E-2</c:v>
                </c:pt>
                <c:pt idx="622">
                  <c:v>2.5002723650703232E-2</c:v>
                </c:pt>
                <c:pt idx="623">
                  <c:v>2.5000733186648395E-2</c:v>
                </c:pt>
                <c:pt idx="624">
                  <c:v>2.4998804512444614E-2</c:v>
                </c:pt>
                <c:pt idx="625">
                  <c:v>2.4996810163426468E-2</c:v>
                </c:pt>
                <c:pt idx="626">
                  <c:v>2.4994700693414411E-2</c:v>
                </c:pt>
                <c:pt idx="627">
                  <c:v>2.4992516779086094E-2</c:v>
                </c:pt>
                <c:pt idx="628">
                  <c:v>2.4990321724243508E-2</c:v>
                </c:pt>
                <c:pt idx="629">
                  <c:v>2.4988198643238875E-2</c:v>
                </c:pt>
                <c:pt idx="630">
                  <c:v>2.498614540814674E-2</c:v>
                </c:pt>
                <c:pt idx="631">
                  <c:v>2.4984151667546625E-2</c:v>
                </c:pt>
                <c:pt idx="632">
                  <c:v>2.4982068214317678E-2</c:v>
                </c:pt>
                <c:pt idx="633">
                  <c:v>2.4979715024632219E-2</c:v>
                </c:pt>
                <c:pt idx="634">
                  <c:v>2.4977231441791738E-2</c:v>
                </c:pt>
                <c:pt idx="635">
                  <c:v>2.4974727941899501E-2</c:v>
                </c:pt>
                <c:pt idx="636">
                  <c:v>2.4972285749231916E-2</c:v>
                </c:pt>
                <c:pt idx="637">
                  <c:v>2.4969771688373724E-2</c:v>
                </c:pt>
                <c:pt idx="638">
                  <c:v>2.4967265823353922E-2</c:v>
                </c:pt>
                <c:pt idx="639">
                  <c:v>2.4964747354725814E-2</c:v>
                </c:pt>
                <c:pt idx="640">
                  <c:v>2.4962216149942533E-2</c:v>
                </c:pt>
                <c:pt idx="641">
                  <c:v>2.4959804896688573E-2</c:v>
                </c:pt>
                <c:pt idx="642">
                  <c:v>2.4957390392853326E-2</c:v>
                </c:pt>
                <c:pt idx="643">
                  <c:v>2.4954820676272679E-2</c:v>
                </c:pt>
                <c:pt idx="644">
                  <c:v>2.4952276859358812E-2</c:v>
                </c:pt>
                <c:pt idx="645">
                  <c:v>2.4949755216063588E-2</c:v>
                </c:pt>
                <c:pt idx="646">
                  <c:v>2.4947212458575348E-2</c:v>
                </c:pt>
                <c:pt idx="647">
                  <c:v>2.4944670266458857E-2</c:v>
                </c:pt>
                <c:pt idx="648">
                  <c:v>2.4942001525844103E-2</c:v>
                </c:pt>
                <c:pt idx="649">
                  <c:v>2.4939384486070786E-2</c:v>
                </c:pt>
                <c:pt idx="650">
                  <c:v>2.4936793994021191E-2</c:v>
                </c:pt>
                <c:pt idx="651">
                  <c:v>2.4934258090910183E-2</c:v>
                </c:pt>
                <c:pt idx="652">
                  <c:v>2.4931693318733152E-2</c:v>
                </c:pt>
                <c:pt idx="653">
                  <c:v>2.4929204223687086E-2</c:v>
                </c:pt>
                <c:pt idx="654">
                  <c:v>2.4926808992835371E-2</c:v>
                </c:pt>
                <c:pt idx="655">
                  <c:v>2.4924510595623679E-2</c:v>
                </c:pt>
                <c:pt idx="656">
                  <c:v>2.4922048952419035E-2</c:v>
                </c:pt>
                <c:pt idx="657">
                  <c:v>2.4919510740094287E-2</c:v>
                </c:pt>
                <c:pt idx="658">
                  <c:v>2.4916760081810121E-2</c:v>
                </c:pt>
                <c:pt idx="659">
                  <c:v>2.4913909229846605E-2</c:v>
                </c:pt>
                <c:pt idx="660">
                  <c:v>2.4911001510274387E-2</c:v>
                </c:pt>
                <c:pt idx="661">
                  <c:v>2.4908085664068619E-2</c:v>
                </c:pt>
                <c:pt idx="662">
                  <c:v>2.4905093920817321E-2</c:v>
                </c:pt>
                <c:pt idx="663">
                  <c:v>2.4902049052304281E-2</c:v>
                </c:pt>
                <c:pt idx="664">
                  <c:v>2.4898932144069186E-2</c:v>
                </c:pt>
                <c:pt idx="665">
                  <c:v>2.4895792593342399E-2</c:v>
                </c:pt>
                <c:pt idx="666">
                  <c:v>2.4892667481139177E-2</c:v>
                </c:pt>
                <c:pt idx="667">
                  <c:v>2.4889843764870773E-2</c:v>
                </c:pt>
                <c:pt idx="668">
                  <c:v>2.4887114422686277E-2</c:v>
                </c:pt>
                <c:pt idx="669">
                  <c:v>2.4884360865938534E-2</c:v>
                </c:pt>
                <c:pt idx="670">
                  <c:v>2.4881670878123662E-2</c:v>
                </c:pt>
                <c:pt idx="671">
                  <c:v>2.487896731837792E-2</c:v>
                </c:pt>
                <c:pt idx="672">
                  <c:v>2.4876296253682286E-2</c:v>
                </c:pt>
                <c:pt idx="673">
                  <c:v>2.4873603507725259E-2</c:v>
                </c:pt>
                <c:pt idx="674">
                  <c:v>2.4870830724516103E-2</c:v>
                </c:pt>
                <c:pt idx="675">
                  <c:v>2.4868067271849342E-2</c:v>
                </c:pt>
                <c:pt idx="676">
                  <c:v>2.4865258232841955E-2</c:v>
                </c:pt>
                <c:pt idx="677">
                  <c:v>2.4862436513142412E-2</c:v>
                </c:pt>
                <c:pt idx="678">
                  <c:v>2.4859352326012343E-2</c:v>
                </c:pt>
                <c:pt idx="679">
                  <c:v>2.4856288756491832E-2</c:v>
                </c:pt>
                <c:pt idx="680">
                  <c:v>2.4853189110336623E-2</c:v>
                </c:pt>
                <c:pt idx="681">
                  <c:v>2.4850132271706859E-2</c:v>
                </c:pt>
                <c:pt idx="682">
                  <c:v>2.4847258672684395E-2</c:v>
                </c:pt>
                <c:pt idx="683">
                  <c:v>2.4844375351352414E-2</c:v>
                </c:pt>
                <c:pt idx="684">
                  <c:v>2.4841381547304656E-2</c:v>
                </c:pt>
                <c:pt idx="685">
                  <c:v>2.4838356963690848E-2</c:v>
                </c:pt>
                <c:pt idx="686">
                  <c:v>2.4835493479914081E-2</c:v>
                </c:pt>
                <c:pt idx="687">
                  <c:v>2.4832721300476736E-2</c:v>
                </c:pt>
                <c:pt idx="688">
                  <c:v>2.4829932826877392E-2</c:v>
                </c:pt>
                <c:pt idx="689">
                  <c:v>2.4827106808939868E-2</c:v>
                </c:pt>
                <c:pt idx="690">
                  <c:v>2.4824320060991334E-2</c:v>
                </c:pt>
                <c:pt idx="691">
                  <c:v>2.4821447821612379E-2</c:v>
                </c:pt>
                <c:pt idx="692">
                  <c:v>2.4818566859037647E-2</c:v>
                </c:pt>
                <c:pt idx="693">
                  <c:v>2.4815732192988115E-2</c:v>
                </c:pt>
                <c:pt idx="694">
                  <c:v>2.4812803361613962E-2</c:v>
                </c:pt>
                <c:pt idx="695">
                  <c:v>2.4809672343149167E-2</c:v>
                </c:pt>
                <c:pt idx="696">
                  <c:v>2.4806493955198402E-2</c:v>
                </c:pt>
                <c:pt idx="697">
                  <c:v>2.4803437726453728E-2</c:v>
                </c:pt>
                <c:pt idx="698">
                  <c:v>2.4800491426855944E-2</c:v>
                </c:pt>
                <c:pt idx="699">
                  <c:v>2.479764997590897E-2</c:v>
                </c:pt>
                <c:pt idx="700">
                  <c:v>2.479486204071861E-2</c:v>
                </c:pt>
                <c:pt idx="701">
                  <c:v>2.4792096794063197E-2</c:v>
                </c:pt>
                <c:pt idx="702">
                  <c:v>2.4789398715657208E-2</c:v>
                </c:pt>
                <c:pt idx="703">
                  <c:v>2.4786712955534911E-2</c:v>
                </c:pt>
                <c:pt idx="704">
                  <c:v>2.4784168945231194E-2</c:v>
                </c:pt>
                <c:pt idx="705">
                  <c:v>2.4781495399548784E-2</c:v>
                </c:pt>
                <c:pt idx="706">
                  <c:v>2.4778733952845678E-2</c:v>
                </c:pt>
                <c:pt idx="707">
                  <c:v>2.4776044164666739E-2</c:v>
                </c:pt>
                <c:pt idx="708">
                  <c:v>2.4773469064347971E-2</c:v>
                </c:pt>
                <c:pt idx="709">
                  <c:v>2.4770736087238787E-2</c:v>
                </c:pt>
                <c:pt idx="710">
                  <c:v>2.4767981950621264E-2</c:v>
                </c:pt>
                <c:pt idx="711">
                  <c:v>2.4765265847606997E-2</c:v>
                </c:pt>
                <c:pt idx="712">
                  <c:v>2.4762414887614291E-2</c:v>
                </c:pt>
                <c:pt idx="713">
                  <c:v>2.475954229857219E-2</c:v>
                </c:pt>
                <c:pt idx="714">
                  <c:v>2.4756574195591175E-2</c:v>
                </c:pt>
                <c:pt idx="715">
                  <c:v>2.4753618896244639E-2</c:v>
                </c:pt>
                <c:pt idx="716">
                  <c:v>2.4750507153877735E-2</c:v>
                </c:pt>
                <c:pt idx="717">
                  <c:v>2.4747452512080857E-2</c:v>
                </c:pt>
                <c:pt idx="718">
                  <c:v>2.4744290354559259E-2</c:v>
                </c:pt>
                <c:pt idx="719">
                  <c:v>2.4741090351727696E-2</c:v>
                </c:pt>
              </c:numCache>
            </c:numRef>
          </c:val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noFill/>
            </c:spPr>
          </c:marker>
          <c:val>
            <c:numRef>
              <c:f>Output!$AC$12:$AC$731</c:f>
              <c:numCache>
                <c:formatCode>General</c:formatCode>
                <c:ptCount val="720"/>
                <c:pt idx="0">
                  <c:v>3.2599999999999999E-3</c:v>
                </c:pt>
                <c:pt idx="1">
                  <c:v>3.2599999999999999E-3</c:v>
                </c:pt>
                <c:pt idx="2">
                  <c:v>3.2599999999999999E-3</c:v>
                </c:pt>
                <c:pt idx="3">
                  <c:v>3.2597699999999999E-3</c:v>
                </c:pt>
                <c:pt idx="4">
                  <c:v>3.2597199999999998E-3</c:v>
                </c:pt>
                <c:pt idx="5">
                  <c:v>3.2599999999999999E-3</c:v>
                </c:pt>
                <c:pt idx="6">
                  <c:v>3.2606200000000001E-3</c:v>
                </c:pt>
                <c:pt idx="7">
                  <c:v>3.2609000000000002E-3</c:v>
                </c:pt>
                <c:pt idx="8">
                  <c:v>3.2599999999999999E-3</c:v>
                </c:pt>
                <c:pt idx="9">
                  <c:v>3.2577499999999998E-3</c:v>
                </c:pt>
                <c:pt idx="10">
                  <c:v>3.2566800000000001E-3</c:v>
                </c:pt>
                <c:pt idx="11">
                  <c:v>3.2599999999999999E-3</c:v>
                </c:pt>
                <c:pt idx="12">
                  <c:v>3.2703099999999998E-3</c:v>
                </c:pt>
                <c:pt idx="13">
                  <c:v>3.2877499999999999E-3</c:v>
                </c:pt>
                <c:pt idx="14">
                  <c:v>3.3118599999999998E-3</c:v>
                </c:pt>
                <c:pt idx="15">
                  <c:v>3.3421599999999998E-3</c:v>
                </c:pt>
                <c:pt idx="16">
                  <c:v>3.3781800000000002E-3</c:v>
                </c:pt>
                <c:pt idx="17">
                  <c:v>3.4194500000000001E-3</c:v>
                </c:pt>
                <c:pt idx="18">
                  <c:v>3.4654899999999999E-3</c:v>
                </c:pt>
                <c:pt idx="19">
                  <c:v>3.5158500000000001E-3</c:v>
                </c:pt>
                <c:pt idx="20">
                  <c:v>3.57004E-3</c:v>
                </c:pt>
                <c:pt idx="21">
                  <c:v>3.6275999999999999E-3</c:v>
                </c:pt>
                <c:pt idx="22">
                  <c:v>3.68805E-3</c:v>
                </c:pt>
                <c:pt idx="23">
                  <c:v>3.75092E-3</c:v>
                </c:pt>
                <c:pt idx="24">
                  <c:v>3.81584E-3</c:v>
                </c:pt>
                <c:pt idx="25">
                  <c:v>3.8828500000000002E-3</c:v>
                </c:pt>
                <c:pt idx="26">
                  <c:v>3.9520600000000003E-3</c:v>
                </c:pt>
                <c:pt idx="27">
                  <c:v>4.0235999999999996E-3</c:v>
                </c:pt>
                <c:pt idx="28">
                  <c:v>4.0975999999999999E-3</c:v>
                </c:pt>
                <c:pt idx="29">
                  <c:v>4.1742000000000003E-3</c:v>
                </c:pt>
                <c:pt idx="30">
                  <c:v>4.2535000000000003E-3</c:v>
                </c:pt>
                <c:pt idx="31">
                  <c:v>4.3356499999999999E-3</c:v>
                </c:pt>
                <c:pt idx="32">
                  <c:v>4.4207600000000001E-3</c:v>
                </c:pt>
                <c:pt idx="33">
                  <c:v>4.5089700000000002E-3</c:v>
                </c:pt>
                <c:pt idx="34">
                  <c:v>4.6004100000000001E-3</c:v>
                </c:pt>
                <c:pt idx="35">
                  <c:v>4.6951900000000001E-3</c:v>
                </c:pt>
                <c:pt idx="36">
                  <c:v>4.7933999999999997E-3</c:v>
                </c:pt>
                <c:pt idx="37">
                  <c:v>4.8949299999999996E-3</c:v>
                </c:pt>
                <c:pt idx="38">
                  <c:v>4.9996199999999998E-3</c:v>
                </c:pt>
                <c:pt idx="39">
                  <c:v>5.1073000000000004E-3</c:v>
                </c:pt>
                <c:pt idx="40">
                  <c:v>5.2178099999999998E-3</c:v>
                </c:pt>
                <c:pt idx="41">
                  <c:v>5.3309999999999998E-3</c:v>
                </c:pt>
                <c:pt idx="42">
                  <c:v>5.4467099999999996E-3</c:v>
                </c:pt>
                <c:pt idx="43">
                  <c:v>5.5647700000000001E-3</c:v>
                </c:pt>
                <c:pt idx="44">
                  <c:v>5.6850199999999998E-3</c:v>
                </c:pt>
                <c:pt idx="45">
                  <c:v>5.8073100000000004E-3</c:v>
                </c:pt>
                <c:pt idx="46">
                  <c:v>5.9314700000000003E-3</c:v>
                </c:pt>
                <c:pt idx="47">
                  <c:v>6.0573500000000004E-3</c:v>
                </c:pt>
                <c:pt idx="48">
                  <c:v>6.1848099999999998E-3</c:v>
                </c:pt>
                <c:pt idx="49">
                  <c:v>6.3138700000000001E-3</c:v>
                </c:pt>
                <c:pt idx="50">
                  <c:v>6.4445800000000001E-3</c:v>
                </c:pt>
                <c:pt idx="51">
                  <c:v>6.5769799999999996E-3</c:v>
                </c:pt>
                <c:pt idx="52">
                  <c:v>6.71113E-3</c:v>
                </c:pt>
                <c:pt idx="53">
                  <c:v>6.8470600000000003E-3</c:v>
                </c:pt>
                <c:pt idx="54">
                  <c:v>6.98483E-3</c:v>
                </c:pt>
                <c:pt idx="55">
                  <c:v>7.1244699999999999E-3</c:v>
                </c:pt>
                <c:pt idx="56">
                  <c:v>7.2660499999999996E-3</c:v>
                </c:pt>
                <c:pt idx="57">
                  <c:v>7.4096099999999996E-3</c:v>
                </c:pt>
                <c:pt idx="58">
                  <c:v>7.5551899999999998E-3</c:v>
                </c:pt>
                <c:pt idx="59">
                  <c:v>7.7028399999999999E-3</c:v>
                </c:pt>
                <c:pt idx="60">
                  <c:v>7.8525599999999997E-3</c:v>
                </c:pt>
                <c:pt idx="61">
                  <c:v>8.0041399999999999E-3</c:v>
                </c:pt>
                <c:pt idx="62">
                  <c:v>8.1573600000000007E-3</c:v>
                </c:pt>
                <c:pt idx="63">
                  <c:v>8.3119500000000002E-3</c:v>
                </c:pt>
                <c:pt idx="64">
                  <c:v>8.4676600000000001E-3</c:v>
                </c:pt>
                <c:pt idx="65">
                  <c:v>8.6242599999999999E-3</c:v>
                </c:pt>
                <c:pt idx="66">
                  <c:v>8.7814999999999994E-3</c:v>
                </c:pt>
                <c:pt idx="67">
                  <c:v>8.9391200000000001E-3</c:v>
                </c:pt>
                <c:pt idx="68">
                  <c:v>9.0968899999999998E-3</c:v>
                </c:pt>
                <c:pt idx="69">
                  <c:v>9.2545400000000003E-3</c:v>
                </c:pt>
                <c:pt idx="70">
                  <c:v>9.4118499999999994E-3</c:v>
                </c:pt>
                <c:pt idx="71">
                  <c:v>9.5685500000000003E-3</c:v>
                </c:pt>
                <c:pt idx="72">
                  <c:v>9.7244500000000008E-3</c:v>
                </c:pt>
                <c:pt idx="73">
                  <c:v>9.8795299999999992E-3</c:v>
                </c:pt>
                <c:pt idx="74">
                  <c:v>1.0033800000000001E-2</c:v>
                </c:pt>
                <c:pt idx="75">
                  <c:v>1.0187399999999999E-2</c:v>
                </c:pt>
                <c:pt idx="76">
                  <c:v>1.0340200000000001E-2</c:v>
                </c:pt>
                <c:pt idx="77">
                  <c:v>1.04923E-2</c:v>
                </c:pt>
                <c:pt idx="78">
                  <c:v>1.0643700000000001E-2</c:v>
                </c:pt>
                <c:pt idx="79">
                  <c:v>1.07945E-2</c:v>
                </c:pt>
                <c:pt idx="80">
                  <c:v>1.09447E-2</c:v>
                </c:pt>
                <c:pt idx="81">
                  <c:v>1.10943E-2</c:v>
                </c:pt>
                <c:pt idx="82">
                  <c:v>1.1243400000000001E-2</c:v>
                </c:pt>
                <c:pt idx="83">
                  <c:v>1.13919E-2</c:v>
                </c:pt>
                <c:pt idx="84">
                  <c:v>1.1539900000000001E-2</c:v>
                </c:pt>
                <c:pt idx="85">
                  <c:v>1.1687400000000001E-2</c:v>
                </c:pt>
                <c:pt idx="86">
                  <c:v>1.18342E-2</c:v>
                </c:pt>
                <c:pt idx="87">
                  <c:v>1.19802E-2</c:v>
                </c:pt>
                <c:pt idx="88">
                  <c:v>1.21254E-2</c:v>
                </c:pt>
                <c:pt idx="89">
                  <c:v>1.22696E-2</c:v>
                </c:pt>
                <c:pt idx="90">
                  <c:v>1.2412899999999999E-2</c:v>
                </c:pt>
                <c:pt idx="91">
                  <c:v>1.2555E-2</c:v>
                </c:pt>
                <c:pt idx="92">
                  <c:v>1.26959E-2</c:v>
                </c:pt>
                <c:pt idx="93">
                  <c:v>1.2835600000000001E-2</c:v>
                </c:pt>
                <c:pt idx="94">
                  <c:v>1.29739E-2</c:v>
                </c:pt>
                <c:pt idx="95">
                  <c:v>1.3110699999999999E-2</c:v>
                </c:pt>
                <c:pt idx="96">
                  <c:v>1.3246000000000001E-2</c:v>
                </c:pt>
                <c:pt idx="97">
                  <c:v>1.3379800000000001E-2</c:v>
                </c:pt>
                <c:pt idx="98">
                  <c:v>1.35123E-2</c:v>
                </c:pt>
                <c:pt idx="99">
                  <c:v>1.3643600000000001E-2</c:v>
                </c:pt>
                <c:pt idx="100">
                  <c:v>1.37736E-2</c:v>
                </c:pt>
                <c:pt idx="101">
                  <c:v>1.39025E-2</c:v>
                </c:pt>
                <c:pt idx="102">
                  <c:v>1.40305E-2</c:v>
                </c:pt>
                <c:pt idx="103">
                  <c:v>1.4157599999999999E-2</c:v>
                </c:pt>
                <c:pt idx="104">
                  <c:v>1.4283799999999999E-2</c:v>
                </c:pt>
                <c:pt idx="105">
                  <c:v>1.44093E-2</c:v>
                </c:pt>
                <c:pt idx="106">
                  <c:v>1.4534200000000001E-2</c:v>
                </c:pt>
                <c:pt idx="107">
                  <c:v>1.4658600000000001E-2</c:v>
                </c:pt>
                <c:pt idx="108">
                  <c:v>1.4782399999999999E-2</c:v>
                </c:pt>
                <c:pt idx="109">
                  <c:v>1.4905699999999999E-2</c:v>
                </c:pt>
                <c:pt idx="110">
                  <c:v>1.5028100000000001E-2</c:v>
                </c:pt>
                <c:pt idx="111">
                  <c:v>1.51495E-2</c:v>
                </c:pt>
                <c:pt idx="112">
                  <c:v>1.52698E-2</c:v>
                </c:pt>
                <c:pt idx="113">
                  <c:v>1.53887E-2</c:v>
                </c:pt>
                <c:pt idx="114">
                  <c:v>1.5506199999999999E-2</c:v>
                </c:pt>
                <c:pt idx="115">
                  <c:v>1.5621899999999999E-2</c:v>
                </c:pt>
                <c:pt idx="116">
                  <c:v>1.5735699999999998E-2</c:v>
                </c:pt>
                <c:pt idx="117">
                  <c:v>1.5847400000000001E-2</c:v>
                </c:pt>
                <c:pt idx="118">
                  <c:v>1.5956999999999999E-2</c:v>
                </c:pt>
                <c:pt idx="119">
                  <c:v>1.6064100000000001E-2</c:v>
                </c:pt>
                <c:pt idx="120">
                  <c:v>1.6168600000000002E-2</c:v>
                </c:pt>
                <c:pt idx="121">
                  <c:v>1.6271000000000001E-2</c:v>
                </c:pt>
                <c:pt idx="122">
                  <c:v>1.63716E-2</c:v>
                </c:pt>
                <c:pt idx="123">
                  <c:v>1.6470800000000001E-2</c:v>
                </c:pt>
                <c:pt idx="124">
                  <c:v>1.6568900000000001E-2</c:v>
                </c:pt>
                <c:pt idx="125">
                  <c:v>1.6666500000000001E-2</c:v>
                </c:pt>
                <c:pt idx="126">
                  <c:v>1.6763799999999999E-2</c:v>
                </c:pt>
                <c:pt idx="127">
                  <c:v>1.6861299999999999E-2</c:v>
                </c:pt>
                <c:pt idx="128">
                  <c:v>1.6959399999999999E-2</c:v>
                </c:pt>
                <c:pt idx="129">
                  <c:v>1.7058500000000001E-2</c:v>
                </c:pt>
                <c:pt idx="130">
                  <c:v>1.7159000000000001E-2</c:v>
                </c:pt>
                <c:pt idx="131">
                  <c:v>1.7261200000000001E-2</c:v>
                </c:pt>
                <c:pt idx="132">
                  <c:v>1.7365499999999999E-2</c:v>
                </c:pt>
                <c:pt idx="133">
                  <c:v>1.7471299999999999E-2</c:v>
                </c:pt>
                <c:pt idx="134">
                  <c:v>1.7578E-2</c:v>
                </c:pt>
                <c:pt idx="135">
                  <c:v>1.7685099999999999E-2</c:v>
                </c:pt>
                <c:pt idx="136">
                  <c:v>1.77918E-2</c:v>
                </c:pt>
                <c:pt idx="137">
                  <c:v>1.78976E-2</c:v>
                </c:pt>
                <c:pt idx="138">
                  <c:v>1.8001900000000001E-2</c:v>
                </c:pt>
                <c:pt idx="139">
                  <c:v>1.8103899999999999E-2</c:v>
                </c:pt>
                <c:pt idx="140">
                  <c:v>1.8203199999999999E-2</c:v>
                </c:pt>
                <c:pt idx="141">
                  <c:v>1.8298999999999999E-2</c:v>
                </c:pt>
                <c:pt idx="142">
                  <c:v>1.8390799999999999E-2</c:v>
                </c:pt>
                <c:pt idx="143">
                  <c:v>1.8477899999999998E-2</c:v>
                </c:pt>
                <c:pt idx="144">
                  <c:v>1.8559900000000001E-2</c:v>
                </c:pt>
                <c:pt idx="145">
                  <c:v>1.86371E-2</c:v>
                </c:pt>
                <c:pt idx="146">
                  <c:v>1.87102E-2</c:v>
                </c:pt>
                <c:pt idx="147">
                  <c:v>1.8779500000000001E-2</c:v>
                </c:pt>
                <c:pt idx="148">
                  <c:v>1.88457E-2</c:v>
                </c:pt>
                <c:pt idx="149">
                  <c:v>1.89093E-2</c:v>
                </c:pt>
                <c:pt idx="150">
                  <c:v>1.8970799999999999E-2</c:v>
                </c:pt>
                <c:pt idx="151">
                  <c:v>1.90308E-2</c:v>
                </c:pt>
                <c:pt idx="152">
                  <c:v>1.9089700000000001E-2</c:v>
                </c:pt>
                <c:pt idx="153">
                  <c:v>1.9148200000000001E-2</c:v>
                </c:pt>
                <c:pt idx="154">
                  <c:v>1.92068E-2</c:v>
                </c:pt>
                <c:pt idx="155">
                  <c:v>1.9265999999999998E-2</c:v>
                </c:pt>
                <c:pt idx="156">
                  <c:v>1.9326200000000002E-2</c:v>
                </c:pt>
                <c:pt idx="157">
                  <c:v>1.9387600000000001E-2</c:v>
                </c:pt>
                <c:pt idx="158">
                  <c:v>1.9450100000000001E-2</c:v>
                </c:pt>
                <c:pt idx="159">
                  <c:v>1.9513900000000001E-2</c:v>
                </c:pt>
                <c:pt idx="160">
                  <c:v>1.95788E-2</c:v>
                </c:pt>
                <c:pt idx="161">
                  <c:v>1.96449E-2</c:v>
                </c:pt>
                <c:pt idx="162">
                  <c:v>1.9712199999999999E-2</c:v>
                </c:pt>
                <c:pt idx="163">
                  <c:v>1.9780800000000001E-2</c:v>
                </c:pt>
                <c:pt idx="164">
                  <c:v>1.9850599999999999E-2</c:v>
                </c:pt>
                <c:pt idx="165">
                  <c:v>1.9921600000000001E-2</c:v>
                </c:pt>
                <c:pt idx="166">
                  <c:v>1.9993899999999998E-2</c:v>
                </c:pt>
                <c:pt idx="167">
                  <c:v>2.0067399999999999E-2</c:v>
                </c:pt>
                <c:pt idx="168">
                  <c:v>2.0142199999999999E-2</c:v>
                </c:pt>
                <c:pt idx="169">
                  <c:v>2.0217599999999999E-2</c:v>
                </c:pt>
                <c:pt idx="170">
                  <c:v>2.0293100000000001E-2</c:v>
                </c:pt>
                <c:pt idx="171">
                  <c:v>2.0368199999999999E-2</c:v>
                </c:pt>
                <c:pt idx="172">
                  <c:v>2.04423E-2</c:v>
                </c:pt>
                <c:pt idx="173">
                  <c:v>2.05147E-2</c:v>
                </c:pt>
                <c:pt idx="174">
                  <c:v>2.0584999999999999E-2</c:v>
                </c:pt>
                <c:pt idx="175">
                  <c:v>2.0652500000000001E-2</c:v>
                </c:pt>
                <c:pt idx="176">
                  <c:v>2.0716600000000002E-2</c:v>
                </c:pt>
                <c:pt idx="177">
                  <c:v>2.0776800000000002E-2</c:v>
                </c:pt>
                <c:pt idx="178">
                  <c:v>2.08325E-2</c:v>
                </c:pt>
                <c:pt idx="179">
                  <c:v>2.0883100000000002E-2</c:v>
                </c:pt>
                <c:pt idx="180">
                  <c:v>2.09283E-2</c:v>
                </c:pt>
                <c:pt idx="181">
                  <c:v>2.0968299999999999E-2</c:v>
                </c:pt>
                <c:pt idx="182">
                  <c:v>2.1003999999999998E-2</c:v>
                </c:pt>
                <c:pt idx="183">
                  <c:v>2.1035700000000001E-2</c:v>
                </c:pt>
                <c:pt idx="184">
                  <c:v>2.1064200000000002E-2</c:v>
                </c:pt>
                <c:pt idx="185">
                  <c:v>2.1090100000000001E-2</c:v>
                </c:pt>
                <c:pt idx="186">
                  <c:v>2.1113900000000001E-2</c:v>
                </c:pt>
                <c:pt idx="187">
                  <c:v>2.11363E-2</c:v>
                </c:pt>
                <c:pt idx="188">
                  <c:v>2.1157800000000001E-2</c:v>
                </c:pt>
                <c:pt idx="189">
                  <c:v>2.1179099999999999E-2</c:v>
                </c:pt>
                <c:pt idx="190">
                  <c:v>2.1200799999999999E-2</c:v>
                </c:pt>
                <c:pt idx="191">
                  <c:v>2.12234E-2</c:v>
                </c:pt>
                <c:pt idx="192">
                  <c:v>2.1247499999999999E-2</c:v>
                </c:pt>
                <c:pt idx="193">
                  <c:v>2.1273E-2</c:v>
                </c:pt>
                <c:pt idx="194">
                  <c:v>2.1299700000000001E-2</c:v>
                </c:pt>
                <c:pt idx="195">
                  <c:v>2.1327599999999999E-2</c:v>
                </c:pt>
                <c:pt idx="196">
                  <c:v>2.1356400000000001E-2</c:v>
                </c:pt>
                <c:pt idx="197">
                  <c:v>2.1385999999999999E-2</c:v>
                </c:pt>
                <c:pt idx="198">
                  <c:v>2.14162E-2</c:v>
                </c:pt>
                <c:pt idx="199">
                  <c:v>2.1446900000000001E-2</c:v>
                </c:pt>
                <c:pt idx="200">
                  <c:v>2.1478000000000001E-2</c:v>
                </c:pt>
                <c:pt idx="201">
                  <c:v>2.1509199999999999E-2</c:v>
                </c:pt>
                <c:pt idx="202">
                  <c:v>2.1540400000000001E-2</c:v>
                </c:pt>
                <c:pt idx="203">
                  <c:v>2.15715E-2</c:v>
                </c:pt>
                <c:pt idx="204">
                  <c:v>2.1602400000000001E-2</c:v>
                </c:pt>
                <c:pt idx="205">
                  <c:v>2.16329E-2</c:v>
                </c:pt>
                <c:pt idx="206">
                  <c:v>2.16633E-2</c:v>
                </c:pt>
                <c:pt idx="207">
                  <c:v>2.1693299999999999E-2</c:v>
                </c:pt>
                <c:pt idx="208">
                  <c:v>2.1723200000000002E-2</c:v>
                </c:pt>
                <c:pt idx="209">
                  <c:v>2.1752799999999999E-2</c:v>
                </c:pt>
                <c:pt idx="210">
                  <c:v>2.1782300000000001E-2</c:v>
                </c:pt>
                <c:pt idx="211">
                  <c:v>2.1811500000000001E-2</c:v>
                </c:pt>
                <c:pt idx="212">
                  <c:v>2.1840600000000002E-2</c:v>
                </c:pt>
                <c:pt idx="213">
                  <c:v>2.1869599999999999E-2</c:v>
                </c:pt>
                <c:pt idx="214">
                  <c:v>2.1898500000000001E-2</c:v>
                </c:pt>
                <c:pt idx="215">
                  <c:v>2.1927200000000001E-2</c:v>
                </c:pt>
                <c:pt idx="216">
                  <c:v>2.1955800000000001E-2</c:v>
                </c:pt>
                <c:pt idx="217">
                  <c:v>2.1984500000000001E-2</c:v>
                </c:pt>
                <c:pt idx="218">
                  <c:v>2.20132E-2</c:v>
                </c:pt>
                <c:pt idx="219">
                  <c:v>2.2042099999999998E-2</c:v>
                </c:pt>
                <c:pt idx="220">
                  <c:v>2.2071299999999999E-2</c:v>
                </c:pt>
                <c:pt idx="221">
                  <c:v>2.21008E-2</c:v>
                </c:pt>
                <c:pt idx="222">
                  <c:v>2.21307E-2</c:v>
                </c:pt>
                <c:pt idx="223">
                  <c:v>2.2161199999999999E-2</c:v>
                </c:pt>
                <c:pt idx="224">
                  <c:v>2.2192300000000002E-2</c:v>
                </c:pt>
                <c:pt idx="225">
                  <c:v>2.22241E-2</c:v>
                </c:pt>
                <c:pt idx="226">
                  <c:v>2.2256700000000001E-2</c:v>
                </c:pt>
                <c:pt idx="227">
                  <c:v>2.2290299999999999E-2</c:v>
                </c:pt>
                <c:pt idx="228">
                  <c:v>2.2324699999999999E-2</c:v>
                </c:pt>
                <c:pt idx="229">
                  <c:v>2.23597E-2</c:v>
                </c:pt>
                <c:pt idx="230">
                  <c:v>2.2394899999999999E-2</c:v>
                </c:pt>
                <c:pt idx="231">
                  <c:v>2.2429999999999999E-2</c:v>
                </c:pt>
                <c:pt idx="232">
                  <c:v>2.2464600000000001E-2</c:v>
                </c:pt>
                <c:pt idx="233">
                  <c:v>2.2498299999999999E-2</c:v>
                </c:pt>
                <c:pt idx="234">
                  <c:v>2.2530700000000001E-2</c:v>
                </c:pt>
                <c:pt idx="235">
                  <c:v>2.2561500000000002E-2</c:v>
                </c:pt>
                <c:pt idx="236">
                  <c:v>2.2590200000000001E-2</c:v>
                </c:pt>
                <c:pt idx="237">
                  <c:v>2.2616600000000001E-2</c:v>
                </c:pt>
                <c:pt idx="238">
                  <c:v>2.2640199999999999E-2</c:v>
                </c:pt>
                <c:pt idx="239">
                  <c:v>2.2660699999999999E-2</c:v>
                </c:pt>
                <c:pt idx="240">
                  <c:v>2.2677800000000001E-2</c:v>
                </c:pt>
                <c:pt idx="241">
                  <c:v>2.2691800000000002E-2</c:v>
                </c:pt>
                <c:pt idx="242">
                  <c:v>2.2703000000000001E-2</c:v>
                </c:pt>
                <c:pt idx="243">
                  <c:v>2.2711800000000001E-2</c:v>
                </c:pt>
                <c:pt idx="244">
                  <c:v>2.2718599999999999E-2</c:v>
                </c:pt>
                <c:pt idx="245">
                  <c:v>2.2723799999999999E-2</c:v>
                </c:pt>
                <c:pt idx="246">
                  <c:v>2.2727600000000001E-2</c:v>
                </c:pt>
                <c:pt idx="247">
                  <c:v>2.27306E-2</c:v>
                </c:pt>
                <c:pt idx="248">
                  <c:v>2.2733099999999999E-2</c:v>
                </c:pt>
                <c:pt idx="249">
                  <c:v>2.2735499999999999E-2</c:v>
                </c:pt>
                <c:pt idx="250">
                  <c:v>2.2738000000000001E-2</c:v>
                </c:pt>
                <c:pt idx="251">
                  <c:v>2.27412E-2</c:v>
                </c:pt>
                <c:pt idx="252">
                  <c:v>2.27453E-2</c:v>
                </c:pt>
                <c:pt idx="253">
                  <c:v>2.2750200000000002E-2</c:v>
                </c:pt>
                <c:pt idx="254">
                  <c:v>2.2755999999999998E-2</c:v>
                </c:pt>
                <c:pt idx="255">
                  <c:v>2.2762399999999999E-2</c:v>
                </c:pt>
                <c:pt idx="256">
                  <c:v>2.2769399999999999E-2</c:v>
                </c:pt>
                <c:pt idx="257">
                  <c:v>2.27768E-2</c:v>
                </c:pt>
                <c:pt idx="258">
                  <c:v>2.2784700000000001E-2</c:v>
                </c:pt>
                <c:pt idx="259">
                  <c:v>2.2792799999999998E-2</c:v>
                </c:pt>
                <c:pt idx="260">
                  <c:v>2.2801200000000001E-2</c:v>
                </c:pt>
                <c:pt idx="261">
                  <c:v>2.2809599999999999E-2</c:v>
                </c:pt>
                <c:pt idx="262">
                  <c:v>2.2818000000000001E-2</c:v>
                </c:pt>
                <c:pt idx="263">
                  <c:v>2.2826300000000001E-2</c:v>
                </c:pt>
                <c:pt idx="264">
                  <c:v>2.2834400000000001E-2</c:v>
                </c:pt>
                <c:pt idx="265">
                  <c:v>2.2842399999999999E-2</c:v>
                </c:pt>
                <c:pt idx="266">
                  <c:v>2.2850100000000002E-2</c:v>
                </c:pt>
                <c:pt idx="267">
                  <c:v>2.2857700000000002E-2</c:v>
                </c:pt>
                <c:pt idx="268">
                  <c:v>2.2865199999999999E-2</c:v>
                </c:pt>
                <c:pt idx="269">
                  <c:v>2.28726E-2</c:v>
                </c:pt>
                <c:pt idx="270">
                  <c:v>2.2879900000000002E-2</c:v>
                </c:pt>
                <c:pt idx="271">
                  <c:v>2.28871E-2</c:v>
                </c:pt>
                <c:pt idx="272">
                  <c:v>2.2894299999999999E-2</c:v>
                </c:pt>
                <c:pt idx="273">
                  <c:v>2.2901399999999999E-2</c:v>
                </c:pt>
                <c:pt idx="274">
                  <c:v>2.2908499999999998E-2</c:v>
                </c:pt>
                <c:pt idx="275">
                  <c:v>2.2915600000000001E-2</c:v>
                </c:pt>
                <c:pt idx="276">
                  <c:v>2.29228E-2</c:v>
                </c:pt>
                <c:pt idx="277">
                  <c:v>2.2929999999999999E-2</c:v>
                </c:pt>
                <c:pt idx="278">
                  <c:v>2.2937300000000001E-2</c:v>
                </c:pt>
                <c:pt idx="279">
                  <c:v>2.2944599999999999E-2</c:v>
                </c:pt>
                <c:pt idx="280">
                  <c:v>2.29521E-2</c:v>
                </c:pt>
                <c:pt idx="281">
                  <c:v>2.29597E-2</c:v>
                </c:pt>
                <c:pt idx="282">
                  <c:v>2.2967399999999999E-2</c:v>
                </c:pt>
                <c:pt idx="283">
                  <c:v>2.2975300000000001E-2</c:v>
                </c:pt>
                <c:pt idx="284">
                  <c:v>2.2983400000000001E-2</c:v>
                </c:pt>
                <c:pt idx="285">
                  <c:v>2.2991600000000001E-2</c:v>
                </c:pt>
                <c:pt idx="286">
                  <c:v>2.3000099999999999E-2</c:v>
                </c:pt>
                <c:pt idx="287">
                  <c:v>2.3008899999999999E-2</c:v>
                </c:pt>
                <c:pt idx="288">
                  <c:v>2.3017900000000001E-2</c:v>
                </c:pt>
                <c:pt idx="289">
                  <c:v>2.3026999999999999E-2</c:v>
                </c:pt>
                <c:pt idx="290">
                  <c:v>2.30362E-2</c:v>
                </c:pt>
                <c:pt idx="291">
                  <c:v>2.3045400000000001E-2</c:v>
                </c:pt>
                <c:pt idx="292">
                  <c:v>2.3054499999999999E-2</c:v>
                </c:pt>
                <c:pt idx="293">
                  <c:v>2.3063299999999998E-2</c:v>
                </c:pt>
                <c:pt idx="294">
                  <c:v>2.30718E-2</c:v>
                </c:pt>
                <c:pt idx="295">
                  <c:v>2.3079800000000001E-2</c:v>
                </c:pt>
                <c:pt idx="296">
                  <c:v>2.3087400000000001E-2</c:v>
                </c:pt>
                <c:pt idx="297">
                  <c:v>2.3094300000000002E-2</c:v>
                </c:pt>
                <c:pt idx="298">
                  <c:v>2.31004E-2</c:v>
                </c:pt>
                <c:pt idx="299">
                  <c:v>2.3105799999999999E-2</c:v>
                </c:pt>
                <c:pt idx="300">
                  <c:v>2.31103E-2</c:v>
                </c:pt>
                <c:pt idx="301">
                  <c:v>2.31139E-2</c:v>
                </c:pt>
                <c:pt idx="302">
                  <c:v>2.31168E-2</c:v>
                </c:pt>
                <c:pt idx="303">
                  <c:v>2.31191E-2</c:v>
                </c:pt>
                <c:pt idx="304">
                  <c:v>2.31209E-2</c:v>
                </c:pt>
                <c:pt idx="305">
                  <c:v>2.3122199999999999E-2</c:v>
                </c:pt>
                <c:pt idx="306">
                  <c:v>2.3123299999999999E-2</c:v>
                </c:pt>
                <c:pt idx="307">
                  <c:v>2.3124100000000002E-2</c:v>
                </c:pt>
                <c:pt idx="308">
                  <c:v>2.3124700000000002E-2</c:v>
                </c:pt>
                <c:pt idx="309">
                  <c:v>2.3125400000000001E-2</c:v>
                </c:pt>
                <c:pt idx="310">
                  <c:v>2.31261E-2</c:v>
                </c:pt>
                <c:pt idx="311">
                  <c:v>2.3127100000000001E-2</c:v>
                </c:pt>
                <c:pt idx="312">
                  <c:v>2.3128200000000002E-2</c:v>
                </c:pt>
                <c:pt idx="313">
                  <c:v>2.31297E-2</c:v>
                </c:pt>
                <c:pt idx="314">
                  <c:v>2.31313E-2</c:v>
                </c:pt>
                <c:pt idx="315">
                  <c:v>2.31331E-2</c:v>
                </c:pt>
                <c:pt idx="316">
                  <c:v>2.3135099999999999E-2</c:v>
                </c:pt>
                <c:pt idx="317">
                  <c:v>2.31373E-2</c:v>
                </c:pt>
                <c:pt idx="318">
                  <c:v>2.31395E-2</c:v>
                </c:pt>
                <c:pt idx="319">
                  <c:v>2.3141800000000001E-2</c:v>
                </c:pt>
                <c:pt idx="320">
                  <c:v>2.31442E-2</c:v>
                </c:pt>
                <c:pt idx="321">
                  <c:v>2.31465E-2</c:v>
                </c:pt>
                <c:pt idx="322">
                  <c:v>2.31489E-2</c:v>
                </c:pt>
                <c:pt idx="323">
                  <c:v>2.31512E-2</c:v>
                </c:pt>
                <c:pt idx="324">
                  <c:v>2.31535E-2</c:v>
                </c:pt>
                <c:pt idx="325">
                  <c:v>2.3155700000000001E-2</c:v>
                </c:pt>
                <c:pt idx="326">
                  <c:v>2.3157899999999999E-2</c:v>
                </c:pt>
                <c:pt idx="327">
                  <c:v>2.316E-2</c:v>
                </c:pt>
                <c:pt idx="328">
                  <c:v>2.3162100000000001E-2</c:v>
                </c:pt>
                <c:pt idx="329">
                  <c:v>2.3164299999999999E-2</c:v>
                </c:pt>
                <c:pt idx="330">
                  <c:v>2.31664E-2</c:v>
                </c:pt>
                <c:pt idx="331">
                  <c:v>2.3168600000000001E-2</c:v>
                </c:pt>
                <c:pt idx="332">
                  <c:v>2.3170900000000001E-2</c:v>
                </c:pt>
                <c:pt idx="333">
                  <c:v>2.3173200000000001E-2</c:v>
                </c:pt>
                <c:pt idx="334">
                  <c:v>2.3175600000000001E-2</c:v>
                </c:pt>
                <c:pt idx="335">
                  <c:v>2.3178000000000001E-2</c:v>
                </c:pt>
                <c:pt idx="336">
                  <c:v>2.3180599999999999E-2</c:v>
                </c:pt>
                <c:pt idx="337">
                  <c:v>2.3183200000000001E-2</c:v>
                </c:pt>
                <c:pt idx="338">
                  <c:v>2.3185899999999999E-2</c:v>
                </c:pt>
                <c:pt idx="339">
                  <c:v>2.31886E-2</c:v>
                </c:pt>
                <c:pt idx="340">
                  <c:v>2.3191300000000001E-2</c:v>
                </c:pt>
                <c:pt idx="341">
                  <c:v>2.3193999999999999E-2</c:v>
                </c:pt>
                <c:pt idx="342">
                  <c:v>2.3196600000000001E-2</c:v>
                </c:pt>
                <c:pt idx="343">
                  <c:v>2.3199000000000001E-2</c:v>
                </c:pt>
                <c:pt idx="344">
                  <c:v>2.32014E-2</c:v>
                </c:pt>
                <c:pt idx="345">
                  <c:v>2.3203499999999998E-2</c:v>
                </c:pt>
                <c:pt idx="346">
                  <c:v>2.32055E-2</c:v>
                </c:pt>
                <c:pt idx="347">
                  <c:v>2.32073E-2</c:v>
                </c:pt>
                <c:pt idx="348">
                  <c:v>2.3208800000000002E-2</c:v>
                </c:pt>
                <c:pt idx="349">
                  <c:v>2.32102E-2</c:v>
                </c:pt>
                <c:pt idx="350">
                  <c:v>2.3211599999999999E-2</c:v>
                </c:pt>
                <c:pt idx="351">
                  <c:v>2.3213000000000001E-2</c:v>
                </c:pt>
                <c:pt idx="352">
                  <c:v>2.3214499999999999E-2</c:v>
                </c:pt>
                <c:pt idx="353">
                  <c:v>2.3216400000000002E-2</c:v>
                </c:pt>
                <c:pt idx="354">
                  <c:v>2.3218599999999999E-2</c:v>
                </c:pt>
                <c:pt idx="355">
                  <c:v>2.32213E-2</c:v>
                </c:pt>
                <c:pt idx="356">
                  <c:v>2.3224499999999999E-2</c:v>
                </c:pt>
                <c:pt idx="357">
                  <c:v>2.3228499999999999E-2</c:v>
                </c:pt>
                <c:pt idx="358">
                  <c:v>2.3233199999999999E-2</c:v>
                </c:pt>
                <c:pt idx="359">
                  <c:v>2.32388E-2</c:v>
                </c:pt>
                <c:pt idx="360">
                  <c:v>2.3245399999999999E-2</c:v>
                </c:pt>
                <c:pt idx="361">
                  <c:v>2.32529E-2</c:v>
                </c:pt>
                <c:pt idx="362">
                  <c:v>2.3261199999999999E-2</c:v>
                </c:pt>
                <c:pt idx="363">
                  <c:v>2.3270200000000001E-2</c:v>
                </c:pt>
                <c:pt idx="364">
                  <c:v>2.32797E-2</c:v>
                </c:pt>
                <c:pt idx="365">
                  <c:v>2.32897E-2</c:v>
                </c:pt>
                <c:pt idx="366">
                  <c:v>2.3300100000000001E-2</c:v>
                </c:pt>
                <c:pt idx="367">
                  <c:v>2.33108E-2</c:v>
                </c:pt>
                <c:pt idx="368">
                  <c:v>2.3321600000000001E-2</c:v>
                </c:pt>
                <c:pt idx="369">
                  <c:v>2.3332499999999999E-2</c:v>
                </c:pt>
                <c:pt idx="370">
                  <c:v>2.33434E-2</c:v>
                </c:pt>
                <c:pt idx="371">
                  <c:v>2.3354099999999999E-2</c:v>
                </c:pt>
                <c:pt idx="372">
                  <c:v>2.3364699999999999E-2</c:v>
                </c:pt>
                <c:pt idx="373">
                  <c:v>2.3374900000000001E-2</c:v>
                </c:pt>
                <c:pt idx="374">
                  <c:v>2.3385099999999999E-2</c:v>
                </c:pt>
                <c:pt idx="375">
                  <c:v>2.3394999999999999E-2</c:v>
                </c:pt>
                <c:pt idx="376">
                  <c:v>2.34048E-2</c:v>
                </c:pt>
                <c:pt idx="377">
                  <c:v>2.3414500000000001E-2</c:v>
                </c:pt>
                <c:pt idx="378">
                  <c:v>2.34241E-2</c:v>
                </c:pt>
                <c:pt idx="379">
                  <c:v>2.3433699999999998E-2</c:v>
                </c:pt>
                <c:pt idx="380">
                  <c:v>2.34433E-2</c:v>
                </c:pt>
                <c:pt idx="381">
                  <c:v>2.3452799999999999E-2</c:v>
                </c:pt>
                <c:pt idx="382">
                  <c:v>2.3462400000000001E-2</c:v>
                </c:pt>
                <c:pt idx="383">
                  <c:v>2.3472099999999999E-2</c:v>
                </c:pt>
                <c:pt idx="384">
                  <c:v>2.3481800000000001E-2</c:v>
                </c:pt>
                <c:pt idx="385">
                  <c:v>2.3491600000000001E-2</c:v>
                </c:pt>
                <c:pt idx="386">
                  <c:v>2.3501500000000002E-2</c:v>
                </c:pt>
                <c:pt idx="387">
                  <c:v>2.3511399999999998E-2</c:v>
                </c:pt>
                <c:pt idx="388">
                  <c:v>2.3521500000000001E-2</c:v>
                </c:pt>
                <c:pt idx="389">
                  <c:v>2.35315E-2</c:v>
                </c:pt>
                <c:pt idx="390">
                  <c:v>2.3541599999999999E-2</c:v>
                </c:pt>
                <c:pt idx="391">
                  <c:v>2.3551800000000001E-2</c:v>
                </c:pt>
                <c:pt idx="392">
                  <c:v>2.35619E-2</c:v>
                </c:pt>
                <c:pt idx="393">
                  <c:v>2.3572099999999999E-2</c:v>
                </c:pt>
                <c:pt idx="394">
                  <c:v>2.35823E-2</c:v>
                </c:pt>
                <c:pt idx="395">
                  <c:v>2.3592599999999998E-2</c:v>
                </c:pt>
                <c:pt idx="396">
                  <c:v>2.36028E-2</c:v>
                </c:pt>
                <c:pt idx="397">
                  <c:v>2.3612999999999999E-2</c:v>
                </c:pt>
                <c:pt idx="398">
                  <c:v>2.36232E-2</c:v>
                </c:pt>
                <c:pt idx="399">
                  <c:v>2.3633399999999999E-2</c:v>
                </c:pt>
                <c:pt idx="400">
                  <c:v>2.36437E-2</c:v>
                </c:pt>
                <c:pt idx="401">
                  <c:v>2.3653899999999999E-2</c:v>
                </c:pt>
                <c:pt idx="402">
                  <c:v>2.36641E-2</c:v>
                </c:pt>
                <c:pt idx="403">
                  <c:v>2.3674400000000002E-2</c:v>
                </c:pt>
                <c:pt idx="404">
                  <c:v>2.36847E-2</c:v>
                </c:pt>
                <c:pt idx="405">
                  <c:v>2.3695000000000001E-2</c:v>
                </c:pt>
                <c:pt idx="406">
                  <c:v>2.3705299999999999E-2</c:v>
                </c:pt>
                <c:pt idx="407">
                  <c:v>2.37156E-2</c:v>
                </c:pt>
                <c:pt idx="408">
                  <c:v>2.3726000000000001E-2</c:v>
                </c:pt>
                <c:pt idx="409">
                  <c:v>2.3736400000000001E-2</c:v>
                </c:pt>
                <c:pt idx="410">
                  <c:v>2.3746799999999998E-2</c:v>
                </c:pt>
                <c:pt idx="411">
                  <c:v>2.3757199999999999E-2</c:v>
                </c:pt>
                <c:pt idx="412">
                  <c:v>2.37676E-2</c:v>
                </c:pt>
                <c:pt idx="413">
                  <c:v>2.37781E-2</c:v>
                </c:pt>
                <c:pt idx="414">
                  <c:v>2.37886E-2</c:v>
                </c:pt>
                <c:pt idx="415">
                  <c:v>2.37991E-2</c:v>
                </c:pt>
                <c:pt idx="416">
                  <c:v>2.38096E-2</c:v>
                </c:pt>
                <c:pt idx="417">
                  <c:v>2.38202E-2</c:v>
                </c:pt>
                <c:pt idx="418">
                  <c:v>2.38307E-2</c:v>
                </c:pt>
                <c:pt idx="419">
                  <c:v>2.3841299999999999E-2</c:v>
                </c:pt>
                <c:pt idx="420">
                  <c:v>2.3851899999999999E-2</c:v>
                </c:pt>
                <c:pt idx="421">
                  <c:v>2.3862499999999998E-2</c:v>
                </c:pt>
                <c:pt idx="422">
                  <c:v>2.3873200000000001E-2</c:v>
                </c:pt>
                <c:pt idx="423">
                  <c:v>2.38838E-2</c:v>
                </c:pt>
                <c:pt idx="424">
                  <c:v>2.3894499999999999E-2</c:v>
                </c:pt>
                <c:pt idx="425">
                  <c:v>2.3905200000000001E-2</c:v>
                </c:pt>
                <c:pt idx="426">
                  <c:v>2.39159E-2</c:v>
                </c:pt>
                <c:pt idx="427">
                  <c:v>2.3926599999999999E-2</c:v>
                </c:pt>
                <c:pt idx="428">
                  <c:v>2.3937300000000002E-2</c:v>
                </c:pt>
                <c:pt idx="429">
                  <c:v>2.39481E-2</c:v>
                </c:pt>
                <c:pt idx="430">
                  <c:v>2.3958799999999999E-2</c:v>
                </c:pt>
                <c:pt idx="431">
                  <c:v>2.3969600000000001E-2</c:v>
                </c:pt>
                <c:pt idx="432">
                  <c:v>2.3980399999999999E-2</c:v>
                </c:pt>
                <c:pt idx="433">
                  <c:v>2.3991200000000001E-2</c:v>
                </c:pt>
                <c:pt idx="434">
                  <c:v>2.4001999999999999E-2</c:v>
                </c:pt>
                <c:pt idx="435">
                  <c:v>2.40129E-2</c:v>
                </c:pt>
                <c:pt idx="436">
                  <c:v>2.4023699999999999E-2</c:v>
                </c:pt>
                <c:pt idx="437">
                  <c:v>2.40346E-2</c:v>
                </c:pt>
                <c:pt idx="438">
                  <c:v>2.4045500000000001E-2</c:v>
                </c:pt>
                <c:pt idx="439">
                  <c:v>2.4056500000000001E-2</c:v>
                </c:pt>
                <c:pt idx="440">
                  <c:v>2.4067399999999999E-2</c:v>
                </c:pt>
                <c:pt idx="441">
                  <c:v>2.40784E-2</c:v>
                </c:pt>
                <c:pt idx="442">
                  <c:v>2.40895E-2</c:v>
                </c:pt>
                <c:pt idx="443">
                  <c:v>2.41005E-2</c:v>
                </c:pt>
                <c:pt idx="444">
                  <c:v>2.41116E-2</c:v>
                </c:pt>
                <c:pt idx="445">
                  <c:v>2.41228E-2</c:v>
                </c:pt>
                <c:pt idx="446">
                  <c:v>2.41339E-2</c:v>
                </c:pt>
                <c:pt idx="447">
                  <c:v>2.4145099999999999E-2</c:v>
                </c:pt>
                <c:pt idx="448">
                  <c:v>2.4156199999999999E-2</c:v>
                </c:pt>
                <c:pt idx="449">
                  <c:v>2.4167399999999999E-2</c:v>
                </c:pt>
                <c:pt idx="450">
                  <c:v>2.4178600000000001E-2</c:v>
                </c:pt>
                <c:pt idx="451">
                  <c:v>2.4189700000000001E-2</c:v>
                </c:pt>
                <c:pt idx="452">
                  <c:v>2.4200900000000001E-2</c:v>
                </c:pt>
                <c:pt idx="453">
                  <c:v>2.4212000000000001E-2</c:v>
                </c:pt>
                <c:pt idx="454">
                  <c:v>2.4223100000000001E-2</c:v>
                </c:pt>
                <c:pt idx="455">
                  <c:v>2.4234200000000001E-2</c:v>
                </c:pt>
                <c:pt idx="456">
                  <c:v>2.4245200000000001E-2</c:v>
                </c:pt>
                <c:pt idx="457">
                  <c:v>2.4256199999999999E-2</c:v>
                </c:pt>
                <c:pt idx="458">
                  <c:v>2.4267199999999999E-2</c:v>
                </c:pt>
                <c:pt idx="459">
                  <c:v>2.4278299999999999E-2</c:v>
                </c:pt>
                <c:pt idx="460">
                  <c:v>2.4289399999999999E-2</c:v>
                </c:pt>
                <c:pt idx="461">
                  <c:v>2.4300599999999999E-2</c:v>
                </c:pt>
                <c:pt idx="462">
                  <c:v>2.4311800000000001E-2</c:v>
                </c:pt>
                <c:pt idx="463">
                  <c:v>2.43232E-2</c:v>
                </c:pt>
                <c:pt idx="464">
                  <c:v>2.43348E-2</c:v>
                </c:pt>
                <c:pt idx="465">
                  <c:v>2.43465E-2</c:v>
                </c:pt>
                <c:pt idx="466">
                  <c:v>2.4358399999999999E-2</c:v>
                </c:pt>
                <c:pt idx="467">
                  <c:v>2.4370599999999999E-2</c:v>
                </c:pt>
                <c:pt idx="468">
                  <c:v>2.4382899999999999E-2</c:v>
                </c:pt>
                <c:pt idx="469">
                  <c:v>2.4395400000000001E-2</c:v>
                </c:pt>
                <c:pt idx="470">
                  <c:v>2.4407999999999999E-2</c:v>
                </c:pt>
                <c:pt idx="471">
                  <c:v>2.4420600000000001E-2</c:v>
                </c:pt>
                <c:pt idx="472">
                  <c:v>2.4433E-2</c:v>
                </c:pt>
                <c:pt idx="473">
                  <c:v>2.44452E-2</c:v>
                </c:pt>
                <c:pt idx="474">
                  <c:v>2.4457199999999998E-2</c:v>
                </c:pt>
                <c:pt idx="475">
                  <c:v>2.4468799999999999E-2</c:v>
                </c:pt>
                <c:pt idx="476">
                  <c:v>2.4479899999999999E-2</c:v>
                </c:pt>
                <c:pt idx="477">
                  <c:v>2.4490499999999998E-2</c:v>
                </c:pt>
                <c:pt idx="478">
                  <c:v>2.4500500000000001E-2</c:v>
                </c:pt>
                <c:pt idx="479">
                  <c:v>2.4509699999999999E-2</c:v>
                </c:pt>
                <c:pt idx="480">
                  <c:v>2.45182E-2</c:v>
                </c:pt>
                <c:pt idx="481">
                  <c:v>2.45259E-2</c:v>
                </c:pt>
                <c:pt idx="482">
                  <c:v>2.4533099999999999E-2</c:v>
                </c:pt>
                <c:pt idx="483">
                  <c:v>2.4539600000000002E-2</c:v>
                </c:pt>
                <c:pt idx="484">
                  <c:v>2.45457E-2</c:v>
                </c:pt>
                <c:pt idx="485">
                  <c:v>2.4551400000000001E-2</c:v>
                </c:pt>
                <c:pt idx="486">
                  <c:v>2.45569E-2</c:v>
                </c:pt>
                <c:pt idx="487">
                  <c:v>2.45621E-2</c:v>
                </c:pt>
                <c:pt idx="488">
                  <c:v>2.4567200000000001E-2</c:v>
                </c:pt>
                <c:pt idx="489">
                  <c:v>2.4572299999999998E-2</c:v>
                </c:pt>
                <c:pt idx="490">
                  <c:v>2.4577499999999999E-2</c:v>
                </c:pt>
                <c:pt idx="491">
                  <c:v>2.4582799999999998E-2</c:v>
                </c:pt>
                <c:pt idx="492">
                  <c:v>2.45883E-2</c:v>
                </c:pt>
                <c:pt idx="493">
                  <c:v>2.4594100000000001E-2</c:v>
                </c:pt>
                <c:pt idx="494">
                  <c:v>2.46E-2</c:v>
                </c:pt>
                <c:pt idx="495">
                  <c:v>2.4606099999999999E-2</c:v>
                </c:pt>
                <c:pt idx="496">
                  <c:v>2.46123E-2</c:v>
                </c:pt>
                <c:pt idx="497">
                  <c:v>2.46187E-2</c:v>
                </c:pt>
                <c:pt idx="498">
                  <c:v>2.46251E-2</c:v>
                </c:pt>
                <c:pt idx="499">
                  <c:v>2.46316E-2</c:v>
                </c:pt>
                <c:pt idx="500">
                  <c:v>2.4638199999999999E-2</c:v>
                </c:pt>
                <c:pt idx="501">
                  <c:v>2.4644800000000001E-2</c:v>
                </c:pt>
                <c:pt idx="502">
                  <c:v>2.46514E-2</c:v>
                </c:pt>
                <c:pt idx="503">
                  <c:v>2.46579E-2</c:v>
                </c:pt>
                <c:pt idx="504">
                  <c:v>2.4664499999999999E-2</c:v>
                </c:pt>
                <c:pt idx="505">
                  <c:v>2.4670999999999998E-2</c:v>
                </c:pt>
                <c:pt idx="506">
                  <c:v>2.4677399999999999E-2</c:v>
                </c:pt>
                <c:pt idx="507">
                  <c:v>2.4683799999999999E-2</c:v>
                </c:pt>
                <c:pt idx="508">
                  <c:v>2.4690299999999998E-2</c:v>
                </c:pt>
                <c:pt idx="509">
                  <c:v>2.4696599999999999E-2</c:v>
                </c:pt>
                <c:pt idx="510">
                  <c:v>2.4702999999999999E-2</c:v>
                </c:pt>
                <c:pt idx="511">
                  <c:v>2.4709399999999999E-2</c:v>
                </c:pt>
                <c:pt idx="512">
                  <c:v>2.47158E-2</c:v>
                </c:pt>
                <c:pt idx="513">
                  <c:v>2.47222E-2</c:v>
                </c:pt>
                <c:pt idx="514">
                  <c:v>2.47286E-2</c:v>
                </c:pt>
                <c:pt idx="515">
                  <c:v>2.4735099999999999E-2</c:v>
                </c:pt>
                <c:pt idx="516">
                  <c:v>2.4741599999999999E-2</c:v>
                </c:pt>
                <c:pt idx="517">
                  <c:v>2.4748099999999999E-2</c:v>
                </c:pt>
                <c:pt idx="518">
                  <c:v>2.4754600000000002E-2</c:v>
                </c:pt>
                <c:pt idx="519">
                  <c:v>2.4761200000000001E-2</c:v>
                </c:pt>
                <c:pt idx="520">
                  <c:v>2.47677E-2</c:v>
                </c:pt>
                <c:pt idx="521">
                  <c:v>2.4774299999999999E-2</c:v>
                </c:pt>
                <c:pt idx="522">
                  <c:v>2.4781000000000001E-2</c:v>
                </c:pt>
                <c:pt idx="523">
                  <c:v>2.47876E-2</c:v>
                </c:pt>
                <c:pt idx="524">
                  <c:v>2.4794199999999999E-2</c:v>
                </c:pt>
                <c:pt idx="525">
                  <c:v>2.4800900000000001E-2</c:v>
                </c:pt>
                <c:pt idx="526">
                  <c:v>2.4807599999999999E-2</c:v>
                </c:pt>
                <c:pt idx="527">
                  <c:v>2.4814300000000001E-2</c:v>
                </c:pt>
                <c:pt idx="528">
                  <c:v>2.4820999999999999E-2</c:v>
                </c:pt>
                <c:pt idx="529">
                  <c:v>2.4827700000000001E-2</c:v>
                </c:pt>
                <c:pt idx="530">
                  <c:v>2.48344E-2</c:v>
                </c:pt>
                <c:pt idx="531">
                  <c:v>2.4841200000000001E-2</c:v>
                </c:pt>
                <c:pt idx="532">
                  <c:v>2.4847899999999999E-2</c:v>
                </c:pt>
                <c:pt idx="533">
                  <c:v>2.48547E-2</c:v>
                </c:pt>
                <c:pt idx="534">
                  <c:v>2.4861399999999999E-2</c:v>
                </c:pt>
                <c:pt idx="535">
                  <c:v>2.48682E-2</c:v>
                </c:pt>
                <c:pt idx="536">
                  <c:v>2.4875000000000001E-2</c:v>
                </c:pt>
                <c:pt idx="537">
                  <c:v>2.4881799999999999E-2</c:v>
                </c:pt>
                <c:pt idx="538">
                  <c:v>2.48887E-2</c:v>
                </c:pt>
                <c:pt idx="539">
                  <c:v>2.4895500000000001E-2</c:v>
                </c:pt>
                <c:pt idx="540">
                  <c:v>2.4902400000000002E-2</c:v>
                </c:pt>
                <c:pt idx="541">
                  <c:v>2.4909299999999999E-2</c:v>
                </c:pt>
                <c:pt idx="542">
                  <c:v>2.4916199999999999E-2</c:v>
                </c:pt>
                <c:pt idx="543">
                  <c:v>2.49231E-2</c:v>
                </c:pt>
                <c:pt idx="544">
                  <c:v>2.4930000000000001E-2</c:v>
                </c:pt>
                <c:pt idx="545">
                  <c:v>2.4936900000000001E-2</c:v>
                </c:pt>
                <c:pt idx="546">
                  <c:v>2.4943900000000001E-2</c:v>
                </c:pt>
                <c:pt idx="547">
                  <c:v>2.4950900000000002E-2</c:v>
                </c:pt>
                <c:pt idx="548">
                  <c:v>2.4957799999999999E-2</c:v>
                </c:pt>
                <c:pt idx="549">
                  <c:v>2.4964799999999999E-2</c:v>
                </c:pt>
                <c:pt idx="550">
                  <c:v>2.4971799999999999E-2</c:v>
                </c:pt>
                <c:pt idx="551">
                  <c:v>2.4978799999999999E-2</c:v>
                </c:pt>
                <c:pt idx="552">
                  <c:v>2.4985799999999999E-2</c:v>
                </c:pt>
                <c:pt idx="553">
                  <c:v>2.4992799999999999E-2</c:v>
                </c:pt>
                <c:pt idx="554">
                  <c:v>2.4999899999999999E-2</c:v>
                </c:pt>
                <c:pt idx="555">
                  <c:v>2.5006899999999999E-2</c:v>
                </c:pt>
                <c:pt idx="556">
                  <c:v>2.5014000000000002E-2</c:v>
                </c:pt>
                <c:pt idx="557">
                  <c:v>2.5021000000000002E-2</c:v>
                </c:pt>
                <c:pt idx="558">
                  <c:v>2.50282E-2</c:v>
                </c:pt>
                <c:pt idx="559">
                  <c:v>2.50353E-2</c:v>
                </c:pt>
                <c:pt idx="560">
                  <c:v>2.5042499999999999E-2</c:v>
                </c:pt>
                <c:pt idx="561">
                  <c:v>2.5049700000000001E-2</c:v>
                </c:pt>
                <c:pt idx="562">
                  <c:v>2.50569E-2</c:v>
                </c:pt>
                <c:pt idx="563">
                  <c:v>2.5064199999999998E-2</c:v>
                </c:pt>
                <c:pt idx="564">
                  <c:v>2.50715E-2</c:v>
                </c:pt>
                <c:pt idx="565">
                  <c:v>2.5078799999999998E-2</c:v>
                </c:pt>
                <c:pt idx="566">
                  <c:v>2.5086199999999999E-2</c:v>
                </c:pt>
                <c:pt idx="567">
                  <c:v>2.5093600000000001E-2</c:v>
                </c:pt>
                <c:pt idx="568">
                  <c:v>2.5100999999999998E-2</c:v>
                </c:pt>
                <c:pt idx="569">
                  <c:v>2.51083E-2</c:v>
                </c:pt>
                <c:pt idx="570">
                  <c:v>2.5115700000000001E-2</c:v>
                </c:pt>
                <c:pt idx="571">
                  <c:v>2.5122999999999999E-2</c:v>
                </c:pt>
                <c:pt idx="572">
                  <c:v>2.5130199999999998E-2</c:v>
                </c:pt>
                <c:pt idx="573">
                  <c:v>2.5137400000000001E-2</c:v>
                </c:pt>
                <c:pt idx="574">
                  <c:v>2.51446E-2</c:v>
                </c:pt>
                <c:pt idx="575">
                  <c:v>2.51516E-2</c:v>
                </c:pt>
                <c:pt idx="576">
                  <c:v>2.51586E-2</c:v>
                </c:pt>
                <c:pt idx="577">
                  <c:v>2.51655E-2</c:v>
                </c:pt>
                <c:pt idx="578">
                  <c:v>2.5172400000000001E-2</c:v>
                </c:pt>
                <c:pt idx="579">
                  <c:v>2.5179400000000001E-2</c:v>
                </c:pt>
                <c:pt idx="580">
                  <c:v>2.5186400000000001E-2</c:v>
                </c:pt>
                <c:pt idx="581">
                  <c:v>2.51936E-2</c:v>
                </c:pt>
                <c:pt idx="582">
                  <c:v>2.5200899999999998E-2</c:v>
                </c:pt>
                <c:pt idx="583">
                  <c:v>2.5208399999999999E-2</c:v>
                </c:pt>
                <c:pt idx="584">
                  <c:v>2.5216100000000002E-2</c:v>
                </c:pt>
                <c:pt idx="585">
                  <c:v>2.5224199999999999E-2</c:v>
                </c:pt>
                <c:pt idx="586">
                  <c:v>2.5232500000000001E-2</c:v>
                </c:pt>
                <c:pt idx="587">
                  <c:v>2.5241199999999998E-2</c:v>
                </c:pt>
                <c:pt idx="588">
                  <c:v>2.52503E-2</c:v>
                </c:pt>
                <c:pt idx="589">
                  <c:v>2.52597E-2</c:v>
                </c:pt>
                <c:pt idx="590">
                  <c:v>2.5269099999999999E-2</c:v>
                </c:pt>
                <c:pt idx="591">
                  <c:v>2.5278499999999999E-2</c:v>
                </c:pt>
                <c:pt idx="592">
                  <c:v>2.52877E-2</c:v>
                </c:pt>
                <c:pt idx="593">
                  <c:v>2.52965E-2</c:v>
                </c:pt>
                <c:pt idx="594">
                  <c:v>2.5304799999999999E-2</c:v>
                </c:pt>
                <c:pt idx="595">
                  <c:v>2.5312500000000002E-2</c:v>
                </c:pt>
                <c:pt idx="596">
                  <c:v>2.53192E-2</c:v>
                </c:pt>
                <c:pt idx="597">
                  <c:v>2.5325E-2</c:v>
                </c:pt>
                <c:pt idx="598">
                  <c:v>2.53297E-2</c:v>
                </c:pt>
                <c:pt idx="599">
                  <c:v>2.5333000000000001E-2</c:v>
                </c:pt>
                <c:pt idx="600">
                  <c:v>2.53349E-2</c:v>
                </c:pt>
                <c:pt idx="601">
                  <c:v>2.53356E-2</c:v>
                </c:pt>
                <c:pt idx="602">
                  <c:v>2.5335E-2</c:v>
                </c:pt>
                <c:pt idx="603">
                  <c:v>2.5333499999999998E-2</c:v>
                </c:pt>
                <c:pt idx="604">
                  <c:v>2.5331200000000002E-2</c:v>
                </c:pt>
                <c:pt idx="605">
                  <c:v>2.5328199999999999E-2</c:v>
                </c:pt>
                <c:pt idx="606">
                  <c:v>2.5324599999999999E-2</c:v>
                </c:pt>
                <c:pt idx="607">
                  <c:v>2.5320700000000002E-2</c:v>
                </c:pt>
                <c:pt idx="608">
                  <c:v>2.5316499999999999E-2</c:v>
                </c:pt>
                <c:pt idx="609">
                  <c:v>2.5312299999999999E-2</c:v>
                </c:pt>
                <c:pt idx="610">
                  <c:v>2.5308199999999999E-2</c:v>
                </c:pt>
                <c:pt idx="611">
                  <c:v>2.5304299999999998E-2</c:v>
                </c:pt>
                <c:pt idx="612">
                  <c:v>2.5300799999999998E-2</c:v>
                </c:pt>
                <c:pt idx="613">
                  <c:v>2.52976E-2</c:v>
                </c:pt>
                <c:pt idx="614">
                  <c:v>2.5294799999999999E-2</c:v>
                </c:pt>
                <c:pt idx="615">
                  <c:v>2.5292200000000001E-2</c:v>
                </c:pt>
                <c:pt idx="616">
                  <c:v>2.5289900000000001E-2</c:v>
                </c:pt>
                <c:pt idx="617">
                  <c:v>2.5287799999999999E-2</c:v>
                </c:pt>
                <c:pt idx="618">
                  <c:v>2.5285800000000001E-2</c:v>
                </c:pt>
                <c:pt idx="619">
                  <c:v>2.5283900000000002E-2</c:v>
                </c:pt>
                <c:pt idx="620">
                  <c:v>2.5282099999999998E-2</c:v>
                </c:pt>
                <c:pt idx="621">
                  <c:v>2.5280299999999999E-2</c:v>
                </c:pt>
                <c:pt idx="622">
                  <c:v>2.5278499999999999E-2</c:v>
                </c:pt>
                <c:pt idx="623">
                  <c:v>2.5276699999999999E-2</c:v>
                </c:pt>
                <c:pt idx="624">
                  <c:v>2.52748E-2</c:v>
                </c:pt>
                <c:pt idx="625">
                  <c:v>2.5272699999999999E-2</c:v>
                </c:pt>
                <c:pt idx="626">
                  <c:v>2.5270600000000001E-2</c:v>
                </c:pt>
                <c:pt idx="627">
                  <c:v>2.5268499999999999E-2</c:v>
                </c:pt>
                <c:pt idx="628">
                  <c:v>2.5266199999999999E-2</c:v>
                </c:pt>
                <c:pt idx="629">
                  <c:v>2.5264000000000002E-2</c:v>
                </c:pt>
                <c:pt idx="630">
                  <c:v>2.5261700000000002E-2</c:v>
                </c:pt>
                <c:pt idx="631">
                  <c:v>2.5259400000000001E-2</c:v>
                </c:pt>
                <c:pt idx="632">
                  <c:v>2.5257000000000002E-2</c:v>
                </c:pt>
                <c:pt idx="633">
                  <c:v>2.5254700000000001E-2</c:v>
                </c:pt>
                <c:pt idx="634">
                  <c:v>2.5252400000000001E-2</c:v>
                </c:pt>
                <c:pt idx="635">
                  <c:v>2.5250100000000001E-2</c:v>
                </c:pt>
                <c:pt idx="636">
                  <c:v>2.52479E-2</c:v>
                </c:pt>
                <c:pt idx="637">
                  <c:v>2.5245699999999999E-2</c:v>
                </c:pt>
                <c:pt idx="638">
                  <c:v>2.5243499999999999E-2</c:v>
                </c:pt>
                <c:pt idx="639">
                  <c:v>2.5241300000000001E-2</c:v>
                </c:pt>
                <c:pt idx="640">
                  <c:v>2.52392E-2</c:v>
                </c:pt>
                <c:pt idx="641">
                  <c:v>2.5236999999999999E-2</c:v>
                </c:pt>
                <c:pt idx="642">
                  <c:v>2.5234900000000001E-2</c:v>
                </c:pt>
                <c:pt idx="643">
                  <c:v>2.52328E-2</c:v>
                </c:pt>
                <c:pt idx="644">
                  <c:v>2.5230800000000001E-2</c:v>
                </c:pt>
                <c:pt idx="645">
                  <c:v>2.52287E-2</c:v>
                </c:pt>
                <c:pt idx="646">
                  <c:v>2.5226599999999998E-2</c:v>
                </c:pt>
                <c:pt idx="647">
                  <c:v>2.52246E-2</c:v>
                </c:pt>
                <c:pt idx="648">
                  <c:v>2.5222499999999998E-2</c:v>
                </c:pt>
                <c:pt idx="649">
                  <c:v>2.52204E-2</c:v>
                </c:pt>
                <c:pt idx="650">
                  <c:v>2.5218399999999998E-2</c:v>
                </c:pt>
                <c:pt idx="651">
                  <c:v>2.5216300000000001E-2</c:v>
                </c:pt>
                <c:pt idx="652">
                  <c:v>2.5214199999999999E-2</c:v>
                </c:pt>
                <c:pt idx="653">
                  <c:v>2.5212200000000001E-2</c:v>
                </c:pt>
                <c:pt idx="654">
                  <c:v>2.5210099999999999E-2</c:v>
                </c:pt>
                <c:pt idx="655">
                  <c:v>2.5208100000000001E-2</c:v>
                </c:pt>
                <c:pt idx="656">
                  <c:v>2.5205999999999999E-2</c:v>
                </c:pt>
                <c:pt idx="657">
                  <c:v>2.5204000000000001E-2</c:v>
                </c:pt>
                <c:pt idx="658">
                  <c:v>2.5201899999999999E-2</c:v>
                </c:pt>
                <c:pt idx="659">
                  <c:v>2.5199900000000001E-2</c:v>
                </c:pt>
                <c:pt idx="660">
                  <c:v>2.5197899999999999E-2</c:v>
                </c:pt>
                <c:pt idx="661">
                  <c:v>2.51959E-2</c:v>
                </c:pt>
                <c:pt idx="662">
                  <c:v>2.5193900000000002E-2</c:v>
                </c:pt>
                <c:pt idx="663">
                  <c:v>2.51919E-2</c:v>
                </c:pt>
                <c:pt idx="664">
                  <c:v>2.5189900000000001E-2</c:v>
                </c:pt>
                <c:pt idx="665">
                  <c:v>2.5187899999999999E-2</c:v>
                </c:pt>
                <c:pt idx="666">
                  <c:v>2.5185900000000001E-2</c:v>
                </c:pt>
                <c:pt idx="667">
                  <c:v>2.5184000000000002E-2</c:v>
                </c:pt>
                <c:pt idx="668">
                  <c:v>2.5182E-2</c:v>
                </c:pt>
                <c:pt idx="669">
                  <c:v>2.5180000000000001E-2</c:v>
                </c:pt>
                <c:pt idx="670">
                  <c:v>2.5178099999999998E-2</c:v>
                </c:pt>
                <c:pt idx="671">
                  <c:v>2.51761E-2</c:v>
                </c:pt>
                <c:pt idx="672">
                  <c:v>2.5174200000000001E-2</c:v>
                </c:pt>
                <c:pt idx="673">
                  <c:v>2.5172300000000002E-2</c:v>
                </c:pt>
                <c:pt idx="674">
                  <c:v>2.51703E-2</c:v>
                </c:pt>
                <c:pt idx="675">
                  <c:v>2.51684E-2</c:v>
                </c:pt>
                <c:pt idx="676">
                  <c:v>2.5166500000000001E-2</c:v>
                </c:pt>
                <c:pt idx="677">
                  <c:v>2.5164599999999999E-2</c:v>
                </c:pt>
                <c:pt idx="678">
                  <c:v>2.51627E-2</c:v>
                </c:pt>
                <c:pt idx="679">
                  <c:v>2.5160800000000001E-2</c:v>
                </c:pt>
                <c:pt idx="680">
                  <c:v>2.5158900000000001E-2</c:v>
                </c:pt>
                <c:pt idx="681">
                  <c:v>2.5156999999999999E-2</c:v>
                </c:pt>
                <c:pt idx="682">
                  <c:v>2.51551E-2</c:v>
                </c:pt>
                <c:pt idx="683">
                  <c:v>2.5153200000000001E-2</c:v>
                </c:pt>
                <c:pt idx="684">
                  <c:v>2.5151300000000001E-2</c:v>
                </c:pt>
                <c:pt idx="685">
                  <c:v>2.5149500000000002E-2</c:v>
                </c:pt>
                <c:pt idx="686">
                  <c:v>2.5147599999999999E-2</c:v>
                </c:pt>
                <c:pt idx="687">
                  <c:v>2.5145799999999999E-2</c:v>
                </c:pt>
                <c:pt idx="688">
                  <c:v>2.51439E-2</c:v>
                </c:pt>
                <c:pt idx="689">
                  <c:v>2.5142100000000001E-2</c:v>
                </c:pt>
                <c:pt idx="690">
                  <c:v>2.5140200000000001E-2</c:v>
                </c:pt>
                <c:pt idx="691">
                  <c:v>2.5138400000000002E-2</c:v>
                </c:pt>
                <c:pt idx="692">
                  <c:v>2.5136499999999999E-2</c:v>
                </c:pt>
                <c:pt idx="693">
                  <c:v>2.5134699999999999E-2</c:v>
                </c:pt>
                <c:pt idx="694">
                  <c:v>2.51329E-2</c:v>
                </c:pt>
                <c:pt idx="695">
                  <c:v>2.51311E-2</c:v>
                </c:pt>
                <c:pt idx="696">
                  <c:v>2.51293E-2</c:v>
                </c:pt>
                <c:pt idx="697">
                  <c:v>2.5127500000000001E-2</c:v>
                </c:pt>
                <c:pt idx="698">
                  <c:v>2.5125700000000001E-2</c:v>
                </c:pt>
                <c:pt idx="699">
                  <c:v>2.5123900000000001E-2</c:v>
                </c:pt>
                <c:pt idx="700">
                  <c:v>2.5122100000000001E-2</c:v>
                </c:pt>
                <c:pt idx="701">
                  <c:v>2.5120300000000002E-2</c:v>
                </c:pt>
                <c:pt idx="702">
                  <c:v>2.5118499999999998E-2</c:v>
                </c:pt>
                <c:pt idx="703">
                  <c:v>2.5116699999999999E-2</c:v>
                </c:pt>
                <c:pt idx="704">
                  <c:v>2.5114999999999998E-2</c:v>
                </c:pt>
                <c:pt idx="705">
                  <c:v>2.5113199999999999E-2</c:v>
                </c:pt>
                <c:pt idx="706">
                  <c:v>2.5111399999999999E-2</c:v>
                </c:pt>
                <c:pt idx="707">
                  <c:v>2.5109699999999999E-2</c:v>
                </c:pt>
                <c:pt idx="708">
                  <c:v>2.5107899999999999E-2</c:v>
                </c:pt>
                <c:pt idx="709">
                  <c:v>2.5106199999999999E-2</c:v>
                </c:pt>
                <c:pt idx="710">
                  <c:v>2.5104499999999998E-2</c:v>
                </c:pt>
                <c:pt idx="711">
                  <c:v>2.5102699999999999E-2</c:v>
                </c:pt>
                <c:pt idx="712">
                  <c:v>2.5100999999999998E-2</c:v>
                </c:pt>
                <c:pt idx="713">
                  <c:v>2.5099300000000001E-2</c:v>
                </c:pt>
                <c:pt idx="714">
                  <c:v>2.5097499999999998E-2</c:v>
                </c:pt>
                <c:pt idx="715">
                  <c:v>2.5095800000000001E-2</c:v>
                </c:pt>
                <c:pt idx="716">
                  <c:v>2.5094100000000001E-2</c:v>
                </c:pt>
                <c:pt idx="717">
                  <c:v>2.5092400000000001E-2</c:v>
                </c:pt>
                <c:pt idx="718">
                  <c:v>2.5090700000000001E-2</c:v>
                </c:pt>
                <c:pt idx="719">
                  <c:v>2.5089E-2</c:v>
                </c:pt>
              </c:numCache>
            </c:numRef>
          </c:val>
        </c:ser>
        <c:marker val="1"/>
        <c:axId val="214845696"/>
        <c:axId val="218260992"/>
      </c:lineChart>
      <c:catAx>
        <c:axId val="214845696"/>
        <c:scaling>
          <c:orientation val="minMax"/>
        </c:scaling>
        <c:axPos val="b"/>
        <c:tickLblPos val="nextTo"/>
        <c:crossAx val="218260992"/>
        <c:crosses val="autoZero"/>
        <c:auto val="1"/>
        <c:lblAlgn val="ctr"/>
        <c:lblOffset val="100"/>
      </c:catAx>
      <c:valAx>
        <c:axId val="218260992"/>
        <c:scaling>
          <c:orientation val="minMax"/>
        </c:scaling>
        <c:axPos val="l"/>
        <c:majorGridlines/>
        <c:numFmt formatCode="General" sourceLinked="1"/>
        <c:tickLblPos val="nextTo"/>
        <c:crossAx val="2148456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Output!$P$12:$P$731</c:f>
              <c:numCache>
                <c:formatCode>General</c:formatCode>
                <c:ptCount val="720"/>
                <c:pt idx="0">
                  <c:v>0.99972881228455479</c:v>
                </c:pt>
                <c:pt idx="1">
                  <c:v>0.99945769748624957</c:v>
                </c:pt>
                <c:pt idx="2">
                  <c:v>0.99918665673898999</c:v>
                </c:pt>
                <c:pt idx="3">
                  <c:v>0.99891576407203697</c:v>
                </c:pt>
                <c:pt idx="4">
                  <c:v>0.99864490761545222</c:v>
                </c:pt>
                <c:pt idx="5">
                  <c:v>0.99837395073254742</c:v>
                </c:pt>
                <c:pt idx="6">
                  <c:v>0.99810280733106815</c:v>
                </c:pt>
                <c:pt idx="7">
                  <c:v>0.99783184913436707</c:v>
                </c:pt>
                <c:pt idx="8">
                  <c:v>0.99756179482717489</c:v>
                </c:pt>
                <c:pt idx="9">
                  <c:v>0.99729307207654305</c:v>
                </c:pt>
                <c:pt idx="10">
                  <c:v>0.99702371860957906</c:v>
                </c:pt>
                <c:pt idx="11">
                  <c:v>0.99675023372742</c:v>
                </c:pt>
                <c:pt idx="12">
                  <c:v>0.99646873970937211</c:v>
                </c:pt>
                <c:pt idx="13">
                  <c:v>0.99617733038805623</c:v>
                </c:pt>
                <c:pt idx="14">
                  <c:v>0.99587484662687564</c:v>
                </c:pt>
                <c:pt idx="15">
                  <c:v>0.99556025586871177</c:v>
                </c:pt>
                <c:pt idx="16">
                  <c:v>0.99523272511002669</c:v>
                </c:pt>
                <c:pt idx="17">
                  <c:v>0.99489154275881031</c:v>
                </c:pt>
                <c:pt idx="18">
                  <c:v>0.99453615007294593</c:v>
                </c:pt>
                <c:pt idx="19">
                  <c:v>0.99416613029938294</c:v>
                </c:pt>
                <c:pt idx="20">
                  <c:v>0.99378129661805126</c:v>
                </c:pt>
                <c:pt idx="21">
                  <c:v>0.99338155650489679</c:v>
                </c:pt>
                <c:pt idx="22">
                  <c:v>0.99296708601388151</c:v>
                </c:pt>
                <c:pt idx="23">
                  <c:v>0.99253804634576259</c:v>
                </c:pt>
                <c:pt idx="24">
                  <c:v>0.99209453328540509</c:v>
                </c:pt>
                <c:pt idx="25">
                  <c:v>0.99163610311847061</c:v>
                </c:pt>
                <c:pt idx="26">
                  <c:v>0.99116198696635005</c:v>
                </c:pt>
                <c:pt idx="27">
                  <c:v>0.99067133163997534</c:v>
                </c:pt>
                <c:pt idx="28">
                  <c:v>0.99016326947384914</c:v>
                </c:pt>
                <c:pt idx="29">
                  <c:v>0.98963685144591385</c:v>
                </c:pt>
                <c:pt idx="30">
                  <c:v>0.98909113038029917</c:v>
                </c:pt>
                <c:pt idx="31">
                  <c:v>0.98852517474065005</c:v>
                </c:pt>
                <c:pt idx="32">
                  <c:v>0.98793807277837009</c:v>
                </c:pt>
                <c:pt idx="33">
                  <c:v>0.98732880739762263</c:v>
                </c:pt>
                <c:pt idx="34">
                  <c:v>0.98669634745992862</c:v>
                </c:pt>
                <c:pt idx="35">
                  <c:v>0.98603934509425495</c:v>
                </c:pt>
                <c:pt idx="36">
                  <c:v>0.98535677162284685</c:v>
                </c:pt>
                <c:pt idx="37">
                  <c:v>0.98464836576897674</c:v>
                </c:pt>
                <c:pt idx="38">
                  <c:v>0.98391381870983075</c:v>
                </c:pt>
                <c:pt idx="39">
                  <c:v>0.98315299033887493</c:v>
                </c:pt>
                <c:pt idx="40">
                  <c:v>0.98236580590094114</c:v>
                </c:pt>
                <c:pt idx="41">
                  <c:v>0.98155213163595323</c:v>
                </c:pt>
                <c:pt idx="42">
                  <c:v>0.9807121291934453</c:v>
                </c:pt>
                <c:pt idx="43">
                  <c:v>0.97984566587702215</c:v>
                </c:pt>
                <c:pt idx="44">
                  <c:v>0.97895273542266581</c:v>
                </c:pt>
                <c:pt idx="45">
                  <c:v>0.97803348558695147</c:v>
                </c:pt>
                <c:pt idx="46">
                  <c:v>0.97708820417331244</c:v>
                </c:pt>
                <c:pt idx="47">
                  <c:v>0.97611717225290739</c:v>
                </c:pt>
                <c:pt idx="48">
                  <c:v>0.97512057218591286</c:v>
                </c:pt>
                <c:pt idx="49">
                  <c:v>0.97409831474591368</c:v>
                </c:pt>
                <c:pt idx="50">
                  <c:v>0.97304977324687003</c:v>
                </c:pt>
                <c:pt idx="51">
                  <c:v>0.97197433444348136</c:v>
                </c:pt>
                <c:pt idx="52">
                  <c:v>0.97087151688618634</c:v>
                </c:pt>
                <c:pt idx="53">
                  <c:v>0.96974088105070533</c:v>
                </c:pt>
                <c:pt idx="54">
                  <c:v>0.96858189181894572</c:v>
                </c:pt>
                <c:pt idx="55">
                  <c:v>0.96739411396676955</c:v>
                </c:pt>
                <c:pt idx="56">
                  <c:v>0.96617688214692299</c:v>
                </c:pt>
                <c:pt idx="57">
                  <c:v>0.96492975986597029</c:v>
                </c:pt>
                <c:pt idx="58">
                  <c:v>0.96365201232904274</c:v>
                </c:pt>
                <c:pt idx="59">
                  <c:v>0.9623430915948662</c:v>
                </c:pt>
                <c:pt idx="60">
                  <c:v>0.96100253413099612</c:v>
                </c:pt>
                <c:pt idx="61">
                  <c:v>0.9596306268904915</c:v>
                </c:pt>
                <c:pt idx="62">
                  <c:v>0.95822877643775195</c:v>
                </c:pt>
                <c:pt idx="63">
                  <c:v>0.95679797177937964</c:v>
                </c:pt>
                <c:pt idx="64">
                  <c:v>0.95533894177091228</c:v>
                </c:pt>
                <c:pt idx="65">
                  <c:v>0.95385292743024763</c:v>
                </c:pt>
                <c:pt idx="66">
                  <c:v>0.95234148287901876</c:v>
                </c:pt>
                <c:pt idx="67">
                  <c:v>0.95080595619606245</c:v>
                </c:pt>
                <c:pt idx="68">
                  <c:v>0.94924791517409079</c:v>
                </c:pt>
                <c:pt idx="69">
                  <c:v>0.94766816204144577</c:v>
                </c:pt>
                <c:pt idx="70">
                  <c:v>0.94606828915455266</c:v>
                </c:pt>
                <c:pt idx="71">
                  <c:v>0.94445001916967342</c:v>
                </c:pt>
                <c:pt idx="72">
                  <c:v>0.94281486668615722</c:v>
                </c:pt>
                <c:pt idx="73">
                  <c:v>0.94116311961201882</c:v>
                </c:pt>
                <c:pt idx="74">
                  <c:v>0.93949472439298165</c:v>
                </c:pt>
                <c:pt idx="75">
                  <c:v>0.93780963653430027</c:v>
                </c:pt>
                <c:pt idx="76">
                  <c:v>0.93610849948161046</c:v>
                </c:pt>
                <c:pt idx="77">
                  <c:v>0.93439127949146839</c:v>
                </c:pt>
                <c:pt idx="78">
                  <c:v>0.93265764707232879</c:v>
                </c:pt>
                <c:pt idx="79">
                  <c:v>0.9309081489920471</c:v>
                </c:pt>
                <c:pt idx="80">
                  <c:v>0.929142635728476</c:v>
                </c:pt>
                <c:pt idx="81">
                  <c:v>0.92736075020299757</c:v>
                </c:pt>
                <c:pt idx="82">
                  <c:v>0.92556262538824141</c:v>
                </c:pt>
                <c:pt idx="83">
                  <c:v>0.92374851897320498</c:v>
                </c:pt>
                <c:pt idx="84">
                  <c:v>0.92191901574583013</c:v>
                </c:pt>
                <c:pt idx="85">
                  <c:v>0.92007411432280861</c:v>
                </c:pt>
                <c:pt idx="86">
                  <c:v>0.91821480574447045</c:v>
                </c:pt>
                <c:pt idx="87">
                  <c:v>0.91634179979092856</c:v>
                </c:pt>
                <c:pt idx="88">
                  <c:v>0.91445578280021822</c:v>
                </c:pt>
                <c:pt idx="89">
                  <c:v>0.91255803459765084</c:v>
                </c:pt>
                <c:pt idx="90">
                  <c:v>0.91064974690637568</c:v>
                </c:pt>
                <c:pt idx="91">
                  <c:v>0.9087315787980117</c:v>
                </c:pt>
                <c:pt idx="92">
                  <c:v>0.90680422213887546</c:v>
                </c:pt>
                <c:pt idx="93">
                  <c:v>0.90486890907676976</c:v>
                </c:pt>
                <c:pt idx="94">
                  <c:v>0.90292741586412251</c:v>
                </c:pt>
                <c:pt idx="95">
                  <c:v>0.90098007684864756</c:v>
                </c:pt>
                <c:pt idx="96">
                  <c:v>0.89902772129951014</c:v>
                </c:pt>
                <c:pt idx="97">
                  <c:v>0.89707009824216688</c:v>
                </c:pt>
                <c:pt idx="98">
                  <c:v>0.8951070415706186</c:v>
                </c:pt>
                <c:pt idx="99">
                  <c:v>0.89313902581975269</c:v>
                </c:pt>
                <c:pt idx="100">
                  <c:v>0.89116457183089937</c:v>
                </c:pt>
                <c:pt idx="101">
                  <c:v>0.88918321775783948</c:v>
                </c:pt>
                <c:pt idx="102">
                  <c:v>0.88719483613547512</c:v>
                </c:pt>
                <c:pt idx="103">
                  <c:v>0.88519910655411205</c:v>
                </c:pt>
                <c:pt idx="104">
                  <c:v>0.8831956303752857</c:v>
                </c:pt>
                <c:pt idx="105">
                  <c:v>0.88118403674103407</c:v>
                </c:pt>
                <c:pt idx="106">
                  <c:v>0.87916407868765001</c:v>
                </c:pt>
                <c:pt idx="107">
                  <c:v>0.87713548084095216</c:v>
                </c:pt>
                <c:pt idx="108">
                  <c:v>0.87509822649945346</c:v>
                </c:pt>
                <c:pt idx="109">
                  <c:v>0.87305238859305223</c:v>
                </c:pt>
                <c:pt idx="110">
                  <c:v>0.87099994979717854</c:v>
                </c:pt>
                <c:pt idx="111">
                  <c:v>0.86894344932856604</c:v>
                </c:pt>
                <c:pt idx="112">
                  <c:v>0.86688398632003827</c:v>
                </c:pt>
                <c:pt idx="113">
                  <c:v>0.86482310360230696</c:v>
                </c:pt>
                <c:pt idx="114">
                  <c:v>0.86276312191886151</c:v>
                </c:pt>
                <c:pt idx="115">
                  <c:v>0.86070583390727917</c:v>
                </c:pt>
                <c:pt idx="116">
                  <c:v>0.85865277043327859</c:v>
                </c:pt>
                <c:pt idx="117">
                  <c:v>0.85660527846778756</c:v>
                </c:pt>
                <c:pt idx="118">
                  <c:v>0.85456576066279122</c:v>
                </c:pt>
                <c:pt idx="119">
                  <c:v>0.85253585088794703</c:v>
                </c:pt>
                <c:pt idx="120">
                  <c:v>0.85051681257548206</c:v>
                </c:pt>
                <c:pt idx="121">
                  <c:v>0.84850624727050139</c:v>
                </c:pt>
                <c:pt idx="122">
                  <c:v>0.84650176882227846</c:v>
                </c:pt>
                <c:pt idx="123">
                  <c:v>0.84449998429411499</c:v>
                </c:pt>
                <c:pt idx="124">
                  <c:v>0.84249767114674956</c:v>
                </c:pt>
                <c:pt idx="125">
                  <c:v>0.84049174797599846</c:v>
                </c:pt>
                <c:pt idx="126">
                  <c:v>0.8384800241263618</c:v>
                </c:pt>
                <c:pt idx="127">
                  <c:v>0.83645800882883536</c:v>
                </c:pt>
                <c:pt idx="128">
                  <c:v>0.83442215238805262</c:v>
                </c:pt>
                <c:pt idx="129">
                  <c:v>0.8323692310806704</c:v>
                </c:pt>
                <c:pt idx="130">
                  <c:v>0.83029550675452934</c:v>
                </c:pt>
                <c:pt idx="131">
                  <c:v>0.82819721236608002</c:v>
                </c:pt>
                <c:pt idx="132">
                  <c:v>0.82607246379965305</c:v>
                </c:pt>
                <c:pt idx="133">
                  <c:v>0.82392605232112404</c:v>
                </c:pt>
                <c:pt idx="134">
                  <c:v>0.82176240684062762</c:v>
                </c:pt>
                <c:pt idx="135">
                  <c:v>0.81958664707320261</c:v>
                </c:pt>
                <c:pt idx="136">
                  <c:v>0.81740554299592871</c:v>
                </c:pt>
                <c:pt idx="137">
                  <c:v>0.81522435147104255</c:v>
                </c:pt>
                <c:pt idx="138">
                  <c:v>0.81304869303926486</c:v>
                </c:pt>
                <c:pt idx="139">
                  <c:v>0.81088533308618849</c:v>
                </c:pt>
                <c:pt idx="140">
                  <c:v>0.80873992089726121</c:v>
                </c:pt>
                <c:pt idx="141">
                  <c:v>0.8066184423334789</c:v>
                </c:pt>
                <c:pt idx="142">
                  <c:v>0.80452784056974691</c:v>
                </c:pt>
                <c:pt idx="143">
                  <c:v>0.80247418150530025</c:v>
                </c:pt>
                <c:pt idx="144">
                  <c:v>0.8004623731499666</c:v>
                </c:pt>
                <c:pt idx="145">
                  <c:v>0.79849009293040951</c:v>
                </c:pt>
                <c:pt idx="146">
                  <c:v>0.79655279556219294</c:v>
                </c:pt>
                <c:pt idx="147">
                  <c:v>0.79464631801633556</c:v>
                </c:pt>
                <c:pt idx="148">
                  <c:v>0.79276549093618875</c:v>
                </c:pt>
                <c:pt idx="149">
                  <c:v>0.79090548145704342</c:v>
                </c:pt>
                <c:pt idx="150">
                  <c:v>0.78906199663706234</c:v>
                </c:pt>
                <c:pt idx="151">
                  <c:v>0.78722995529505035</c:v>
                </c:pt>
                <c:pt idx="152">
                  <c:v>0.78540422055253167</c:v>
                </c:pt>
                <c:pt idx="153">
                  <c:v>0.78357983658228569</c:v>
                </c:pt>
                <c:pt idx="154">
                  <c:v>0.78175231684965296</c:v>
                </c:pt>
                <c:pt idx="155">
                  <c:v>0.77991483386264548</c:v>
                </c:pt>
                <c:pt idx="156">
                  <c:v>0.77806303536571852</c:v>
                </c:pt>
                <c:pt idx="157">
                  <c:v>0.77619772484116334</c:v>
                </c:pt>
                <c:pt idx="158">
                  <c:v>0.77431742590697894</c:v>
                </c:pt>
                <c:pt idx="159">
                  <c:v>0.7724211865229309</c:v>
                </c:pt>
                <c:pt idx="160">
                  <c:v>0.77050987292603368</c:v>
                </c:pt>
                <c:pt idx="161">
                  <c:v>0.76858299787204754</c:v>
                </c:pt>
                <c:pt idx="162">
                  <c:v>0.76664062928986731</c:v>
                </c:pt>
                <c:pt idx="163">
                  <c:v>0.76468319499396198</c:v>
                </c:pt>
                <c:pt idx="164">
                  <c:v>0.7627092297995447</c:v>
                </c:pt>
                <c:pt idx="165">
                  <c:v>0.76071760646083675</c:v>
                </c:pt>
                <c:pt idx="166">
                  <c:v>0.75871008094220038</c:v>
                </c:pt>
                <c:pt idx="167">
                  <c:v>0.7566861150827866</c:v>
                </c:pt>
                <c:pt idx="168">
                  <c:v>0.75464593842763728</c:v>
                </c:pt>
                <c:pt idx="169">
                  <c:v>0.75259546511327324</c:v>
                </c:pt>
                <c:pt idx="170">
                  <c:v>0.75054013258673491</c:v>
                </c:pt>
                <c:pt idx="171">
                  <c:v>0.74848424464775465</c:v>
                </c:pt>
                <c:pt idx="172">
                  <c:v>0.74643473875627997</c:v>
                </c:pt>
                <c:pt idx="173">
                  <c:v>0.74439961966853807</c:v>
                </c:pt>
                <c:pt idx="174">
                  <c:v>0.74238573347344861</c:v>
                </c:pt>
                <c:pt idx="175">
                  <c:v>0.7404001167477372</c:v>
                </c:pt>
                <c:pt idx="176">
                  <c:v>0.73844731352379911</c:v>
                </c:pt>
                <c:pt idx="177">
                  <c:v>0.73653512226461337</c:v>
                </c:pt>
                <c:pt idx="178">
                  <c:v>0.73466913302793824</c:v>
                </c:pt>
                <c:pt idx="179">
                  <c:v>0.73285624496343349</c:v>
                </c:pt>
                <c:pt idx="180">
                  <c:v>0.7311009119038655</c:v>
                </c:pt>
                <c:pt idx="181">
                  <c:v>0.72939951279559534</c:v>
                </c:pt>
                <c:pt idx="182">
                  <c:v>0.72774692394420992</c:v>
                </c:pt>
                <c:pt idx="183">
                  <c:v>0.72613469856369872</c:v>
                </c:pt>
                <c:pt idx="184">
                  <c:v>0.72455674475109644</c:v>
                </c:pt>
                <c:pt idx="185">
                  <c:v>0.72300822439455537</c:v>
                </c:pt>
                <c:pt idx="186">
                  <c:v>0.72148200020582864</c:v>
                </c:pt>
                <c:pt idx="187">
                  <c:v>0.71997243476016071</c:v>
                </c:pt>
                <c:pt idx="188">
                  <c:v>0.71847394995617897</c:v>
                </c:pt>
                <c:pt idx="189">
                  <c:v>0.71697918176556619</c:v>
                </c:pt>
                <c:pt idx="190">
                  <c:v>0.71548070897610372</c:v>
                </c:pt>
                <c:pt idx="191">
                  <c:v>0.71397125631330682</c:v>
                </c:pt>
                <c:pt idx="192">
                  <c:v>0.71244685053594448</c:v>
                </c:pt>
                <c:pt idx="193">
                  <c:v>0.71090646786391887</c:v>
                </c:pt>
                <c:pt idx="194">
                  <c:v>0.70935216006772939</c:v>
                </c:pt>
                <c:pt idx="195">
                  <c:v>0.70778664033329497</c:v>
                </c:pt>
                <c:pt idx="196">
                  <c:v>0.70621043502066583</c:v>
                </c:pt>
                <c:pt idx="197">
                  <c:v>0.70462454365867611</c:v>
                </c:pt>
                <c:pt idx="198">
                  <c:v>0.70303161340598297</c:v>
                </c:pt>
                <c:pt idx="199">
                  <c:v>0.70143466122600073</c:v>
                </c:pt>
                <c:pt idx="200">
                  <c:v>0.69983487577767522</c:v>
                </c:pt>
                <c:pt idx="201">
                  <c:v>0.69823414272824336</c:v>
                </c:pt>
                <c:pt idx="202">
                  <c:v>0.69663335910495483</c:v>
                </c:pt>
                <c:pt idx="203">
                  <c:v>0.69503314226471058</c:v>
                </c:pt>
                <c:pt idx="204">
                  <c:v>0.69343438869618723</c:v>
                </c:pt>
                <c:pt idx="205">
                  <c:v>0.69183831764889836</c:v>
                </c:pt>
                <c:pt idx="206">
                  <c:v>0.69024472060215381</c:v>
                </c:pt>
                <c:pt idx="207">
                  <c:v>0.68865437905124682</c:v>
                </c:pt>
                <c:pt idx="208">
                  <c:v>0.68706674708358295</c:v>
                </c:pt>
                <c:pt idx="209">
                  <c:v>0.68548281339903683</c:v>
                </c:pt>
                <c:pt idx="210">
                  <c:v>0.68390192776725833</c:v>
                </c:pt>
                <c:pt idx="211">
                  <c:v>0.68232322288306646</c:v>
                </c:pt>
                <c:pt idx="212">
                  <c:v>0.68074620468981606</c:v>
                </c:pt>
                <c:pt idx="213">
                  <c:v>0.67917061551987068</c:v>
                </c:pt>
                <c:pt idx="214">
                  <c:v>0.67759648835206687</c:v>
                </c:pt>
                <c:pt idx="215">
                  <c:v>0.67602364258062142</c:v>
                </c:pt>
                <c:pt idx="216">
                  <c:v>0.67445334879775465</c:v>
                </c:pt>
                <c:pt idx="217">
                  <c:v>0.6728824160701864</c:v>
                </c:pt>
                <c:pt idx="218">
                  <c:v>0.67130989824911524</c:v>
                </c:pt>
                <c:pt idx="219">
                  <c:v>0.66973466667265491</c:v>
                </c:pt>
                <c:pt idx="220">
                  <c:v>0.66815611201179359</c:v>
                </c:pt>
                <c:pt idx="221">
                  <c:v>0.66657470464967328</c:v>
                </c:pt>
                <c:pt idx="222">
                  <c:v>0.66498963174176728</c:v>
                </c:pt>
                <c:pt idx="223">
                  <c:v>0.66339905517273445</c:v>
                </c:pt>
                <c:pt idx="224">
                  <c:v>0.66180092568663806</c:v>
                </c:pt>
                <c:pt idx="225">
                  <c:v>0.66019460144119024</c:v>
                </c:pt>
                <c:pt idx="226">
                  <c:v>0.65857885123024373</c:v>
                </c:pt>
                <c:pt idx="227">
                  <c:v>0.65695265099348565</c:v>
                </c:pt>
                <c:pt idx="228">
                  <c:v>0.65531717460252858</c:v>
                </c:pt>
                <c:pt idx="229">
                  <c:v>0.65367473509397822</c:v>
                </c:pt>
                <c:pt idx="230">
                  <c:v>0.65203192532151322</c:v>
                </c:pt>
                <c:pt idx="231">
                  <c:v>0.65039369647485157</c:v>
                </c:pt>
                <c:pt idx="232">
                  <c:v>0.64876210175198035</c:v>
                </c:pt>
                <c:pt idx="233">
                  <c:v>0.64714223145042604</c:v>
                </c:pt>
                <c:pt idx="234">
                  <c:v>0.64553741598565473</c:v>
                </c:pt>
                <c:pt idx="235">
                  <c:v>0.64395262700237732</c:v>
                </c:pt>
                <c:pt idx="236">
                  <c:v>0.64239318790560185</c:v>
                </c:pt>
                <c:pt idx="237">
                  <c:v>0.64086390685266181</c:v>
                </c:pt>
                <c:pt idx="238">
                  <c:v>0.63937190689933954</c:v>
                </c:pt>
                <c:pt idx="239">
                  <c:v>0.63792049240176862</c:v>
                </c:pt>
                <c:pt idx="240">
                  <c:v>0.63651384393491439</c:v>
                </c:pt>
                <c:pt idx="241">
                  <c:v>0.63514879742007135</c:v>
                </c:pt>
                <c:pt idx="242">
                  <c:v>0.63381952573676503</c:v>
                </c:pt>
                <c:pt idx="243">
                  <c:v>0.63252130674167106</c:v>
                </c:pt>
                <c:pt idx="244">
                  <c:v>0.63125015227845271</c:v>
                </c:pt>
                <c:pt idx="245">
                  <c:v>0.63000194709810553</c:v>
                </c:pt>
                <c:pt idx="246">
                  <c:v>0.62877037829158722</c:v>
                </c:pt>
                <c:pt idx="247">
                  <c:v>0.62755140262560938</c:v>
                </c:pt>
                <c:pt idx="248">
                  <c:v>0.62634201227217123</c:v>
                </c:pt>
                <c:pt idx="249">
                  <c:v>0.62513540777660914</c:v>
                </c:pt>
                <c:pt idx="250">
                  <c:v>0.62392844215958043</c:v>
                </c:pt>
                <c:pt idx="251">
                  <c:v>0.622715804755959</c:v>
                </c:pt>
                <c:pt idx="252">
                  <c:v>0.62149243237833229</c:v>
                </c:pt>
                <c:pt idx="253">
                  <c:v>0.6202613875647397</c:v>
                </c:pt>
                <c:pt idx="254">
                  <c:v>0.61902405624841583</c:v>
                </c:pt>
                <c:pt idx="255">
                  <c:v>0.61778149788173853</c:v>
                </c:pt>
                <c:pt idx="256">
                  <c:v>0.61653428225700158</c:v>
                </c:pt>
                <c:pt idx="257">
                  <c:v>0.61528305266178052</c:v>
                </c:pt>
                <c:pt idx="258">
                  <c:v>0.61402736572886574</c:v>
                </c:pt>
                <c:pt idx="259">
                  <c:v>0.61276894550363736</c:v>
                </c:pt>
                <c:pt idx="260">
                  <c:v>0.61150849407664565</c:v>
                </c:pt>
                <c:pt idx="261">
                  <c:v>0.61024889124029058</c:v>
                </c:pt>
                <c:pt idx="262">
                  <c:v>0.60899170561793114</c:v>
                </c:pt>
                <c:pt idx="263">
                  <c:v>0.60773771330283699</c:v>
                </c:pt>
                <c:pt idx="264">
                  <c:v>0.60648731288833757</c:v>
                </c:pt>
                <c:pt idx="265">
                  <c:v>0.6052414200895182</c:v>
                </c:pt>
                <c:pt idx="266">
                  <c:v>0.60399881781816789</c:v>
                </c:pt>
                <c:pt idx="267">
                  <c:v>0.60276115112504092</c:v>
                </c:pt>
                <c:pt idx="268">
                  <c:v>0.60152879184183761</c:v>
                </c:pt>
                <c:pt idx="269">
                  <c:v>0.60029905173648324</c:v>
                </c:pt>
                <c:pt idx="270">
                  <c:v>0.59907194979083356</c:v>
                </c:pt>
                <c:pt idx="271">
                  <c:v>0.59784740634915401</c:v>
                </c:pt>
                <c:pt idx="272">
                  <c:v>0.59662524007060302</c:v>
                </c:pt>
                <c:pt idx="273">
                  <c:v>0.59540558451104997</c:v>
                </c:pt>
                <c:pt idx="274">
                  <c:v>0.59418921246714163</c:v>
                </c:pt>
                <c:pt idx="275">
                  <c:v>0.5929738848738999</c:v>
                </c:pt>
                <c:pt idx="276">
                  <c:v>0.59176044961516683</c:v>
                </c:pt>
                <c:pt idx="277">
                  <c:v>0.59054864357817249</c:v>
                </c:pt>
                <c:pt idx="278">
                  <c:v>0.58933701066340283</c:v>
                </c:pt>
                <c:pt idx="279">
                  <c:v>0.58812563970082599</c:v>
                </c:pt>
                <c:pt idx="280">
                  <c:v>0.58691422081428724</c:v>
                </c:pt>
                <c:pt idx="281">
                  <c:v>0.58570223669781118</c:v>
                </c:pt>
                <c:pt idx="282">
                  <c:v>0.58449019917756029</c:v>
                </c:pt>
                <c:pt idx="283">
                  <c:v>0.5832791316701329</c:v>
                </c:pt>
                <c:pt idx="284">
                  <c:v>0.58206916611914217</c:v>
                </c:pt>
                <c:pt idx="285">
                  <c:v>0.58085867723740481</c:v>
                </c:pt>
                <c:pt idx="286">
                  <c:v>0.57964489641893158</c:v>
                </c:pt>
                <c:pt idx="287">
                  <c:v>0.57842969104922493</c:v>
                </c:pt>
                <c:pt idx="288">
                  <c:v>0.57721294197766648</c:v>
                </c:pt>
                <c:pt idx="289">
                  <c:v>0.57599598076660263</c:v>
                </c:pt>
                <c:pt idx="290">
                  <c:v>0.5747795225503266</c:v>
                </c:pt>
                <c:pt idx="291">
                  <c:v>0.57356537275774733</c:v>
                </c:pt>
                <c:pt idx="292">
                  <c:v>0.57235525346621929</c:v>
                </c:pt>
                <c:pt idx="293">
                  <c:v>0.57114963588463641</c:v>
                </c:pt>
                <c:pt idx="294">
                  <c:v>0.56995095857241551</c:v>
                </c:pt>
                <c:pt idx="295">
                  <c:v>0.56876017730016459</c:v>
                </c:pt>
                <c:pt idx="296">
                  <c:v>0.56757977055559805</c:v>
                </c:pt>
                <c:pt idx="297">
                  <c:v>0.56641099123768024</c:v>
                </c:pt>
                <c:pt idx="298">
                  <c:v>0.56525402509442446</c:v>
                </c:pt>
                <c:pt idx="299">
                  <c:v>0.56410830191930883</c:v>
                </c:pt>
                <c:pt idx="300">
                  <c:v>0.56297645177104549</c:v>
                </c:pt>
                <c:pt idx="301">
                  <c:v>0.56185812826643255</c:v>
                </c:pt>
                <c:pt idx="302">
                  <c:v>0.56075358560192456</c:v>
                </c:pt>
                <c:pt idx="303">
                  <c:v>0.55965981317230662</c:v>
                </c:pt>
                <c:pt idx="304">
                  <c:v>0.55857326781541106</c:v>
                </c:pt>
                <c:pt idx="305">
                  <c:v>0.55749393757955412</c:v>
                </c:pt>
                <c:pt idx="306">
                  <c:v>0.55642166256550263</c:v>
                </c:pt>
                <c:pt idx="307">
                  <c:v>0.5553539273178022</c:v>
                </c:pt>
                <c:pt idx="308">
                  <c:v>0.55429017932011082</c:v>
                </c:pt>
                <c:pt idx="309">
                  <c:v>0.55322773633095945</c:v>
                </c:pt>
                <c:pt idx="310">
                  <c:v>0.5521662052873173</c:v>
                </c:pt>
                <c:pt idx="311">
                  <c:v>0.55110277276248965</c:v>
                </c:pt>
                <c:pt idx="312">
                  <c:v>0.55003786201530924</c:v>
                </c:pt>
                <c:pt idx="313">
                  <c:v>0.54897015597968668</c:v>
                </c:pt>
                <c:pt idx="314">
                  <c:v>0.54790002097152224</c:v>
                </c:pt>
                <c:pt idx="315">
                  <c:v>0.54682953190082162</c:v>
                </c:pt>
                <c:pt idx="316">
                  <c:v>0.54575998847457696</c:v>
                </c:pt>
                <c:pt idx="317">
                  <c:v>0.54469077137050126</c:v>
                </c:pt>
                <c:pt idx="318">
                  <c:v>0.54362212543956323</c:v>
                </c:pt>
                <c:pt idx="319">
                  <c:v>0.54255491555537405</c:v>
                </c:pt>
                <c:pt idx="320">
                  <c:v>0.54149021930226193</c:v>
                </c:pt>
                <c:pt idx="321">
                  <c:v>0.5404267793794264</c:v>
                </c:pt>
                <c:pt idx="322">
                  <c:v>0.53936745016614718</c:v>
                </c:pt>
                <c:pt idx="323">
                  <c:v>0.53831106390696148</c:v>
                </c:pt>
                <c:pt idx="324">
                  <c:v>0.53725622326909372</c:v>
                </c:pt>
                <c:pt idx="325">
                  <c:v>0.53620294918233991</c:v>
                </c:pt>
                <c:pt idx="326">
                  <c:v>0.53515385582693975</c:v>
                </c:pt>
                <c:pt idx="327">
                  <c:v>0.53410684501963734</c:v>
                </c:pt>
                <c:pt idx="328">
                  <c:v>0.53306073495192996</c:v>
                </c:pt>
                <c:pt idx="329">
                  <c:v>0.53201761600514408</c:v>
                </c:pt>
                <c:pt idx="330">
                  <c:v>0.53097602732770577</c:v>
                </c:pt>
                <c:pt idx="331">
                  <c:v>0.52993697242783899</c:v>
                </c:pt>
                <c:pt idx="332">
                  <c:v>0.52890078725655543</c:v>
                </c:pt>
                <c:pt idx="333">
                  <c:v>0.52786521751417859</c:v>
                </c:pt>
                <c:pt idx="334">
                  <c:v>0.52682962389325971</c:v>
                </c:pt>
                <c:pt idx="335">
                  <c:v>0.52579285569301959</c:v>
                </c:pt>
                <c:pt idx="336">
                  <c:v>0.52475695116511345</c:v>
                </c:pt>
                <c:pt idx="337">
                  <c:v>0.52372153105061547</c:v>
                </c:pt>
                <c:pt idx="338">
                  <c:v>0.52268700645828614</c:v>
                </c:pt>
                <c:pt idx="339">
                  <c:v>0.52165381517035114</c:v>
                </c:pt>
                <c:pt idx="340">
                  <c:v>0.52062210668548248</c:v>
                </c:pt>
                <c:pt idx="341">
                  <c:v>0.51959337011001694</c:v>
                </c:pt>
                <c:pt idx="342">
                  <c:v>0.51856784635129693</c:v>
                </c:pt>
                <c:pt idx="343">
                  <c:v>0.51754366473231261</c:v>
                </c:pt>
                <c:pt idx="344">
                  <c:v>0.51652266880348985</c:v>
                </c:pt>
                <c:pt idx="345">
                  <c:v>0.51550618196040188</c:v>
                </c:pt>
                <c:pt idx="346">
                  <c:v>0.51449507852883292</c:v>
                </c:pt>
                <c:pt idx="347">
                  <c:v>0.51348981698789775</c:v>
                </c:pt>
                <c:pt idx="348">
                  <c:v>0.51249195248548085</c:v>
                </c:pt>
                <c:pt idx="349">
                  <c:v>0.51149900502452417</c:v>
                </c:pt>
                <c:pt idx="350">
                  <c:v>0.51050844904684611</c:v>
                </c:pt>
                <c:pt idx="351">
                  <c:v>0.50951931603450962</c:v>
                </c:pt>
                <c:pt idx="352">
                  <c:v>0.50852987355008805</c:v>
                </c:pt>
                <c:pt idx="353">
                  <c:v>0.50753789882729583</c:v>
                </c:pt>
                <c:pt idx="354">
                  <c:v>0.5065433718157758</c:v>
                </c:pt>
                <c:pt idx="355">
                  <c:v>0.50554519289914557</c:v>
                </c:pt>
                <c:pt idx="356">
                  <c:v>0.50453966983093079</c:v>
                </c:pt>
                <c:pt idx="357">
                  <c:v>0.50352622817131398</c:v>
                </c:pt>
                <c:pt idx="358">
                  <c:v>0.50250206327726255</c:v>
                </c:pt>
                <c:pt idx="359">
                  <c:v>0.50146490094255691</c:v>
                </c:pt>
                <c:pt idx="360">
                  <c:v>0.50041631637919559</c:v>
                </c:pt>
                <c:pt idx="361">
                  <c:v>0.49935722211884948</c:v>
                </c:pt>
                <c:pt idx="362">
                  <c:v>0.49828685412741142</c:v>
                </c:pt>
                <c:pt idx="363">
                  <c:v>0.49720578951398936</c:v>
                </c:pt>
                <c:pt idx="364">
                  <c:v>0.49611810276630913</c:v>
                </c:pt>
                <c:pt idx="365">
                  <c:v>0.49502439152965533</c:v>
                </c:pt>
                <c:pt idx="366">
                  <c:v>0.49392629904197272</c:v>
                </c:pt>
                <c:pt idx="367">
                  <c:v>0.49282624002955472</c:v>
                </c:pt>
                <c:pt idx="368">
                  <c:v>0.49172575751410513</c:v>
                </c:pt>
                <c:pt idx="369">
                  <c:v>0.4906258928704913</c:v>
                </c:pt>
                <c:pt idx="370">
                  <c:v>0.48952793209877571</c:v>
                </c:pt>
                <c:pt idx="371">
                  <c:v>0.48843122700566438</c:v>
                </c:pt>
                <c:pt idx="372">
                  <c:v>0.48733670684786484</c:v>
                </c:pt>
                <c:pt idx="373">
                  <c:v>0.48624781335821243</c:v>
                </c:pt>
                <c:pt idx="374">
                  <c:v>0.48516464433478185</c:v>
                </c:pt>
                <c:pt idx="375">
                  <c:v>0.48408634096870035</c:v>
                </c:pt>
                <c:pt idx="376">
                  <c:v>0.48301047592549123</c:v>
                </c:pt>
                <c:pt idx="377">
                  <c:v>0.48193492947486949</c:v>
                </c:pt>
                <c:pt idx="378">
                  <c:v>0.48086052677271279</c:v>
                </c:pt>
                <c:pt idx="379">
                  <c:v>0.4797889252446117</c:v>
                </c:pt>
                <c:pt idx="380">
                  <c:v>0.47871962157640557</c:v>
                </c:pt>
                <c:pt idx="381">
                  <c:v>0.4776529961931032</c:v>
                </c:pt>
                <c:pt idx="382">
                  <c:v>0.47658731252974529</c:v>
                </c:pt>
                <c:pt idx="383">
                  <c:v>0.47552354837551958</c:v>
                </c:pt>
                <c:pt idx="384">
                  <c:v>0.47446103808127171</c:v>
                </c:pt>
                <c:pt idx="385">
                  <c:v>0.47339780324305802</c:v>
                </c:pt>
                <c:pt idx="386">
                  <c:v>0.47233542475188689</c:v>
                </c:pt>
                <c:pt idx="387">
                  <c:v>0.47127270435434893</c:v>
                </c:pt>
                <c:pt idx="388">
                  <c:v>0.47020935437019945</c:v>
                </c:pt>
                <c:pt idx="389">
                  <c:v>0.46914610538326618</c:v>
                </c:pt>
                <c:pt idx="390">
                  <c:v>0.46808569587463944</c:v>
                </c:pt>
                <c:pt idx="391">
                  <c:v>0.4670262995873497</c:v>
                </c:pt>
                <c:pt idx="392">
                  <c:v>0.46596664770950663</c:v>
                </c:pt>
                <c:pt idx="393">
                  <c:v>0.46490637178298011</c:v>
                </c:pt>
                <c:pt idx="394">
                  <c:v>0.46384905037513724</c:v>
                </c:pt>
                <c:pt idx="395">
                  <c:v>0.46279246053440093</c:v>
                </c:pt>
                <c:pt idx="396">
                  <c:v>0.46173751630513199</c:v>
                </c:pt>
                <c:pt idx="397">
                  <c:v>0.46068402378227863</c:v>
                </c:pt>
                <c:pt idx="398">
                  <c:v>0.45963077536777858</c:v>
                </c:pt>
                <c:pt idx="399">
                  <c:v>0.45857909822622012</c:v>
                </c:pt>
                <c:pt idx="400">
                  <c:v>0.45752837118559303</c:v>
                </c:pt>
                <c:pt idx="401">
                  <c:v>0.45647807410908026</c:v>
                </c:pt>
                <c:pt idx="402">
                  <c:v>0.45542902548627662</c:v>
                </c:pt>
                <c:pt idx="403">
                  <c:v>0.45438380408939139</c:v>
                </c:pt>
                <c:pt idx="404">
                  <c:v>0.45333972819268964</c:v>
                </c:pt>
                <c:pt idx="405">
                  <c:v>0.45229725202252558</c:v>
                </c:pt>
                <c:pt idx="406">
                  <c:v>0.45125573693606669</c:v>
                </c:pt>
                <c:pt idx="407">
                  <c:v>0.45021430461087564</c:v>
                </c:pt>
                <c:pt idx="408">
                  <c:v>0.44917376179070506</c:v>
                </c:pt>
                <c:pt idx="409">
                  <c:v>0.44813455206388708</c:v>
                </c:pt>
                <c:pt idx="410">
                  <c:v>0.44709656903255657</c:v>
                </c:pt>
                <c:pt idx="411">
                  <c:v>0.4460592364964715</c:v>
                </c:pt>
                <c:pt idx="412">
                  <c:v>0.44502413360607013</c:v>
                </c:pt>
                <c:pt idx="413">
                  <c:v>0.44399046299572548</c:v>
                </c:pt>
                <c:pt idx="414">
                  <c:v>0.4429584773448566</c:v>
                </c:pt>
                <c:pt idx="415">
                  <c:v>0.44192717257252873</c:v>
                </c:pt>
                <c:pt idx="416">
                  <c:v>0.44089724976078121</c:v>
                </c:pt>
                <c:pt idx="417">
                  <c:v>0.43986923334314454</c:v>
                </c:pt>
                <c:pt idx="418">
                  <c:v>0.43884229201479114</c:v>
                </c:pt>
                <c:pt idx="419">
                  <c:v>0.43781588555161705</c:v>
                </c:pt>
                <c:pt idx="420">
                  <c:v>0.43679006672763671</c:v>
                </c:pt>
                <c:pt idx="421">
                  <c:v>0.43576647007970798</c:v>
                </c:pt>
                <c:pt idx="422">
                  <c:v>0.43474420060303748</c:v>
                </c:pt>
                <c:pt idx="423">
                  <c:v>0.43372319198966769</c:v>
                </c:pt>
                <c:pt idx="424">
                  <c:v>0.43270333413200462</c:v>
                </c:pt>
                <c:pt idx="425">
                  <c:v>0.43168698683959011</c:v>
                </c:pt>
                <c:pt idx="426">
                  <c:v>0.43067092220442366</c:v>
                </c:pt>
                <c:pt idx="427">
                  <c:v>0.42965507492198357</c:v>
                </c:pt>
                <c:pt idx="428">
                  <c:v>0.42864026876264277</c:v>
                </c:pt>
                <c:pt idx="429">
                  <c:v>0.42762930877640049</c:v>
                </c:pt>
                <c:pt idx="430">
                  <c:v>0.4266201993163774</c:v>
                </c:pt>
                <c:pt idx="431">
                  <c:v>0.42561295592472687</c:v>
                </c:pt>
                <c:pt idx="432">
                  <c:v>0.42460899923936252</c:v>
                </c:pt>
                <c:pt idx="433">
                  <c:v>0.42360765909956644</c:v>
                </c:pt>
                <c:pt idx="434">
                  <c:v>0.42260725555958317</c:v>
                </c:pt>
                <c:pt idx="435">
                  <c:v>0.42160917499652489</c:v>
                </c:pt>
                <c:pt idx="436">
                  <c:v>0.42061271421395086</c:v>
                </c:pt>
                <c:pt idx="437">
                  <c:v>0.41961740977517037</c:v>
                </c:pt>
                <c:pt idx="438">
                  <c:v>0.41862134883902802</c:v>
                </c:pt>
                <c:pt idx="439">
                  <c:v>0.41762648262072433</c:v>
                </c:pt>
                <c:pt idx="440">
                  <c:v>0.41663233944538736</c:v>
                </c:pt>
                <c:pt idx="441">
                  <c:v>0.41563932314022323</c:v>
                </c:pt>
                <c:pt idx="442">
                  <c:v>0.414647670813033</c:v>
                </c:pt>
                <c:pt idx="443">
                  <c:v>0.41365759711031125</c:v>
                </c:pt>
                <c:pt idx="444">
                  <c:v>0.41266926965494488</c:v>
                </c:pt>
                <c:pt idx="445">
                  <c:v>0.41168435101970446</c:v>
                </c:pt>
                <c:pt idx="446">
                  <c:v>0.41070337393404099</c:v>
                </c:pt>
                <c:pt idx="447">
                  <c:v>0.40972424370729749</c:v>
                </c:pt>
                <c:pt idx="448">
                  <c:v>0.40874683594177846</c:v>
                </c:pt>
                <c:pt idx="449">
                  <c:v>0.40777124389252606</c:v>
                </c:pt>
                <c:pt idx="450">
                  <c:v>0.40679656339937553</c:v>
                </c:pt>
                <c:pt idx="451">
                  <c:v>0.40582373666548505</c:v>
                </c:pt>
                <c:pt idx="452">
                  <c:v>0.40485005838133054</c:v>
                </c:pt>
                <c:pt idx="453">
                  <c:v>0.40387804167138819</c:v>
                </c:pt>
                <c:pt idx="454">
                  <c:v>0.40290860507231646</c:v>
                </c:pt>
                <c:pt idx="455">
                  <c:v>0.4019410328364994</c:v>
                </c:pt>
                <c:pt idx="456">
                  <c:v>0.40097320277796999</c:v>
                </c:pt>
                <c:pt idx="457">
                  <c:v>0.40000514863352182</c:v>
                </c:pt>
                <c:pt idx="458">
                  <c:v>0.39903759564722896</c:v>
                </c:pt>
                <c:pt idx="459">
                  <c:v>0.39807383314317979</c:v>
                </c:pt>
                <c:pt idx="460">
                  <c:v>0.39711202803316553</c:v>
                </c:pt>
                <c:pt idx="461">
                  <c:v>0.39614952747203225</c:v>
                </c:pt>
                <c:pt idx="462">
                  <c:v>0.39518782654721096</c:v>
                </c:pt>
                <c:pt idx="463">
                  <c:v>0.39422485359444831</c:v>
                </c:pt>
                <c:pt idx="464">
                  <c:v>0.39326134008514158</c:v>
                </c:pt>
                <c:pt idx="465">
                  <c:v>0.39229947540442156</c:v>
                </c:pt>
                <c:pt idx="466">
                  <c:v>0.39133510773576835</c:v>
                </c:pt>
                <c:pt idx="467">
                  <c:v>0.39036853722942455</c:v>
                </c:pt>
                <c:pt idx="468">
                  <c:v>0.38939909287927005</c:v>
                </c:pt>
                <c:pt idx="469">
                  <c:v>0.38842989820217594</c:v>
                </c:pt>
                <c:pt idx="470">
                  <c:v>0.38746289901354414</c:v>
                </c:pt>
                <c:pt idx="471">
                  <c:v>0.3864978724751752</c:v>
                </c:pt>
                <c:pt idx="472">
                  <c:v>0.38553615108579126</c:v>
                </c:pt>
                <c:pt idx="473">
                  <c:v>0.38457913255965681</c:v>
                </c:pt>
                <c:pt idx="474">
                  <c:v>0.38362794781485166</c:v>
                </c:pt>
                <c:pt idx="475">
                  <c:v>0.38268490965576629</c:v>
                </c:pt>
                <c:pt idx="476">
                  <c:v>0.38175001837926881</c:v>
                </c:pt>
                <c:pt idx="477">
                  <c:v>0.38082601172891589</c:v>
                </c:pt>
                <c:pt idx="478">
                  <c:v>0.37991379349529764</c:v>
                </c:pt>
                <c:pt idx="479">
                  <c:v>0.37901347168652894</c:v>
                </c:pt>
                <c:pt idx="480">
                  <c:v>0.37812622163840681</c:v>
                </c:pt>
                <c:pt idx="481">
                  <c:v>0.37725099066041573</c:v>
                </c:pt>
                <c:pt idx="482">
                  <c:v>0.37638711699346561</c:v>
                </c:pt>
                <c:pt idx="483">
                  <c:v>0.37553266690394549</c:v>
                </c:pt>
                <c:pt idx="484">
                  <c:v>0.37468753775649982</c:v>
                </c:pt>
                <c:pt idx="485">
                  <c:v>0.3738495515091842</c:v>
                </c:pt>
                <c:pt idx="486">
                  <c:v>0.37301860552169597</c:v>
                </c:pt>
                <c:pt idx="487">
                  <c:v>0.37219254256869416</c:v>
                </c:pt>
                <c:pt idx="488">
                  <c:v>0.37136909253256584</c:v>
                </c:pt>
                <c:pt idx="489">
                  <c:v>0.37054576633827746</c:v>
                </c:pt>
                <c:pt idx="490">
                  <c:v>0.36972045496175604</c:v>
                </c:pt>
                <c:pt idx="491">
                  <c:v>0.36889278168417511</c:v>
                </c:pt>
                <c:pt idx="492">
                  <c:v>0.36806487164054719</c:v>
                </c:pt>
                <c:pt idx="493">
                  <c:v>0.36723430679713859</c:v>
                </c:pt>
                <c:pt idx="494">
                  <c:v>0.36640243407835221</c:v>
                </c:pt>
                <c:pt idx="495">
                  <c:v>0.36557151019910727</c:v>
                </c:pt>
                <c:pt idx="496">
                  <c:v>0.36474031863406842</c:v>
                </c:pt>
                <c:pt idx="497">
                  <c:v>0.36390960791715332</c:v>
                </c:pt>
                <c:pt idx="498">
                  <c:v>0.36308124343814585</c:v>
                </c:pt>
                <c:pt idx="499">
                  <c:v>0.36225498769744857</c:v>
                </c:pt>
                <c:pt idx="500">
                  <c:v>0.36143088032921861</c:v>
                </c:pt>
                <c:pt idx="501">
                  <c:v>0.36060691632893338</c:v>
                </c:pt>
                <c:pt idx="502">
                  <c:v>0.35978386895323355</c:v>
                </c:pt>
                <c:pt idx="503">
                  <c:v>0.35896204390552588</c:v>
                </c:pt>
                <c:pt idx="504">
                  <c:v>0.35814166781386386</c:v>
                </c:pt>
                <c:pt idx="505">
                  <c:v>0.35732004562641539</c:v>
                </c:pt>
                <c:pt idx="506">
                  <c:v>0.35649935597086546</c:v>
                </c:pt>
                <c:pt idx="507">
                  <c:v>0.35567814473719944</c:v>
                </c:pt>
                <c:pt idx="508">
                  <c:v>0.35485862127034395</c:v>
                </c:pt>
                <c:pt idx="509">
                  <c:v>0.35403998058649472</c:v>
                </c:pt>
                <c:pt idx="510">
                  <c:v>0.3532238254152541</c:v>
                </c:pt>
                <c:pt idx="511">
                  <c:v>0.35240936052625355</c:v>
                </c:pt>
                <c:pt idx="512">
                  <c:v>0.35159608526183295</c:v>
                </c:pt>
                <c:pt idx="513">
                  <c:v>0.35078367771217783</c:v>
                </c:pt>
                <c:pt idx="514">
                  <c:v>0.34997221908868886</c:v>
                </c:pt>
                <c:pt idx="515">
                  <c:v>0.3491623208546023</c:v>
                </c:pt>
                <c:pt idx="516">
                  <c:v>0.34835351550375765</c:v>
                </c:pt>
                <c:pt idx="517">
                  <c:v>0.34754690183778292</c:v>
                </c:pt>
                <c:pt idx="518">
                  <c:v>0.3467407413216308</c:v>
                </c:pt>
                <c:pt idx="519">
                  <c:v>0.34593343255529874</c:v>
                </c:pt>
                <c:pt idx="520">
                  <c:v>0.34512705703732022</c:v>
                </c:pt>
                <c:pt idx="521">
                  <c:v>0.34432104518007034</c:v>
                </c:pt>
                <c:pt idx="522">
                  <c:v>0.34351679031946297</c:v>
                </c:pt>
                <c:pt idx="523">
                  <c:v>0.34271445350190893</c:v>
                </c:pt>
                <c:pt idx="524">
                  <c:v>0.34191207052024564</c:v>
                </c:pt>
                <c:pt idx="525">
                  <c:v>0.34111066217340158</c:v>
                </c:pt>
                <c:pt idx="526">
                  <c:v>0.34031084746222734</c:v>
                </c:pt>
                <c:pt idx="527">
                  <c:v>0.33951228644266623</c:v>
                </c:pt>
                <c:pt idx="528">
                  <c:v>0.33871621431336618</c:v>
                </c:pt>
                <c:pt idx="529">
                  <c:v>0.33792159229009261</c:v>
                </c:pt>
                <c:pt idx="530">
                  <c:v>0.33712529778159239</c:v>
                </c:pt>
                <c:pt idx="531">
                  <c:v>0.33632960895278791</c:v>
                </c:pt>
                <c:pt idx="532">
                  <c:v>0.3355351429016426</c:v>
                </c:pt>
                <c:pt idx="533">
                  <c:v>0.33474044591016278</c:v>
                </c:pt>
                <c:pt idx="534">
                  <c:v>0.3339486766454613</c:v>
                </c:pt>
                <c:pt idx="535">
                  <c:v>0.33315816412149946</c:v>
                </c:pt>
                <c:pt idx="536">
                  <c:v>0.33237103391207445</c:v>
                </c:pt>
                <c:pt idx="537">
                  <c:v>0.33158646977419959</c:v>
                </c:pt>
                <c:pt idx="538">
                  <c:v>0.33080490386341549</c:v>
                </c:pt>
                <c:pt idx="539">
                  <c:v>0.33002553223550096</c:v>
                </c:pt>
                <c:pt idx="540">
                  <c:v>0.32924919168135136</c:v>
                </c:pt>
                <c:pt idx="541">
                  <c:v>0.32847347730483867</c:v>
                </c:pt>
                <c:pt idx="542">
                  <c:v>0.32769635071584718</c:v>
                </c:pt>
                <c:pt idx="543">
                  <c:v>0.32692018504517811</c:v>
                </c:pt>
                <c:pt idx="544">
                  <c:v>0.32614510043077299</c:v>
                </c:pt>
                <c:pt idx="545">
                  <c:v>0.32537102066773155</c:v>
                </c:pt>
                <c:pt idx="546">
                  <c:v>0.32460017024447535</c:v>
                </c:pt>
                <c:pt idx="547">
                  <c:v>0.3238312545325267</c:v>
                </c:pt>
                <c:pt idx="548">
                  <c:v>0.32306283855851703</c:v>
                </c:pt>
                <c:pt idx="549">
                  <c:v>0.32229587343316751</c:v>
                </c:pt>
                <c:pt idx="550">
                  <c:v>0.32152848112631194</c:v>
                </c:pt>
                <c:pt idx="551">
                  <c:v>0.3207606152569964</c:v>
                </c:pt>
                <c:pt idx="552">
                  <c:v>0.319992441768435</c:v>
                </c:pt>
                <c:pt idx="553">
                  <c:v>0.31922544829709754</c:v>
                </c:pt>
                <c:pt idx="554">
                  <c:v>0.31845969721889666</c:v>
                </c:pt>
                <c:pt idx="555">
                  <c:v>0.31769327890210475</c:v>
                </c:pt>
                <c:pt idx="556">
                  <c:v>0.31692756341296852</c:v>
                </c:pt>
                <c:pt idx="557">
                  <c:v>0.31616357097257936</c:v>
                </c:pt>
                <c:pt idx="558">
                  <c:v>0.31540020907528293</c:v>
                </c:pt>
                <c:pt idx="559">
                  <c:v>0.31463975510456837</c:v>
                </c:pt>
                <c:pt idx="560">
                  <c:v>0.31388235334895598</c:v>
                </c:pt>
                <c:pt idx="561">
                  <c:v>0.31312734317978103</c:v>
                </c:pt>
                <c:pt idx="562">
                  <c:v>0.31237299401141799</c:v>
                </c:pt>
                <c:pt idx="563">
                  <c:v>0.31161803312452635</c:v>
                </c:pt>
                <c:pt idx="564">
                  <c:v>0.31086432392661811</c:v>
                </c:pt>
                <c:pt idx="565">
                  <c:v>0.31011300614701443</c:v>
                </c:pt>
                <c:pt idx="566">
                  <c:v>0.30936392732316215</c:v>
                </c:pt>
                <c:pt idx="567">
                  <c:v>0.30861904029091908</c:v>
                </c:pt>
                <c:pt idx="568">
                  <c:v>0.30787712528234457</c:v>
                </c:pt>
                <c:pt idx="569">
                  <c:v>0.30713554139588395</c:v>
                </c:pt>
                <c:pt idx="570">
                  <c:v>0.30639485122055654</c:v>
                </c:pt>
                <c:pt idx="571">
                  <c:v>0.30565696264536563</c:v>
                </c:pt>
                <c:pt idx="572">
                  <c:v>0.30492308627981241</c:v>
                </c:pt>
                <c:pt idx="573">
                  <c:v>0.30419377092854694</c:v>
                </c:pt>
                <c:pt idx="574">
                  <c:v>0.30346658506643975</c:v>
                </c:pt>
                <c:pt idx="575">
                  <c:v>0.30274287021884749</c:v>
                </c:pt>
                <c:pt idx="576">
                  <c:v>0.30202127645902249</c:v>
                </c:pt>
                <c:pt idx="577">
                  <c:v>0.30130080591298308</c:v>
                </c:pt>
                <c:pt idx="578">
                  <c:v>0.30058283974103145</c:v>
                </c:pt>
                <c:pt idx="579">
                  <c:v>0.29986746872745768</c:v>
                </c:pt>
                <c:pt idx="580">
                  <c:v>0.29915353351037005</c:v>
                </c:pt>
                <c:pt idx="581">
                  <c:v>0.29843885316087881</c:v>
                </c:pt>
                <c:pt idx="582">
                  <c:v>0.29772427619663722</c:v>
                </c:pt>
                <c:pt idx="583">
                  <c:v>0.29700810400419447</c:v>
                </c:pt>
                <c:pt idx="584">
                  <c:v>0.29629023898358953</c:v>
                </c:pt>
                <c:pt idx="585">
                  <c:v>0.29556972378453916</c:v>
                </c:pt>
                <c:pt idx="586">
                  <c:v>0.29484494654135285</c:v>
                </c:pt>
                <c:pt idx="587">
                  <c:v>0.29411683502075664</c:v>
                </c:pt>
                <c:pt idx="588">
                  <c:v>0.29338607232024666</c:v>
                </c:pt>
                <c:pt idx="589">
                  <c:v>0.29265332284534157</c:v>
                </c:pt>
                <c:pt idx="590">
                  <c:v>0.29192046338611166</c:v>
                </c:pt>
                <c:pt idx="591">
                  <c:v>0.29118796712712991</c:v>
                </c:pt>
                <c:pt idx="592">
                  <c:v>0.29045763275187914</c:v>
                </c:pt>
                <c:pt idx="593">
                  <c:v>0.28973131102387778</c:v>
                </c:pt>
                <c:pt idx="594">
                  <c:v>0.28901255262919207</c:v>
                </c:pt>
                <c:pt idx="595">
                  <c:v>0.28830484773735038</c:v>
                </c:pt>
                <c:pt idx="596">
                  <c:v>0.28761026319257266</c:v>
                </c:pt>
                <c:pt idx="597">
                  <c:v>0.28693099116176707</c:v>
                </c:pt>
                <c:pt idx="598">
                  <c:v>0.28627081091782963</c:v>
                </c:pt>
                <c:pt idx="599">
                  <c:v>0.28563256965872302</c:v>
                </c:pt>
                <c:pt idx="600">
                  <c:v>0.28501415441214167</c:v>
                </c:pt>
                <c:pt idx="601">
                  <c:v>0.28441380896137664</c:v>
                </c:pt>
                <c:pt idx="602">
                  <c:v>0.28382990196513236</c:v>
                </c:pt>
                <c:pt idx="603">
                  <c:v>0.28326078942830857</c:v>
                </c:pt>
                <c:pt idx="604">
                  <c:v>0.28270377651656547</c:v>
                </c:pt>
                <c:pt idx="605">
                  <c:v>0.28215911916855174</c:v>
                </c:pt>
                <c:pt idx="606">
                  <c:v>0.28162365315133775</c:v>
                </c:pt>
                <c:pt idx="607">
                  <c:v>0.28109313479919967</c:v>
                </c:pt>
                <c:pt idx="608">
                  <c:v>0.28056599625957102</c:v>
                </c:pt>
                <c:pt idx="609">
                  <c:v>0.28003961944773298</c:v>
                </c:pt>
                <c:pt idx="610">
                  <c:v>0.27951370572249912</c:v>
                </c:pt>
                <c:pt idx="611">
                  <c:v>0.27898522234849227</c:v>
                </c:pt>
                <c:pt idx="612">
                  <c:v>0.27845324366667795</c:v>
                </c:pt>
                <c:pt idx="613">
                  <c:v>0.27791821503245506</c:v>
                </c:pt>
                <c:pt idx="614">
                  <c:v>0.27738155179840168</c:v>
                </c:pt>
                <c:pt idx="615">
                  <c:v>0.27684396170156444</c:v>
                </c:pt>
                <c:pt idx="616">
                  <c:v>0.27630537951695322</c:v>
                </c:pt>
                <c:pt idx="617">
                  <c:v>0.27576619373928896</c:v>
                </c:pt>
                <c:pt idx="618">
                  <c:v>0.27522450729842546</c:v>
                </c:pt>
                <c:pt idx="619">
                  <c:v>0.27468162611189684</c:v>
                </c:pt>
                <c:pt idx="620">
                  <c:v>0.27414019841659032</c:v>
                </c:pt>
                <c:pt idx="621">
                  <c:v>0.27360069646983309</c:v>
                </c:pt>
                <c:pt idx="622">
                  <c:v>0.27306154503060309</c:v>
                </c:pt>
                <c:pt idx="623">
                  <c:v>0.27252140276514242</c:v>
                </c:pt>
                <c:pt idx="624">
                  <c:v>0.27198154388384782</c:v>
                </c:pt>
                <c:pt idx="625">
                  <c:v>0.27144377167977801</c:v>
                </c:pt>
                <c:pt idx="626">
                  <c:v>0.2709087823573994</c:v>
                </c:pt>
                <c:pt idx="627">
                  <c:v>0.27037599586598066</c:v>
                </c:pt>
                <c:pt idx="628">
                  <c:v>0.26984451298122014</c:v>
                </c:pt>
                <c:pt idx="629">
                  <c:v>0.26931315573257913</c:v>
                </c:pt>
                <c:pt idx="630">
                  <c:v>0.26878195273451433</c:v>
                </c:pt>
                <c:pt idx="631">
                  <c:v>0.26825104876491335</c:v>
                </c:pt>
                <c:pt idx="632">
                  <c:v>0.26772254936096301</c:v>
                </c:pt>
                <c:pt idx="633">
                  <c:v>0.26719899181664353</c:v>
                </c:pt>
                <c:pt idx="634">
                  <c:v>0.2666784027971395</c:v>
                </c:pt>
                <c:pt idx="635">
                  <c:v>0.26615921918119195</c:v>
                </c:pt>
                <c:pt idx="636">
                  <c:v>0.26564029267909811</c:v>
                </c:pt>
                <c:pt idx="637">
                  <c:v>0.26512349886616943</c:v>
                </c:pt>
                <c:pt idx="638">
                  <c:v>0.26460770584835874</c:v>
                </c:pt>
                <c:pt idx="639">
                  <c:v>0.26409320411491077</c:v>
                </c:pt>
                <c:pt idx="640">
                  <c:v>0.26357999273142052</c:v>
                </c:pt>
                <c:pt idx="641">
                  <c:v>0.26306620144129328</c:v>
                </c:pt>
                <c:pt idx="642">
                  <c:v>0.26255356291901033</c:v>
                </c:pt>
                <c:pt idx="643">
                  <c:v>0.26204421158225638</c:v>
                </c:pt>
                <c:pt idx="644">
                  <c:v>0.26153559630848006</c:v>
                </c:pt>
                <c:pt idx="645">
                  <c:v>0.26102776731676586</c:v>
                </c:pt>
                <c:pt idx="646">
                  <c:v>0.26052133045621972</c:v>
                </c:pt>
                <c:pt idx="647">
                  <c:v>0.26001597842119661</c:v>
                </c:pt>
                <c:pt idx="648">
                  <c:v>0.25951349275573959</c:v>
                </c:pt>
                <c:pt idx="649">
                  <c:v>0.25901136800649965</c:v>
                </c:pt>
                <c:pt idx="650">
                  <c:v>0.25850995524848525</c:v>
                </c:pt>
                <c:pt idx="651">
                  <c:v>0.25800885930133866</c:v>
                </c:pt>
                <c:pt idx="652">
                  <c:v>0.2575092480512674</c:v>
                </c:pt>
                <c:pt idx="653">
                  <c:v>0.25700965410258625</c:v>
                </c:pt>
                <c:pt idx="654">
                  <c:v>0.25650982161896063</c:v>
                </c:pt>
                <c:pt idx="655">
                  <c:v>0.25600970820117996</c:v>
                </c:pt>
                <c:pt idx="656">
                  <c:v>0.25551295141716857</c:v>
                </c:pt>
                <c:pt idx="657">
                  <c:v>0.25501833386072564</c:v>
                </c:pt>
                <c:pt idx="658">
                  <c:v>0.25452775096250441</c:v>
                </c:pt>
                <c:pt idx="659">
                  <c:v>0.25403962818880138</c:v>
                </c:pt>
                <c:pt idx="660">
                  <c:v>0.25355335623402309</c:v>
                </c:pt>
                <c:pt idx="661">
                  <c:v>0.25306825117772114</c:v>
                </c:pt>
                <c:pt idx="662">
                  <c:v>0.25258525615329663</c:v>
                </c:pt>
                <c:pt idx="663">
                  <c:v>0.25210404974022799</c:v>
                </c:pt>
                <c:pt idx="664">
                  <c:v>0.25162489231417223</c:v>
                </c:pt>
                <c:pt idx="665">
                  <c:v>0.25114709166356847</c:v>
                </c:pt>
                <c:pt idx="666">
                  <c:v>0.25067012828203378</c:v>
                </c:pt>
                <c:pt idx="667">
                  <c:v>0.25019000338486447</c:v>
                </c:pt>
                <c:pt idx="668">
                  <c:v>0.24970960180672905</c:v>
                </c:pt>
                <c:pt idx="669">
                  <c:v>0.24923057299710549</c:v>
                </c:pt>
                <c:pt idx="670">
                  <c:v>0.24875169308325645</c:v>
                </c:pt>
                <c:pt idx="671">
                  <c:v>0.24827403330929265</c:v>
                </c:pt>
                <c:pt idx="672">
                  <c:v>0.24779695081326558</c:v>
                </c:pt>
                <c:pt idx="673">
                  <c:v>0.24732119635763125</c:v>
                </c:pt>
                <c:pt idx="674">
                  <c:v>0.24684757743172295</c:v>
                </c:pt>
                <c:pt idx="675">
                  <c:v>0.24637484984148192</c:v>
                </c:pt>
                <c:pt idx="676">
                  <c:v>0.24590377323096385</c:v>
                </c:pt>
                <c:pt idx="677">
                  <c:v>0.24543388808275846</c:v>
                </c:pt>
                <c:pt idx="678">
                  <c:v>0.24496865408975813</c:v>
                </c:pt>
                <c:pt idx="679">
                  <c:v>0.24450414199532228</c:v>
                </c:pt>
                <c:pt idx="680">
                  <c:v>0.24404113495626589</c:v>
                </c:pt>
                <c:pt idx="681">
                  <c:v>0.24357853792708917</c:v>
                </c:pt>
                <c:pt idx="682">
                  <c:v>0.24311440609682089</c:v>
                </c:pt>
                <c:pt idx="683">
                  <c:v>0.24265140934048574</c:v>
                </c:pt>
                <c:pt idx="684">
                  <c:v>0.24219093814459217</c:v>
                </c:pt>
                <c:pt idx="685">
                  <c:v>0.24173188672769166</c:v>
                </c:pt>
                <c:pt idx="686">
                  <c:v>0.2412716017774732</c:v>
                </c:pt>
                <c:pt idx="687">
                  <c:v>0.24081104759237282</c:v>
                </c:pt>
                <c:pt idx="688">
                  <c:v>0.24035170845367962</c:v>
                </c:pt>
                <c:pt idx="689">
                  <c:v>0.23989387486081973</c:v>
                </c:pt>
                <c:pt idx="690">
                  <c:v>0.23943648470953932</c:v>
                </c:pt>
                <c:pt idx="691">
                  <c:v>0.2389812558067668</c:v>
                </c:pt>
                <c:pt idx="692">
                  <c:v>0.23852712675438775</c:v>
                </c:pt>
                <c:pt idx="693">
                  <c:v>0.23807333754574805</c:v>
                </c:pt>
                <c:pt idx="694">
                  <c:v>0.23762181984156497</c:v>
                </c:pt>
                <c:pt idx="695">
                  <c:v>0.23717405552372478</c:v>
                </c:pt>
                <c:pt idx="696">
                  <c:v>0.23672790981352351</c:v>
                </c:pt>
                <c:pt idx="697">
                  <c:v>0.23628104958669147</c:v>
                </c:pt>
                <c:pt idx="698">
                  <c:v>0.23583364286914826</c:v>
                </c:pt>
                <c:pt idx="699">
                  <c:v>0.23538575925522751</c:v>
                </c:pt>
                <c:pt idx="700">
                  <c:v>0.23493810303343754</c:v>
                </c:pt>
                <c:pt idx="701">
                  <c:v>0.23449109588586006</c:v>
                </c:pt>
                <c:pt idx="702">
                  <c:v>0.23404412615451561</c:v>
                </c:pt>
                <c:pt idx="703">
                  <c:v>0.23359794463350486</c:v>
                </c:pt>
                <c:pt idx="704">
                  <c:v>0.23315077643636772</c:v>
                </c:pt>
                <c:pt idx="705">
                  <c:v>0.23270633635223545</c:v>
                </c:pt>
                <c:pt idx="706">
                  <c:v>0.23226404982348886</c:v>
                </c:pt>
                <c:pt idx="707">
                  <c:v>0.23182173049783233</c:v>
                </c:pt>
                <c:pt idx="708">
                  <c:v>0.23137878938355716</c:v>
                </c:pt>
                <c:pt idx="709">
                  <c:v>0.23093895091050559</c:v>
                </c:pt>
                <c:pt idx="710">
                  <c:v>0.23050034251659854</c:v>
                </c:pt>
                <c:pt idx="711">
                  <c:v>0.230062153576339</c:v>
                </c:pt>
                <c:pt idx="712">
                  <c:v>0.22962674153031207</c:v>
                </c:pt>
                <c:pt idx="713">
                  <c:v>0.22919255739553654</c:v>
                </c:pt>
                <c:pt idx="714">
                  <c:v>0.22876060563094078</c:v>
                </c:pt>
                <c:pt idx="715">
                  <c:v>0.22832940647036162</c:v>
                </c:pt>
                <c:pt idx="716">
                  <c:v>0.2279012626347463</c:v>
                </c:pt>
                <c:pt idx="717">
                  <c:v>0.22747326242365604</c:v>
                </c:pt>
                <c:pt idx="718">
                  <c:v>0.22704764422334883</c:v>
                </c:pt>
                <c:pt idx="719">
                  <c:v>0.22662345641784098</c:v>
                </c:pt>
              </c:numCache>
            </c:numRef>
          </c:val>
        </c:ser>
        <c:marker val="1"/>
        <c:axId val="91348992"/>
        <c:axId val="91350528"/>
      </c:lineChart>
      <c:catAx>
        <c:axId val="91348992"/>
        <c:scaling>
          <c:orientation val="minMax"/>
        </c:scaling>
        <c:axPos val="b"/>
        <c:tickLblPos val="nextTo"/>
        <c:crossAx val="91350528"/>
        <c:crosses val="autoZero"/>
        <c:auto val="1"/>
        <c:lblAlgn val="ctr"/>
        <c:lblOffset val="100"/>
      </c:catAx>
      <c:valAx>
        <c:axId val="91350528"/>
        <c:scaling>
          <c:orientation val="minMax"/>
        </c:scaling>
        <c:axPos val="l"/>
        <c:majorGridlines/>
        <c:numFmt formatCode="General" sourceLinked="1"/>
        <c:tickLblPos val="nextTo"/>
        <c:crossAx val="913489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Output!$Y$12:$Y$731</c:f>
              <c:numCache>
                <c:formatCode>0.00000%</c:formatCode>
                <c:ptCount val="720"/>
                <c:pt idx="0">
                  <c:v>4.9940332679029698E-2</c:v>
                </c:pt>
                <c:pt idx="1">
                  <c:v>4.9503389204221045E-2</c:v>
                </c:pt>
                <c:pt idx="2">
                  <c:v>4.9094749795606754E-2</c:v>
                </c:pt>
                <c:pt idx="3">
                  <c:v>4.9487241999435647E-2</c:v>
                </c:pt>
                <c:pt idx="4">
                  <c:v>4.9123950574009791E-2</c:v>
                </c:pt>
                <c:pt idx="5">
                  <c:v>4.9165095684924442E-2</c:v>
                </c:pt>
                <c:pt idx="6">
                  <c:v>4.9257852796586662E-2</c:v>
                </c:pt>
                <c:pt idx="7">
                  <c:v>4.9203805107228993E-2</c:v>
                </c:pt>
                <c:pt idx="8">
                  <c:v>4.8795032773787134E-2</c:v>
                </c:pt>
                <c:pt idx="9">
                  <c:v>4.8921896490144501E-2</c:v>
                </c:pt>
                <c:pt idx="10">
                  <c:v>4.8877849321814118E-2</c:v>
                </c:pt>
                <c:pt idx="11">
                  <c:v>4.8828030282769726E-2</c:v>
                </c:pt>
                <c:pt idx="12">
                  <c:v>4.892981538747837E-2</c:v>
                </c:pt>
                <c:pt idx="13">
                  <c:v>4.8996480253252386E-2</c:v>
                </c:pt>
                <c:pt idx="14">
                  <c:v>4.9235836640877315E-2</c:v>
                </c:pt>
                <c:pt idx="15">
                  <c:v>4.9498969256126374E-2</c:v>
                </c:pt>
                <c:pt idx="16">
                  <c:v>4.950213847023853E-2</c:v>
                </c:pt>
                <c:pt idx="17">
                  <c:v>4.8755465980463902E-2</c:v>
                </c:pt>
                <c:pt idx="18">
                  <c:v>4.895863394350071E-2</c:v>
                </c:pt>
                <c:pt idx="19">
                  <c:v>4.9076351699795413E-2</c:v>
                </c:pt>
                <c:pt idx="20">
                  <c:v>4.9176855407515235E-2</c:v>
                </c:pt>
                <c:pt idx="21">
                  <c:v>4.912469273578491E-2</c:v>
                </c:pt>
                <c:pt idx="22">
                  <c:v>4.9092710332534324E-2</c:v>
                </c:pt>
                <c:pt idx="23">
                  <c:v>4.9288996208703563E-2</c:v>
                </c:pt>
                <c:pt idx="24">
                  <c:v>4.9622013100572807E-2</c:v>
                </c:pt>
                <c:pt idx="25">
                  <c:v>4.9433675312451311E-2</c:v>
                </c:pt>
                <c:pt idx="26">
                  <c:v>4.9437273262386713E-2</c:v>
                </c:pt>
                <c:pt idx="27">
                  <c:v>4.9165229128093617E-2</c:v>
                </c:pt>
                <c:pt idx="28">
                  <c:v>4.899032155900427E-2</c:v>
                </c:pt>
                <c:pt idx="29">
                  <c:v>4.9295744909818556E-2</c:v>
                </c:pt>
                <c:pt idx="30">
                  <c:v>4.9206286294182056E-2</c:v>
                </c:pt>
                <c:pt idx="31">
                  <c:v>4.9322352452494084E-2</c:v>
                </c:pt>
                <c:pt idx="32">
                  <c:v>4.9537962307591811E-2</c:v>
                </c:pt>
                <c:pt idx="33">
                  <c:v>4.9316061069431802E-2</c:v>
                </c:pt>
                <c:pt idx="34">
                  <c:v>4.9284302266870347E-2</c:v>
                </c:pt>
                <c:pt idx="35">
                  <c:v>4.9525758044992339E-2</c:v>
                </c:pt>
                <c:pt idx="36">
                  <c:v>4.9832498392818114E-2</c:v>
                </c:pt>
                <c:pt idx="37">
                  <c:v>4.9626326752467392E-2</c:v>
                </c:pt>
                <c:pt idx="38">
                  <c:v>4.9588329377840815E-2</c:v>
                </c:pt>
                <c:pt idx="39">
                  <c:v>4.9546307493274926E-2</c:v>
                </c:pt>
                <c:pt idx="40">
                  <c:v>4.9442411268227342E-2</c:v>
                </c:pt>
                <c:pt idx="41">
                  <c:v>4.9570866658349644E-2</c:v>
                </c:pt>
                <c:pt idx="42">
                  <c:v>4.9740626404975244E-2</c:v>
                </c:pt>
                <c:pt idx="43">
                  <c:v>4.9614281184028622E-2</c:v>
                </c:pt>
                <c:pt idx="44">
                  <c:v>4.9587090509760234E-2</c:v>
                </c:pt>
                <c:pt idx="45">
                  <c:v>4.9342731081018151E-2</c:v>
                </c:pt>
                <c:pt idx="46">
                  <c:v>4.9452031982682727E-2</c:v>
                </c:pt>
                <c:pt idx="47">
                  <c:v>4.9304564076196544E-2</c:v>
                </c:pt>
                <c:pt idx="48">
                  <c:v>4.9470041540748334E-2</c:v>
                </c:pt>
                <c:pt idx="49">
                  <c:v>4.9518181953146431E-2</c:v>
                </c:pt>
                <c:pt idx="50">
                  <c:v>4.9546833950573972E-2</c:v>
                </c:pt>
                <c:pt idx="51">
                  <c:v>4.9492253986853682E-2</c:v>
                </c:pt>
                <c:pt idx="52">
                  <c:v>4.9471121172106058E-2</c:v>
                </c:pt>
                <c:pt idx="53">
                  <c:v>4.9635902681147911E-2</c:v>
                </c:pt>
                <c:pt idx="54">
                  <c:v>4.9646732493678618E-2</c:v>
                </c:pt>
                <c:pt idx="55">
                  <c:v>4.9865744636328924E-2</c:v>
                </c:pt>
                <c:pt idx="56">
                  <c:v>4.9878958946053223E-2</c:v>
                </c:pt>
                <c:pt idx="57">
                  <c:v>4.9821418487895494E-2</c:v>
                </c:pt>
                <c:pt idx="58">
                  <c:v>4.9758807819731257E-2</c:v>
                </c:pt>
                <c:pt idx="59">
                  <c:v>4.9849698107457811E-2</c:v>
                </c:pt>
                <c:pt idx="60">
                  <c:v>4.9711602633073775E-2</c:v>
                </c:pt>
                <c:pt idx="61">
                  <c:v>4.9663440270952687E-2</c:v>
                </c:pt>
                <c:pt idx="62">
                  <c:v>4.9780153286109727E-2</c:v>
                </c:pt>
                <c:pt idx="63">
                  <c:v>4.971758668227623E-2</c:v>
                </c:pt>
                <c:pt idx="64">
                  <c:v>4.9918215029392123E-2</c:v>
                </c:pt>
                <c:pt idx="65">
                  <c:v>4.9775195326296442E-2</c:v>
                </c:pt>
                <c:pt idx="66">
                  <c:v>4.9691512792938104E-2</c:v>
                </c:pt>
                <c:pt idx="67">
                  <c:v>4.9642742872219328E-2</c:v>
                </c:pt>
                <c:pt idx="68">
                  <c:v>4.9732832022667116E-2</c:v>
                </c:pt>
                <c:pt idx="69">
                  <c:v>4.9548638687621258E-2</c:v>
                </c:pt>
                <c:pt idx="70">
                  <c:v>4.9561160311708208E-2</c:v>
                </c:pt>
                <c:pt idx="71">
                  <c:v>4.9571141068853616E-2</c:v>
                </c:pt>
                <c:pt idx="72">
                  <c:v>4.9412363525733027E-2</c:v>
                </c:pt>
                <c:pt idx="73">
                  <c:v>4.9318485921352781E-2</c:v>
                </c:pt>
                <c:pt idx="74">
                  <c:v>4.9408670562209225E-2</c:v>
                </c:pt>
                <c:pt idx="75">
                  <c:v>4.9442871011350878E-2</c:v>
                </c:pt>
                <c:pt idx="76">
                  <c:v>4.9533909497842428E-2</c:v>
                </c:pt>
                <c:pt idx="77">
                  <c:v>4.9450508551435408E-2</c:v>
                </c:pt>
                <c:pt idx="78">
                  <c:v>4.963553578700821E-2</c:v>
                </c:pt>
                <c:pt idx="79">
                  <c:v>4.9861648845664894E-2</c:v>
                </c:pt>
                <c:pt idx="80">
                  <c:v>4.9871274079265629E-2</c:v>
                </c:pt>
                <c:pt idx="81">
                  <c:v>4.9875644754260672E-2</c:v>
                </c:pt>
                <c:pt idx="82">
                  <c:v>4.9966360012721631E-2</c:v>
                </c:pt>
                <c:pt idx="83">
                  <c:v>5.016864870797183E-2</c:v>
                </c:pt>
                <c:pt idx="84">
                  <c:v>5.0328953897026553E-2</c:v>
                </c:pt>
                <c:pt idx="85">
                  <c:v>5.0412567030731076E-2</c:v>
                </c:pt>
                <c:pt idx="86">
                  <c:v>5.0508479041978908E-2</c:v>
                </c:pt>
                <c:pt idx="87">
                  <c:v>5.0273873587500698E-2</c:v>
                </c:pt>
                <c:pt idx="88">
                  <c:v>5.0315410807941531E-2</c:v>
                </c:pt>
                <c:pt idx="89">
                  <c:v>5.0409951793474642E-2</c:v>
                </c:pt>
                <c:pt idx="90">
                  <c:v>5.045833114863589E-2</c:v>
                </c:pt>
                <c:pt idx="91">
                  <c:v>5.0523449070205111E-2</c:v>
                </c:pt>
                <c:pt idx="92">
                  <c:v>5.0338743036026701E-2</c:v>
                </c:pt>
                <c:pt idx="93">
                  <c:v>5.0603075482467223E-2</c:v>
                </c:pt>
                <c:pt idx="94">
                  <c:v>5.0735917823006557E-2</c:v>
                </c:pt>
                <c:pt idx="95">
                  <c:v>5.0729742389244617E-2</c:v>
                </c:pt>
                <c:pt idx="96">
                  <c:v>5.0489585444108198E-2</c:v>
                </c:pt>
                <c:pt idx="97">
                  <c:v>5.0575173057757841E-2</c:v>
                </c:pt>
                <c:pt idx="98">
                  <c:v>5.0525038135969876E-2</c:v>
                </c:pt>
                <c:pt idx="99">
                  <c:v>5.0566694875105386E-2</c:v>
                </c:pt>
                <c:pt idx="100">
                  <c:v>5.0557904626489937E-2</c:v>
                </c:pt>
                <c:pt idx="101">
                  <c:v>5.0704244952041996E-2</c:v>
                </c:pt>
                <c:pt idx="102">
                  <c:v>5.065056793998618E-2</c:v>
                </c:pt>
                <c:pt idx="103">
                  <c:v>5.0762970817452499E-2</c:v>
                </c:pt>
                <c:pt idx="104">
                  <c:v>5.0823232630036574E-2</c:v>
                </c:pt>
                <c:pt idx="105">
                  <c:v>5.0742883978089542E-2</c:v>
                </c:pt>
                <c:pt idx="106">
                  <c:v>5.0785242945111955E-2</c:v>
                </c:pt>
                <c:pt idx="107">
                  <c:v>5.0706497947695606E-2</c:v>
                </c:pt>
                <c:pt idx="108">
                  <c:v>5.0817956876427019E-2</c:v>
                </c:pt>
                <c:pt idx="109">
                  <c:v>5.0719011868295402E-2</c:v>
                </c:pt>
                <c:pt idx="110">
                  <c:v>5.0733658368118446E-2</c:v>
                </c:pt>
                <c:pt idx="111">
                  <c:v>5.0827517782357397E-2</c:v>
                </c:pt>
                <c:pt idx="112">
                  <c:v>5.1025888422830491E-2</c:v>
                </c:pt>
                <c:pt idx="113">
                  <c:v>5.1034945770452658E-2</c:v>
                </c:pt>
                <c:pt idx="114">
                  <c:v>5.1112042525275111E-2</c:v>
                </c:pt>
                <c:pt idx="115">
                  <c:v>5.101807612469364E-2</c:v>
                </c:pt>
                <c:pt idx="116">
                  <c:v>5.1031557193933312E-2</c:v>
                </c:pt>
                <c:pt idx="117">
                  <c:v>5.1116891110529153E-2</c:v>
                </c:pt>
                <c:pt idx="118">
                  <c:v>5.0910725879828658E-2</c:v>
                </c:pt>
                <c:pt idx="119">
                  <c:v>5.090948300848875E-2</c:v>
                </c:pt>
                <c:pt idx="120">
                  <c:v>5.0712120192482786E-2</c:v>
                </c:pt>
                <c:pt idx="121">
                  <c:v>5.0668034062221243E-2</c:v>
                </c:pt>
                <c:pt idx="122">
                  <c:v>5.0843174839080858E-2</c:v>
                </c:pt>
                <c:pt idx="123">
                  <c:v>5.080861209059831E-2</c:v>
                </c:pt>
                <c:pt idx="124">
                  <c:v>5.0818357159029312E-2</c:v>
                </c:pt>
                <c:pt idx="125">
                  <c:v>5.0697183958646586E-2</c:v>
                </c:pt>
                <c:pt idx="126">
                  <c:v>5.0779619146489097E-2</c:v>
                </c:pt>
                <c:pt idx="127">
                  <c:v>5.0794563624725939E-2</c:v>
                </c:pt>
                <c:pt idx="128">
                  <c:v>5.0727354683917772E-2</c:v>
                </c:pt>
                <c:pt idx="129">
                  <c:v>5.0737992697346024E-2</c:v>
                </c:pt>
                <c:pt idx="130">
                  <c:v>5.0629893004930961E-2</c:v>
                </c:pt>
                <c:pt idx="131">
                  <c:v>5.0422651359903314E-2</c:v>
                </c:pt>
                <c:pt idx="132">
                  <c:v>5.0446266900941207E-2</c:v>
                </c:pt>
                <c:pt idx="133">
                  <c:v>5.0390054631854975E-2</c:v>
                </c:pt>
                <c:pt idx="134">
                  <c:v>5.0086046348461546E-2</c:v>
                </c:pt>
                <c:pt idx="135">
                  <c:v>5.0057399748529477E-2</c:v>
                </c:pt>
                <c:pt idx="136">
                  <c:v>4.9998533183282012E-2</c:v>
                </c:pt>
                <c:pt idx="137">
                  <c:v>4.9856251432289486E-2</c:v>
                </c:pt>
                <c:pt idx="138">
                  <c:v>4.9768327491365311E-2</c:v>
                </c:pt>
                <c:pt idx="139">
                  <c:v>4.9742441863711559E-2</c:v>
                </c:pt>
                <c:pt idx="140">
                  <c:v>4.9776372997112746E-2</c:v>
                </c:pt>
                <c:pt idx="141">
                  <c:v>4.9823999403213685E-2</c:v>
                </c:pt>
                <c:pt idx="142">
                  <c:v>4.9780951013449079E-2</c:v>
                </c:pt>
                <c:pt idx="143">
                  <c:v>4.9672467120802075E-2</c:v>
                </c:pt>
                <c:pt idx="144">
                  <c:v>4.9599416505925961E-2</c:v>
                </c:pt>
                <c:pt idx="145">
                  <c:v>4.9706581597856847E-2</c:v>
                </c:pt>
                <c:pt idx="146">
                  <c:v>4.9650680087914692E-2</c:v>
                </c:pt>
                <c:pt idx="147">
                  <c:v>4.95346356772563E-2</c:v>
                </c:pt>
                <c:pt idx="148">
                  <c:v>4.9559745604302666E-2</c:v>
                </c:pt>
                <c:pt idx="149">
                  <c:v>4.9654525996722473E-2</c:v>
                </c:pt>
                <c:pt idx="150">
                  <c:v>4.9725914867474949E-2</c:v>
                </c:pt>
                <c:pt idx="151">
                  <c:v>4.9740272404045022E-2</c:v>
                </c:pt>
                <c:pt idx="152">
                  <c:v>4.9906242110293174E-2</c:v>
                </c:pt>
                <c:pt idx="153">
                  <c:v>5.0078356101273598E-2</c:v>
                </c:pt>
                <c:pt idx="154">
                  <c:v>4.9901170834686467E-2</c:v>
                </c:pt>
                <c:pt idx="155">
                  <c:v>4.9831924890914925E-2</c:v>
                </c:pt>
                <c:pt idx="156">
                  <c:v>4.982465855400306E-2</c:v>
                </c:pt>
                <c:pt idx="157">
                  <c:v>4.9919504115356679E-2</c:v>
                </c:pt>
                <c:pt idx="158">
                  <c:v>4.9859770618648117E-2</c:v>
                </c:pt>
                <c:pt idx="159">
                  <c:v>4.9862719490577453E-2</c:v>
                </c:pt>
                <c:pt idx="160">
                  <c:v>5.0039165735190912E-2</c:v>
                </c:pt>
                <c:pt idx="161">
                  <c:v>5.0133975644370554E-2</c:v>
                </c:pt>
                <c:pt idx="162">
                  <c:v>5.000902884142544E-2</c:v>
                </c:pt>
                <c:pt idx="163">
                  <c:v>4.9847654585060172E-2</c:v>
                </c:pt>
                <c:pt idx="164">
                  <c:v>4.9622225878192788E-2</c:v>
                </c:pt>
                <c:pt idx="165">
                  <c:v>4.9784953008331523E-2</c:v>
                </c:pt>
                <c:pt idx="166">
                  <c:v>4.970773601821464E-2</c:v>
                </c:pt>
                <c:pt idx="167">
                  <c:v>4.9603053438843747E-2</c:v>
                </c:pt>
                <c:pt idx="168">
                  <c:v>4.9618507347743888E-2</c:v>
                </c:pt>
                <c:pt idx="169">
                  <c:v>4.9525723350347217E-2</c:v>
                </c:pt>
                <c:pt idx="170">
                  <c:v>4.9418998075123843E-2</c:v>
                </c:pt>
                <c:pt idx="171">
                  <c:v>4.9467068589887545E-2</c:v>
                </c:pt>
                <c:pt idx="172">
                  <c:v>4.9302299645735841E-2</c:v>
                </c:pt>
                <c:pt idx="173">
                  <c:v>4.9461371783357341E-2</c:v>
                </c:pt>
                <c:pt idx="174">
                  <c:v>4.9481699689814321E-2</c:v>
                </c:pt>
                <c:pt idx="175">
                  <c:v>4.9427224193036072E-2</c:v>
                </c:pt>
                <c:pt idx="176">
                  <c:v>4.9497425298099446E-2</c:v>
                </c:pt>
                <c:pt idx="177">
                  <c:v>4.9746556836649206E-2</c:v>
                </c:pt>
                <c:pt idx="178">
                  <c:v>4.980727845483858E-2</c:v>
                </c:pt>
                <c:pt idx="179">
                  <c:v>4.9714247282956592E-2</c:v>
                </c:pt>
                <c:pt idx="180">
                  <c:v>4.9809611777673748E-2</c:v>
                </c:pt>
                <c:pt idx="181">
                  <c:v>4.9886176598647601E-2</c:v>
                </c:pt>
                <c:pt idx="182">
                  <c:v>4.9970799585778658E-2</c:v>
                </c:pt>
                <c:pt idx="183">
                  <c:v>5.0013055248988317E-2</c:v>
                </c:pt>
                <c:pt idx="184">
                  <c:v>5.0051443085620796E-2</c:v>
                </c:pt>
                <c:pt idx="185">
                  <c:v>4.9907992458075826E-2</c:v>
                </c:pt>
                <c:pt idx="186">
                  <c:v>4.9929719371875313E-2</c:v>
                </c:pt>
                <c:pt idx="187">
                  <c:v>4.9984764224472941E-2</c:v>
                </c:pt>
                <c:pt idx="188">
                  <c:v>4.9873548727546291E-2</c:v>
                </c:pt>
                <c:pt idx="189">
                  <c:v>4.9838325325944413E-2</c:v>
                </c:pt>
                <c:pt idx="190">
                  <c:v>4.9888187608562486E-2</c:v>
                </c:pt>
                <c:pt idx="191">
                  <c:v>4.9837949870395928E-2</c:v>
                </c:pt>
                <c:pt idx="192">
                  <c:v>4.9864603498867198E-2</c:v>
                </c:pt>
                <c:pt idx="193">
                  <c:v>4.9710667510860694E-2</c:v>
                </c:pt>
                <c:pt idx="194">
                  <c:v>4.9740772635858216E-2</c:v>
                </c:pt>
                <c:pt idx="195">
                  <c:v>4.9880543278466374E-2</c:v>
                </c:pt>
                <c:pt idx="196">
                  <c:v>4.9679702798878698E-2</c:v>
                </c:pt>
                <c:pt idx="197">
                  <c:v>4.9613864847253761E-2</c:v>
                </c:pt>
                <c:pt idx="198">
                  <c:v>4.9395333379972955E-2</c:v>
                </c:pt>
                <c:pt idx="199">
                  <c:v>4.9395132734298228E-2</c:v>
                </c:pt>
                <c:pt idx="200">
                  <c:v>4.9363072100926442E-2</c:v>
                </c:pt>
                <c:pt idx="201">
                  <c:v>4.9243936280279649E-2</c:v>
                </c:pt>
                <c:pt idx="202">
                  <c:v>4.9271796144262858E-2</c:v>
                </c:pt>
                <c:pt idx="203">
                  <c:v>4.9024423993416145E-2</c:v>
                </c:pt>
                <c:pt idx="204">
                  <c:v>4.9127621782977658E-2</c:v>
                </c:pt>
                <c:pt idx="205">
                  <c:v>4.9002095478516097E-2</c:v>
                </c:pt>
                <c:pt idx="206">
                  <c:v>4.9107933761080462E-2</c:v>
                </c:pt>
                <c:pt idx="207">
                  <c:v>4.9014626669420601E-2</c:v>
                </c:pt>
                <c:pt idx="208">
                  <c:v>4.9006785633020224E-2</c:v>
                </c:pt>
                <c:pt idx="209">
                  <c:v>4.9125539024116829E-2</c:v>
                </c:pt>
                <c:pt idx="210">
                  <c:v>4.9167632447307832E-2</c:v>
                </c:pt>
                <c:pt idx="211">
                  <c:v>4.9157191384138453E-2</c:v>
                </c:pt>
                <c:pt idx="212">
                  <c:v>4.9117981873942354E-2</c:v>
                </c:pt>
                <c:pt idx="213">
                  <c:v>4.916085231332791E-2</c:v>
                </c:pt>
                <c:pt idx="214">
                  <c:v>4.8915129594207303E-2</c:v>
                </c:pt>
                <c:pt idx="215">
                  <c:v>4.888110917637075E-2</c:v>
                </c:pt>
                <c:pt idx="216">
                  <c:v>4.8953732771767206E-2</c:v>
                </c:pt>
                <c:pt idx="217">
                  <c:v>4.8697002129902238E-2</c:v>
                </c:pt>
                <c:pt idx="218">
                  <c:v>4.8780439676903022E-2</c:v>
                </c:pt>
                <c:pt idx="219">
                  <c:v>4.876992102683856E-2</c:v>
                </c:pt>
                <c:pt idx="220">
                  <c:v>4.8694072049395354E-2</c:v>
                </c:pt>
                <c:pt idx="221">
                  <c:v>4.8919411480906679E-2</c:v>
                </c:pt>
                <c:pt idx="222">
                  <c:v>4.8800036477365354E-2</c:v>
                </c:pt>
                <c:pt idx="223">
                  <c:v>4.8698673843609E-2</c:v>
                </c:pt>
                <c:pt idx="224">
                  <c:v>4.8645412068464969E-2</c:v>
                </c:pt>
                <c:pt idx="225">
                  <c:v>4.8544916729081691E-2</c:v>
                </c:pt>
                <c:pt idx="226">
                  <c:v>4.8546395145188992E-2</c:v>
                </c:pt>
                <c:pt idx="227">
                  <c:v>4.8606062932872042E-2</c:v>
                </c:pt>
                <c:pt idx="228">
                  <c:v>4.8544045737931432E-2</c:v>
                </c:pt>
                <c:pt idx="229">
                  <c:v>4.8581144171200089E-2</c:v>
                </c:pt>
                <c:pt idx="230">
                  <c:v>4.8654602731474698E-2</c:v>
                </c:pt>
                <c:pt idx="231">
                  <c:v>4.8769083968584745E-2</c:v>
                </c:pt>
                <c:pt idx="232">
                  <c:v>4.8777103445130351E-2</c:v>
                </c:pt>
                <c:pt idx="233">
                  <c:v>4.880519557107476E-2</c:v>
                </c:pt>
                <c:pt idx="234">
                  <c:v>4.8886262943605527E-2</c:v>
                </c:pt>
                <c:pt idx="235">
                  <c:v>4.8750531536748867E-2</c:v>
                </c:pt>
                <c:pt idx="236">
                  <c:v>4.8854421514785779E-2</c:v>
                </c:pt>
                <c:pt idx="237">
                  <c:v>4.9080812673035559E-2</c:v>
                </c:pt>
                <c:pt idx="238">
                  <c:v>4.9253078759422753E-2</c:v>
                </c:pt>
                <c:pt idx="239">
                  <c:v>4.9142393508811652E-2</c:v>
                </c:pt>
                <c:pt idx="240">
                  <c:v>4.8983694731858325E-2</c:v>
                </c:pt>
                <c:pt idx="241">
                  <c:v>4.8966832811909403E-2</c:v>
                </c:pt>
                <c:pt idx="242">
                  <c:v>4.8958548726129647E-2</c:v>
                </c:pt>
                <c:pt idx="243">
                  <c:v>4.9036799804426184E-2</c:v>
                </c:pt>
                <c:pt idx="244">
                  <c:v>4.9098933879330939E-2</c:v>
                </c:pt>
                <c:pt idx="245">
                  <c:v>4.9170080608881894E-2</c:v>
                </c:pt>
                <c:pt idx="246">
                  <c:v>4.9128655945418986E-2</c:v>
                </c:pt>
                <c:pt idx="247">
                  <c:v>4.9132891876349859E-2</c:v>
                </c:pt>
                <c:pt idx="248">
                  <c:v>4.9135949724228349E-2</c:v>
                </c:pt>
                <c:pt idx="249">
                  <c:v>4.8993644229615343E-2</c:v>
                </c:pt>
                <c:pt idx="250">
                  <c:v>4.8858189530547491E-2</c:v>
                </c:pt>
                <c:pt idx="251">
                  <c:v>4.8990910940921256E-2</c:v>
                </c:pt>
                <c:pt idx="252">
                  <c:v>4.9032393565714621E-2</c:v>
                </c:pt>
                <c:pt idx="253">
                  <c:v>4.9055232108068253E-2</c:v>
                </c:pt>
                <c:pt idx="254">
                  <c:v>4.9078886383829824E-2</c:v>
                </c:pt>
                <c:pt idx="255">
                  <c:v>4.9233835655413935E-2</c:v>
                </c:pt>
                <c:pt idx="256">
                  <c:v>4.9236623696287354E-2</c:v>
                </c:pt>
                <c:pt idx="257">
                  <c:v>4.9274489197869795E-2</c:v>
                </c:pt>
                <c:pt idx="258">
                  <c:v>4.8982126142833531E-2</c:v>
                </c:pt>
                <c:pt idx="259">
                  <c:v>4.9086751603159354E-2</c:v>
                </c:pt>
                <c:pt idx="260">
                  <c:v>4.9122781229493317E-2</c:v>
                </c:pt>
                <c:pt idx="261">
                  <c:v>4.9174205549617378E-2</c:v>
                </c:pt>
                <c:pt idx="262">
                  <c:v>4.9047940011064314E-2</c:v>
                </c:pt>
                <c:pt idx="263">
                  <c:v>4.9134605901225703E-2</c:v>
                </c:pt>
                <c:pt idx="264">
                  <c:v>4.9310336021572837E-2</c:v>
                </c:pt>
                <c:pt idx="265">
                  <c:v>4.9260993027005262E-2</c:v>
                </c:pt>
                <c:pt idx="266">
                  <c:v>4.9369533551906437E-2</c:v>
                </c:pt>
                <c:pt idx="267">
                  <c:v>4.9384495832204389E-2</c:v>
                </c:pt>
                <c:pt idx="268">
                  <c:v>4.953597755589436E-2</c:v>
                </c:pt>
                <c:pt idx="269">
                  <c:v>4.948686348819243E-2</c:v>
                </c:pt>
                <c:pt idx="270">
                  <c:v>4.9442478587558639E-2</c:v>
                </c:pt>
                <c:pt idx="271">
                  <c:v>4.9551594428997162E-2</c:v>
                </c:pt>
                <c:pt idx="272">
                  <c:v>4.9553265955544983E-2</c:v>
                </c:pt>
                <c:pt idx="273">
                  <c:v>4.9809222906527152E-2</c:v>
                </c:pt>
                <c:pt idx="274">
                  <c:v>4.9971110522416873E-2</c:v>
                </c:pt>
                <c:pt idx="275">
                  <c:v>4.994099488296283E-2</c:v>
                </c:pt>
                <c:pt idx="276">
                  <c:v>5.0218457302820818E-2</c:v>
                </c:pt>
                <c:pt idx="277">
                  <c:v>5.0254617335937696E-2</c:v>
                </c:pt>
                <c:pt idx="278">
                  <c:v>5.0280886786873327E-2</c:v>
                </c:pt>
                <c:pt idx="279">
                  <c:v>5.0207957405981274E-2</c:v>
                </c:pt>
                <c:pt idx="280">
                  <c:v>5.0129823513653991E-2</c:v>
                </c:pt>
                <c:pt idx="281">
                  <c:v>5.029863023341502E-2</c:v>
                </c:pt>
                <c:pt idx="282">
                  <c:v>5.038861026061274E-2</c:v>
                </c:pt>
                <c:pt idx="283">
                  <c:v>5.0444400854201557E-2</c:v>
                </c:pt>
                <c:pt idx="284">
                  <c:v>5.0363086178892E-2</c:v>
                </c:pt>
                <c:pt idx="285">
                  <c:v>5.0313708838025439E-2</c:v>
                </c:pt>
                <c:pt idx="286">
                  <c:v>5.0324139591268108E-2</c:v>
                </c:pt>
                <c:pt idx="287">
                  <c:v>5.0163295776256708E-2</c:v>
                </c:pt>
                <c:pt idx="288">
                  <c:v>5.0070323930113694E-2</c:v>
                </c:pt>
                <c:pt idx="289">
                  <c:v>5.0212050377014886E-2</c:v>
                </c:pt>
                <c:pt idx="290">
                  <c:v>5.0271878901287106E-2</c:v>
                </c:pt>
                <c:pt idx="291">
                  <c:v>5.0344366137263702E-2</c:v>
                </c:pt>
                <c:pt idx="292">
                  <c:v>5.0194681983011344E-2</c:v>
                </c:pt>
                <c:pt idx="293">
                  <c:v>5.018566731977249E-2</c:v>
                </c:pt>
                <c:pt idx="294">
                  <c:v>5.0438384447805781E-2</c:v>
                </c:pt>
                <c:pt idx="295">
                  <c:v>5.0560219349992636E-2</c:v>
                </c:pt>
                <c:pt idx="296">
                  <c:v>5.0679799295649142E-2</c:v>
                </c:pt>
                <c:pt idx="297">
                  <c:v>5.0520583489079909E-2</c:v>
                </c:pt>
                <c:pt idx="298">
                  <c:v>5.0459097252726112E-2</c:v>
                </c:pt>
                <c:pt idx="299">
                  <c:v>5.037354152345043E-2</c:v>
                </c:pt>
                <c:pt idx="300">
                  <c:v>5.0365708128278334E-2</c:v>
                </c:pt>
                <c:pt idx="301">
                  <c:v>5.0347902467727912E-2</c:v>
                </c:pt>
                <c:pt idx="302">
                  <c:v>5.0540527215435824E-2</c:v>
                </c:pt>
                <c:pt idx="303">
                  <c:v>5.0583415117454039E-2</c:v>
                </c:pt>
                <c:pt idx="304">
                  <c:v>5.0491192279422767E-2</c:v>
                </c:pt>
                <c:pt idx="305">
                  <c:v>5.0531270016835508E-2</c:v>
                </c:pt>
                <c:pt idx="306">
                  <c:v>5.061973983513543E-2</c:v>
                </c:pt>
                <c:pt idx="307">
                  <c:v>5.0595960218409911E-2</c:v>
                </c:pt>
                <c:pt idx="308">
                  <c:v>5.0646970826095983E-2</c:v>
                </c:pt>
                <c:pt idx="309">
                  <c:v>5.0460048964005091E-2</c:v>
                </c:pt>
                <c:pt idx="310">
                  <c:v>5.0541053674982107E-2</c:v>
                </c:pt>
                <c:pt idx="311">
                  <c:v>5.065243306007608E-2</c:v>
                </c:pt>
                <c:pt idx="312">
                  <c:v>5.0742586557746133E-2</c:v>
                </c:pt>
                <c:pt idx="313">
                  <c:v>5.0765563234474981E-2</c:v>
                </c:pt>
                <c:pt idx="314">
                  <c:v>5.087255608993476E-2</c:v>
                </c:pt>
                <c:pt idx="315">
                  <c:v>5.0885477660635857E-2</c:v>
                </c:pt>
                <c:pt idx="316">
                  <c:v>5.1055107809189211E-2</c:v>
                </c:pt>
                <c:pt idx="317">
                  <c:v>5.1119333870311576E-2</c:v>
                </c:pt>
                <c:pt idx="318">
                  <c:v>5.1257921266490813E-2</c:v>
                </c:pt>
                <c:pt idx="319">
                  <c:v>5.1306325774550916E-2</c:v>
                </c:pt>
                <c:pt idx="320">
                  <c:v>5.1417626967770108E-2</c:v>
                </c:pt>
                <c:pt idx="321">
                  <c:v>5.1416925040583067E-2</c:v>
                </c:pt>
                <c:pt idx="322">
                  <c:v>5.1470419467973372E-2</c:v>
                </c:pt>
                <c:pt idx="323">
                  <c:v>5.1572746615012127E-2</c:v>
                </c:pt>
                <c:pt idx="324">
                  <c:v>5.1482145924069231E-2</c:v>
                </c:pt>
                <c:pt idx="325">
                  <c:v>5.149024183904103E-2</c:v>
                </c:pt>
                <c:pt idx="326">
                  <c:v>5.1359532652217335E-2</c:v>
                </c:pt>
                <c:pt idx="327">
                  <c:v>5.1361204116733408E-2</c:v>
                </c:pt>
                <c:pt idx="328">
                  <c:v>5.1454416736761384E-2</c:v>
                </c:pt>
                <c:pt idx="329">
                  <c:v>5.1489111778667468E-2</c:v>
                </c:pt>
                <c:pt idx="330">
                  <c:v>5.1507624808687355E-2</c:v>
                </c:pt>
                <c:pt idx="331">
                  <c:v>5.1529840534947802E-2</c:v>
                </c:pt>
                <c:pt idx="332">
                  <c:v>5.1643033415246502E-2</c:v>
                </c:pt>
                <c:pt idx="333">
                  <c:v>5.1419750322593737E-2</c:v>
                </c:pt>
                <c:pt idx="334">
                  <c:v>5.1522669247787839E-2</c:v>
                </c:pt>
                <c:pt idx="335">
                  <c:v>5.1341379820612279E-2</c:v>
                </c:pt>
                <c:pt idx="336">
                  <c:v>5.1384789290714356E-2</c:v>
                </c:pt>
                <c:pt idx="337">
                  <c:v>5.1406296505071933E-2</c:v>
                </c:pt>
                <c:pt idx="338">
                  <c:v>5.1464574359559853E-2</c:v>
                </c:pt>
                <c:pt idx="339">
                  <c:v>5.1346202828520579E-2</c:v>
                </c:pt>
                <c:pt idx="340">
                  <c:v>5.1203496777261798E-2</c:v>
                </c:pt>
                <c:pt idx="341">
                  <c:v>5.1244733223755529E-2</c:v>
                </c:pt>
                <c:pt idx="342">
                  <c:v>5.1188730592749081E-2</c:v>
                </c:pt>
                <c:pt idx="343">
                  <c:v>5.1142003907164314E-2</c:v>
                </c:pt>
                <c:pt idx="344">
                  <c:v>5.1198767468591755E-2</c:v>
                </c:pt>
                <c:pt idx="345">
                  <c:v>5.1205720520446918E-2</c:v>
                </c:pt>
                <c:pt idx="346">
                  <c:v>5.1353816844142648E-2</c:v>
                </c:pt>
                <c:pt idx="347">
                  <c:v>5.1405697348260462E-2</c:v>
                </c:pt>
                <c:pt idx="348">
                  <c:v>5.1483971459803941E-2</c:v>
                </c:pt>
                <c:pt idx="349">
                  <c:v>5.158780742357081E-2</c:v>
                </c:pt>
                <c:pt idx="350">
                  <c:v>5.1504472213846471E-2</c:v>
                </c:pt>
                <c:pt idx="351">
                  <c:v>5.1408561616116968E-2</c:v>
                </c:pt>
                <c:pt idx="352">
                  <c:v>5.1203103142780218E-2</c:v>
                </c:pt>
                <c:pt idx="353">
                  <c:v>5.1296503527734336E-2</c:v>
                </c:pt>
                <c:pt idx="354">
                  <c:v>5.1459765898747387E-2</c:v>
                </c:pt>
                <c:pt idx="355">
                  <c:v>5.1358949267008729E-2</c:v>
                </c:pt>
                <c:pt idx="356">
                  <c:v>5.1223917901660532E-2</c:v>
                </c:pt>
                <c:pt idx="357">
                  <c:v>5.1081673133818367E-2</c:v>
                </c:pt>
                <c:pt idx="358">
                  <c:v>5.0960951944259633E-2</c:v>
                </c:pt>
                <c:pt idx="359">
                  <c:v>5.0776459954556249E-2</c:v>
                </c:pt>
                <c:pt idx="360">
                  <c:v>5.0825456472981229E-2</c:v>
                </c:pt>
                <c:pt idx="361">
                  <c:v>5.0746777047354932E-2</c:v>
                </c:pt>
                <c:pt idx="362">
                  <c:v>5.08300256590659E-2</c:v>
                </c:pt>
                <c:pt idx="363">
                  <c:v>5.1091887561271108E-2</c:v>
                </c:pt>
                <c:pt idx="364">
                  <c:v>5.1077869886599014E-2</c:v>
                </c:pt>
                <c:pt idx="365">
                  <c:v>5.112005878896405E-2</c:v>
                </c:pt>
                <c:pt idx="366">
                  <c:v>5.1013573292566262E-2</c:v>
                </c:pt>
                <c:pt idx="367">
                  <c:v>5.1022484626113092E-2</c:v>
                </c:pt>
                <c:pt idx="368">
                  <c:v>5.091918873553801E-2</c:v>
                </c:pt>
                <c:pt idx="369">
                  <c:v>5.1040341567906294E-2</c:v>
                </c:pt>
                <c:pt idx="370">
                  <c:v>5.1115176494018519E-2</c:v>
                </c:pt>
                <c:pt idx="371">
                  <c:v>5.0996397327160804E-2</c:v>
                </c:pt>
                <c:pt idx="372">
                  <c:v>5.093001243936085E-2</c:v>
                </c:pt>
                <c:pt idx="373">
                  <c:v>5.0868144479521572E-2</c:v>
                </c:pt>
                <c:pt idx="374">
                  <c:v>5.0739836172991326E-2</c:v>
                </c:pt>
                <c:pt idx="375">
                  <c:v>5.055680044858267E-2</c:v>
                </c:pt>
                <c:pt idx="376">
                  <c:v>5.0420974590518405E-2</c:v>
                </c:pt>
                <c:pt idx="377">
                  <c:v>5.0450883244986464E-2</c:v>
                </c:pt>
                <c:pt idx="378">
                  <c:v>5.0253029232358352E-2</c:v>
                </c:pt>
                <c:pt idx="379">
                  <c:v>5.0344510552796359E-2</c:v>
                </c:pt>
                <c:pt idx="380">
                  <c:v>5.0207202229551828E-2</c:v>
                </c:pt>
                <c:pt idx="381">
                  <c:v>5.0123140735088195E-2</c:v>
                </c:pt>
                <c:pt idx="382">
                  <c:v>5.0026734577266536E-2</c:v>
                </c:pt>
                <c:pt idx="383">
                  <c:v>5.0034139982493869E-2</c:v>
                </c:pt>
                <c:pt idx="384">
                  <c:v>5.0077185367667185E-2</c:v>
                </c:pt>
                <c:pt idx="385">
                  <c:v>4.9865522062055356E-2</c:v>
                </c:pt>
                <c:pt idx="386">
                  <c:v>4.9847888087968834E-2</c:v>
                </c:pt>
                <c:pt idx="387">
                  <c:v>4.9907414580874755E-2</c:v>
                </c:pt>
                <c:pt idx="388">
                  <c:v>4.9967809708627575E-2</c:v>
                </c:pt>
                <c:pt idx="389">
                  <c:v>5.0121527947889738E-2</c:v>
                </c:pt>
                <c:pt idx="390">
                  <c:v>5.0029738848412018E-2</c:v>
                </c:pt>
                <c:pt idx="391">
                  <c:v>4.9952433796553931E-2</c:v>
                </c:pt>
                <c:pt idx="392">
                  <c:v>4.9911845810932956E-2</c:v>
                </c:pt>
                <c:pt idx="393">
                  <c:v>4.9871837382567917E-2</c:v>
                </c:pt>
                <c:pt idx="394">
                  <c:v>4.9917810800533147E-2</c:v>
                </c:pt>
                <c:pt idx="395">
                  <c:v>4.9684968572180979E-2</c:v>
                </c:pt>
                <c:pt idx="396">
                  <c:v>4.9868206891402894E-2</c:v>
                </c:pt>
                <c:pt idx="397">
                  <c:v>4.9969439012703537E-2</c:v>
                </c:pt>
                <c:pt idx="398">
                  <c:v>4.9975630783673092E-2</c:v>
                </c:pt>
                <c:pt idx="399">
                  <c:v>5.0184492503332345E-2</c:v>
                </c:pt>
                <c:pt idx="400">
                  <c:v>5.0023117043351488E-2</c:v>
                </c:pt>
                <c:pt idx="401">
                  <c:v>4.9962279646393937E-2</c:v>
                </c:pt>
                <c:pt idx="402">
                  <c:v>5.0001775286641202E-2</c:v>
                </c:pt>
                <c:pt idx="403">
                  <c:v>5.0069162480113394E-2</c:v>
                </c:pt>
                <c:pt idx="404">
                  <c:v>5.0142196198065869E-2</c:v>
                </c:pt>
                <c:pt idx="405">
                  <c:v>5.0074414251641927E-2</c:v>
                </c:pt>
                <c:pt idx="406">
                  <c:v>5.0062956931184316E-2</c:v>
                </c:pt>
                <c:pt idx="407">
                  <c:v>4.9860486015751992E-2</c:v>
                </c:pt>
                <c:pt idx="408">
                  <c:v>4.9664494641266918E-2</c:v>
                </c:pt>
                <c:pt idx="409">
                  <c:v>4.9660022879715257E-2</c:v>
                </c:pt>
                <c:pt idx="410">
                  <c:v>4.9503126178044823E-2</c:v>
                </c:pt>
                <c:pt idx="411">
                  <c:v>4.9394086900004727E-2</c:v>
                </c:pt>
                <c:pt idx="412">
                  <c:v>4.9406021525373253E-2</c:v>
                </c:pt>
                <c:pt idx="413">
                  <c:v>4.9344249307382189E-2</c:v>
                </c:pt>
                <c:pt idx="414">
                  <c:v>4.9466043224814162E-2</c:v>
                </c:pt>
                <c:pt idx="415">
                  <c:v>4.9380193358636339E-2</c:v>
                </c:pt>
                <c:pt idx="416">
                  <c:v>4.9319172444268145E-2</c:v>
                </c:pt>
                <c:pt idx="417">
                  <c:v>4.9231668738751351E-2</c:v>
                </c:pt>
                <c:pt idx="418">
                  <c:v>4.9122608436973206E-2</c:v>
                </c:pt>
                <c:pt idx="419">
                  <c:v>4.9061603840001175E-2</c:v>
                </c:pt>
                <c:pt idx="420">
                  <c:v>4.9034808776247177E-2</c:v>
                </c:pt>
                <c:pt idx="421">
                  <c:v>4.8808763413418658E-2</c:v>
                </c:pt>
                <c:pt idx="422">
                  <c:v>4.8832101744745893E-2</c:v>
                </c:pt>
                <c:pt idx="423">
                  <c:v>4.8865469514340683E-2</c:v>
                </c:pt>
                <c:pt idx="424">
                  <c:v>4.8897982438586882E-2</c:v>
                </c:pt>
                <c:pt idx="425">
                  <c:v>4.897902629169873E-2</c:v>
                </c:pt>
                <c:pt idx="426">
                  <c:v>4.9050499537239584E-2</c:v>
                </c:pt>
                <c:pt idx="427">
                  <c:v>4.911513246858841E-2</c:v>
                </c:pt>
                <c:pt idx="428">
                  <c:v>4.9127501242263623E-2</c:v>
                </c:pt>
                <c:pt idx="429">
                  <c:v>4.9133333696455561E-2</c:v>
                </c:pt>
                <c:pt idx="430">
                  <c:v>4.92376036682328E-2</c:v>
                </c:pt>
                <c:pt idx="431">
                  <c:v>4.9361843750222081E-2</c:v>
                </c:pt>
                <c:pt idx="432">
                  <c:v>4.9336675605421688E-2</c:v>
                </c:pt>
                <c:pt idx="433">
                  <c:v>4.9261531084207111E-2</c:v>
                </c:pt>
                <c:pt idx="434">
                  <c:v>4.9257661705452233E-2</c:v>
                </c:pt>
                <c:pt idx="435">
                  <c:v>4.9140332761477244E-2</c:v>
                </c:pt>
                <c:pt idx="436">
                  <c:v>4.9311352748884624E-2</c:v>
                </c:pt>
                <c:pt idx="437">
                  <c:v>4.9287199315878528E-2</c:v>
                </c:pt>
                <c:pt idx="438">
                  <c:v>4.9138382180829825E-2</c:v>
                </c:pt>
                <c:pt idx="439">
                  <c:v>4.8859778289126701E-2</c:v>
                </c:pt>
                <c:pt idx="440">
                  <c:v>4.8742525843554728E-2</c:v>
                </c:pt>
                <c:pt idx="441">
                  <c:v>4.8667847479138826E-2</c:v>
                </c:pt>
                <c:pt idx="442">
                  <c:v>4.843374460841194E-2</c:v>
                </c:pt>
                <c:pt idx="443">
                  <c:v>4.8494325364539237E-2</c:v>
                </c:pt>
                <c:pt idx="444">
                  <c:v>4.8413761083597059E-2</c:v>
                </c:pt>
                <c:pt idx="445">
                  <c:v>4.8536970262965308E-2</c:v>
                </c:pt>
                <c:pt idx="446">
                  <c:v>4.8598931710744316E-2</c:v>
                </c:pt>
                <c:pt idx="447">
                  <c:v>4.8608792334724427E-2</c:v>
                </c:pt>
                <c:pt idx="448">
                  <c:v>4.8832980473602891E-2</c:v>
                </c:pt>
                <c:pt idx="449">
                  <c:v>4.8897435474033635E-2</c:v>
                </c:pt>
                <c:pt idx="450">
                  <c:v>4.8915107702860824E-2</c:v>
                </c:pt>
                <c:pt idx="451">
                  <c:v>4.892441715302763E-2</c:v>
                </c:pt>
                <c:pt idx="452">
                  <c:v>4.9050562320509125E-2</c:v>
                </c:pt>
                <c:pt idx="453">
                  <c:v>4.9035280550754436E-2</c:v>
                </c:pt>
                <c:pt idx="454">
                  <c:v>4.8817700629718054E-2</c:v>
                </c:pt>
                <c:pt idx="455">
                  <c:v>4.8760290143359572E-2</c:v>
                </c:pt>
                <c:pt idx="456">
                  <c:v>4.8729193738999491E-2</c:v>
                </c:pt>
                <c:pt idx="457">
                  <c:v>4.8607698948732951E-2</c:v>
                </c:pt>
                <c:pt idx="458">
                  <c:v>4.8627475871577924E-2</c:v>
                </c:pt>
                <c:pt idx="459">
                  <c:v>4.8783897325345896E-2</c:v>
                </c:pt>
                <c:pt idx="460">
                  <c:v>4.8668472366175289E-2</c:v>
                </c:pt>
                <c:pt idx="461">
                  <c:v>4.8700528645236316E-2</c:v>
                </c:pt>
                <c:pt idx="462">
                  <c:v>4.8881951123430953E-2</c:v>
                </c:pt>
                <c:pt idx="463">
                  <c:v>4.8904226580495765E-2</c:v>
                </c:pt>
                <c:pt idx="464">
                  <c:v>4.9098931894213368E-2</c:v>
                </c:pt>
                <c:pt idx="465">
                  <c:v>4.9254097267162303E-2</c:v>
                </c:pt>
                <c:pt idx="466">
                  <c:v>4.9462999183899618E-2</c:v>
                </c:pt>
                <c:pt idx="467">
                  <c:v>4.9469026620270848E-2</c:v>
                </c:pt>
                <c:pt idx="468">
                  <c:v>4.9358210268858407E-2</c:v>
                </c:pt>
                <c:pt idx="469">
                  <c:v>4.9517043067472913E-2</c:v>
                </c:pt>
                <c:pt idx="470">
                  <c:v>4.9620782912874348E-2</c:v>
                </c:pt>
                <c:pt idx="471">
                  <c:v>4.9487252036778048E-2</c:v>
                </c:pt>
                <c:pt idx="472">
                  <c:v>4.9606619044500921E-2</c:v>
                </c:pt>
                <c:pt idx="473">
                  <c:v>4.9523377893992963E-2</c:v>
                </c:pt>
                <c:pt idx="474">
                  <c:v>4.9288973661203196E-2</c:v>
                </c:pt>
                <c:pt idx="475">
                  <c:v>4.9329649864678984E-2</c:v>
                </c:pt>
                <c:pt idx="476">
                  <c:v>4.9313123299065162E-2</c:v>
                </c:pt>
                <c:pt idx="477">
                  <c:v>4.9280587274603861E-2</c:v>
                </c:pt>
                <c:pt idx="478">
                  <c:v>4.9055928641888097E-2</c:v>
                </c:pt>
                <c:pt idx="479">
                  <c:v>4.9153997774510641E-2</c:v>
                </c:pt>
                <c:pt idx="480">
                  <c:v>4.9148111342650208E-2</c:v>
                </c:pt>
                <c:pt idx="481">
                  <c:v>4.9129490663578176E-2</c:v>
                </c:pt>
                <c:pt idx="482">
                  <c:v>4.9013452883754319E-2</c:v>
                </c:pt>
                <c:pt idx="483">
                  <c:v>4.8952166481264728E-2</c:v>
                </c:pt>
                <c:pt idx="484">
                  <c:v>4.8889979730285416E-2</c:v>
                </c:pt>
                <c:pt idx="485">
                  <c:v>4.8830112362448899E-2</c:v>
                </c:pt>
                <c:pt idx="486">
                  <c:v>4.894322421849933E-2</c:v>
                </c:pt>
                <c:pt idx="487">
                  <c:v>4.8960131917910911E-2</c:v>
                </c:pt>
                <c:pt idx="488">
                  <c:v>4.9235157413892727E-2</c:v>
                </c:pt>
                <c:pt idx="489">
                  <c:v>4.9108570800577116E-2</c:v>
                </c:pt>
                <c:pt idx="490">
                  <c:v>4.8981512231528343E-2</c:v>
                </c:pt>
                <c:pt idx="491">
                  <c:v>4.8983810616075485E-2</c:v>
                </c:pt>
                <c:pt idx="492">
                  <c:v>4.9096280269394138E-2</c:v>
                </c:pt>
                <c:pt idx="493">
                  <c:v>4.9209462596835604E-2</c:v>
                </c:pt>
                <c:pt idx="494">
                  <c:v>4.9186069357859866E-2</c:v>
                </c:pt>
                <c:pt idx="495">
                  <c:v>4.9194724828042394E-2</c:v>
                </c:pt>
                <c:pt idx="496">
                  <c:v>4.9077265587275355E-2</c:v>
                </c:pt>
                <c:pt idx="497">
                  <c:v>4.9252515145213768E-2</c:v>
                </c:pt>
                <c:pt idx="498">
                  <c:v>4.914385365425275E-2</c:v>
                </c:pt>
                <c:pt idx="499">
                  <c:v>4.9179173927897266E-2</c:v>
                </c:pt>
                <c:pt idx="500">
                  <c:v>4.9152835033870995E-2</c:v>
                </c:pt>
                <c:pt idx="501">
                  <c:v>4.9155072854183177E-2</c:v>
                </c:pt>
                <c:pt idx="502">
                  <c:v>4.9082957339479788E-2</c:v>
                </c:pt>
                <c:pt idx="503">
                  <c:v>4.9117035691985396E-2</c:v>
                </c:pt>
                <c:pt idx="504">
                  <c:v>4.9047628639037354E-2</c:v>
                </c:pt>
                <c:pt idx="505">
                  <c:v>4.9176663760000412E-2</c:v>
                </c:pt>
                <c:pt idx="506">
                  <c:v>4.9074487756464918E-2</c:v>
                </c:pt>
                <c:pt idx="507">
                  <c:v>4.8920882759158305E-2</c:v>
                </c:pt>
                <c:pt idx="508">
                  <c:v>4.8888092967125568E-2</c:v>
                </c:pt>
                <c:pt idx="509">
                  <c:v>4.879047476866874E-2</c:v>
                </c:pt>
                <c:pt idx="510">
                  <c:v>4.8858295881141253E-2</c:v>
                </c:pt>
                <c:pt idx="511">
                  <c:v>4.8800225928845524E-2</c:v>
                </c:pt>
                <c:pt idx="512">
                  <c:v>4.8842988377685706E-2</c:v>
                </c:pt>
                <c:pt idx="513">
                  <c:v>4.8777376005721171E-2</c:v>
                </c:pt>
                <c:pt idx="514">
                  <c:v>4.8776412937294664E-2</c:v>
                </c:pt>
                <c:pt idx="515">
                  <c:v>4.8756040642533346E-2</c:v>
                </c:pt>
                <c:pt idx="516">
                  <c:v>4.874227915827184E-2</c:v>
                </c:pt>
                <c:pt idx="517">
                  <c:v>4.8608699664506108E-2</c:v>
                </c:pt>
                <c:pt idx="518">
                  <c:v>4.8682521910327278E-2</c:v>
                </c:pt>
                <c:pt idx="519">
                  <c:v>4.8705604913941991E-2</c:v>
                </c:pt>
                <c:pt idx="520">
                  <c:v>4.8560428986371307E-2</c:v>
                </c:pt>
                <c:pt idx="521">
                  <c:v>4.8575059099970314E-2</c:v>
                </c:pt>
                <c:pt idx="522">
                  <c:v>4.8596765175260299E-2</c:v>
                </c:pt>
                <c:pt idx="523">
                  <c:v>4.8583818645100058E-2</c:v>
                </c:pt>
                <c:pt idx="524">
                  <c:v>4.8553183679089285E-2</c:v>
                </c:pt>
                <c:pt idx="525">
                  <c:v>4.8519898894496191E-2</c:v>
                </c:pt>
                <c:pt idx="526">
                  <c:v>4.8510462063192115E-2</c:v>
                </c:pt>
                <c:pt idx="527">
                  <c:v>4.8503862565891009E-2</c:v>
                </c:pt>
                <c:pt idx="528">
                  <c:v>4.8774461083989494E-2</c:v>
                </c:pt>
                <c:pt idx="529">
                  <c:v>4.8764769137939659E-2</c:v>
                </c:pt>
                <c:pt idx="530">
                  <c:v>4.8621432611052395E-2</c:v>
                </c:pt>
                <c:pt idx="531">
                  <c:v>4.8710338449423206E-2</c:v>
                </c:pt>
                <c:pt idx="532">
                  <c:v>4.8614260895990399E-2</c:v>
                </c:pt>
                <c:pt idx="533">
                  <c:v>4.835244286118278E-2</c:v>
                </c:pt>
                <c:pt idx="534">
                  <c:v>4.8351145505206278E-2</c:v>
                </c:pt>
                <c:pt idx="535">
                  <c:v>4.8401900534845062E-2</c:v>
                </c:pt>
                <c:pt idx="536">
                  <c:v>4.8311981326851272E-2</c:v>
                </c:pt>
                <c:pt idx="537">
                  <c:v>4.818556722057693E-2</c:v>
                </c:pt>
                <c:pt idx="538">
                  <c:v>4.811385213634263E-2</c:v>
                </c:pt>
                <c:pt idx="539">
                  <c:v>4.8280896315939181E-2</c:v>
                </c:pt>
                <c:pt idx="540">
                  <c:v>4.8382186221870252E-2</c:v>
                </c:pt>
                <c:pt idx="541">
                  <c:v>4.8481648921981084E-2</c:v>
                </c:pt>
                <c:pt idx="542">
                  <c:v>4.848010555564182E-2</c:v>
                </c:pt>
                <c:pt idx="543">
                  <c:v>4.8448634985802069E-2</c:v>
                </c:pt>
                <c:pt idx="544">
                  <c:v>4.8316695348404576E-2</c:v>
                </c:pt>
                <c:pt idx="545">
                  <c:v>4.8393210127620157E-2</c:v>
                </c:pt>
                <c:pt idx="546">
                  <c:v>4.8506166242302237E-2</c:v>
                </c:pt>
                <c:pt idx="547">
                  <c:v>4.8486649335529569E-2</c:v>
                </c:pt>
                <c:pt idx="548">
                  <c:v>4.8426027541615069E-2</c:v>
                </c:pt>
                <c:pt idx="549">
                  <c:v>4.8462589188623312E-2</c:v>
                </c:pt>
                <c:pt idx="550">
                  <c:v>4.8519760941773654E-2</c:v>
                </c:pt>
                <c:pt idx="551">
                  <c:v>4.854512065415751E-2</c:v>
                </c:pt>
                <c:pt idx="552">
                  <c:v>4.8474264521167217E-2</c:v>
                </c:pt>
                <c:pt idx="553">
                  <c:v>4.8584813373743929E-2</c:v>
                </c:pt>
                <c:pt idx="554">
                  <c:v>4.8429293400895357E-2</c:v>
                </c:pt>
                <c:pt idx="555">
                  <c:v>4.8489585281159805E-2</c:v>
                </c:pt>
                <c:pt idx="556">
                  <c:v>4.8474152580517696E-2</c:v>
                </c:pt>
                <c:pt idx="557">
                  <c:v>4.8517062355398641E-2</c:v>
                </c:pt>
                <c:pt idx="558">
                  <c:v>4.8555196931132819E-2</c:v>
                </c:pt>
                <c:pt idx="559">
                  <c:v>4.8761080248666419E-2</c:v>
                </c:pt>
                <c:pt idx="560">
                  <c:v>4.8813251641836655E-2</c:v>
                </c:pt>
                <c:pt idx="561">
                  <c:v>4.8853655115255225E-2</c:v>
                </c:pt>
                <c:pt idx="562">
                  <c:v>4.8803364352001589E-2</c:v>
                </c:pt>
                <c:pt idx="563">
                  <c:v>4.8772510554681528E-2</c:v>
                </c:pt>
                <c:pt idx="564">
                  <c:v>4.8640328224555253E-2</c:v>
                </c:pt>
                <c:pt idx="565">
                  <c:v>4.8634510660398741E-2</c:v>
                </c:pt>
                <c:pt idx="566">
                  <c:v>4.861046920148282E-2</c:v>
                </c:pt>
                <c:pt idx="567">
                  <c:v>4.8738273238477833E-2</c:v>
                </c:pt>
                <c:pt idx="568">
                  <c:v>4.8703806560306623E-2</c:v>
                </c:pt>
                <c:pt idx="569">
                  <c:v>4.8639131454604946E-2</c:v>
                </c:pt>
                <c:pt idx="570">
                  <c:v>4.8540774848999692E-2</c:v>
                </c:pt>
                <c:pt idx="571">
                  <c:v>4.8611683146720194E-2</c:v>
                </c:pt>
                <c:pt idx="572">
                  <c:v>4.8825678295860736E-2</c:v>
                </c:pt>
                <c:pt idx="573">
                  <c:v>4.8767689362964398E-2</c:v>
                </c:pt>
                <c:pt idx="574">
                  <c:v>4.8647658976560565E-2</c:v>
                </c:pt>
                <c:pt idx="575">
                  <c:v>4.8581728967334356E-2</c:v>
                </c:pt>
                <c:pt idx="576">
                  <c:v>4.8565802570693442E-2</c:v>
                </c:pt>
                <c:pt idx="577">
                  <c:v>4.8564479018947448E-2</c:v>
                </c:pt>
                <c:pt idx="578">
                  <c:v>4.8641495537118905E-2</c:v>
                </c:pt>
                <c:pt idx="579">
                  <c:v>4.8647260148111007E-2</c:v>
                </c:pt>
                <c:pt idx="580">
                  <c:v>4.8525754773284538E-2</c:v>
                </c:pt>
                <c:pt idx="581">
                  <c:v>4.8448041846490722E-2</c:v>
                </c:pt>
                <c:pt idx="582">
                  <c:v>4.8669127668043724E-2</c:v>
                </c:pt>
                <c:pt idx="583">
                  <c:v>4.8725570441931251E-2</c:v>
                </c:pt>
                <c:pt idx="584">
                  <c:v>4.8731440899227901E-2</c:v>
                </c:pt>
                <c:pt idx="585">
                  <c:v>4.8639823597484269E-2</c:v>
                </c:pt>
                <c:pt idx="586">
                  <c:v>4.860945413874844E-2</c:v>
                </c:pt>
                <c:pt idx="587">
                  <c:v>4.8717718346224501E-2</c:v>
                </c:pt>
                <c:pt idx="588">
                  <c:v>4.8775742946363658E-2</c:v>
                </c:pt>
                <c:pt idx="589">
                  <c:v>4.86963146408253E-2</c:v>
                </c:pt>
                <c:pt idx="590">
                  <c:v>4.8505291558880462E-2</c:v>
                </c:pt>
                <c:pt idx="591">
                  <c:v>4.8444794673601854E-2</c:v>
                </c:pt>
                <c:pt idx="592">
                  <c:v>4.8380661061047173E-2</c:v>
                </c:pt>
                <c:pt idx="593">
                  <c:v>4.8310088993004749E-2</c:v>
                </c:pt>
                <c:pt idx="594">
                  <c:v>4.8214402136066863E-2</c:v>
                </c:pt>
                <c:pt idx="595">
                  <c:v>4.8087970804955277E-2</c:v>
                </c:pt>
                <c:pt idx="596">
                  <c:v>4.8155957370622934E-2</c:v>
                </c:pt>
                <c:pt idx="597">
                  <c:v>4.8277941196387952E-2</c:v>
                </c:pt>
                <c:pt idx="598">
                  <c:v>4.8312489105553934E-2</c:v>
                </c:pt>
                <c:pt idx="599">
                  <c:v>4.8210617954380183E-2</c:v>
                </c:pt>
                <c:pt idx="600">
                  <c:v>4.8070774649333285E-2</c:v>
                </c:pt>
                <c:pt idx="601">
                  <c:v>4.8080678704923135E-2</c:v>
                </c:pt>
                <c:pt idx="602">
                  <c:v>4.8374043732644867E-2</c:v>
                </c:pt>
                <c:pt idx="603">
                  <c:v>4.821475691766397E-2</c:v>
                </c:pt>
                <c:pt idx="604">
                  <c:v>4.8222975357882059E-2</c:v>
                </c:pt>
                <c:pt idx="605">
                  <c:v>4.8403026762788334E-2</c:v>
                </c:pt>
                <c:pt idx="606">
                  <c:v>4.8397960440977009E-2</c:v>
                </c:pt>
                <c:pt idx="607">
                  <c:v>4.8534597362563492E-2</c:v>
                </c:pt>
                <c:pt idx="608">
                  <c:v>4.8520579989020957E-2</c:v>
                </c:pt>
                <c:pt idx="609">
                  <c:v>4.8435950481721418E-2</c:v>
                </c:pt>
                <c:pt idx="610">
                  <c:v>4.8328994849393084E-2</c:v>
                </c:pt>
                <c:pt idx="611">
                  <c:v>4.8306658574248026E-2</c:v>
                </c:pt>
                <c:pt idx="612">
                  <c:v>4.8200126324477219E-2</c:v>
                </c:pt>
                <c:pt idx="613">
                  <c:v>4.8235573006974883E-2</c:v>
                </c:pt>
                <c:pt idx="614">
                  <c:v>4.8240082736454637E-2</c:v>
                </c:pt>
                <c:pt idx="615">
                  <c:v>4.8266827567091504E-2</c:v>
                </c:pt>
                <c:pt idx="616">
                  <c:v>4.8417609267375677E-2</c:v>
                </c:pt>
                <c:pt idx="617">
                  <c:v>4.8332034623454104E-2</c:v>
                </c:pt>
                <c:pt idx="618">
                  <c:v>4.8390668311793214E-2</c:v>
                </c:pt>
                <c:pt idx="619">
                  <c:v>4.8392379137239136E-2</c:v>
                </c:pt>
                <c:pt idx="620">
                  <c:v>4.8460530148028508E-2</c:v>
                </c:pt>
                <c:pt idx="621">
                  <c:v>4.8477497998825822E-2</c:v>
                </c:pt>
                <c:pt idx="622">
                  <c:v>4.8543382978719143E-2</c:v>
                </c:pt>
                <c:pt idx="623">
                  <c:v>4.8372466412768635E-2</c:v>
                </c:pt>
                <c:pt idx="624">
                  <c:v>4.8204840544864055E-2</c:v>
                </c:pt>
                <c:pt idx="625">
                  <c:v>4.8368317004047784E-2</c:v>
                </c:pt>
                <c:pt idx="626">
                  <c:v>4.8449395669519564E-2</c:v>
                </c:pt>
                <c:pt idx="627">
                  <c:v>4.8561266778381199E-2</c:v>
                </c:pt>
                <c:pt idx="628">
                  <c:v>4.857835942235697E-2</c:v>
                </c:pt>
                <c:pt idx="629">
                  <c:v>4.8366854151733876E-2</c:v>
                </c:pt>
                <c:pt idx="630">
                  <c:v>4.8302939095801523E-2</c:v>
                </c:pt>
                <c:pt idx="631">
                  <c:v>4.8376054854171902E-2</c:v>
                </c:pt>
                <c:pt idx="632">
                  <c:v>4.8207191451052928E-2</c:v>
                </c:pt>
                <c:pt idx="633">
                  <c:v>4.8289066964350598E-2</c:v>
                </c:pt>
                <c:pt idx="634">
                  <c:v>4.8442627675934539E-2</c:v>
                </c:pt>
                <c:pt idx="635">
                  <c:v>4.8549482273970573E-2</c:v>
                </c:pt>
                <c:pt idx="636">
                  <c:v>4.8470910388682814E-2</c:v>
                </c:pt>
                <c:pt idx="637">
                  <c:v>4.8518955235844818E-2</c:v>
                </c:pt>
                <c:pt idx="638">
                  <c:v>4.8567477103376541E-2</c:v>
                </c:pt>
                <c:pt idx="639">
                  <c:v>4.8691857464501997E-2</c:v>
                </c:pt>
                <c:pt idx="640">
                  <c:v>4.8755531286540192E-2</c:v>
                </c:pt>
                <c:pt idx="641">
                  <c:v>4.8722944978160279E-2</c:v>
                </c:pt>
                <c:pt idx="642">
                  <c:v>4.8909880742593045E-2</c:v>
                </c:pt>
                <c:pt idx="643">
                  <c:v>4.8843599089404201E-2</c:v>
                </c:pt>
                <c:pt idx="644">
                  <c:v>4.8758936975392873E-2</c:v>
                </c:pt>
                <c:pt idx="645">
                  <c:v>4.8928603759871396E-2</c:v>
                </c:pt>
                <c:pt idx="646">
                  <c:v>4.8968633778564349E-2</c:v>
                </c:pt>
                <c:pt idx="647">
                  <c:v>4.916385880612581E-2</c:v>
                </c:pt>
                <c:pt idx="648">
                  <c:v>4.9114245023574518E-2</c:v>
                </c:pt>
                <c:pt idx="649">
                  <c:v>4.897501833941232E-2</c:v>
                </c:pt>
                <c:pt idx="650">
                  <c:v>4.8870632937189143E-2</c:v>
                </c:pt>
                <c:pt idx="651">
                  <c:v>4.8839497360129554E-2</c:v>
                </c:pt>
                <c:pt idx="652">
                  <c:v>4.8699467655686085E-2</c:v>
                </c:pt>
                <c:pt idx="653">
                  <c:v>4.8510329533531418E-2</c:v>
                </c:pt>
                <c:pt idx="654">
                  <c:v>4.8306304894131832E-2</c:v>
                </c:pt>
                <c:pt idx="655">
                  <c:v>4.8528945604255191E-2</c:v>
                </c:pt>
                <c:pt idx="656">
                  <c:v>4.8464279727050183E-2</c:v>
                </c:pt>
                <c:pt idx="657">
                  <c:v>4.8798910643358215E-2</c:v>
                </c:pt>
                <c:pt idx="658">
                  <c:v>4.8892027668325011E-2</c:v>
                </c:pt>
                <c:pt idx="659">
                  <c:v>4.874295157145761E-2</c:v>
                </c:pt>
                <c:pt idx="660">
                  <c:v>4.8806931675917972E-2</c:v>
                </c:pt>
                <c:pt idx="661">
                  <c:v>4.9015807437798486E-2</c:v>
                </c:pt>
                <c:pt idx="662">
                  <c:v>4.9219797704882245E-2</c:v>
                </c:pt>
                <c:pt idx="663">
                  <c:v>4.9079672685030058E-2</c:v>
                </c:pt>
                <c:pt idx="664">
                  <c:v>4.9361767250232585E-2</c:v>
                </c:pt>
                <c:pt idx="665">
                  <c:v>4.94553666494532E-2</c:v>
                </c:pt>
                <c:pt idx="666">
                  <c:v>4.9236885739005171E-2</c:v>
                </c:pt>
                <c:pt idx="667">
                  <c:v>4.9154159252193505E-2</c:v>
                </c:pt>
                <c:pt idx="668">
                  <c:v>4.9334563408764714E-2</c:v>
                </c:pt>
                <c:pt idx="669">
                  <c:v>4.9431280987944616E-2</c:v>
                </c:pt>
                <c:pt idx="670">
                  <c:v>4.9209415534727068E-2</c:v>
                </c:pt>
                <c:pt idx="671">
                  <c:v>4.9364469410380939E-2</c:v>
                </c:pt>
                <c:pt idx="672">
                  <c:v>4.944142870402049E-2</c:v>
                </c:pt>
                <c:pt idx="673">
                  <c:v>4.953936828616777E-2</c:v>
                </c:pt>
                <c:pt idx="674">
                  <c:v>4.9660392755753138E-2</c:v>
                </c:pt>
                <c:pt idx="675">
                  <c:v>4.9874027948190396E-2</c:v>
                </c:pt>
                <c:pt idx="676">
                  <c:v>4.9910715818658552E-2</c:v>
                </c:pt>
                <c:pt idx="677">
                  <c:v>4.9818414642959642E-2</c:v>
                </c:pt>
                <c:pt idx="678">
                  <c:v>4.9810819575551252E-2</c:v>
                </c:pt>
                <c:pt idx="679">
                  <c:v>4.9893286249165905E-2</c:v>
                </c:pt>
                <c:pt idx="680">
                  <c:v>5.0021656690124726E-2</c:v>
                </c:pt>
                <c:pt idx="681">
                  <c:v>4.9978358645533294E-2</c:v>
                </c:pt>
                <c:pt idx="682">
                  <c:v>5.0077505111214504E-2</c:v>
                </c:pt>
                <c:pt idx="683">
                  <c:v>5.0278776248252943E-2</c:v>
                </c:pt>
                <c:pt idx="684">
                  <c:v>5.026680656251404E-2</c:v>
                </c:pt>
                <c:pt idx="685">
                  <c:v>5.0186126929188404E-2</c:v>
                </c:pt>
                <c:pt idx="686">
                  <c:v>5.0217216819400945E-2</c:v>
                </c:pt>
                <c:pt idx="687">
                  <c:v>5.0293152782019415E-2</c:v>
                </c:pt>
                <c:pt idx="688">
                  <c:v>5.0320901258680883E-2</c:v>
                </c:pt>
                <c:pt idx="689">
                  <c:v>5.0316973445128574E-2</c:v>
                </c:pt>
                <c:pt idx="690">
                  <c:v>5.0343476956756145E-2</c:v>
                </c:pt>
                <c:pt idx="691">
                  <c:v>5.055957006277511E-2</c:v>
                </c:pt>
                <c:pt idx="692">
                  <c:v>5.0531589487466957E-2</c:v>
                </c:pt>
                <c:pt idx="693">
                  <c:v>5.0546966457589368E-2</c:v>
                </c:pt>
                <c:pt idx="694">
                  <c:v>5.0605033643436222E-2</c:v>
                </c:pt>
                <c:pt idx="695">
                  <c:v>5.0606736760115408E-2</c:v>
                </c:pt>
                <c:pt idx="696">
                  <c:v>5.0662486851717953E-2</c:v>
                </c:pt>
                <c:pt idx="697">
                  <c:v>5.0732536209570467E-2</c:v>
                </c:pt>
                <c:pt idx="698">
                  <c:v>5.055203273836692E-2</c:v>
                </c:pt>
                <c:pt idx="699">
                  <c:v>5.0647787439376118E-2</c:v>
                </c:pt>
                <c:pt idx="700">
                  <c:v>5.0556297032773645E-2</c:v>
                </c:pt>
                <c:pt idx="701">
                  <c:v>5.0547385457308747E-2</c:v>
                </c:pt>
                <c:pt idx="702">
                  <c:v>5.0439178866144685E-2</c:v>
                </c:pt>
                <c:pt idx="703">
                  <c:v>5.0118910542443711E-2</c:v>
                </c:pt>
                <c:pt idx="704">
                  <c:v>5.0301494268702868E-2</c:v>
                </c:pt>
                <c:pt idx="705">
                  <c:v>5.0359032118920913E-2</c:v>
                </c:pt>
                <c:pt idx="706">
                  <c:v>5.0646354866010698E-2</c:v>
                </c:pt>
                <c:pt idx="707">
                  <c:v>5.0619966744374405E-2</c:v>
                </c:pt>
                <c:pt idx="708">
                  <c:v>5.0563989763956152E-2</c:v>
                </c:pt>
                <c:pt idx="709">
                  <c:v>5.0527766066674286E-2</c:v>
                </c:pt>
                <c:pt idx="710">
                  <c:v>5.0545696666063386E-2</c:v>
                </c:pt>
                <c:pt idx="711">
                  <c:v>5.0626976543501789E-2</c:v>
                </c:pt>
                <c:pt idx="712">
                  <c:v>5.0666636539823943E-2</c:v>
                </c:pt>
                <c:pt idx="713">
                  <c:v>5.0647222368222063E-2</c:v>
                </c:pt>
                <c:pt idx="714">
                  <c:v>5.054292364127709E-2</c:v>
                </c:pt>
                <c:pt idx="715">
                  <c:v>5.076501078370653E-2</c:v>
                </c:pt>
                <c:pt idx="716">
                  <c:v>5.0524009415162774E-2</c:v>
                </c:pt>
                <c:pt idx="717">
                  <c:v>5.0828999490309543E-2</c:v>
                </c:pt>
                <c:pt idx="718">
                  <c:v>5.0974195877844269E-2</c:v>
                </c:pt>
                <c:pt idx="719">
                  <c:v>5.1100212594918849E-2</c:v>
                </c:pt>
              </c:numCache>
            </c:numRef>
          </c:val>
        </c:ser>
        <c:marker val="1"/>
        <c:axId val="91362048"/>
        <c:axId val="91363584"/>
      </c:lineChart>
      <c:catAx>
        <c:axId val="91362048"/>
        <c:scaling>
          <c:orientation val="minMax"/>
        </c:scaling>
        <c:axPos val="b"/>
        <c:tickLblPos val="nextTo"/>
        <c:crossAx val="91363584"/>
        <c:crosses val="autoZero"/>
        <c:auto val="1"/>
        <c:lblAlgn val="ctr"/>
        <c:lblOffset val="100"/>
      </c:catAx>
      <c:valAx>
        <c:axId val="91363584"/>
        <c:scaling>
          <c:orientation val="minMax"/>
          <c:max val="7.0000000000000021E-2"/>
          <c:min val="3.0000000000000002E-2"/>
        </c:scaling>
        <c:axPos val="l"/>
        <c:majorGridlines/>
        <c:numFmt formatCode="0.00000%" sourceLinked="1"/>
        <c:tickLblPos val="nextTo"/>
        <c:crossAx val="913620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Output!$AF$12:$AF$731</c:f>
              <c:numCache>
                <c:formatCode>_-* #,##0.00_-;\-* #,##0.00_-;_-* "-"??_-;_-@_-</c:formatCode>
                <c:ptCount val="720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  <c:pt idx="364">
                  <c:v>30.333333333333172</c:v>
                </c:pt>
                <c:pt idx="365">
                  <c:v>30.416666666666504</c:v>
                </c:pt>
                <c:pt idx="366">
                  <c:v>30.499999999999837</c:v>
                </c:pt>
                <c:pt idx="367">
                  <c:v>30.583333333333169</c:v>
                </c:pt>
                <c:pt idx="368">
                  <c:v>30.666666666666501</c:v>
                </c:pt>
                <c:pt idx="369">
                  <c:v>30.749999999999833</c:v>
                </c:pt>
                <c:pt idx="370">
                  <c:v>30.833333333333165</c:v>
                </c:pt>
                <c:pt idx="371">
                  <c:v>30.916666666666497</c:v>
                </c:pt>
                <c:pt idx="372">
                  <c:v>30.999999999999829</c:v>
                </c:pt>
                <c:pt idx="373">
                  <c:v>31.083333333333162</c:v>
                </c:pt>
                <c:pt idx="374">
                  <c:v>31.166666666666494</c:v>
                </c:pt>
                <c:pt idx="375">
                  <c:v>31.249999999999826</c:v>
                </c:pt>
                <c:pt idx="376">
                  <c:v>31.333333333333158</c:v>
                </c:pt>
                <c:pt idx="377">
                  <c:v>31.41666666666649</c:v>
                </c:pt>
                <c:pt idx="378">
                  <c:v>31.499999999999822</c:v>
                </c:pt>
                <c:pt idx="379">
                  <c:v>31.583333333333155</c:v>
                </c:pt>
                <c:pt idx="380">
                  <c:v>31.666666666666487</c:v>
                </c:pt>
                <c:pt idx="381">
                  <c:v>31.749999999999819</c:v>
                </c:pt>
                <c:pt idx="382">
                  <c:v>31.833333333333151</c:v>
                </c:pt>
                <c:pt idx="383">
                  <c:v>31.916666666666483</c:v>
                </c:pt>
                <c:pt idx="384">
                  <c:v>31.999999999999815</c:v>
                </c:pt>
                <c:pt idx="385">
                  <c:v>32.083333333333151</c:v>
                </c:pt>
                <c:pt idx="386">
                  <c:v>32.166666666666487</c:v>
                </c:pt>
                <c:pt idx="387">
                  <c:v>32.249999999999822</c:v>
                </c:pt>
                <c:pt idx="388">
                  <c:v>32.333333333333158</c:v>
                </c:pt>
                <c:pt idx="389">
                  <c:v>32.416666666666494</c:v>
                </c:pt>
                <c:pt idx="390">
                  <c:v>32.499999999999829</c:v>
                </c:pt>
                <c:pt idx="391">
                  <c:v>32.583333333333165</c:v>
                </c:pt>
                <c:pt idx="392">
                  <c:v>32.666666666666501</c:v>
                </c:pt>
                <c:pt idx="393">
                  <c:v>32.749999999999837</c:v>
                </c:pt>
                <c:pt idx="394">
                  <c:v>32.833333333333172</c:v>
                </c:pt>
                <c:pt idx="395">
                  <c:v>32.916666666666508</c:v>
                </c:pt>
                <c:pt idx="396">
                  <c:v>32.999999999999844</c:v>
                </c:pt>
                <c:pt idx="397">
                  <c:v>33.083333333333179</c:v>
                </c:pt>
                <c:pt idx="398">
                  <c:v>33.166666666666515</c:v>
                </c:pt>
                <c:pt idx="399">
                  <c:v>33.249999999999851</c:v>
                </c:pt>
                <c:pt idx="400">
                  <c:v>33.333333333333186</c:v>
                </c:pt>
                <c:pt idx="401">
                  <c:v>33.416666666666522</c:v>
                </c:pt>
                <c:pt idx="402">
                  <c:v>33.499999999999858</c:v>
                </c:pt>
                <c:pt idx="403">
                  <c:v>33.583333333333194</c:v>
                </c:pt>
                <c:pt idx="404">
                  <c:v>33.666666666666529</c:v>
                </c:pt>
                <c:pt idx="405">
                  <c:v>33.749999999999865</c:v>
                </c:pt>
                <c:pt idx="406">
                  <c:v>33.833333333333201</c:v>
                </c:pt>
                <c:pt idx="407">
                  <c:v>33.916666666666536</c:v>
                </c:pt>
                <c:pt idx="408">
                  <c:v>33.999999999999872</c:v>
                </c:pt>
                <c:pt idx="409">
                  <c:v>34.083333333333208</c:v>
                </c:pt>
                <c:pt idx="410">
                  <c:v>34.166666666666544</c:v>
                </c:pt>
                <c:pt idx="411">
                  <c:v>34.249999999999879</c:v>
                </c:pt>
                <c:pt idx="412">
                  <c:v>34.333333333333215</c:v>
                </c:pt>
                <c:pt idx="413">
                  <c:v>34.416666666666551</c:v>
                </c:pt>
                <c:pt idx="414">
                  <c:v>34.499999999999886</c:v>
                </c:pt>
                <c:pt idx="415">
                  <c:v>34.583333333333222</c:v>
                </c:pt>
                <c:pt idx="416">
                  <c:v>34.666666666666558</c:v>
                </c:pt>
                <c:pt idx="417">
                  <c:v>34.749999999999893</c:v>
                </c:pt>
                <c:pt idx="418">
                  <c:v>34.833333333333229</c:v>
                </c:pt>
                <c:pt idx="419">
                  <c:v>34.916666666666565</c:v>
                </c:pt>
                <c:pt idx="420">
                  <c:v>34.999999999999901</c:v>
                </c:pt>
                <c:pt idx="421">
                  <c:v>35.083333333333236</c:v>
                </c:pt>
                <c:pt idx="422">
                  <c:v>35.166666666666572</c:v>
                </c:pt>
                <c:pt idx="423">
                  <c:v>35.249999999999908</c:v>
                </c:pt>
                <c:pt idx="424">
                  <c:v>35.333333333333243</c:v>
                </c:pt>
                <c:pt idx="425">
                  <c:v>35.416666666666579</c:v>
                </c:pt>
                <c:pt idx="426">
                  <c:v>35.499999999999915</c:v>
                </c:pt>
                <c:pt idx="427">
                  <c:v>35.58333333333325</c:v>
                </c:pt>
                <c:pt idx="428">
                  <c:v>35.666666666666586</c:v>
                </c:pt>
                <c:pt idx="429">
                  <c:v>35.749999999999922</c:v>
                </c:pt>
                <c:pt idx="430">
                  <c:v>35.833333333333258</c:v>
                </c:pt>
                <c:pt idx="431">
                  <c:v>35.916666666666593</c:v>
                </c:pt>
                <c:pt idx="432">
                  <c:v>35.999999999999929</c:v>
                </c:pt>
                <c:pt idx="433">
                  <c:v>36.083333333333265</c:v>
                </c:pt>
                <c:pt idx="434">
                  <c:v>36.1666666666666</c:v>
                </c:pt>
                <c:pt idx="435">
                  <c:v>36.249999999999936</c:v>
                </c:pt>
                <c:pt idx="436">
                  <c:v>36.333333333333272</c:v>
                </c:pt>
                <c:pt idx="437">
                  <c:v>36.416666666666607</c:v>
                </c:pt>
                <c:pt idx="438">
                  <c:v>36.499999999999943</c:v>
                </c:pt>
                <c:pt idx="439">
                  <c:v>36.583333333333279</c:v>
                </c:pt>
                <c:pt idx="440">
                  <c:v>36.666666666666615</c:v>
                </c:pt>
                <c:pt idx="441">
                  <c:v>36.74999999999995</c:v>
                </c:pt>
                <c:pt idx="442">
                  <c:v>36.833333333333286</c:v>
                </c:pt>
                <c:pt idx="443">
                  <c:v>36.916666666666622</c:v>
                </c:pt>
                <c:pt idx="444">
                  <c:v>36.999999999999957</c:v>
                </c:pt>
                <c:pt idx="445">
                  <c:v>37.083333333333293</c:v>
                </c:pt>
                <c:pt idx="446">
                  <c:v>37.166666666666629</c:v>
                </c:pt>
                <c:pt idx="447">
                  <c:v>37.249999999999964</c:v>
                </c:pt>
                <c:pt idx="448">
                  <c:v>37.3333333333333</c:v>
                </c:pt>
                <c:pt idx="449">
                  <c:v>37.416666666666636</c:v>
                </c:pt>
                <c:pt idx="450">
                  <c:v>37.499999999999972</c:v>
                </c:pt>
                <c:pt idx="451">
                  <c:v>37.583333333333307</c:v>
                </c:pt>
                <c:pt idx="452">
                  <c:v>37.666666666666643</c:v>
                </c:pt>
                <c:pt idx="453">
                  <c:v>37.749999999999979</c:v>
                </c:pt>
                <c:pt idx="454">
                  <c:v>37.833333333333314</c:v>
                </c:pt>
                <c:pt idx="455">
                  <c:v>37.91666666666665</c:v>
                </c:pt>
                <c:pt idx="456">
                  <c:v>37.999999999999986</c:v>
                </c:pt>
                <c:pt idx="457">
                  <c:v>38.083333333333321</c:v>
                </c:pt>
                <c:pt idx="458">
                  <c:v>38.166666666666657</c:v>
                </c:pt>
                <c:pt idx="459">
                  <c:v>38.249999999999993</c:v>
                </c:pt>
                <c:pt idx="460">
                  <c:v>38.333333333333329</c:v>
                </c:pt>
                <c:pt idx="461">
                  <c:v>38.416666666666664</c:v>
                </c:pt>
                <c:pt idx="462">
                  <c:v>38.5</c:v>
                </c:pt>
                <c:pt idx="463">
                  <c:v>38.583333333333336</c:v>
                </c:pt>
                <c:pt idx="464">
                  <c:v>38.666666666666671</c:v>
                </c:pt>
                <c:pt idx="465">
                  <c:v>38.750000000000007</c:v>
                </c:pt>
                <c:pt idx="466">
                  <c:v>38.833333333333343</c:v>
                </c:pt>
                <c:pt idx="467">
                  <c:v>38.916666666666679</c:v>
                </c:pt>
                <c:pt idx="468">
                  <c:v>39.000000000000014</c:v>
                </c:pt>
                <c:pt idx="469">
                  <c:v>39.08333333333335</c:v>
                </c:pt>
                <c:pt idx="470">
                  <c:v>39.166666666666686</c:v>
                </c:pt>
                <c:pt idx="471">
                  <c:v>39.250000000000021</c:v>
                </c:pt>
                <c:pt idx="472">
                  <c:v>39.333333333333357</c:v>
                </c:pt>
                <c:pt idx="473">
                  <c:v>39.416666666666693</c:v>
                </c:pt>
                <c:pt idx="474">
                  <c:v>39.500000000000028</c:v>
                </c:pt>
                <c:pt idx="475">
                  <c:v>39.583333333333364</c:v>
                </c:pt>
                <c:pt idx="476">
                  <c:v>39.6666666666667</c:v>
                </c:pt>
                <c:pt idx="477">
                  <c:v>39.750000000000036</c:v>
                </c:pt>
                <c:pt idx="478">
                  <c:v>39.833333333333371</c:v>
                </c:pt>
                <c:pt idx="479">
                  <c:v>39.916666666666707</c:v>
                </c:pt>
                <c:pt idx="480">
                  <c:v>40.000000000000043</c:v>
                </c:pt>
                <c:pt idx="481">
                  <c:v>40.083333333333378</c:v>
                </c:pt>
                <c:pt idx="482">
                  <c:v>40.166666666666714</c:v>
                </c:pt>
                <c:pt idx="483">
                  <c:v>40.25000000000005</c:v>
                </c:pt>
                <c:pt idx="484">
                  <c:v>40.333333333333385</c:v>
                </c:pt>
                <c:pt idx="485">
                  <c:v>40.416666666666721</c:v>
                </c:pt>
                <c:pt idx="486">
                  <c:v>40.500000000000057</c:v>
                </c:pt>
                <c:pt idx="487">
                  <c:v>40.583333333333393</c:v>
                </c:pt>
                <c:pt idx="488">
                  <c:v>40.666666666666728</c:v>
                </c:pt>
                <c:pt idx="489">
                  <c:v>40.750000000000064</c:v>
                </c:pt>
                <c:pt idx="490">
                  <c:v>40.8333333333334</c:v>
                </c:pt>
                <c:pt idx="491">
                  <c:v>40.916666666666735</c:v>
                </c:pt>
                <c:pt idx="492">
                  <c:v>41.000000000000071</c:v>
                </c:pt>
                <c:pt idx="493">
                  <c:v>41.083333333333407</c:v>
                </c:pt>
                <c:pt idx="494">
                  <c:v>41.166666666666742</c:v>
                </c:pt>
                <c:pt idx="495">
                  <c:v>41.250000000000078</c:v>
                </c:pt>
                <c:pt idx="496">
                  <c:v>41.333333333333414</c:v>
                </c:pt>
                <c:pt idx="497">
                  <c:v>41.41666666666675</c:v>
                </c:pt>
                <c:pt idx="498">
                  <c:v>41.500000000000085</c:v>
                </c:pt>
                <c:pt idx="499">
                  <c:v>41.583333333333421</c:v>
                </c:pt>
                <c:pt idx="500">
                  <c:v>41.666666666666757</c:v>
                </c:pt>
                <c:pt idx="501">
                  <c:v>41.750000000000092</c:v>
                </c:pt>
                <c:pt idx="502">
                  <c:v>41.833333333333428</c:v>
                </c:pt>
                <c:pt idx="503">
                  <c:v>41.916666666666764</c:v>
                </c:pt>
                <c:pt idx="504">
                  <c:v>42.000000000000099</c:v>
                </c:pt>
                <c:pt idx="505">
                  <c:v>42.083333333333435</c:v>
                </c:pt>
                <c:pt idx="506">
                  <c:v>42.166666666666771</c:v>
                </c:pt>
                <c:pt idx="507">
                  <c:v>42.250000000000107</c:v>
                </c:pt>
                <c:pt idx="508">
                  <c:v>42.333333333333442</c:v>
                </c:pt>
                <c:pt idx="509">
                  <c:v>42.416666666666778</c:v>
                </c:pt>
                <c:pt idx="510">
                  <c:v>42.500000000000114</c:v>
                </c:pt>
                <c:pt idx="511">
                  <c:v>42.583333333333449</c:v>
                </c:pt>
                <c:pt idx="512">
                  <c:v>42.666666666666785</c:v>
                </c:pt>
                <c:pt idx="513">
                  <c:v>42.750000000000121</c:v>
                </c:pt>
                <c:pt idx="514">
                  <c:v>42.833333333333456</c:v>
                </c:pt>
                <c:pt idx="515">
                  <c:v>42.916666666666792</c:v>
                </c:pt>
                <c:pt idx="516">
                  <c:v>43.000000000000128</c:v>
                </c:pt>
                <c:pt idx="517">
                  <c:v>43.083333333333464</c:v>
                </c:pt>
                <c:pt idx="518">
                  <c:v>43.166666666666799</c:v>
                </c:pt>
                <c:pt idx="519">
                  <c:v>43.250000000000135</c:v>
                </c:pt>
                <c:pt idx="520">
                  <c:v>43.333333333333471</c:v>
                </c:pt>
                <c:pt idx="521">
                  <c:v>43.416666666666806</c:v>
                </c:pt>
                <c:pt idx="522">
                  <c:v>43.500000000000142</c:v>
                </c:pt>
                <c:pt idx="523">
                  <c:v>43.583333333333478</c:v>
                </c:pt>
                <c:pt idx="524">
                  <c:v>43.666666666666814</c:v>
                </c:pt>
                <c:pt idx="525">
                  <c:v>43.750000000000149</c:v>
                </c:pt>
                <c:pt idx="526">
                  <c:v>43.833333333333485</c:v>
                </c:pt>
                <c:pt idx="527">
                  <c:v>43.916666666666821</c:v>
                </c:pt>
                <c:pt idx="528">
                  <c:v>44.000000000000156</c:v>
                </c:pt>
                <c:pt idx="529">
                  <c:v>44.083333333333492</c:v>
                </c:pt>
                <c:pt idx="530">
                  <c:v>44.166666666666828</c:v>
                </c:pt>
                <c:pt idx="531">
                  <c:v>44.250000000000163</c:v>
                </c:pt>
                <c:pt idx="532">
                  <c:v>44.333333333333499</c:v>
                </c:pt>
                <c:pt idx="533">
                  <c:v>44.416666666666835</c:v>
                </c:pt>
                <c:pt idx="534">
                  <c:v>44.500000000000171</c:v>
                </c:pt>
                <c:pt idx="535">
                  <c:v>44.583333333333506</c:v>
                </c:pt>
                <c:pt idx="536">
                  <c:v>44.666666666666842</c:v>
                </c:pt>
                <c:pt idx="537">
                  <c:v>44.750000000000178</c:v>
                </c:pt>
                <c:pt idx="538">
                  <c:v>44.833333333333513</c:v>
                </c:pt>
                <c:pt idx="539">
                  <c:v>44.916666666666849</c:v>
                </c:pt>
                <c:pt idx="540">
                  <c:v>45.000000000000185</c:v>
                </c:pt>
                <c:pt idx="541">
                  <c:v>45.08333333333352</c:v>
                </c:pt>
                <c:pt idx="542">
                  <c:v>45.166666666666856</c:v>
                </c:pt>
                <c:pt idx="543">
                  <c:v>45.250000000000192</c:v>
                </c:pt>
                <c:pt idx="544">
                  <c:v>45.333333333333528</c:v>
                </c:pt>
                <c:pt idx="545">
                  <c:v>45.416666666666863</c:v>
                </c:pt>
                <c:pt idx="546">
                  <c:v>45.500000000000199</c:v>
                </c:pt>
                <c:pt idx="547">
                  <c:v>45.583333333333535</c:v>
                </c:pt>
                <c:pt idx="548">
                  <c:v>45.66666666666687</c:v>
                </c:pt>
                <c:pt idx="549">
                  <c:v>45.750000000000206</c:v>
                </c:pt>
                <c:pt idx="550">
                  <c:v>45.833333333333542</c:v>
                </c:pt>
                <c:pt idx="551">
                  <c:v>45.916666666666877</c:v>
                </c:pt>
                <c:pt idx="552">
                  <c:v>46.000000000000213</c:v>
                </c:pt>
                <c:pt idx="553">
                  <c:v>46.083333333333549</c:v>
                </c:pt>
                <c:pt idx="554">
                  <c:v>46.166666666666885</c:v>
                </c:pt>
                <c:pt idx="555">
                  <c:v>46.25000000000022</c:v>
                </c:pt>
                <c:pt idx="556">
                  <c:v>46.333333333333556</c:v>
                </c:pt>
                <c:pt idx="557">
                  <c:v>46.416666666666892</c:v>
                </c:pt>
                <c:pt idx="558">
                  <c:v>46.500000000000227</c:v>
                </c:pt>
                <c:pt idx="559">
                  <c:v>46.583333333333563</c:v>
                </c:pt>
                <c:pt idx="560">
                  <c:v>46.666666666666899</c:v>
                </c:pt>
                <c:pt idx="561">
                  <c:v>46.750000000000234</c:v>
                </c:pt>
                <c:pt idx="562">
                  <c:v>46.83333333333357</c:v>
                </c:pt>
                <c:pt idx="563">
                  <c:v>46.916666666666906</c:v>
                </c:pt>
                <c:pt idx="564">
                  <c:v>47.000000000000242</c:v>
                </c:pt>
                <c:pt idx="565">
                  <c:v>47.083333333333577</c:v>
                </c:pt>
                <c:pt idx="566">
                  <c:v>47.166666666666913</c:v>
                </c:pt>
                <c:pt idx="567">
                  <c:v>47.250000000000249</c:v>
                </c:pt>
                <c:pt idx="568">
                  <c:v>47.333333333333584</c:v>
                </c:pt>
                <c:pt idx="569">
                  <c:v>47.41666666666692</c:v>
                </c:pt>
                <c:pt idx="570">
                  <c:v>47.500000000000256</c:v>
                </c:pt>
                <c:pt idx="571">
                  <c:v>47.583333333333591</c:v>
                </c:pt>
                <c:pt idx="572">
                  <c:v>47.666666666666927</c:v>
                </c:pt>
                <c:pt idx="573">
                  <c:v>47.750000000000263</c:v>
                </c:pt>
                <c:pt idx="574">
                  <c:v>47.833333333333599</c:v>
                </c:pt>
                <c:pt idx="575">
                  <c:v>47.916666666666934</c:v>
                </c:pt>
                <c:pt idx="576">
                  <c:v>48.00000000000027</c:v>
                </c:pt>
                <c:pt idx="577">
                  <c:v>48.083333333333606</c:v>
                </c:pt>
                <c:pt idx="578">
                  <c:v>48.166666666666941</c:v>
                </c:pt>
                <c:pt idx="579">
                  <c:v>48.250000000000277</c:v>
                </c:pt>
                <c:pt idx="580">
                  <c:v>48.333333333333613</c:v>
                </c:pt>
                <c:pt idx="581">
                  <c:v>48.416666666666949</c:v>
                </c:pt>
                <c:pt idx="582">
                  <c:v>48.500000000000284</c:v>
                </c:pt>
                <c:pt idx="583">
                  <c:v>48.58333333333362</c:v>
                </c:pt>
                <c:pt idx="584">
                  <c:v>48.666666666666956</c:v>
                </c:pt>
                <c:pt idx="585">
                  <c:v>48.750000000000291</c:v>
                </c:pt>
                <c:pt idx="586">
                  <c:v>48.833333333333627</c:v>
                </c:pt>
                <c:pt idx="587">
                  <c:v>48.916666666666963</c:v>
                </c:pt>
                <c:pt idx="588">
                  <c:v>49.000000000000298</c:v>
                </c:pt>
                <c:pt idx="589">
                  <c:v>49.083333333333634</c:v>
                </c:pt>
                <c:pt idx="590">
                  <c:v>49.16666666666697</c:v>
                </c:pt>
                <c:pt idx="591">
                  <c:v>49.250000000000306</c:v>
                </c:pt>
                <c:pt idx="592">
                  <c:v>49.333333333333641</c:v>
                </c:pt>
                <c:pt idx="593">
                  <c:v>49.416666666666977</c:v>
                </c:pt>
                <c:pt idx="594">
                  <c:v>49.500000000000313</c:v>
                </c:pt>
                <c:pt idx="595">
                  <c:v>49.583333333333648</c:v>
                </c:pt>
                <c:pt idx="596">
                  <c:v>49.666666666666984</c:v>
                </c:pt>
                <c:pt idx="597">
                  <c:v>49.75000000000032</c:v>
                </c:pt>
                <c:pt idx="598">
                  <c:v>49.833333333333655</c:v>
                </c:pt>
                <c:pt idx="599">
                  <c:v>49.916666666666991</c:v>
                </c:pt>
                <c:pt idx="600">
                  <c:v>50.000000000000327</c:v>
                </c:pt>
                <c:pt idx="601">
                  <c:v>50.083333333333663</c:v>
                </c:pt>
                <c:pt idx="602">
                  <c:v>50.166666666666998</c:v>
                </c:pt>
                <c:pt idx="603">
                  <c:v>50.250000000000334</c:v>
                </c:pt>
                <c:pt idx="604">
                  <c:v>50.33333333333367</c:v>
                </c:pt>
                <c:pt idx="605">
                  <c:v>50.416666666667005</c:v>
                </c:pt>
                <c:pt idx="606">
                  <c:v>50.500000000000341</c:v>
                </c:pt>
                <c:pt idx="607">
                  <c:v>50.583333333333677</c:v>
                </c:pt>
                <c:pt idx="608">
                  <c:v>50.666666666667012</c:v>
                </c:pt>
                <c:pt idx="609">
                  <c:v>50.750000000000348</c:v>
                </c:pt>
                <c:pt idx="610">
                  <c:v>50.833333333333684</c:v>
                </c:pt>
                <c:pt idx="611">
                  <c:v>50.91666666666702</c:v>
                </c:pt>
                <c:pt idx="612">
                  <c:v>51.000000000000355</c:v>
                </c:pt>
                <c:pt idx="613">
                  <c:v>51.083333333333691</c:v>
                </c:pt>
                <c:pt idx="614">
                  <c:v>51.166666666667027</c:v>
                </c:pt>
                <c:pt idx="615">
                  <c:v>51.250000000000362</c:v>
                </c:pt>
                <c:pt idx="616">
                  <c:v>51.333333333333698</c:v>
                </c:pt>
                <c:pt idx="617">
                  <c:v>51.416666666667034</c:v>
                </c:pt>
                <c:pt idx="618">
                  <c:v>51.500000000000369</c:v>
                </c:pt>
                <c:pt idx="619">
                  <c:v>51.583333333333705</c:v>
                </c:pt>
                <c:pt idx="620">
                  <c:v>51.666666666667041</c:v>
                </c:pt>
                <c:pt idx="621">
                  <c:v>51.750000000000377</c:v>
                </c:pt>
                <c:pt idx="622">
                  <c:v>51.833333333333712</c:v>
                </c:pt>
                <c:pt idx="623">
                  <c:v>51.916666666667048</c:v>
                </c:pt>
                <c:pt idx="624">
                  <c:v>52.000000000000384</c:v>
                </c:pt>
                <c:pt idx="625">
                  <c:v>52.083333333333719</c:v>
                </c:pt>
                <c:pt idx="626">
                  <c:v>52.166666666667055</c:v>
                </c:pt>
                <c:pt idx="627">
                  <c:v>52.250000000000391</c:v>
                </c:pt>
                <c:pt idx="628">
                  <c:v>52.333333333333727</c:v>
                </c:pt>
                <c:pt idx="629">
                  <c:v>52.416666666667062</c:v>
                </c:pt>
                <c:pt idx="630">
                  <c:v>52.500000000000398</c:v>
                </c:pt>
                <c:pt idx="631">
                  <c:v>52.583333333333734</c:v>
                </c:pt>
                <c:pt idx="632">
                  <c:v>52.666666666667069</c:v>
                </c:pt>
                <c:pt idx="633">
                  <c:v>52.750000000000405</c:v>
                </c:pt>
                <c:pt idx="634">
                  <c:v>52.833333333333741</c:v>
                </c:pt>
                <c:pt idx="635">
                  <c:v>52.916666666667076</c:v>
                </c:pt>
                <c:pt idx="636">
                  <c:v>53.000000000000412</c:v>
                </c:pt>
                <c:pt idx="637">
                  <c:v>53.083333333333748</c:v>
                </c:pt>
                <c:pt idx="638">
                  <c:v>53.166666666667084</c:v>
                </c:pt>
                <c:pt idx="639">
                  <c:v>53.250000000000419</c:v>
                </c:pt>
                <c:pt idx="640">
                  <c:v>53.333333333333755</c:v>
                </c:pt>
                <c:pt idx="641">
                  <c:v>53.416666666667091</c:v>
                </c:pt>
                <c:pt idx="642">
                  <c:v>53.500000000000426</c:v>
                </c:pt>
                <c:pt idx="643">
                  <c:v>53.583333333333762</c:v>
                </c:pt>
                <c:pt idx="644">
                  <c:v>53.666666666667098</c:v>
                </c:pt>
                <c:pt idx="645">
                  <c:v>53.750000000000433</c:v>
                </c:pt>
                <c:pt idx="646">
                  <c:v>53.833333333333769</c:v>
                </c:pt>
                <c:pt idx="647">
                  <c:v>53.916666666667105</c:v>
                </c:pt>
                <c:pt idx="648">
                  <c:v>54.000000000000441</c:v>
                </c:pt>
                <c:pt idx="649">
                  <c:v>54.083333333333776</c:v>
                </c:pt>
                <c:pt idx="650">
                  <c:v>54.166666666667112</c:v>
                </c:pt>
                <c:pt idx="651">
                  <c:v>54.250000000000448</c:v>
                </c:pt>
                <c:pt idx="652">
                  <c:v>54.333333333333783</c:v>
                </c:pt>
                <c:pt idx="653">
                  <c:v>54.416666666667119</c:v>
                </c:pt>
                <c:pt idx="654">
                  <c:v>54.500000000000455</c:v>
                </c:pt>
                <c:pt idx="655">
                  <c:v>54.58333333333379</c:v>
                </c:pt>
                <c:pt idx="656">
                  <c:v>54.666666666667126</c:v>
                </c:pt>
                <c:pt idx="657">
                  <c:v>54.750000000000462</c:v>
                </c:pt>
                <c:pt idx="658">
                  <c:v>54.833333333333798</c:v>
                </c:pt>
                <c:pt idx="659">
                  <c:v>54.916666666667133</c:v>
                </c:pt>
                <c:pt idx="660">
                  <c:v>55.000000000000469</c:v>
                </c:pt>
                <c:pt idx="661">
                  <c:v>55.083333333333805</c:v>
                </c:pt>
                <c:pt idx="662">
                  <c:v>55.16666666666714</c:v>
                </c:pt>
                <c:pt idx="663">
                  <c:v>55.250000000000476</c:v>
                </c:pt>
                <c:pt idx="664">
                  <c:v>55.333333333333812</c:v>
                </c:pt>
                <c:pt idx="665">
                  <c:v>55.416666666667147</c:v>
                </c:pt>
                <c:pt idx="666">
                  <c:v>55.500000000000483</c:v>
                </c:pt>
                <c:pt idx="667">
                  <c:v>55.583333333333819</c:v>
                </c:pt>
                <c:pt idx="668">
                  <c:v>55.666666666667155</c:v>
                </c:pt>
                <c:pt idx="669">
                  <c:v>55.75000000000049</c:v>
                </c:pt>
                <c:pt idx="670">
                  <c:v>55.833333333333826</c:v>
                </c:pt>
                <c:pt idx="671">
                  <c:v>55.916666666667162</c:v>
                </c:pt>
                <c:pt idx="672">
                  <c:v>56.000000000000497</c:v>
                </c:pt>
                <c:pt idx="673">
                  <c:v>56.083333333333833</c:v>
                </c:pt>
                <c:pt idx="674">
                  <c:v>56.166666666667169</c:v>
                </c:pt>
                <c:pt idx="675">
                  <c:v>56.250000000000504</c:v>
                </c:pt>
                <c:pt idx="676">
                  <c:v>56.33333333333384</c:v>
                </c:pt>
                <c:pt idx="677">
                  <c:v>56.416666666667176</c:v>
                </c:pt>
                <c:pt idx="678">
                  <c:v>56.500000000000512</c:v>
                </c:pt>
                <c:pt idx="679">
                  <c:v>56.583333333333847</c:v>
                </c:pt>
                <c:pt idx="680">
                  <c:v>56.666666666667183</c:v>
                </c:pt>
                <c:pt idx="681">
                  <c:v>56.750000000000519</c:v>
                </c:pt>
                <c:pt idx="682">
                  <c:v>56.833333333333854</c:v>
                </c:pt>
                <c:pt idx="683">
                  <c:v>56.91666666666719</c:v>
                </c:pt>
                <c:pt idx="684">
                  <c:v>57.000000000000526</c:v>
                </c:pt>
                <c:pt idx="685">
                  <c:v>57.083333333333862</c:v>
                </c:pt>
                <c:pt idx="686">
                  <c:v>57.166666666667197</c:v>
                </c:pt>
                <c:pt idx="687">
                  <c:v>57.250000000000533</c:v>
                </c:pt>
                <c:pt idx="688">
                  <c:v>57.333333333333869</c:v>
                </c:pt>
                <c:pt idx="689">
                  <c:v>57.416666666667204</c:v>
                </c:pt>
                <c:pt idx="690">
                  <c:v>57.50000000000054</c:v>
                </c:pt>
                <c:pt idx="691">
                  <c:v>57.583333333333876</c:v>
                </c:pt>
                <c:pt idx="692">
                  <c:v>57.666666666667211</c:v>
                </c:pt>
                <c:pt idx="693">
                  <c:v>57.750000000000547</c:v>
                </c:pt>
                <c:pt idx="694">
                  <c:v>57.833333333333883</c:v>
                </c:pt>
                <c:pt idx="695">
                  <c:v>57.916666666667219</c:v>
                </c:pt>
                <c:pt idx="696">
                  <c:v>58.000000000000554</c:v>
                </c:pt>
                <c:pt idx="697">
                  <c:v>58.08333333333389</c:v>
                </c:pt>
                <c:pt idx="698">
                  <c:v>58.166666666667226</c:v>
                </c:pt>
                <c:pt idx="699">
                  <c:v>58.250000000000561</c:v>
                </c:pt>
                <c:pt idx="700">
                  <c:v>58.333333333333897</c:v>
                </c:pt>
                <c:pt idx="701">
                  <c:v>58.416666666667233</c:v>
                </c:pt>
                <c:pt idx="702">
                  <c:v>58.500000000000568</c:v>
                </c:pt>
                <c:pt idx="703">
                  <c:v>58.583333333333904</c:v>
                </c:pt>
                <c:pt idx="704">
                  <c:v>58.66666666666724</c:v>
                </c:pt>
                <c:pt idx="705">
                  <c:v>58.750000000000576</c:v>
                </c:pt>
                <c:pt idx="706">
                  <c:v>58.833333333333911</c:v>
                </c:pt>
                <c:pt idx="707">
                  <c:v>58.916666666667247</c:v>
                </c:pt>
                <c:pt idx="708">
                  <c:v>59.000000000000583</c:v>
                </c:pt>
                <c:pt idx="709">
                  <c:v>59.083333333333918</c:v>
                </c:pt>
                <c:pt idx="710">
                  <c:v>59.166666666667254</c:v>
                </c:pt>
                <c:pt idx="711">
                  <c:v>59.25000000000059</c:v>
                </c:pt>
                <c:pt idx="712">
                  <c:v>59.333333333333925</c:v>
                </c:pt>
                <c:pt idx="713">
                  <c:v>59.416666666667261</c:v>
                </c:pt>
                <c:pt idx="714">
                  <c:v>59.500000000000597</c:v>
                </c:pt>
                <c:pt idx="715">
                  <c:v>59.583333333333933</c:v>
                </c:pt>
                <c:pt idx="716">
                  <c:v>59.666666666667268</c:v>
                </c:pt>
                <c:pt idx="717">
                  <c:v>59.750000000000604</c:v>
                </c:pt>
                <c:pt idx="718">
                  <c:v>59.83333333333394</c:v>
                </c:pt>
                <c:pt idx="719">
                  <c:v>59.916666666667275</c:v>
                </c:pt>
              </c:numCache>
            </c:numRef>
          </c:xVal>
          <c:yVal>
            <c:numRef>
              <c:f>Output!$AG$12:$AG$731</c:f>
              <c:numCache>
                <c:formatCode>General</c:formatCode>
                <c:ptCount val="720"/>
                <c:pt idx="0">
                  <c:v>5.0035572625407927E-2</c:v>
                </c:pt>
                <c:pt idx="1">
                  <c:v>4.9697284885269997E-2</c:v>
                </c:pt>
                <c:pt idx="2">
                  <c:v>4.9390760021265648E-2</c:v>
                </c:pt>
                <c:pt idx="3">
                  <c:v>4.9888411073592556E-2</c:v>
                </c:pt>
                <c:pt idx="4">
                  <c:v>4.9633986051565798E-2</c:v>
                </c:pt>
                <c:pt idx="5">
                  <c:v>4.9786976521961263E-2</c:v>
                </c:pt>
                <c:pt idx="6">
                  <c:v>4.9994648801833609E-2</c:v>
                </c:pt>
                <c:pt idx="7">
                  <c:v>5.0058898848894591E-2</c:v>
                </c:pt>
                <c:pt idx="8">
                  <c:v>4.9772594248614015E-2</c:v>
                </c:pt>
                <c:pt idx="9">
                  <c:v>5.002364407875691E-2</c:v>
                </c:pt>
                <c:pt idx="10">
                  <c:v>5.0107362762981347E-2</c:v>
                </c:pt>
                <c:pt idx="11">
                  <c:v>5.0188394691618857E-2</c:v>
                </c:pt>
                <c:pt idx="12">
                  <c:v>5.0423182016196527E-2</c:v>
                </c:pt>
                <c:pt idx="13">
                  <c:v>5.0625811813052118E-2</c:v>
                </c:pt>
                <c:pt idx="14">
                  <c:v>5.1002568215391737E-2</c:v>
                </c:pt>
                <c:pt idx="15">
                  <c:v>5.140526163643646E-2</c:v>
                </c:pt>
                <c:pt idx="16">
                  <c:v>5.1552663281057391E-2</c:v>
                </c:pt>
                <c:pt idx="17">
                  <c:v>5.0960866190346253E-2</c:v>
                </c:pt>
                <c:pt idx="18">
                  <c:v>5.1312075577439373E-2</c:v>
                </c:pt>
                <c:pt idx="19">
                  <c:v>5.1581123975048493E-2</c:v>
                </c:pt>
                <c:pt idx="20">
                  <c:v>5.1835514597086386E-2</c:v>
                </c:pt>
                <c:pt idx="21">
                  <c:v>5.1941879265254287E-2</c:v>
                </c:pt>
                <c:pt idx="22">
                  <c:v>5.2070723991586784E-2</c:v>
                </c:pt>
                <c:pt idx="23">
                  <c:v>5.242627415512055E-2</c:v>
                </c:pt>
                <c:pt idx="24">
                  <c:v>5.2917846638736714E-2</c:v>
                </c:pt>
                <c:pt idx="25">
                  <c:v>5.2900220819012682E-2</c:v>
                </c:pt>
                <c:pt idx="26">
                  <c:v>5.3073172259893074E-2</c:v>
                </c:pt>
                <c:pt idx="27">
                  <c:v>5.2979272592192497E-2</c:v>
                </c:pt>
                <c:pt idx="28">
                  <c:v>5.2983172473613345E-2</c:v>
                </c:pt>
                <c:pt idx="29">
                  <c:v>5.3457238731047789E-2</c:v>
                </c:pt>
                <c:pt idx="30">
                  <c:v>5.3548862538890837E-2</c:v>
                </c:pt>
                <c:pt idx="31">
                  <c:v>5.3842267982416259E-2</c:v>
                </c:pt>
                <c:pt idx="32">
                  <c:v>5.4233819360721108E-2</c:v>
                </c:pt>
                <c:pt idx="33">
                  <c:v>5.420367502980087E-2</c:v>
                </c:pt>
                <c:pt idx="34">
                  <c:v>5.4359819658277353E-2</c:v>
                </c:pt>
                <c:pt idx="35">
                  <c:v>5.4781270952357845E-2</c:v>
                </c:pt>
                <c:pt idx="36">
                  <c:v>5.5266713735705894E-2</c:v>
                </c:pt>
                <c:pt idx="37">
                  <c:v>5.5260405421613618E-2</c:v>
                </c:pt>
                <c:pt idx="38">
                  <c:v>5.5417900862569834E-2</c:v>
                </c:pt>
                <c:pt idx="39">
                  <c:v>5.5573506950333647E-2</c:v>
                </c:pt>
                <c:pt idx="40">
                  <c:v>5.567199171132186E-2</c:v>
                </c:pt>
                <c:pt idx="41">
                  <c:v>5.5993991001124233E-2</c:v>
                </c:pt>
                <c:pt idx="42">
                  <c:v>5.6356548472065962E-2</c:v>
                </c:pt>
                <c:pt idx="43">
                  <c:v>5.6439057993018127E-2</c:v>
                </c:pt>
                <c:pt idx="44">
                  <c:v>5.6617637401494121E-2</c:v>
                </c:pt>
                <c:pt idx="45">
                  <c:v>5.6592692628989194E-2</c:v>
                </c:pt>
                <c:pt idx="46">
                  <c:v>5.6903827193613678E-2</c:v>
                </c:pt>
                <c:pt idx="47">
                  <c:v>5.6974449817570869E-2</c:v>
                </c:pt>
                <c:pt idx="48">
                  <c:v>5.7341056774681529E-2</c:v>
                </c:pt>
                <c:pt idx="49">
                  <c:v>5.7598548777046919E-2</c:v>
                </c:pt>
                <c:pt idx="50">
                  <c:v>5.7839078604675888E-2</c:v>
                </c:pt>
                <c:pt idx="51">
                  <c:v>5.8003227422910995E-2</c:v>
                </c:pt>
                <c:pt idx="52">
                  <c:v>5.8200143241028915E-2</c:v>
                </c:pt>
                <c:pt idx="53">
                  <c:v>5.8571305603976775E-2</c:v>
                </c:pt>
                <c:pt idx="54">
                  <c:v>5.8800356072514576E-2</c:v>
                </c:pt>
                <c:pt idx="55">
                  <c:v>5.9223425662250452E-2</c:v>
                </c:pt>
                <c:pt idx="56">
                  <c:v>5.9456754230855967E-2</c:v>
                </c:pt>
                <c:pt idx="57">
                  <c:v>5.9626032257376844E-2</c:v>
                </c:pt>
                <c:pt idx="58">
                  <c:v>5.9792106670271995E-2</c:v>
                </c:pt>
                <c:pt idx="59">
                  <c:v>6.0100520087402035E-2</c:v>
                </c:pt>
                <c:pt idx="60">
                  <c:v>6.0200021630723584E-2</c:v>
                </c:pt>
                <c:pt idx="61">
                  <c:v>6.0383412309581178E-2</c:v>
                </c:pt>
                <c:pt idx="62">
                  <c:v>6.0718390176418592E-2</c:v>
                </c:pt>
                <c:pt idx="63">
                  <c:v>6.0890925357825434E-2</c:v>
                </c:pt>
                <c:pt idx="64">
                  <c:v>6.1303651067007227E-2</c:v>
                </c:pt>
                <c:pt idx="65">
                  <c:v>6.1405373553135502E-2</c:v>
                </c:pt>
                <c:pt idx="66">
                  <c:v>6.156234112316037E-2</c:v>
                </c:pt>
                <c:pt idx="67">
                  <c:v>6.1752113579100501E-2</c:v>
                </c:pt>
                <c:pt idx="68">
                  <c:v>6.2067877288154924E-2</c:v>
                </c:pt>
                <c:pt idx="69">
                  <c:v>6.2138230765702039E-2</c:v>
                </c:pt>
                <c:pt idx="70">
                  <c:v>6.2386256048887791E-2</c:v>
                </c:pt>
                <c:pt idx="71">
                  <c:v>6.263285496459646E-2</c:v>
                </c:pt>
                <c:pt idx="72">
                  <c:v>6.2730080671387717E-2</c:v>
                </c:pt>
                <c:pt idx="73">
                  <c:v>6.2886482718364764E-2</c:v>
                </c:pt>
                <c:pt idx="74">
                  <c:v>6.3207077327829667E-2</c:v>
                </c:pt>
                <c:pt idx="75">
                  <c:v>6.3478654732673209E-2</c:v>
                </c:pt>
                <c:pt idx="76">
                  <c:v>6.3800995829055518E-2</c:v>
                </c:pt>
                <c:pt idx="77">
                  <c:v>6.397027860788522E-2</c:v>
                </c:pt>
                <c:pt idx="78">
                  <c:v>6.4376250842502231E-2</c:v>
                </c:pt>
                <c:pt idx="79">
                  <c:v>6.4818329199368613E-2</c:v>
                </c:pt>
                <c:pt idx="80">
                  <c:v>6.5070893477653227E-2</c:v>
                </c:pt>
                <c:pt idx="81">
                  <c:v>6.5319518074746716E-2</c:v>
                </c:pt>
                <c:pt idx="82">
                  <c:v>6.5643993660417468E-2</c:v>
                </c:pt>
                <c:pt idx="83">
                  <c:v>6.606580692421396E-2</c:v>
                </c:pt>
                <c:pt idx="84">
                  <c:v>6.6451123872499115E-2</c:v>
                </c:pt>
                <c:pt idx="85">
                  <c:v>6.6770025380035403E-2</c:v>
                </c:pt>
                <c:pt idx="86">
                  <c:v>6.7099855134310465E-2</c:v>
                </c:pt>
                <c:pt idx="87">
                  <c:v>6.7144736669590296E-2</c:v>
                </c:pt>
                <c:pt idx="88">
                  <c:v>6.7428764567917604E-2</c:v>
                </c:pt>
                <c:pt idx="89">
                  <c:v>6.7758691854576766E-2</c:v>
                </c:pt>
                <c:pt idx="90">
                  <c:v>6.8049246553233605E-2</c:v>
                </c:pt>
                <c:pt idx="91">
                  <c:v>6.8354449345719451E-2</c:v>
                </c:pt>
                <c:pt idx="92">
                  <c:v>6.8446796011305461E-2</c:v>
                </c:pt>
                <c:pt idx="93">
                  <c:v>6.8922513677194028E-2</c:v>
                </c:pt>
                <c:pt idx="94">
                  <c:v>6.928611443358855E-2</c:v>
                </c:pt>
                <c:pt idx="95">
                  <c:v>6.9531758257513274E-2</c:v>
                </c:pt>
                <c:pt idx="96">
                  <c:v>6.9579947245005533E-2</c:v>
                </c:pt>
                <c:pt idx="97">
                  <c:v>6.9904374284544865E-2</c:v>
                </c:pt>
                <c:pt idx="98">
                  <c:v>7.0114637613198721E-2</c:v>
                </c:pt>
                <c:pt idx="99">
                  <c:v>7.040258282226311E-2</c:v>
                </c:pt>
                <c:pt idx="100">
                  <c:v>7.0648478034963991E-2</c:v>
                </c:pt>
                <c:pt idx="101">
                  <c:v>7.1024529190875929E-2</c:v>
                </c:pt>
                <c:pt idx="102">
                  <c:v>7.1233449708668475E-2</c:v>
                </c:pt>
                <c:pt idx="103">
                  <c:v>7.1581251878854987E-2</c:v>
                </c:pt>
                <c:pt idx="104">
                  <c:v>7.1885651242730192E-2</c:v>
                </c:pt>
                <c:pt idx="105">
                  <c:v>7.2073493757403517E-2</c:v>
                </c:pt>
                <c:pt idx="106">
                  <c:v>7.236350724560324E-2</c:v>
                </c:pt>
                <c:pt idx="107">
                  <c:v>7.2553656096471394E-2</c:v>
                </c:pt>
                <c:pt idx="108">
                  <c:v>7.2901093039976356E-2</c:v>
                </c:pt>
                <c:pt idx="109">
                  <c:v>7.3075409102327571E-2</c:v>
                </c:pt>
                <c:pt idx="110">
                  <c:v>7.3343526795981245E-2</c:v>
                </c:pt>
                <c:pt idx="111">
                  <c:v>7.3676685380210688E-2</c:v>
                </c:pt>
                <c:pt idx="112">
                  <c:v>7.4095235300884632E-2</c:v>
                </c:pt>
                <c:pt idx="113">
                  <c:v>7.435889245502178E-2</c:v>
                </c:pt>
                <c:pt idx="114">
                  <c:v>7.4678156641494575E-2</c:v>
                </c:pt>
                <c:pt idx="115">
                  <c:v>7.4858326364056121E-2</c:v>
                </c:pt>
                <c:pt idx="116">
                  <c:v>7.5126157406253807E-2</c:v>
                </c:pt>
                <c:pt idx="117">
                  <c:v>7.545227674132772E-2</c:v>
                </c:pt>
                <c:pt idx="118">
                  <c:v>7.5542950188310462E-2</c:v>
                </c:pt>
                <c:pt idx="119">
                  <c:v>7.5799568383982177E-2</c:v>
                </c:pt>
                <c:pt idx="120">
                  <c:v>7.589890514661389E-2</c:v>
                </c:pt>
                <c:pt idx="121">
                  <c:v>7.6121880192619326E-2</c:v>
                </c:pt>
                <c:pt idx="122">
                  <c:v>7.6520309456655417E-2</c:v>
                </c:pt>
                <c:pt idx="123">
                  <c:v>7.6751043305905042E-2</c:v>
                </c:pt>
                <c:pt idx="124">
                  <c:v>7.7017282515717128E-2</c:v>
                </c:pt>
                <c:pt idx="125">
                  <c:v>7.7179649951146193E-2</c:v>
                </c:pt>
                <c:pt idx="126">
                  <c:v>7.7503837552936605E-2</c:v>
                </c:pt>
                <c:pt idx="127">
                  <c:v>7.7774491298085779E-2</c:v>
                </c:pt>
                <c:pt idx="128">
                  <c:v>7.7980362016587673E-2</c:v>
                </c:pt>
                <c:pt idx="129">
                  <c:v>7.8247819956514503E-2</c:v>
                </c:pt>
                <c:pt idx="130">
                  <c:v>7.8422066711174757E-2</c:v>
                </c:pt>
                <c:pt idx="131">
                  <c:v>7.8519199429247857E-2</c:v>
                </c:pt>
                <c:pt idx="132">
                  <c:v>7.8797400971965872E-2</c:v>
                </c:pt>
                <c:pt idx="133">
                  <c:v>7.9013375974519726E-2</c:v>
                </c:pt>
                <c:pt idx="134">
                  <c:v>7.9037199587739457E-2</c:v>
                </c:pt>
                <c:pt idx="135">
                  <c:v>7.9275436844197078E-2</c:v>
                </c:pt>
                <c:pt idx="136">
                  <c:v>7.9490452973527331E-2</c:v>
                </c:pt>
                <c:pt idx="137">
                  <c:v>7.964145808556157E-2</c:v>
                </c:pt>
                <c:pt idx="138">
                  <c:v>7.9834746730268677E-2</c:v>
                </c:pt>
                <c:pt idx="139">
                  <c:v>8.0075859416104761E-2</c:v>
                </c:pt>
                <c:pt idx="140">
                  <c:v>8.036276987031632E-2</c:v>
                </c:pt>
                <c:pt idx="141">
                  <c:v>8.0660012373565154E-2</c:v>
                </c:pt>
                <c:pt idx="142">
                  <c:v>8.0888024038804462E-2</c:v>
                </c:pt>
                <c:pt idx="143">
                  <c:v>8.1066447124406124E-2</c:v>
                </c:pt>
                <c:pt idx="144">
                  <c:v>8.1272063352282209E-2</c:v>
                </c:pt>
                <c:pt idx="145">
                  <c:v>8.1614126072619489E-2</c:v>
                </c:pt>
                <c:pt idx="146">
                  <c:v>8.1832744488077383E-2</c:v>
                </c:pt>
                <c:pt idx="147">
                  <c:v>8.2006225153438445E-2</c:v>
                </c:pt>
                <c:pt idx="148">
                  <c:v>8.2286035690037576E-2</c:v>
                </c:pt>
                <c:pt idx="149">
                  <c:v>8.2617952443966594E-2</c:v>
                </c:pt>
                <c:pt idx="150">
                  <c:v>8.2932036603215159E-2</c:v>
                </c:pt>
                <c:pt idx="151">
                  <c:v>8.3203210949027454E-2</c:v>
                </c:pt>
                <c:pt idx="152">
                  <c:v>8.3587452853777902E-2</c:v>
                </c:pt>
                <c:pt idx="153">
                  <c:v>8.3975850539863145E-2</c:v>
                </c:pt>
                <c:pt idx="154">
                  <c:v>8.4103590823745369E-2</c:v>
                </c:pt>
                <c:pt idx="155">
                  <c:v>8.431199913444927E-2</c:v>
                </c:pt>
                <c:pt idx="156">
                  <c:v>8.4566430386151165E-2</c:v>
                </c:pt>
                <c:pt idx="157">
                  <c:v>8.4896291141494898E-2</c:v>
                </c:pt>
                <c:pt idx="158">
                  <c:v>8.5111659717190313E-2</c:v>
                </c:pt>
                <c:pt idx="159">
                  <c:v>8.5373265409253232E-2</c:v>
                </c:pt>
                <c:pt idx="160">
                  <c:v>8.5762392058814016E-2</c:v>
                </c:pt>
                <c:pt idx="161">
                  <c:v>8.609101686257635E-2</c:v>
                </c:pt>
                <c:pt idx="162">
                  <c:v>8.6258025174865152E-2</c:v>
                </c:pt>
                <c:pt idx="163">
                  <c:v>8.6398695746449927E-2</c:v>
                </c:pt>
                <c:pt idx="164">
                  <c:v>8.6493141160422879E-2</c:v>
                </c:pt>
                <c:pt idx="165">
                  <c:v>8.6870480271900391E-2</c:v>
                </c:pt>
                <c:pt idx="166">
                  <c:v>8.7072975185172638E-2</c:v>
                </c:pt>
                <c:pt idx="167">
                  <c:v>8.7255664190307017E-2</c:v>
                </c:pt>
                <c:pt idx="168">
                  <c:v>8.7525353437021336E-2</c:v>
                </c:pt>
                <c:pt idx="169">
                  <c:v>8.7716753777212123E-2</c:v>
                </c:pt>
                <c:pt idx="170">
                  <c:v>8.7898254253200178E-2</c:v>
                </c:pt>
                <c:pt idx="171">
                  <c:v>8.8191031434489628E-2</c:v>
                </c:pt>
                <c:pt idx="172">
                  <c:v>8.8331014463678581E-2</c:v>
                </c:pt>
                <c:pt idx="173">
                  <c:v>8.8702822001823764E-2</c:v>
                </c:pt>
                <c:pt idx="174">
                  <c:v>8.8975011104991869E-2</c:v>
                </c:pt>
                <c:pt idx="175">
                  <c:v>8.9193634312566619E-2</c:v>
                </c:pt>
                <c:pt idx="176">
                  <c:v>8.9500931331180103E-2</c:v>
                </c:pt>
                <c:pt idx="177">
                  <c:v>8.9935181809486273E-2</c:v>
                </c:pt>
                <c:pt idx="178">
                  <c:v>9.0234890343964938E-2</c:v>
                </c:pt>
                <c:pt idx="179">
                  <c:v>9.0425159434810415E-2</c:v>
                </c:pt>
                <c:pt idx="180">
                  <c:v>9.0748889927200801E-2</c:v>
                </c:pt>
                <c:pt idx="181">
                  <c:v>9.105892491844704E-2</c:v>
                </c:pt>
                <c:pt idx="182">
                  <c:v>9.1374293343723656E-2</c:v>
                </c:pt>
                <c:pt idx="183">
                  <c:v>9.1659373108753106E-2</c:v>
                </c:pt>
                <c:pt idx="184">
                  <c:v>9.1941422834140529E-2</c:v>
                </c:pt>
                <c:pt idx="185">
                  <c:v>9.2095272514800777E-2</c:v>
                </c:pt>
                <c:pt idx="186">
                  <c:v>9.2365212607778982E-2</c:v>
                </c:pt>
                <c:pt idx="187">
                  <c:v>9.2658233495976766E-2</c:v>
                </c:pt>
                <c:pt idx="188">
                  <c:v>9.2834611007348175E-2</c:v>
                </c:pt>
                <c:pt idx="189">
                  <c:v>9.3064101428683252E-2</c:v>
                </c:pt>
                <c:pt idx="190">
                  <c:v>9.3352722684273345E-2</c:v>
                </c:pt>
                <c:pt idx="191">
                  <c:v>9.3571378299754759E-2</c:v>
                </c:pt>
                <c:pt idx="192">
                  <c:v>9.3843304795164811E-2</c:v>
                </c:pt>
                <c:pt idx="193">
                  <c:v>9.3989822453870261E-2</c:v>
                </c:pt>
                <c:pt idx="194">
                  <c:v>9.4263729275369537E-2</c:v>
                </c:pt>
                <c:pt idx="195">
                  <c:v>9.4613072708009158E-2</c:v>
                </c:pt>
                <c:pt idx="196">
                  <c:v>9.4727060392925208E-2</c:v>
                </c:pt>
                <c:pt idx="197">
                  <c:v>9.4934207454194536E-2</c:v>
                </c:pt>
                <c:pt idx="198">
                  <c:v>9.5036640533231867E-2</c:v>
                </c:pt>
                <c:pt idx="199">
                  <c:v>9.5288728411880769E-2</c:v>
                </c:pt>
                <c:pt idx="200">
                  <c:v>9.5518817565407199E-2</c:v>
                </c:pt>
                <c:pt idx="201">
                  <c:v>9.5689437052225462E-2</c:v>
                </c:pt>
                <c:pt idx="202">
                  <c:v>9.5959996794690625E-2</c:v>
                </c:pt>
                <c:pt idx="203">
                  <c:v>9.6043628134908507E-2</c:v>
                </c:pt>
                <c:pt idx="204">
                  <c:v>9.6364776012910699E-2</c:v>
                </c:pt>
                <c:pt idx="205">
                  <c:v>9.6530971669630511E-2</c:v>
                </c:pt>
                <c:pt idx="206">
                  <c:v>9.6853155088021212E-2</c:v>
                </c:pt>
                <c:pt idx="207">
                  <c:v>9.7040795465300853E-2</c:v>
                </c:pt>
                <c:pt idx="208">
                  <c:v>9.7285804591535602E-2</c:v>
                </c:pt>
                <c:pt idx="209">
                  <c:v>9.7615504109847359E-2</c:v>
                </c:pt>
                <c:pt idx="210">
                  <c:v>9.7893337147580445E-2</c:v>
                </c:pt>
                <c:pt idx="211">
                  <c:v>9.8135639310846498E-2</c:v>
                </c:pt>
                <c:pt idx="212">
                  <c:v>9.8358461451672999E-2</c:v>
                </c:pt>
                <c:pt idx="213">
                  <c:v>9.8635855604063169E-2</c:v>
                </c:pt>
                <c:pt idx="214">
                  <c:v>9.8720745724691555E-2</c:v>
                </c:pt>
                <c:pt idx="215">
                  <c:v>9.8946592550734347E-2</c:v>
                </c:pt>
                <c:pt idx="216">
                  <c:v>9.9242921018472208E-2</c:v>
                </c:pt>
                <c:pt idx="217">
                  <c:v>9.9320932513388152E-2</c:v>
                </c:pt>
                <c:pt idx="218">
                  <c:v>9.9623788217376302E-2</c:v>
                </c:pt>
                <c:pt idx="219">
                  <c:v>9.9864273156682143E-2</c:v>
                </c:pt>
                <c:pt idx="220">
                  <c:v>0.10006150863167133</c:v>
                </c:pt>
                <c:pt idx="221">
                  <c:v>0.10045655492833848</c:v>
                </c:pt>
                <c:pt idx="222">
                  <c:v>0.10062456939271713</c:v>
                </c:pt>
                <c:pt idx="223">
                  <c:v>0.10080439609968499</c:v>
                </c:pt>
                <c:pt idx="224">
                  <c:v>0.10101560909478205</c:v>
                </c:pt>
                <c:pt idx="225">
                  <c:v>0.1011958411937235</c:v>
                </c:pt>
                <c:pt idx="226">
                  <c:v>0.10144238185107003</c:v>
                </c:pt>
                <c:pt idx="227">
                  <c:v>0.10172645604492696</c:v>
                </c:pt>
                <c:pt idx="228">
                  <c:v>0.1019311054700047</c:v>
                </c:pt>
                <c:pt idx="229">
                  <c:v>0.10219982752436388</c:v>
                </c:pt>
                <c:pt idx="230">
                  <c:v>0.10249173608317157</c:v>
                </c:pt>
                <c:pt idx="231">
                  <c:v>0.10280979379454043</c:v>
                </c:pt>
                <c:pt idx="232">
                  <c:v>0.10305852671378882</c:v>
                </c:pt>
                <c:pt idx="233">
                  <c:v>0.10331990338200543</c:v>
                </c:pt>
                <c:pt idx="234">
                  <c:v>0.10361511227155232</c:v>
                </c:pt>
                <c:pt idx="235">
                  <c:v>0.10377019397647926</c:v>
                </c:pt>
                <c:pt idx="236">
                  <c:v>0.1040793475075605</c:v>
                </c:pt>
                <c:pt idx="237">
                  <c:v>0.10446689558704948</c:v>
                </c:pt>
                <c:pt idx="238">
                  <c:v>0.10481915421282326</c:v>
                </c:pt>
                <c:pt idx="239">
                  <c:v>0.1049889655753025</c:v>
                </c:pt>
                <c:pt idx="240">
                  <c:v>0.10512796527047802</c:v>
                </c:pt>
                <c:pt idx="241">
                  <c:v>0.1053577456356527</c:v>
                </c:pt>
                <c:pt idx="242">
                  <c:v>0.10559272263257852</c:v>
                </c:pt>
                <c:pt idx="243">
                  <c:v>0.10588261573097568</c:v>
                </c:pt>
                <c:pt idx="244">
                  <c:v>0.10616181257457841</c:v>
                </c:pt>
                <c:pt idx="245">
                  <c:v>0.10644635244820883</c:v>
                </c:pt>
                <c:pt idx="246">
                  <c:v>0.10665882488988168</c:v>
                </c:pt>
                <c:pt idx="247">
                  <c:v>0.10690006889811651</c:v>
                </c:pt>
                <c:pt idx="248">
                  <c:v>0.10714024120149439</c:v>
                </c:pt>
                <c:pt idx="249">
                  <c:v>0.10728802425450278</c:v>
                </c:pt>
                <c:pt idx="250">
                  <c:v>0.10744016554582192</c:v>
                </c:pt>
                <c:pt idx="251">
                  <c:v>0.10776140410596612</c:v>
                </c:pt>
                <c:pt idx="252">
                  <c:v>0.10802463590589566</c:v>
                </c:pt>
                <c:pt idx="253">
                  <c:v>0.10827574196144854</c:v>
                </c:pt>
                <c:pt idx="254">
                  <c:v>0.10852700562301654</c:v>
                </c:pt>
                <c:pt idx="255">
                  <c:v>0.10886049209749811</c:v>
                </c:pt>
                <c:pt idx="256">
                  <c:v>0.10909783582507018</c:v>
                </c:pt>
                <c:pt idx="257">
                  <c:v>0.1093568761999574</c:v>
                </c:pt>
                <c:pt idx="258">
                  <c:v>0.10940867628516593</c:v>
                </c:pt>
                <c:pt idx="259">
                  <c:v>0.10970889257399778</c:v>
                </c:pt>
                <c:pt idx="260">
                  <c:v>0.10996581404095079</c:v>
                </c:pt>
                <c:pt idx="261">
                  <c:v>0.11023197007144671</c:v>
                </c:pt>
                <c:pt idx="262">
                  <c:v>0.11038699726082313</c:v>
                </c:pt>
                <c:pt idx="263">
                  <c:v>0.11067439132404193</c:v>
                </c:pt>
                <c:pt idx="264">
                  <c:v>0.11101679707453015</c:v>
                </c:pt>
                <c:pt idx="265">
                  <c:v>0.11121873792978984</c:v>
                </c:pt>
                <c:pt idx="266">
                  <c:v>0.11151848214276003</c:v>
                </c:pt>
                <c:pt idx="267">
                  <c:v>0.1117596894449866</c:v>
                </c:pt>
                <c:pt idx="268">
                  <c:v>0.11208524751929197</c:v>
                </c:pt>
                <c:pt idx="269">
                  <c:v>0.11228594382402071</c:v>
                </c:pt>
                <c:pt idx="270">
                  <c:v>0.11248932721281558</c:v>
                </c:pt>
                <c:pt idx="271">
                  <c:v>0.11278735457971373</c:v>
                </c:pt>
                <c:pt idx="272">
                  <c:v>0.11301853804898142</c:v>
                </c:pt>
                <c:pt idx="273">
                  <c:v>0.11340650057214208</c:v>
                </c:pt>
                <c:pt idx="274">
                  <c:v>0.11373589215383827</c:v>
                </c:pt>
                <c:pt idx="275">
                  <c:v>0.11394614558886218</c:v>
                </c:pt>
                <c:pt idx="276">
                  <c:v>0.11434611915400135</c:v>
                </c:pt>
                <c:pt idx="277">
                  <c:v>0.11459649139517822</c:v>
                </c:pt>
                <c:pt idx="278">
                  <c:v>0.11484038535012238</c:v>
                </c:pt>
                <c:pt idx="279">
                  <c:v>0.1150227537473076</c:v>
                </c:pt>
                <c:pt idx="280">
                  <c:v>0.11520172719043889</c:v>
                </c:pt>
                <c:pt idx="281">
                  <c:v>0.11553231804454116</c:v>
                </c:pt>
                <c:pt idx="282">
                  <c:v>0.11581398789277564</c:v>
                </c:pt>
                <c:pt idx="283">
                  <c:v>0.11607422624252371</c:v>
                </c:pt>
                <c:pt idx="284">
                  <c:v>0.11624989564270832</c:v>
                </c:pt>
                <c:pt idx="285">
                  <c:v>0.11644495123462066</c:v>
                </c:pt>
                <c:pt idx="286">
                  <c:v>0.11667635539365045</c:v>
                </c:pt>
                <c:pt idx="287">
                  <c:v>0.11680278254880762</c:v>
                </c:pt>
                <c:pt idx="288">
                  <c:v>0.11697058249811172</c:v>
                </c:pt>
                <c:pt idx="289">
                  <c:v>0.11728109473169239</c:v>
                </c:pt>
                <c:pt idx="290">
                  <c:v>0.11754129974223392</c:v>
                </c:pt>
                <c:pt idx="291">
                  <c:v>0.11780881969916082</c:v>
                </c:pt>
                <c:pt idx="292">
                  <c:v>0.11794089967492771</c:v>
                </c:pt>
                <c:pt idx="293">
                  <c:v>0.11815823740904281</c:v>
                </c:pt>
                <c:pt idx="294">
                  <c:v>0.11853399995053346</c:v>
                </c:pt>
                <c:pt idx="295">
                  <c:v>0.11882992340186653</c:v>
                </c:pt>
                <c:pt idx="296">
                  <c:v>0.1191240676934382</c:v>
                </c:pt>
                <c:pt idx="297">
                  <c:v>0.11924874197281973</c:v>
                </c:pt>
                <c:pt idx="298">
                  <c:v>0.11943250112707639</c:v>
                </c:pt>
                <c:pt idx="299">
                  <c:v>0.11960150310303605</c:v>
                </c:pt>
                <c:pt idx="300">
                  <c:v>0.11981716804799332</c:v>
                </c:pt>
                <c:pt idx="301">
                  <c:v>0.120026509862703</c:v>
                </c:pt>
                <c:pt idx="302">
                  <c:v>0.1203622207631791</c:v>
                </c:pt>
                <c:pt idx="303">
                  <c:v>0.12060733536334006</c:v>
                </c:pt>
                <c:pt idx="304">
                  <c:v>0.12077082789538197</c:v>
                </c:pt>
                <c:pt idx="305">
                  <c:v>0.12101356442764269</c:v>
                </c:pt>
                <c:pt idx="306">
                  <c:v>0.12128498022641514</c:v>
                </c:pt>
                <c:pt idx="307">
                  <c:v>0.12148865325363724</c:v>
                </c:pt>
                <c:pt idx="308">
                  <c:v>0.12173683918413473</c:v>
                </c:pt>
                <c:pt idx="309">
                  <c:v>0.1218422840954588</c:v>
                </c:pt>
                <c:pt idx="310">
                  <c:v>0.12210771844430668</c:v>
                </c:pt>
                <c:pt idx="311">
                  <c:v>0.12239090632093713</c:v>
                </c:pt>
                <c:pt idx="312">
                  <c:v>0.12266101509161016</c:v>
                </c:pt>
                <c:pt idx="313">
                  <c:v>0.12289062183640159</c:v>
                </c:pt>
                <c:pt idx="314">
                  <c:v>0.12317000119042718</c:v>
                </c:pt>
                <c:pt idx="315">
                  <c:v>0.12339286751985937</c:v>
                </c:pt>
                <c:pt idx="316">
                  <c:v>0.1237088177508706</c:v>
                </c:pt>
                <c:pt idx="317">
                  <c:v>0.12396150595803067</c:v>
                </c:pt>
                <c:pt idx="318">
                  <c:v>0.124258151402821</c:v>
                </c:pt>
                <c:pt idx="319">
                  <c:v>0.12450062770803294</c:v>
                </c:pt>
                <c:pt idx="320">
                  <c:v>0.12478021586791381</c:v>
                </c:pt>
                <c:pt idx="321">
                  <c:v>0.12499268251254478</c:v>
                </c:pt>
                <c:pt idx="322">
                  <c:v>0.12523707518742558</c:v>
                </c:pt>
                <c:pt idx="323">
                  <c:v>0.12551015225187187</c:v>
                </c:pt>
                <c:pt idx="324">
                  <c:v>0.12566812763227178</c:v>
                </c:pt>
                <c:pt idx="325">
                  <c:v>0.12588448316871861</c:v>
                </c:pt>
                <c:pt idx="326">
                  <c:v>0.12601823978179147</c:v>
                </c:pt>
                <c:pt idx="327">
                  <c:v>0.1262302013837851</c:v>
                </c:pt>
                <c:pt idx="328">
                  <c:v>0.12649597770412593</c:v>
                </c:pt>
                <c:pt idx="329">
                  <c:v>0.12672676051359597</c:v>
                </c:pt>
                <c:pt idx="330">
                  <c:v>0.12694762589082423</c:v>
                </c:pt>
                <c:pt idx="331">
                  <c:v>0.12717033512735962</c:v>
                </c:pt>
                <c:pt idx="332">
                  <c:v>0.12744639048982379</c:v>
                </c:pt>
                <c:pt idx="333">
                  <c:v>0.12752369080854573</c:v>
                </c:pt>
                <c:pt idx="334">
                  <c:v>0.12779292446868135</c:v>
                </c:pt>
                <c:pt idx="335">
                  <c:v>0.12789468344853103</c:v>
                </c:pt>
                <c:pt idx="336">
                  <c:v>0.12812822717383621</c:v>
                </c:pt>
                <c:pt idx="337">
                  <c:v>0.12834856526314781</c:v>
                </c:pt>
                <c:pt idx="338">
                  <c:v>0.12859011175387317</c:v>
                </c:pt>
                <c:pt idx="339">
                  <c:v>0.12872786117311094</c:v>
                </c:pt>
                <c:pt idx="340">
                  <c:v>0.12885127936167917</c:v>
                </c:pt>
                <c:pt idx="341">
                  <c:v>0.12908187064971385</c:v>
                </c:pt>
                <c:pt idx="342">
                  <c:v>0.12925542394842082</c:v>
                </c:pt>
                <c:pt idx="343">
                  <c:v>0.12943412810178739</c:v>
                </c:pt>
                <c:pt idx="344">
                  <c:v>0.12967273931968359</c:v>
                </c:pt>
                <c:pt idx="345">
                  <c:v>0.12988203165623402</c:v>
                </c:pt>
                <c:pt idx="346">
                  <c:v>0.13017300650125946</c:v>
                </c:pt>
                <c:pt idx="347">
                  <c:v>0.13040767948837051</c:v>
                </c:pt>
                <c:pt idx="348">
                  <c:v>0.13065732619264886</c:v>
                </c:pt>
                <c:pt idx="349">
                  <c:v>0.13092145463089563</c:v>
                </c:pt>
                <c:pt idx="350">
                  <c:v>0.13107654356539006</c:v>
                </c:pt>
                <c:pt idx="351">
                  <c:v>0.13122415053798805</c:v>
                </c:pt>
                <c:pt idx="352">
                  <c:v>0.13130828052791987</c:v>
                </c:pt>
                <c:pt idx="353">
                  <c:v>0.13156488861135435</c:v>
                </c:pt>
                <c:pt idx="354">
                  <c:v>0.13186148651851856</c:v>
                </c:pt>
                <c:pt idx="355">
                  <c:v>0.13200522629473835</c:v>
                </c:pt>
                <c:pt idx="356">
                  <c:v>0.13212910014258936</c:v>
                </c:pt>
                <c:pt idx="357">
                  <c:v>0.13224873781449809</c:v>
                </c:pt>
                <c:pt idx="358">
                  <c:v>0.13238063934624261</c:v>
                </c:pt>
                <c:pt idx="359">
                  <c:v>0.13247593180664471</c:v>
                </c:pt>
                <c:pt idx="360">
                  <c:v>0.13270460441446708</c:v>
                </c:pt>
                <c:pt idx="361">
                  <c:v>0.13286000324771391</c:v>
                </c:pt>
                <c:pt idx="362">
                  <c:v>0.13310754607905234</c:v>
                </c:pt>
                <c:pt idx="363">
                  <c:v>0.13345674099532162</c:v>
                </c:pt>
                <c:pt idx="364">
                  <c:v>0.13364798196336941</c:v>
                </c:pt>
                <c:pt idx="365">
                  <c:v>0.13387099494528892</c:v>
                </c:pt>
                <c:pt idx="366">
                  <c:v>0.13400889425915682</c:v>
                </c:pt>
                <c:pt idx="367">
                  <c:v>0.13421230300702736</c:v>
                </c:pt>
                <c:pt idx="368">
                  <c:v>0.13435158254920007</c:v>
                </c:pt>
                <c:pt idx="369">
                  <c:v>0.13461816989167805</c:v>
                </c:pt>
                <c:pt idx="370">
                  <c:v>0.13485807014797152</c:v>
                </c:pt>
                <c:pt idx="371">
                  <c:v>0.13498767301015549</c:v>
                </c:pt>
                <c:pt idx="372">
                  <c:v>0.13514681970446688</c:v>
                </c:pt>
                <c:pt idx="373">
                  <c:v>0.13530829101301065</c:v>
                </c:pt>
                <c:pt idx="374">
                  <c:v>0.1354319950268571</c:v>
                </c:pt>
                <c:pt idx="375">
                  <c:v>0.13552474845887302</c:v>
                </c:pt>
                <c:pt idx="376">
                  <c:v>0.13564405700650553</c:v>
                </c:pt>
                <c:pt idx="377">
                  <c:v>0.1358563205771833</c:v>
                </c:pt>
                <c:pt idx="378">
                  <c:v>0.13594047124221317</c:v>
                </c:pt>
                <c:pt idx="379">
                  <c:v>0.1361866298480881</c:v>
                </c:pt>
                <c:pt idx="380">
                  <c:v>0.13630433830254121</c:v>
                </c:pt>
                <c:pt idx="381">
                  <c:v>0.13645167882776965</c:v>
                </c:pt>
                <c:pt idx="382">
                  <c:v>0.13659193311950035</c:v>
                </c:pt>
                <c:pt idx="383">
                  <c:v>0.13678981559197567</c:v>
                </c:pt>
                <c:pt idx="384">
                  <c:v>0.13700722501463428</c:v>
                </c:pt>
                <c:pt idx="385">
                  <c:v>0.13708266149475781</c:v>
                </c:pt>
                <c:pt idx="386">
                  <c:v>0.1372657661733902</c:v>
                </c:pt>
                <c:pt idx="387">
                  <c:v>0.13749136759160829</c:v>
                </c:pt>
                <c:pt idx="388">
                  <c:v>0.13771710689106892</c:v>
                </c:pt>
                <c:pt idx="389">
                  <c:v>0.13799427505377718</c:v>
                </c:pt>
                <c:pt idx="390">
                  <c:v>0.13813493118883652</c:v>
                </c:pt>
                <c:pt idx="391">
                  <c:v>0.13828341091030574</c:v>
                </c:pt>
                <c:pt idx="392">
                  <c:v>0.13845196564068729</c:v>
                </c:pt>
                <c:pt idx="393">
                  <c:v>0.13862057335657765</c:v>
                </c:pt>
                <c:pt idx="394">
                  <c:v>0.13883634706125433</c:v>
                </c:pt>
                <c:pt idx="395">
                  <c:v>0.13889815653767484</c:v>
                </c:pt>
                <c:pt idx="396">
                  <c:v>0.1391888696583902</c:v>
                </c:pt>
                <c:pt idx="397">
                  <c:v>0.13943409814316057</c:v>
                </c:pt>
                <c:pt idx="398">
                  <c:v>0.13962664263762101</c:v>
                </c:pt>
                <c:pt idx="399">
                  <c:v>0.13993047840503717</c:v>
                </c:pt>
                <c:pt idx="400">
                  <c:v>0.14003009939058708</c:v>
                </c:pt>
                <c:pt idx="401">
                  <c:v>0.14018487020421785</c:v>
                </c:pt>
                <c:pt idx="402">
                  <c:v>0.14039446553722582</c:v>
                </c:pt>
                <c:pt idx="403">
                  <c:v>0.14061904207272957</c:v>
                </c:pt>
                <c:pt idx="404">
                  <c:v>0.14084638245686543</c:v>
                </c:pt>
                <c:pt idx="405">
                  <c:v>0.14099614030542157</c:v>
                </c:pt>
                <c:pt idx="406">
                  <c:v>0.14117651562791031</c:v>
                </c:pt>
                <c:pt idx="407">
                  <c:v>0.14125214238227227</c:v>
                </c:pt>
                <c:pt idx="408">
                  <c:v>0.14133135892842871</c:v>
                </c:pt>
                <c:pt idx="409">
                  <c:v>0.14151482534184487</c:v>
                </c:pt>
                <c:pt idx="410">
                  <c:v>0.14161510218777143</c:v>
                </c:pt>
                <c:pt idx="411">
                  <c:v>0.14174127664826516</c:v>
                </c:pt>
                <c:pt idx="412">
                  <c:v>0.14193284470484646</c:v>
                </c:pt>
                <c:pt idx="413">
                  <c:v>0.14208417689004291</c:v>
                </c:pt>
                <c:pt idx="414">
                  <c:v>0.14233463112695563</c:v>
                </c:pt>
                <c:pt idx="415">
                  <c:v>0.14247234048920313</c:v>
                </c:pt>
                <c:pt idx="416">
                  <c:v>0.14262326217944507</c:v>
                </c:pt>
                <c:pt idx="417">
                  <c:v>0.14275966004460489</c:v>
                </c:pt>
                <c:pt idx="418">
                  <c:v>0.14288425101896118</c:v>
                </c:pt>
                <c:pt idx="419">
                  <c:v>0.14303452266557573</c:v>
                </c:pt>
                <c:pt idx="420">
                  <c:v>0.14320293745725543</c:v>
                </c:pt>
                <c:pt idx="421">
                  <c:v>0.14326420809003468</c:v>
                </c:pt>
                <c:pt idx="422">
                  <c:v>0.14345901558886015</c:v>
                </c:pt>
                <c:pt idx="423">
                  <c:v>0.14365887962211682</c:v>
                </c:pt>
                <c:pt idx="424">
                  <c:v>0.14385796915104698</c:v>
                </c:pt>
                <c:pt idx="425">
                  <c:v>0.14408271307056381</c:v>
                </c:pt>
                <c:pt idx="426">
                  <c:v>0.14430201107636606</c:v>
                </c:pt>
                <c:pt idx="427">
                  <c:v>0.14451732524291444</c:v>
                </c:pt>
                <c:pt idx="428">
                  <c:v>0.14470435403940787</c:v>
                </c:pt>
                <c:pt idx="429">
                  <c:v>0.1448875846147015</c:v>
                </c:pt>
                <c:pt idx="430">
                  <c:v>0.14512313134448995</c:v>
                </c:pt>
                <c:pt idx="431">
                  <c:v>0.14536904636017234</c:v>
                </c:pt>
                <c:pt idx="432">
                  <c:v>0.1455347371896962</c:v>
                </c:pt>
                <c:pt idx="433">
                  <c:v>0.14567347067674746</c:v>
                </c:pt>
                <c:pt idx="434">
                  <c:v>0.14584999986986369</c:v>
                </c:pt>
                <c:pt idx="435">
                  <c:v>0.14596578697686591</c:v>
                </c:pt>
                <c:pt idx="436">
                  <c:v>0.14623492176060077</c:v>
                </c:pt>
                <c:pt idx="437">
                  <c:v>0.146399755524942</c:v>
                </c:pt>
                <c:pt idx="438">
                  <c:v>0.14649802174075705</c:v>
                </c:pt>
                <c:pt idx="439">
                  <c:v>0.14652740645239859</c:v>
                </c:pt>
                <c:pt idx="440">
                  <c:v>0.14664233904505328</c:v>
                </c:pt>
                <c:pt idx="441">
                  <c:v>0.14677960864226672</c:v>
                </c:pt>
                <c:pt idx="442">
                  <c:v>0.14683263663908622</c:v>
                </c:pt>
                <c:pt idx="443">
                  <c:v>0.14704077968062695</c:v>
                </c:pt>
                <c:pt idx="444">
                  <c:v>0.14717433061318258</c:v>
                </c:pt>
                <c:pt idx="445">
                  <c:v>0.1474147991478762</c:v>
                </c:pt>
                <c:pt idx="446">
                  <c:v>0.14762273589161781</c:v>
                </c:pt>
                <c:pt idx="447">
                  <c:v>0.14780295609669733</c:v>
                </c:pt>
                <c:pt idx="448">
                  <c:v>0.1480956472471267</c:v>
                </c:pt>
                <c:pt idx="449">
                  <c:v>0.14830396465932508</c:v>
                </c:pt>
                <c:pt idx="450">
                  <c:v>0.14848734117261525</c:v>
                </c:pt>
                <c:pt idx="451">
                  <c:v>0.14866602108959567</c:v>
                </c:pt>
                <c:pt idx="452">
                  <c:v>0.14890588091514934</c:v>
                </c:pt>
                <c:pt idx="453">
                  <c:v>0.14907100856441707</c:v>
                </c:pt>
                <c:pt idx="454">
                  <c:v>0.14912962702007676</c:v>
                </c:pt>
                <c:pt idx="455">
                  <c:v>0.14927220407642308</c:v>
                </c:pt>
                <c:pt idx="456">
                  <c:v>0.14942832496195466</c:v>
                </c:pt>
                <c:pt idx="457">
                  <c:v>0.14953691669891173</c:v>
                </c:pt>
                <c:pt idx="458">
                  <c:v>0.14971913334731729</c:v>
                </c:pt>
                <c:pt idx="459">
                  <c:v>0.14997246354104102</c:v>
                </c:pt>
                <c:pt idx="460">
                  <c:v>0.1500834386127628</c:v>
                </c:pt>
                <c:pt idx="461">
                  <c:v>0.15027118286977367</c:v>
                </c:pt>
                <c:pt idx="462">
                  <c:v>0.15053661309662097</c:v>
                </c:pt>
                <c:pt idx="463">
                  <c:v>0.15071863307250763</c:v>
                </c:pt>
                <c:pt idx="464">
                  <c:v>0.15099044989342053</c:v>
                </c:pt>
                <c:pt idx="465">
                  <c:v>0.1512413535590548</c:v>
                </c:pt>
                <c:pt idx="466">
                  <c:v>0.1515201501951248</c:v>
                </c:pt>
                <c:pt idx="467">
                  <c:v>0.15169239708268853</c:v>
                </c:pt>
                <c:pt idx="468">
                  <c:v>0.15180323097818507</c:v>
                </c:pt>
                <c:pt idx="469">
                  <c:v>0.15205486351042052</c:v>
                </c:pt>
                <c:pt idx="470">
                  <c:v>0.1522773914828488</c:v>
                </c:pt>
                <c:pt idx="471">
                  <c:v>0.15237549490183633</c:v>
                </c:pt>
                <c:pt idx="472">
                  <c:v>0.15260557186672449</c:v>
                </c:pt>
                <c:pt idx="473">
                  <c:v>0.15272947083382385</c:v>
                </c:pt>
                <c:pt idx="474">
                  <c:v>0.15277439951445573</c:v>
                </c:pt>
                <c:pt idx="475">
                  <c:v>0.15296250144483337</c:v>
                </c:pt>
                <c:pt idx="476">
                  <c:v>0.1531205415373994</c:v>
                </c:pt>
                <c:pt idx="477">
                  <c:v>0.15326999477488856</c:v>
                </c:pt>
                <c:pt idx="478">
                  <c:v>0.1533194951699953</c:v>
                </c:pt>
                <c:pt idx="479">
                  <c:v>0.1535362347084808</c:v>
                </c:pt>
                <c:pt idx="480">
                  <c:v>0.15369877808896959</c:v>
                </c:pt>
                <c:pt idx="481">
                  <c:v>0.15385445554581603</c:v>
                </c:pt>
                <c:pt idx="482">
                  <c:v>0.1539594718450214</c:v>
                </c:pt>
                <c:pt idx="483">
                  <c:v>0.15409262172076504</c:v>
                </c:pt>
                <c:pt idx="484">
                  <c:v>0.15422508787708941</c:v>
                </c:pt>
                <c:pt idx="485">
                  <c:v>0.15435853157341928</c:v>
                </c:pt>
                <c:pt idx="486">
                  <c:v>0.15458088445014811</c:v>
                </c:pt>
                <c:pt idx="487">
                  <c:v>0.15475335137962645</c:v>
                </c:pt>
                <c:pt idx="488">
                  <c:v>0.15505869877927078</c:v>
                </c:pt>
                <c:pt idx="489">
                  <c:v>0.15515652162764484</c:v>
                </c:pt>
                <c:pt idx="490">
                  <c:v>0.15525397882779518</c:v>
                </c:pt>
                <c:pt idx="491">
                  <c:v>0.15541782494532108</c:v>
                </c:pt>
                <c:pt idx="492">
                  <c:v>0.15563808095183115</c:v>
                </c:pt>
                <c:pt idx="493">
                  <c:v>0.15585843400078417</c:v>
                </c:pt>
                <c:pt idx="494">
                  <c:v>0.15600819212375153</c:v>
                </c:pt>
                <c:pt idx="495">
                  <c:v>0.15617418129673352</c:v>
                </c:pt>
                <c:pt idx="496">
                  <c:v>0.15627509686371532</c:v>
                </c:pt>
                <c:pt idx="497">
                  <c:v>0.15652615452557442</c:v>
                </c:pt>
                <c:pt idx="498">
                  <c:v>0.15663107060419768</c:v>
                </c:pt>
                <c:pt idx="499">
                  <c:v>0.15680968042056015</c:v>
                </c:pt>
                <c:pt idx="500">
                  <c:v>0.15695638343467233</c:v>
                </c:pt>
                <c:pt idx="501">
                  <c:v>0.15711748516092897</c:v>
                </c:pt>
                <c:pt idx="502">
                  <c:v>0.15724024297305506</c:v>
                </c:pt>
                <c:pt idx="503">
                  <c:v>0.15741712969408692</c:v>
                </c:pt>
                <c:pt idx="504">
                  <c:v>0.15754080713330301</c:v>
                </c:pt>
                <c:pt idx="505">
                  <c:v>0.1577657138341349</c:v>
                </c:pt>
                <c:pt idx="506">
                  <c:v>0.15787212510271292</c:v>
                </c:pt>
                <c:pt idx="507">
                  <c:v>0.15795214773912161</c:v>
                </c:pt>
                <c:pt idx="508">
                  <c:v>0.15809361773578376</c:v>
                </c:pt>
                <c:pt idx="509">
                  <c:v>0.15820185682738969</c:v>
                </c:pt>
                <c:pt idx="510">
                  <c:v>0.15839404530963228</c:v>
                </c:pt>
                <c:pt idx="511">
                  <c:v>0.158521933757095</c:v>
                </c:pt>
                <c:pt idx="512">
                  <c:v>0.15870083115418177</c:v>
                </c:pt>
                <c:pt idx="513">
                  <c:v>0.15882440922601562</c:v>
                </c:pt>
                <c:pt idx="514">
                  <c:v>0.15898057649389519</c:v>
                </c:pt>
                <c:pt idx="515">
                  <c:v>0.15912664313206132</c:v>
                </c:pt>
                <c:pt idx="516">
                  <c:v>0.15927581400500598</c:v>
                </c:pt>
                <c:pt idx="517">
                  <c:v>0.1593640876836746</c:v>
                </c:pt>
                <c:pt idx="518">
                  <c:v>0.15955709469811882</c:v>
                </c:pt>
                <c:pt idx="519">
                  <c:v>0.15972416187202121</c:v>
                </c:pt>
                <c:pt idx="520">
                  <c:v>0.1598059415264623</c:v>
                </c:pt>
                <c:pt idx="521">
                  <c:v>0.15996823555247353</c:v>
                </c:pt>
                <c:pt idx="522">
                  <c:v>0.16013383828666211</c:v>
                </c:pt>
                <c:pt idx="523">
                  <c:v>0.16028169990406024</c:v>
                </c:pt>
                <c:pt idx="524">
                  <c:v>0.16042040007833433</c:v>
                </c:pt>
                <c:pt idx="525">
                  <c:v>0.16055753112526688</c:v>
                </c:pt>
                <c:pt idx="526">
                  <c:v>0.16070642910263144</c:v>
                </c:pt>
                <c:pt idx="527">
                  <c:v>0.16085650572992322</c:v>
                </c:pt>
                <c:pt idx="528">
                  <c:v>0.16114585226798203</c:v>
                </c:pt>
                <c:pt idx="529">
                  <c:v>0.16129379786210485</c:v>
                </c:pt>
                <c:pt idx="530">
                  <c:v>0.16137426208198682</c:v>
                </c:pt>
                <c:pt idx="531">
                  <c:v>0.16157131966237506</c:v>
                </c:pt>
                <c:pt idx="532">
                  <c:v>0.16167513011977672</c:v>
                </c:pt>
                <c:pt idx="533">
                  <c:v>0.16169570799468483</c:v>
                </c:pt>
                <c:pt idx="534">
                  <c:v>0.16184673046789716</c:v>
                </c:pt>
                <c:pt idx="535">
                  <c:v>0.16202355386227976</c:v>
                </c:pt>
                <c:pt idx="536">
                  <c:v>0.1621297423364717</c:v>
                </c:pt>
                <c:pt idx="537">
                  <c:v>0.16221754242879424</c:v>
                </c:pt>
                <c:pt idx="538">
                  <c:v>0.16233248963057284</c:v>
                </c:pt>
                <c:pt idx="539">
                  <c:v>0.16256627795577697</c:v>
                </c:pt>
                <c:pt idx="540">
                  <c:v>0.16276702714648678</c:v>
                </c:pt>
                <c:pt idx="541">
                  <c:v>0.16296661714382035</c:v>
                </c:pt>
                <c:pt idx="542">
                  <c:v>0.16311550138014205</c:v>
                </c:pt>
                <c:pt idx="543">
                  <c:v>0.16324920537327794</c:v>
                </c:pt>
                <c:pt idx="544">
                  <c:v>0.16333261254841239</c:v>
                </c:pt>
                <c:pt idx="545">
                  <c:v>0.16351967707124229</c:v>
                </c:pt>
                <c:pt idx="546">
                  <c:v>0.16372465367656738</c:v>
                </c:pt>
                <c:pt idx="547">
                  <c:v>0.16386335052611112</c:v>
                </c:pt>
                <c:pt idx="548">
                  <c:v>0.16398135041583381</c:v>
                </c:pt>
                <c:pt idx="549">
                  <c:v>0.1641474948741905</c:v>
                </c:pt>
                <c:pt idx="550">
                  <c:v>0.16432364293534724</c:v>
                </c:pt>
                <c:pt idx="551">
                  <c:v>0.16448370526435155</c:v>
                </c:pt>
                <c:pt idx="552">
                  <c:v>0.16459566956041585</c:v>
                </c:pt>
                <c:pt idx="553">
                  <c:v>0.16479759375115283</c:v>
                </c:pt>
                <c:pt idx="554">
                  <c:v>0.16486703794094332</c:v>
                </c:pt>
                <c:pt idx="555">
                  <c:v>0.16504346039678705</c:v>
                </c:pt>
                <c:pt idx="556">
                  <c:v>0.16518204488935123</c:v>
                </c:pt>
                <c:pt idx="557">
                  <c:v>0.16534933727931389</c:v>
                </c:pt>
                <c:pt idx="558">
                  <c:v>0.16551401039448946</c:v>
                </c:pt>
                <c:pt idx="559">
                  <c:v>0.16576171767075495</c:v>
                </c:pt>
                <c:pt idx="560">
                  <c:v>0.16593286001584892</c:v>
                </c:pt>
                <c:pt idx="561">
                  <c:v>0.16609790669213045</c:v>
                </c:pt>
                <c:pt idx="562">
                  <c:v>0.16621766544114527</c:v>
                </c:pt>
                <c:pt idx="563">
                  <c:v>0.16634686042384358</c:v>
                </c:pt>
                <c:pt idx="564">
                  <c:v>0.16642562977405853</c:v>
                </c:pt>
                <c:pt idx="565">
                  <c:v>0.16656681271031981</c:v>
                </c:pt>
                <c:pt idx="566">
                  <c:v>0.16669874583191269</c:v>
                </c:pt>
                <c:pt idx="567">
                  <c:v>0.16690557597057343</c:v>
                </c:pt>
                <c:pt idx="568">
                  <c:v>0.16703185696232561</c:v>
                </c:pt>
                <c:pt idx="569">
                  <c:v>0.16714299158929444</c:v>
                </c:pt>
                <c:pt idx="570">
                  <c:v>0.16723731129727487</c:v>
                </c:pt>
                <c:pt idx="571">
                  <c:v>0.16741497510185213</c:v>
                </c:pt>
                <c:pt idx="572">
                  <c:v>0.16766309697714082</c:v>
                </c:pt>
                <c:pt idx="573">
                  <c:v>0.1677765903980068</c:v>
                </c:pt>
                <c:pt idx="574">
                  <c:v>0.16785928179759757</c:v>
                </c:pt>
                <c:pt idx="575">
                  <c:v>0.1679685033062184</c:v>
                </c:pt>
                <c:pt idx="576">
                  <c:v>0.16810215652524399</c:v>
                </c:pt>
                <c:pt idx="577">
                  <c:v>0.16824277277414212</c:v>
                </c:pt>
                <c:pt idx="578">
                  <c:v>0.16842171643633363</c:v>
                </c:pt>
                <c:pt idx="579">
                  <c:v>0.16856534360358802</c:v>
                </c:pt>
                <c:pt idx="580">
                  <c:v>0.1686461550108157</c:v>
                </c:pt>
                <c:pt idx="581">
                  <c:v>0.16874834432170055</c:v>
                </c:pt>
                <c:pt idx="582">
                  <c:v>0.16899707884572679</c:v>
                </c:pt>
                <c:pt idx="583">
                  <c:v>0.16916469178468843</c:v>
                </c:pt>
                <c:pt idx="584">
                  <c:v>0.16930720177109207</c:v>
                </c:pt>
                <c:pt idx="585">
                  <c:v>0.16940159613688893</c:v>
                </c:pt>
                <c:pt idx="586">
                  <c:v>0.16952587807831579</c:v>
                </c:pt>
                <c:pt idx="587">
                  <c:v>0.169717964436159</c:v>
                </c:pt>
                <c:pt idx="588">
                  <c:v>0.16988516074328608</c:v>
                </c:pt>
                <c:pt idx="589">
                  <c:v>0.16998466755254002</c:v>
                </c:pt>
                <c:pt idx="590">
                  <c:v>0.17002936488747319</c:v>
                </c:pt>
                <c:pt idx="591">
                  <c:v>0.1701378533607984</c:v>
                </c:pt>
                <c:pt idx="592">
                  <c:v>0.17024437915744164</c:v>
                </c:pt>
                <c:pt idx="593">
                  <c:v>0.17034758063864991</c:v>
                </c:pt>
                <c:pt idx="594">
                  <c:v>0.17043836548409341</c:v>
                </c:pt>
                <c:pt idx="595">
                  <c:v>0.17051404108406074</c:v>
                </c:pt>
                <c:pt idx="596">
                  <c:v>0.17068414867812903</c:v>
                </c:pt>
                <c:pt idx="597">
                  <c:v>0.17088032024994682</c:v>
                </c:pt>
                <c:pt idx="598">
                  <c:v>0.17103368914716219</c:v>
                </c:pt>
                <c:pt idx="599">
                  <c:v>0.17112043491240234</c:v>
                </c:pt>
                <c:pt idx="600">
                  <c:v>0.17118860094676813</c:v>
                </c:pt>
                <c:pt idx="601">
                  <c:v>0.17132932477822618</c:v>
                </c:pt>
                <c:pt idx="602">
                  <c:v>0.17160756177417835</c:v>
                </c:pt>
                <c:pt idx="603">
                  <c:v>0.17166556385298803</c:v>
                </c:pt>
                <c:pt idx="604">
                  <c:v>0.17180477891751447</c:v>
                </c:pt>
                <c:pt idx="605">
                  <c:v>0.17202723723735033</c:v>
                </c:pt>
                <c:pt idx="606">
                  <c:v>0.1721595250295154</c:v>
                </c:pt>
                <c:pt idx="607">
                  <c:v>0.17236046687730938</c:v>
                </c:pt>
                <c:pt idx="608">
                  <c:v>0.17248793913209756</c:v>
                </c:pt>
                <c:pt idx="609">
                  <c:v>0.17258090207615506</c:v>
                </c:pt>
                <c:pt idx="610">
                  <c:v>0.17266288188765663</c:v>
                </c:pt>
                <c:pt idx="611">
                  <c:v>0.17278572419236643</c:v>
                </c:pt>
                <c:pt idx="612">
                  <c:v>0.17286759557036452</c:v>
                </c:pt>
                <c:pt idx="613">
                  <c:v>0.17301800225483871</c:v>
                </c:pt>
                <c:pt idx="614">
                  <c:v>0.17315321588985894</c:v>
                </c:pt>
                <c:pt idx="615">
                  <c:v>0.17329896581383503</c:v>
                </c:pt>
                <c:pt idx="616">
                  <c:v>0.17350451937950709</c:v>
                </c:pt>
                <c:pt idx="617">
                  <c:v>0.17359546512987115</c:v>
                </c:pt>
                <c:pt idx="618">
                  <c:v>0.17375597153681829</c:v>
                </c:pt>
                <c:pt idx="619">
                  <c:v>0.1738887238675611</c:v>
                </c:pt>
                <c:pt idx="620">
                  <c:v>0.17405338833505196</c:v>
                </c:pt>
                <c:pt idx="621">
                  <c:v>0.17419307724039965</c:v>
                </c:pt>
                <c:pt idx="622">
                  <c:v>0.17435620443307795</c:v>
                </c:pt>
                <c:pt idx="623">
                  <c:v>0.17440466513034747</c:v>
                </c:pt>
                <c:pt idx="624">
                  <c:v>0.17445468578006867</c:v>
                </c:pt>
                <c:pt idx="625">
                  <c:v>0.17466416769094356</c:v>
                </c:pt>
                <c:pt idx="626">
                  <c:v>0.17483371726488359</c:v>
                </c:pt>
                <c:pt idx="627">
                  <c:v>0.17501792471017102</c:v>
                </c:pt>
                <c:pt idx="628">
                  <c:v>0.17515615483525265</c:v>
                </c:pt>
                <c:pt idx="629">
                  <c:v>0.17518392925347717</c:v>
                </c:pt>
                <c:pt idx="630">
                  <c:v>0.17528274710573949</c:v>
                </c:pt>
                <c:pt idx="631">
                  <c:v>0.17544732585695744</c:v>
                </c:pt>
                <c:pt idx="632">
                  <c:v>0.17549528458432809</c:v>
                </c:pt>
                <c:pt idx="633">
                  <c:v>0.17566361532160657</c:v>
                </c:pt>
                <c:pt idx="634">
                  <c:v>0.17586622505715963</c:v>
                </c:pt>
                <c:pt idx="635">
                  <c:v>0.17604618235243846</c:v>
                </c:pt>
                <c:pt idx="636">
                  <c:v>0.17613667525437468</c:v>
                </c:pt>
                <c:pt idx="637">
                  <c:v>0.17628788981597271</c:v>
                </c:pt>
                <c:pt idx="638">
                  <c:v>0.17643912039422616</c:v>
                </c:pt>
                <c:pt idx="639">
                  <c:v>0.17662665094877439</c:v>
                </c:pt>
                <c:pt idx="640">
                  <c:v>0.17678475629993892</c:v>
                </c:pt>
                <c:pt idx="641">
                  <c:v>0.17689630160598246</c:v>
                </c:pt>
                <c:pt idx="642">
                  <c:v>0.17711335027719005</c:v>
                </c:pt>
                <c:pt idx="643">
                  <c:v>0.17720822078121637</c:v>
                </c:pt>
                <c:pt idx="644">
                  <c:v>0.17729408547071851</c:v>
                </c:pt>
                <c:pt idx="645">
                  <c:v>0.17750213405137211</c:v>
                </c:pt>
                <c:pt idx="646">
                  <c:v>0.1776475843135073</c:v>
                </c:pt>
                <c:pt idx="647">
                  <c:v>0.17786761322567665</c:v>
                </c:pt>
                <c:pt idx="648">
                  <c:v>0.17796943241647462</c:v>
                </c:pt>
                <c:pt idx="649">
                  <c:v>0.17802794484164297</c:v>
                </c:pt>
                <c:pt idx="650">
                  <c:v>0.17810312081476962</c:v>
                </c:pt>
                <c:pt idx="651">
                  <c:v>0.17821333718900859</c:v>
                </c:pt>
                <c:pt idx="652">
                  <c:v>0.17827113228660216</c:v>
                </c:pt>
                <c:pt idx="653">
                  <c:v>0.17830535279683957</c:v>
                </c:pt>
                <c:pt idx="654">
                  <c:v>0.17833247811317651</c:v>
                </c:pt>
                <c:pt idx="655">
                  <c:v>0.17856329472253815</c:v>
                </c:pt>
                <c:pt idx="656">
                  <c:v>0.17865660442406675</c:v>
                </c:pt>
                <c:pt idx="657">
                  <c:v>0.17894070260465011</c:v>
                </c:pt>
                <c:pt idx="658">
                  <c:v>0.17910909003700282</c:v>
                </c:pt>
                <c:pt idx="659">
                  <c:v>0.17916126397203325</c:v>
                </c:pt>
                <c:pt idx="660">
                  <c:v>0.17931526163599426</c:v>
                </c:pt>
                <c:pt idx="661">
                  <c:v>0.17953847486189939</c:v>
                </c:pt>
                <c:pt idx="662">
                  <c:v>0.17975926672493953</c:v>
                </c:pt>
                <c:pt idx="663">
                  <c:v>0.17981476820700307</c:v>
                </c:pt>
                <c:pt idx="664">
                  <c:v>0.18007265666940467</c:v>
                </c:pt>
                <c:pt idx="665">
                  <c:v>0.18023992397157321</c:v>
                </c:pt>
                <c:pt idx="666">
                  <c:v>0.18025713045314057</c:v>
                </c:pt>
                <c:pt idx="667">
                  <c:v>0.18033940677196325</c:v>
                </c:pt>
                <c:pt idx="668">
                  <c:v>0.18054761318101284</c:v>
                </c:pt>
                <c:pt idx="669">
                  <c:v>0.18071552799529769</c:v>
                </c:pt>
                <c:pt idx="670">
                  <c:v>0.18073048853892176</c:v>
                </c:pt>
                <c:pt idx="671">
                  <c:v>0.18092590774611181</c:v>
                </c:pt>
                <c:pt idx="672">
                  <c:v>0.18108372580780144</c:v>
                </c:pt>
                <c:pt idx="673">
                  <c:v>0.18125141714526125</c:v>
                </c:pt>
                <c:pt idx="674">
                  <c:v>0.18143000947894353</c:v>
                </c:pt>
                <c:pt idx="675">
                  <c:v>0.18165295475317184</c:v>
                </c:pt>
                <c:pt idx="676">
                  <c:v>0.18179067097772728</c:v>
                </c:pt>
                <c:pt idx="677">
                  <c:v>0.18186618902901805</c:v>
                </c:pt>
                <c:pt idx="678">
                  <c:v>0.18198223967536842</c:v>
                </c:pt>
                <c:pt idx="679">
                  <c:v>0.18214135027902856</c:v>
                </c:pt>
                <c:pt idx="680">
                  <c:v>0.182322339935964</c:v>
                </c:pt>
                <c:pt idx="681">
                  <c:v>0.18242062547122048</c:v>
                </c:pt>
                <c:pt idx="682">
                  <c:v>0.18258717765198418</c:v>
                </c:pt>
                <c:pt idx="683">
                  <c:v>0.18280269727210013</c:v>
                </c:pt>
                <c:pt idx="684">
                  <c:v>0.18291542055247401</c:v>
                </c:pt>
                <c:pt idx="685">
                  <c:v>0.18299491497757256</c:v>
                </c:pt>
                <c:pt idx="686">
                  <c:v>0.18312797780417367</c:v>
                </c:pt>
                <c:pt idx="687">
                  <c:v>0.18328240994590847</c:v>
                </c:pt>
                <c:pt idx="688">
                  <c:v>0.18341347760803817</c:v>
                </c:pt>
                <c:pt idx="689">
                  <c:v>0.18352912218609835</c:v>
                </c:pt>
                <c:pt idx="690">
                  <c:v>0.18365920645888562</c:v>
                </c:pt>
                <c:pt idx="691">
                  <c:v>0.18388030351117765</c:v>
                </c:pt>
                <c:pt idx="692">
                  <c:v>0.18398377341924579</c:v>
                </c:pt>
                <c:pt idx="693">
                  <c:v>0.18410792416228877</c:v>
                </c:pt>
                <c:pt idx="694">
                  <c:v>0.18425242471701733</c:v>
                </c:pt>
                <c:pt idx="695">
                  <c:v>0.18436961401064741</c:v>
                </c:pt>
                <c:pt idx="696">
                  <c:v>0.18451261718806683</c:v>
                </c:pt>
                <c:pt idx="697">
                  <c:v>0.18466231431579011</c:v>
                </c:pt>
                <c:pt idx="698">
                  <c:v>0.18469132189169415</c:v>
                </c:pt>
                <c:pt idx="699">
                  <c:v>0.18485296784165875</c:v>
                </c:pt>
                <c:pt idx="700">
                  <c:v>0.18492445773408736</c:v>
                </c:pt>
                <c:pt idx="701">
                  <c:v>0.18503544728380514</c:v>
                </c:pt>
                <c:pt idx="702">
                  <c:v>0.1850986326691163</c:v>
                </c:pt>
                <c:pt idx="703">
                  <c:v>0.18506026799050887</c:v>
                </c:pt>
                <c:pt idx="704">
                  <c:v>0.18526235273952874</c:v>
                </c:pt>
                <c:pt idx="705">
                  <c:v>0.18540445622751506</c:v>
                </c:pt>
                <c:pt idx="706">
                  <c:v>0.18565649687097166</c:v>
                </c:pt>
                <c:pt idx="707">
                  <c:v>0.18575800057989808</c:v>
                </c:pt>
                <c:pt idx="708">
                  <c:v>0.18584515488637601</c:v>
                </c:pt>
                <c:pt idx="709">
                  <c:v>0.18594161339089091</c:v>
                </c:pt>
                <c:pt idx="710">
                  <c:v>0.18606382647268108</c:v>
                </c:pt>
                <c:pt idx="711">
                  <c:v>0.18621618824383854</c:v>
                </c:pt>
                <c:pt idx="712">
                  <c:v>0.18634843625163613</c:v>
                </c:pt>
                <c:pt idx="713">
                  <c:v>0.18645221012669744</c:v>
                </c:pt>
                <c:pt idx="714">
                  <c:v>0.18651520440752353</c:v>
                </c:pt>
                <c:pt idx="715">
                  <c:v>0.18673420561348258</c:v>
                </c:pt>
                <c:pt idx="716">
                  <c:v>0.18673144038321865</c:v>
                </c:pt>
                <c:pt idx="717">
                  <c:v>0.18698970424935155</c:v>
                </c:pt>
                <c:pt idx="718">
                  <c:v>0.18717142708901383</c:v>
                </c:pt>
                <c:pt idx="719">
                  <c:v>0.18734381630576458</c:v>
                </c:pt>
              </c:numCache>
            </c:numRef>
          </c:yVal>
          <c:smooth val="1"/>
        </c:ser>
        <c:axId val="58624256"/>
        <c:axId val="58621952"/>
      </c:scatterChart>
      <c:valAx>
        <c:axId val="58624256"/>
        <c:scaling>
          <c:orientation val="minMax"/>
        </c:scaling>
        <c:axPos val="b"/>
        <c:majorGridlines/>
        <c:numFmt formatCode="_-* #,##0.00_-;\-* #,##0.00_-;_-* &quot;-&quot;??_-;_-@_-" sourceLinked="1"/>
        <c:tickLblPos val="nextTo"/>
        <c:crossAx val="58621952"/>
        <c:crosses val="autoZero"/>
        <c:crossBetween val="midCat"/>
      </c:valAx>
      <c:valAx>
        <c:axId val="58621952"/>
        <c:scaling>
          <c:orientation val="minMax"/>
        </c:scaling>
        <c:axPos val="l"/>
        <c:majorGridlines/>
        <c:numFmt formatCode="General" sourceLinked="1"/>
        <c:tickLblPos val="nextTo"/>
        <c:crossAx val="586242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598712</xdr:colOff>
      <xdr:row>34</xdr:row>
      <xdr:rowOff>68036</xdr:rowOff>
    </xdr:from>
    <xdr:to>
      <xdr:col>12</xdr:col>
      <xdr:colOff>503463</xdr:colOff>
      <xdr:row>53</xdr:row>
      <xdr:rowOff>149678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258533</xdr:colOff>
      <xdr:row>20</xdr:row>
      <xdr:rowOff>13608</xdr:rowOff>
    </xdr:from>
    <xdr:to>
      <xdr:col>12</xdr:col>
      <xdr:colOff>81641</xdr:colOff>
      <xdr:row>45</xdr:row>
      <xdr:rowOff>108857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612321</xdr:colOff>
      <xdr:row>28</xdr:row>
      <xdr:rowOff>27215</xdr:rowOff>
    </xdr:from>
    <xdr:to>
      <xdr:col>10</xdr:col>
      <xdr:colOff>122463</xdr:colOff>
      <xdr:row>43</xdr:row>
      <xdr:rowOff>136072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530677</xdr:colOff>
      <xdr:row>33</xdr:row>
      <xdr:rowOff>0</xdr:rowOff>
    </xdr:from>
    <xdr:to>
      <xdr:col>11</xdr:col>
      <xdr:colOff>843642</xdr:colOff>
      <xdr:row>52</xdr:row>
      <xdr:rowOff>54429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204107</xdr:colOff>
      <xdr:row>21</xdr:row>
      <xdr:rowOff>40821</xdr:rowOff>
    </xdr:from>
    <xdr:to>
      <xdr:col>32</xdr:col>
      <xdr:colOff>421821</xdr:colOff>
      <xdr:row>43</xdr:row>
      <xdr:rowOff>40821</xdr:rowOff>
    </xdr:to>
    <xdr:graphicFrame macro="">
      <xdr:nvGraphicFramePr>
        <xdr:cNvPr id="10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E5:F10"/>
  <sheetViews>
    <sheetView zoomScale="70" zoomScaleNormal="70" workbookViewId="0">
      <selection activeCell="F17" sqref="F17"/>
    </sheetView>
  </sheetViews>
  <sheetFormatPr baseColWidth="10" defaultRowHeight="14.25"/>
  <cols>
    <col min="1" max="11" width="11" style="1"/>
    <col min="12" max="12" width="12.25" style="1" bestFit="1" customWidth="1"/>
    <col min="13" max="16384" width="11" style="1"/>
  </cols>
  <sheetData>
    <row r="5" spans="5:6">
      <c r="E5" s="1" t="s">
        <v>2</v>
      </c>
      <c r="F5" s="1" t="s">
        <v>3</v>
      </c>
    </row>
    <row r="6" spans="5:6">
      <c r="E6" s="1" t="s">
        <v>1</v>
      </c>
      <c r="F6" s="1" t="s">
        <v>0</v>
      </c>
    </row>
    <row r="7" spans="5:6">
      <c r="E7" s="1" t="s">
        <v>4</v>
      </c>
      <c r="F7" s="1">
        <v>5000</v>
      </c>
    </row>
    <row r="8" spans="5:6">
      <c r="E8" s="1" t="s">
        <v>5</v>
      </c>
      <c r="F8" s="1">
        <v>3.2326899999999999E-2</v>
      </c>
    </row>
    <row r="9" spans="5:6">
      <c r="E9" s="1" t="s">
        <v>6</v>
      </c>
      <c r="F9" s="1">
        <v>8.9807299999999993E-3</v>
      </c>
    </row>
    <row r="10" spans="5:6">
      <c r="E10" s="1" t="s">
        <v>7</v>
      </c>
      <c r="F10" s="1">
        <v>0.25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9"/>
  <dimension ref="B6:AG731"/>
  <sheetViews>
    <sheetView tabSelected="1" topLeftCell="O1" zoomScale="70" zoomScaleNormal="70" workbookViewId="0">
      <selection activeCell="AF12" sqref="AF12:AG731"/>
    </sheetView>
  </sheetViews>
  <sheetFormatPr baseColWidth="10" defaultRowHeight="14.25"/>
  <cols>
    <col min="1" max="19" width="11" style="1"/>
    <col min="20" max="20" width="12.5" style="1" customWidth="1"/>
    <col min="21" max="22" width="12.375" style="1" bestFit="1" customWidth="1"/>
    <col min="23" max="23" width="13.875" style="1" bestFit="1" customWidth="1"/>
    <col min="24" max="24" width="12.375" style="1" bestFit="1" customWidth="1"/>
    <col min="25" max="25" width="11.125" style="1" bestFit="1" customWidth="1"/>
    <col min="26" max="29" width="11" style="1"/>
    <col min="30" max="30" width="12.25" style="1" bestFit="1" customWidth="1"/>
    <col min="31" max="16384" width="11" style="1"/>
  </cols>
  <sheetData>
    <row r="6" spans="2:33" ht="15">
      <c r="S6" s="1">
        <v>18</v>
      </c>
      <c r="T6" s="7">
        <f>8%*S6*8%</f>
        <v>0.1152</v>
      </c>
      <c r="U6" s="1">
        <f>sigma*sigma/alpha/alpha*(S6+2/alpha*EXP(-alpha*S6)-1/2/alpha*EXP(-2*alpha*S6)-3/2/alpha)</f>
        <v>0.10366104706902747</v>
      </c>
      <c r="V6" s="1">
        <f>2*sigma/alpha*corel*(S6-1/alpha*(1-EXP(-alpha*S6)))</f>
        <v>0.60469432066117446</v>
      </c>
      <c r="W6" s="5">
        <f>U6-T6</f>
        <v>-1.1538952930972526E-2</v>
      </c>
      <c r="X6" s="1">
        <f>V6*V6-4*W6*S6</f>
        <v>1.1964598324699012</v>
      </c>
      <c r="Y6" s="3">
        <f>(-V6+SQRT(X6))/2/S6</f>
        <v>1.3587048411805386E-2</v>
      </c>
    </row>
    <row r="11" spans="2:33">
      <c r="C11" s="1">
        <v>0</v>
      </c>
      <c r="D11" s="1">
        <v>0</v>
      </c>
      <c r="E11" s="1">
        <v>1</v>
      </c>
      <c r="G11" s="1">
        <v>0</v>
      </c>
      <c r="H11" s="1">
        <v>0</v>
      </c>
      <c r="I11" s="1">
        <v>1</v>
      </c>
      <c r="K11" s="1">
        <v>0</v>
      </c>
      <c r="L11" s="1">
        <v>0</v>
      </c>
      <c r="M11" s="1">
        <v>1</v>
      </c>
      <c r="O11" s="1">
        <v>0</v>
      </c>
      <c r="P11" s="1">
        <v>0</v>
      </c>
      <c r="R11" s="1">
        <v>0</v>
      </c>
      <c r="V11" s="1">
        <v>2</v>
      </c>
      <c r="W11" s="1">
        <v>1</v>
      </c>
      <c r="X11" s="1" t="s">
        <v>8</v>
      </c>
    </row>
    <row r="12" spans="2:33" ht="15">
      <c r="B12" s="1">
        <v>1</v>
      </c>
      <c r="C12" s="1">
        <v>0.9999997383545508</v>
      </c>
      <c r="D12" s="1">
        <v>1.0091769214894037</v>
      </c>
      <c r="E12" s="1">
        <v>0.99090009715243765</v>
      </c>
      <c r="G12" s="1">
        <v>0.99999646761142069</v>
      </c>
      <c r="H12" s="1">
        <v>1.0852424858265532</v>
      </c>
      <c r="I12" s="1">
        <v>0.92099983277758335</v>
      </c>
      <c r="K12" s="1">
        <v>0.9999984567314727</v>
      </c>
      <c r="L12" s="1">
        <v>1.0562975790544609</v>
      </c>
      <c r="M12" s="1">
        <v>0.94650570833364933</v>
      </c>
      <c r="O12" s="1">
        <v>3.25469392179638E-3</v>
      </c>
      <c r="P12" s="1">
        <v>0.99972881228455479</v>
      </c>
      <c r="R12" s="1">
        <v>5.626945745269658E-3</v>
      </c>
      <c r="S12" s="2">
        <f>optim_vol_implied(P12,R12)</f>
        <v>1.4444025662168167E-2</v>
      </c>
      <c r="T12" s="4">
        <f>S12*S12</f>
        <v>2.0862987732937256E-4</v>
      </c>
      <c r="U12" s="1">
        <f t="shared" ref="U12:U56" si="0">sigma*sigma/alpha/alpha*(B12/12+2/alpha*EXP(-alpha*B12/12)-1/2/alpha*EXP(-2*alpha*B12/12)-3/2/alpha)</f>
        <v>1.5526767659060219E-8</v>
      </c>
      <c r="V12" s="6">
        <f>2*sigma/alpha*corel*(B12/12-1/alpha*(1-EXP(-alpha*Output!B12/12)))</f>
        <v>1.5577553832088714E-5</v>
      </c>
      <c r="W12" s="5">
        <f>U12-T12</f>
        <v>-2.0861435056171351E-4</v>
      </c>
      <c r="X12" s="1">
        <f>V12*V12-4*W12*B12/12</f>
        <v>6.9538359514087904E-5</v>
      </c>
      <c r="Y12" s="3">
        <f>(-V12+SQRT(X12))/2/B12*12</f>
        <v>4.9940332679029698E-2</v>
      </c>
      <c r="Z12" s="1">
        <f>S12/SQRT(B12/12)</f>
        <v>5.0035572625407927E-2</v>
      </c>
      <c r="AA12" s="8">
        <v>0</v>
      </c>
      <c r="AB12" s="1">
        <v>8.3330000000000001E-2</v>
      </c>
      <c r="AC12" s="1">
        <v>3.2599999999999999E-3</v>
      </c>
      <c r="AD12" s="8">
        <f>(AC12-O12)*10000</f>
        <v>5.3060782036198559E-2</v>
      </c>
      <c r="AE12" s="3">
        <f>AD12/AC12/10000</f>
        <v>1.6276313508036366E-3</v>
      </c>
      <c r="AF12" s="11">
        <f>AA12</f>
        <v>0</v>
      </c>
      <c r="AG12" s="1">
        <f>Z12</f>
        <v>5.0035572625407927E-2</v>
      </c>
    </row>
    <row r="13" spans="2:33" ht="15">
      <c r="B13" s="1">
        <v>2</v>
      </c>
      <c r="C13" s="1">
        <v>0.99999948513628789</v>
      </c>
      <c r="D13" s="1">
        <v>1.0123396927755772</v>
      </c>
      <c r="E13" s="1">
        <v>0.98779794377489627</v>
      </c>
      <c r="G13" s="1">
        <v>0.99999204606546521</v>
      </c>
      <c r="H13" s="1">
        <v>1.116438090898356</v>
      </c>
      <c r="I13" s="1">
        <v>0.89482490464793729</v>
      </c>
      <c r="K13" s="1">
        <v>0.99999568611029221</v>
      </c>
      <c r="L13" s="1">
        <v>1.0779824358966745</v>
      </c>
      <c r="M13" s="1">
        <v>0.92727245592091423</v>
      </c>
      <c r="O13" s="1">
        <v>3.2546976776552852E-3</v>
      </c>
      <c r="P13" s="1">
        <v>0.99945769748624957</v>
      </c>
      <c r="R13" s="1">
        <v>7.8235047841420779E-3</v>
      </c>
      <c r="S13" s="2">
        <f>optim_vol_implied(P13,R13)</f>
        <v>2.0288831595107054E-2</v>
      </c>
      <c r="T13" s="4">
        <f t="shared" ref="T13:T56" si="1">S13*S13</f>
        <v>4.1163668749461424E-4</v>
      </c>
      <c r="U13" s="1">
        <f t="shared" si="0"/>
        <v>1.2396361005728386E-7</v>
      </c>
      <c r="V13" s="6">
        <f>2*sigma/alpha*corel*(B13/12-1/alpha*(1-EXP(-alpha*Output!B13/12)))</f>
        <v>6.225432541083557E-5</v>
      </c>
      <c r="W13" s="5">
        <f t="shared" ref="W13:W56" si="2">U13-T13</f>
        <v>-4.1151272388455695E-4</v>
      </c>
      <c r="X13" s="1">
        <f t="shared" ref="X13:X56" si="3">V13*V13-4*W13*B13/12</f>
        <v>2.7434569152407032E-4</v>
      </c>
      <c r="Y13" s="3">
        <f t="shared" ref="Y13:Y56" si="4">(-V13+SQRT(X13))/2/B13*12</f>
        <v>4.9503389204221045E-2</v>
      </c>
      <c r="Z13" s="1">
        <f t="shared" ref="Z13:Z76" si="5">S13/SQRT(B13/12)</f>
        <v>4.9697284885269997E-2</v>
      </c>
      <c r="AA13" s="8">
        <f>AA12+1/12</f>
        <v>8.3333333333333329E-2</v>
      </c>
      <c r="AB13" s="1">
        <v>0.16669999999999999</v>
      </c>
      <c r="AC13" s="1">
        <v>3.2599999999999999E-3</v>
      </c>
      <c r="AD13" s="8">
        <f t="shared" ref="AD13:AD76" si="6">(AC13-O13)*10000</f>
        <v>5.3023223447147202E-2</v>
      </c>
      <c r="AE13" s="3">
        <f t="shared" ref="AE13:AE76" si="7">AD13/AC13/10000</f>
        <v>1.6264792468450064E-3</v>
      </c>
      <c r="AF13" s="11">
        <f t="shared" ref="AF13:AF76" si="8">AA13</f>
        <v>8.3333333333333329E-2</v>
      </c>
      <c r="AG13" s="1">
        <f t="shared" ref="AG13:AG76" si="9">Z13</f>
        <v>4.9697284885269997E-2</v>
      </c>
    </row>
    <row r="14" spans="2:33" ht="15">
      <c r="B14" s="1">
        <v>3</v>
      </c>
      <c r="C14" s="1">
        <v>0.99999912346041275</v>
      </c>
      <c r="D14" s="1">
        <v>1.0144181739652227</v>
      </c>
      <c r="E14" s="1">
        <v>0.98576770386726953</v>
      </c>
      <c r="G14" s="1">
        <v>0.99997615327833123</v>
      </c>
      <c r="H14" s="1">
        <v>1.1378727072718411</v>
      </c>
      <c r="I14" s="1">
        <v>0.87753698293102778</v>
      </c>
      <c r="K14" s="1">
        <v>0.99998939883889382</v>
      </c>
      <c r="L14" s="1">
        <v>1.0890510278955834</v>
      </c>
      <c r="M14" s="1">
        <v>0.91765690467817218</v>
      </c>
      <c r="O14" s="1">
        <v>3.2546968163967363E-3</v>
      </c>
      <c r="P14" s="1">
        <v>0.99918665673898999</v>
      </c>
      <c r="R14" s="1">
        <v>9.4464717262989426E-3</v>
      </c>
      <c r="S14" s="2">
        <f t="shared" ref="S14:S77" si="10">optim_vol_implied(P14,R14)</f>
        <v>2.4695380010632824E-2</v>
      </c>
      <c r="T14" s="4">
        <f t="shared" si="1"/>
        <v>6.0986179386956325E-4</v>
      </c>
      <c r="U14" s="1">
        <f t="shared" si="0"/>
        <v>4.1753377691351963E-7</v>
      </c>
      <c r="V14" s="6">
        <f>2*sigma/alpha*corel*(B14/12-1/alpha*(1-EXP(-alpha*Output!B14/12)))</f>
        <v>1.3994664903979378E-4</v>
      </c>
      <c r="W14" s="5">
        <f t="shared" si="2"/>
        <v>-6.0944426009264968E-4</v>
      </c>
      <c r="X14" s="1">
        <f t="shared" si="3"/>
        <v>6.0946384515722716E-4</v>
      </c>
      <c r="Y14" s="3">
        <f t="shared" si="4"/>
        <v>4.9094749795606754E-2</v>
      </c>
      <c r="Z14" s="1">
        <f t="shared" si="5"/>
        <v>4.9390760021265648E-2</v>
      </c>
      <c r="AA14" s="8">
        <f t="shared" ref="AA14:AA77" si="11">AA13+1/12</f>
        <v>0.16666666666666666</v>
      </c>
      <c r="AB14" s="1">
        <v>0.25</v>
      </c>
      <c r="AC14" s="1">
        <v>3.2599999999999999E-3</v>
      </c>
      <c r="AD14" s="8">
        <f t="shared" si="6"/>
        <v>5.303183603263574E-2</v>
      </c>
      <c r="AE14" s="3">
        <f t="shared" si="7"/>
        <v>1.6267434365839187E-3</v>
      </c>
      <c r="AF14" s="11">
        <f t="shared" si="8"/>
        <v>0.16666666666666666</v>
      </c>
      <c r="AG14" s="1">
        <f t="shared" si="9"/>
        <v>4.9390760021265648E-2</v>
      </c>
    </row>
    <row r="15" spans="2:33" ht="15">
      <c r="B15" s="1">
        <v>4</v>
      </c>
      <c r="C15" s="1">
        <v>0.99999911064876246</v>
      </c>
      <c r="D15" s="1">
        <v>1.0168919375454519</v>
      </c>
      <c r="E15" s="1">
        <v>0.98336341610956912</v>
      </c>
      <c r="G15" s="1">
        <v>0.99998760599828473</v>
      </c>
      <c r="H15" s="1">
        <v>1.1636037836230084</v>
      </c>
      <c r="I15" s="1">
        <v>0.85770988613789667</v>
      </c>
      <c r="K15" s="1">
        <v>0.99998752368270849</v>
      </c>
      <c r="L15" s="1">
        <v>1.0978753534663641</v>
      </c>
      <c r="M15" s="1">
        <v>0.91009148833127618</v>
      </c>
      <c r="O15" s="1">
        <v>3.2544724108402546E-3</v>
      </c>
      <c r="P15" s="1">
        <v>0.99891576407203697</v>
      </c>
      <c r="R15" s="1">
        <v>1.0950192379115436E-2</v>
      </c>
      <c r="S15" s="2">
        <f t="shared" si="10"/>
        <v>2.8803087562781368E-2</v>
      </c>
      <c r="T15" s="4">
        <f t="shared" si="1"/>
        <v>8.2961785314925073E-4</v>
      </c>
      <c r="U15" s="1">
        <f t="shared" si="0"/>
        <v>9.8771551917594733E-7</v>
      </c>
      <c r="V15" s="6">
        <f>2*sigma/alpha*corel*(B15/12-1/alpha*(1-EXP(-alpha*Output!B15/12)))</f>
        <v>2.4857108410511827E-4</v>
      </c>
      <c r="W15" s="5">
        <f t="shared" si="2"/>
        <v>-8.2863013763007478E-4</v>
      </c>
      <c r="X15" s="1">
        <f t="shared" si="3"/>
        <v>1.1049019710906195E-3</v>
      </c>
      <c r="Y15" s="3">
        <f t="shared" si="4"/>
        <v>4.9487241999435647E-2</v>
      </c>
      <c r="Z15" s="1">
        <f t="shared" si="5"/>
        <v>4.9888411073592556E-2</v>
      </c>
      <c r="AA15" s="8">
        <f t="shared" si="11"/>
        <v>0.25</v>
      </c>
      <c r="AB15" s="1">
        <v>0.33329999999999999</v>
      </c>
      <c r="AC15" s="1">
        <v>3.2597699999999999E-3</v>
      </c>
      <c r="AD15" s="8">
        <f t="shared" si="6"/>
        <v>5.297589159745323E-2</v>
      </c>
      <c r="AE15" s="3">
        <f t="shared" si="7"/>
        <v>1.6251420068732834E-3</v>
      </c>
      <c r="AF15" s="11">
        <f t="shared" si="8"/>
        <v>0.25</v>
      </c>
      <c r="AG15" s="1">
        <f t="shared" si="9"/>
        <v>4.9888411073592556E-2</v>
      </c>
    </row>
    <row r="16" spans="2:33" ht="15">
      <c r="B16" s="1">
        <v>5</v>
      </c>
      <c r="C16" s="1">
        <v>0.99999863507941589</v>
      </c>
      <c r="D16" s="1">
        <v>1.0201052427015513</v>
      </c>
      <c r="E16" s="1">
        <v>0.98025967330961461</v>
      </c>
      <c r="G16" s="1">
        <v>0.99996079052579867</v>
      </c>
      <c r="H16" s="1">
        <v>1.1966048937314391</v>
      </c>
      <c r="I16" s="1">
        <v>0.83364514948820345</v>
      </c>
      <c r="K16" s="1">
        <v>0.99998243830026246</v>
      </c>
      <c r="L16" s="1">
        <v>1.1201558467562835</v>
      </c>
      <c r="M16" s="1">
        <v>0.891803474339253</v>
      </c>
      <c r="O16" s="1">
        <v>3.2544272460430308E-3</v>
      </c>
      <c r="P16" s="1">
        <v>0.99864490761545222</v>
      </c>
      <c r="R16" s="1">
        <v>1.2106257825058349E-2</v>
      </c>
      <c r="S16" s="2">
        <f t="shared" si="10"/>
        <v>3.2038600230600928E-2</v>
      </c>
      <c r="T16" s="4">
        <f t="shared" si="1"/>
        <v>1.0264719047362618E-3</v>
      </c>
      <c r="U16" s="1">
        <f t="shared" si="0"/>
        <v>1.9252467667439391E-6</v>
      </c>
      <c r="V16" s="6">
        <f>2*sigma/alpha*corel*(B16/12-1/alpha*(1-EXP(-alpha*Output!B16/12)))</f>
        <v>3.880444144735509E-4</v>
      </c>
      <c r="W16" s="5">
        <f t="shared" si="2"/>
        <v>-1.0245466579695177E-3</v>
      </c>
      <c r="X16" s="1">
        <f t="shared" si="3"/>
        <v>1.7077283417501336E-3</v>
      </c>
      <c r="Y16" s="3">
        <f t="shared" si="4"/>
        <v>4.9123950574009791E-2</v>
      </c>
      <c r="Z16" s="1">
        <f t="shared" si="5"/>
        <v>4.9633986051565798E-2</v>
      </c>
      <c r="AA16" s="8">
        <f t="shared" si="11"/>
        <v>0.33333333333333331</v>
      </c>
      <c r="AB16" s="1">
        <v>0.41670000000000001</v>
      </c>
      <c r="AC16" s="1">
        <v>3.2597199999999998E-3</v>
      </c>
      <c r="AD16" s="8">
        <f t="shared" si="6"/>
        <v>5.2927539569689631E-2</v>
      </c>
      <c r="AE16" s="3">
        <f t="shared" si="7"/>
        <v>1.6236836160679331E-3</v>
      </c>
      <c r="AF16" s="11">
        <f t="shared" si="8"/>
        <v>0.33333333333333331</v>
      </c>
      <c r="AG16" s="1">
        <f t="shared" si="9"/>
        <v>4.9633986051565798E-2</v>
      </c>
    </row>
    <row r="17" spans="2:33" ht="15">
      <c r="B17" s="1">
        <v>6</v>
      </c>
      <c r="C17" s="1">
        <v>0.99999795057555951</v>
      </c>
      <c r="D17" s="1">
        <v>1.0211745402781622</v>
      </c>
      <c r="E17" s="1">
        <v>0.97922709839294753</v>
      </c>
      <c r="G17" s="1">
        <v>0.9999122934904684</v>
      </c>
      <c r="H17" s="1">
        <v>1.205604522327234</v>
      </c>
      <c r="I17" s="1">
        <v>0.8270154553737602</v>
      </c>
      <c r="K17" s="1">
        <v>0.99998081059306509</v>
      </c>
      <c r="L17" s="1">
        <v>1.1446131317307568</v>
      </c>
      <c r="M17" s="1">
        <v>0.87256624362366386</v>
      </c>
      <c r="O17" s="1">
        <v>3.2547454408474626E-3</v>
      </c>
      <c r="P17" s="1">
        <v>0.99837395073254742</v>
      </c>
      <c r="R17" s="1">
        <v>1.3234485964016855E-2</v>
      </c>
      <c r="S17" s="2">
        <f t="shared" si="10"/>
        <v>3.5204708713454241E-2</v>
      </c>
      <c r="T17" s="4">
        <f t="shared" si="1"/>
        <v>1.239371515599161E-3</v>
      </c>
      <c r="U17" s="1">
        <f t="shared" si="0"/>
        <v>3.3201297776739152E-6</v>
      </c>
      <c r="V17" s="6">
        <f>2*sigma/alpha*corel*(B17/12-1/alpha*(1-EXP(-alpha*Output!B17/12)))</f>
        <v>5.5828364788508957E-4</v>
      </c>
      <c r="W17" s="5">
        <f t="shared" si="2"/>
        <v>-1.2360513858214871E-3</v>
      </c>
      <c r="X17" s="1">
        <f t="shared" si="3"/>
        <v>2.4724144522744701E-3</v>
      </c>
      <c r="Y17" s="3">
        <f t="shared" si="4"/>
        <v>4.9165095684924442E-2</v>
      </c>
      <c r="Z17" s="1">
        <f t="shared" si="5"/>
        <v>4.9786976521961263E-2</v>
      </c>
      <c r="AA17" s="8">
        <f t="shared" si="11"/>
        <v>0.41666666666666663</v>
      </c>
      <c r="AB17" s="1">
        <v>0.5</v>
      </c>
      <c r="AC17" s="1">
        <v>3.2599999999999999E-3</v>
      </c>
      <c r="AD17" s="8">
        <f t="shared" si="6"/>
        <v>5.254559152537315E-2</v>
      </c>
      <c r="AE17" s="3">
        <f t="shared" si="7"/>
        <v>1.6118279609010169E-3</v>
      </c>
      <c r="AF17" s="11">
        <f t="shared" si="8"/>
        <v>0.41666666666666663</v>
      </c>
      <c r="AG17" s="1">
        <f t="shared" si="9"/>
        <v>4.9786976521961263E-2</v>
      </c>
    </row>
    <row r="18" spans="2:33" ht="15">
      <c r="B18" s="1">
        <v>7</v>
      </c>
      <c r="C18" s="1">
        <v>0.99999799494513086</v>
      </c>
      <c r="D18" s="1">
        <v>1.0202628442228387</v>
      </c>
      <c r="E18" s="1">
        <v>0.98009604673158435</v>
      </c>
      <c r="G18" s="1">
        <v>0.99992271730508397</v>
      </c>
      <c r="H18" s="1">
        <v>1.1986334474161371</v>
      </c>
      <c r="I18" s="1">
        <v>0.83141647149723685</v>
      </c>
      <c r="K18" s="1">
        <v>0.99997841861026915</v>
      </c>
      <c r="L18" s="1">
        <v>1.1491864685996116</v>
      </c>
      <c r="M18" s="1">
        <v>0.86891271029880623</v>
      </c>
      <c r="O18" s="1">
        <v>3.2554193458301846E-3</v>
      </c>
      <c r="P18" s="1">
        <v>0.99810280733106815</v>
      </c>
      <c r="R18" s="1">
        <v>1.4288088056971205E-2</v>
      </c>
      <c r="S18" s="2">
        <f t="shared" si="10"/>
        <v>3.8184043746189306E-2</v>
      </c>
      <c r="T18" s="4">
        <f t="shared" si="1"/>
        <v>1.4580211968108986E-3</v>
      </c>
      <c r="U18" s="1">
        <f t="shared" si="0"/>
        <v>5.2616357550304974E-6</v>
      </c>
      <c r="V18" s="6">
        <f>2*sigma/alpha*corel*(B18/12-1/alpha*(1-EXP(-alpha*Output!B18/12)))</f>
        <v>7.5920601535388798E-4</v>
      </c>
      <c r="W18" s="5">
        <f t="shared" si="2"/>
        <v>-1.4527595610558681E-3</v>
      </c>
      <c r="X18" s="1">
        <f t="shared" si="3"/>
        <v>3.3903487029041087E-3</v>
      </c>
      <c r="Y18" s="3">
        <f t="shared" si="4"/>
        <v>4.9257852796586662E-2</v>
      </c>
      <c r="Z18" s="1">
        <f t="shared" si="5"/>
        <v>4.9994648801833609E-2</v>
      </c>
      <c r="AA18" s="8">
        <f t="shared" si="11"/>
        <v>0.49999999999999994</v>
      </c>
      <c r="AB18" s="1">
        <v>0.58330000000000004</v>
      </c>
      <c r="AC18" s="1">
        <v>3.2606200000000001E-3</v>
      </c>
      <c r="AD18" s="8">
        <f t="shared" si="6"/>
        <v>5.2006541698154489E-2</v>
      </c>
      <c r="AE18" s="3">
        <f t="shared" si="7"/>
        <v>1.5949893485948834E-3</v>
      </c>
      <c r="AF18" s="11">
        <f t="shared" si="8"/>
        <v>0.49999999999999994</v>
      </c>
      <c r="AG18" s="1">
        <f t="shared" si="9"/>
        <v>4.9994648801833609E-2</v>
      </c>
    </row>
    <row r="19" spans="2:33" ht="15">
      <c r="B19" s="1">
        <v>8</v>
      </c>
      <c r="C19" s="1">
        <v>0.99999774094708882</v>
      </c>
      <c r="D19" s="1">
        <v>1.0226535980001561</v>
      </c>
      <c r="E19" s="1">
        <v>0.9777987639018153</v>
      </c>
      <c r="G19" s="1">
        <v>0.99990702717927327</v>
      </c>
      <c r="H19" s="1">
        <v>1.2188668604171071</v>
      </c>
      <c r="I19" s="1">
        <v>0.8172130609628987</v>
      </c>
      <c r="K19" s="1">
        <v>0.99997903601299309</v>
      </c>
      <c r="L19" s="1">
        <v>1.1762677143339708</v>
      </c>
      <c r="M19" s="1">
        <v>0.84873087111049117</v>
      </c>
      <c r="O19" s="1">
        <v>3.2557570614892986E-3</v>
      </c>
      <c r="P19" s="1">
        <v>0.99783184913436707</v>
      </c>
      <c r="R19" s="1">
        <v>1.522601966103692E-2</v>
      </c>
      <c r="S19" s="2">
        <f t="shared" si="10"/>
        <v>4.0872919755129314E-2</v>
      </c>
      <c r="T19" s="4">
        <f t="shared" si="1"/>
        <v>1.6705955693092401E-3</v>
      </c>
      <c r="U19" s="1">
        <f t="shared" si="0"/>
        <v>7.8383094407055068E-6</v>
      </c>
      <c r="V19" s="6">
        <f>2*sigma/alpha*corel*(B19/12-1/alpha*(1-EXP(-alpha*Output!B19/12)))</f>
        <v>9.9072897056470279E-4</v>
      </c>
      <c r="W19" s="5">
        <f t="shared" si="2"/>
        <v>-1.6627572598685346E-3</v>
      </c>
      <c r="X19" s="1">
        <f t="shared" si="3"/>
        <v>4.4350009035425417E-3</v>
      </c>
      <c r="Y19" s="3">
        <f t="shared" si="4"/>
        <v>4.9203805107228993E-2</v>
      </c>
      <c r="Z19" s="1">
        <f t="shared" si="5"/>
        <v>5.0058898848894591E-2</v>
      </c>
      <c r="AA19" s="8">
        <f t="shared" si="11"/>
        <v>0.58333333333333326</v>
      </c>
      <c r="AB19" s="1">
        <v>0.66669999999999996</v>
      </c>
      <c r="AC19" s="1">
        <v>3.2609000000000002E-3</v>
      </c>
      <c r="AD19" s="8">
        <f t="shared" si="6"/>
        <v>5.1429385107015259E-2</v>
      </c>
      <c r="AE19" s="3">
        <f t="shared" si="7"/>
        <v>1.5771530898529625E-3</v>
      </c>
      <c r="AF19" s="11">
        <f t="shared" si="8"/>
        <v>0.58333333333333326</v>
      </c>
      <c r="AG19" s="1">
        <f t="shared" si="9"/>
        <v>5.0058898848894591E-2</v>
      </c>
    </row>
    <row r="20" spans="2:33" ht="15">
      <c r="B20" s="1">
        <v>9</v>
      </c>
      <c r="C20" s="1">
        <v>0.99999775672821267</v>
      </c>
      <c r="D20" s="1">
        <v>1.0249981833212614</v>
      </c>
      <c r="E20" s="1">
        <v>0.97555618263757371</v>
      </c>
      <c r="G20" s="1">
        <v>0.99991077358741642</v>
      </c>
      <c r="H20" s="1">
        <v>1.2500970376189631</v>
      </c>
      <c r="I20" s="1">
        <v>0.79640581782572262</v>
      </c>
      <c r="K20" s="1">
        <v>0.99996846030451103</v>
      </c>
      <c r="L20" s="1">
        <v>1.1871843341722592</v>
      </c>
      <c r="M20" s="1">
        <v>0.84075128719844672</v>
      </c>
      <c r="O20" s="1">
        <v>3.254909913991441E-3</v>
      </c>
      <c r="P20" s="1">
        <v>0.99756179482717489</v>
      </c>
      <c r="R20" s="1">
        <v>1.5982284760558907E-2</v>
      </c>
      <c r="S20" s="2">
        <f t="shared" si="10"/>
        <v>4.3104331031554977E-2</v>
      </c>
      <c r="T20" s="4">
        <f t="shared" si="1"/>
        <v>1.8579833536778733E-3</v>
      </c>
      <c r="U20" s="1">
        <f t="shared" si="0"/>
        <v>1.1137973687849954E-5</v>
      </c>
      <c r="V20" s="6">
        <f>2*sigma/alpha*corel*(B20/12-1/alpha*(1-EXP(-alpha*Output!B20/12)))</f>
        <v>1.2527701892771598E-3</v>
      </c>
      <c r="W20" s="5">
        <f t="shared" si="2"/>
        <v>-1.8468453799900233E-3</v>
      </c>
      <c r="X20" s="1">
        <f t="shared" si="3"/>
        <v>5.5421055731172111E-3</v>
      </c>
      <c r="Y20" s="3">
        <f t="shared" si="4"/>
        <v>4.8795032773787134E-2</v>
      </c>
      <c r="Z20" s="1">
        <f t="shared" si="5"/>
        <v>4.9772594248614015E-2</v>
      </c>
      <c r="AA20" s="8">
        <f t="shared" si="11"/>
        <v>0.66666666666666663</v>
      </c>
      <c r="AB20" s="1">
        <v>0.75</v>
      </c>
      <c r="AC20" s="1">
        <v>3.2599999999999999E-3</v>
      </c>
      <c r="AD20" s="8">
        <f t="shared" si="6"/>
        <v>5.0900860085589111E-2</v>
      </c>
      <c r="AE20" s="3">
        <f t="shared" si="7"/>
        <v>1.5613760762450647E-3</v>
      </c>
      <c r="AF20" s="11">
        <f t="shared" si="8"/>
        <v>0.66666666666666663</v>
      </c>
      <c r="AG20" s="1">
        <f t="shared" si="9"/>
        <v>4.9772594248614015E-2</v>
      </c>
    </row>
    <row r="21" spans="2:33" ht="15">
      <c r="B21" s="1">
        <v>10</v>
      </c>
      <c r="C21" s="1">
        <v>0.99999779705182068</v>
      </c>
      <c r="D21" s="1">
        <v>1.0266827199885311</v>
      </c>
      <c r="E21" s="1">
        <v>0.97394962659622553</v>
      </c>
      <c r="G21" s="1">
        <v>0.99991444030637888</v>
      </c>
      <c r="H21" s="1">
        <v>1.2651016533748338</v>
      </c>
      <c r="I21" s="1">
        <v>0.78657354872482188</v>
      </c>
      <c r="K21" s="1">
        <v>0.99995926637748145</v>
      </c>
      <c r="L21" s="1">
        <v>1.1938983251993165</v>
      </c>
      <c r="M21" s="1">
        <v>0.83584909550844588</v>
      </c>
      <c r="O21" s="1">
        <v>3.2527179335215825E-3</v>
      </c>
      <c r="P21" s="1">
        <v>0.99729307207654305</v>
      </c>
      <c r="R21" s="1">
        <v>1.6870090243123106E-2</v>
      </c>
      <c r="S21" s="2">
        <f t="shared" si="10"/>
        <v>4.5665130450908156E-2</v>
      </c>
      <c r="T21" s="4">
        <f t="shared" si="1"/>
        <v>2.0853041390984594E-3</v>
      </c>
      <c r="U21" s="1">
        <f t="shared" si="0"/>
        <v>1.5247733996015868E-5</v>
      </c>
      <c r="V21" s="6">
        <f>2*sigma/alpha*corel*(B21/12-1/alpha*(1-EXP(-alpha*Output!B21/12)))</f>
        <v>1.5452475687240742E-3</v>
      </c>
      <c r="W21" s="5">
        <f t="shared" si="2"/>
        <v>-2.0700564051024436E-3</v>
      </c>
      <c r="X21" s="1">
        <f t="shared" si="3"/>
        <v>6.9025758070567931E-3</v>
      </c>
      <c r="Y21" s="3">
        <f t="shared" si="4"/>
        <v>4.8921896490144501E-2</v>
      </c>
      <c r="Z21" s="1">
        <f t="shared" si="5"/>
        <v>5.002364407875691E-2</v>
      </c>
      <c r="AA21" s="8">
        <f t="shared" si="11"/>
        <v>0.75</v>
      </c>
      <c r="AB21" s="1">
        <v>0.83330000000000004</v>
      </c>
      <c r="AC21" s="1">
        <v>3.2577499999999998E-3</v>
      </c>
      <c r="AD21" s="8">
        <f t="shared" si="6"/>
        <v>5.0320664784172554E-2</v>
      </c>
      <c r="AE21" s="3">
        <f t="shared" si="7"/>
        <v>1.5446447635384102E-3</v>
      </c>
      <c r="AF21" s="11">
        <f t="shared" si="8"/>
        <v>0.75</v>
      </c>
      <c r="AG21" s="1">
        <f t="shared" si="9"/>
        <v>5.002364407875691E-2</v>
      </c>
    </row>
    <row r="22" spans="2:33" ht="15">
      <c r="B22" s="1">
        <v>11</v>
      </c>
      <c r="C22" s="1">
        <v>0.99999791257493653</v>
      </c>
      <c r="D22" s="1">
        <v>1.0286391295857518</v>
      </c>
      <c r="E22" s="1">
        <v>0.97209138292018016</v>
      </c>
      <c r="G22" s="1">
        <v>0.99992220014876276</v>
      </c>
      <c r="H22" s="1">
        <v>1.2878307371480742</v>
      </c>
      <c r="I22" s="1">
        <v>0.77231170084409351</v>
      </c>
      <c r="K22" s="1">
        <v>0.99996560670482126</v>
      </c>
      <c r="L22" s="1">
        <v>1.2018550772669014</v>
      </c>
      <c r="M22" s="1">
        <v>0.83014248224178022</v>
      </c>
      <c r="O22" s="1">
        <v>3.2516938077362034E-3</v>
      </c>
      <c r="P22" s="1">
        <v>0.99702371860957906</v>
      </c>
      <c r="R22" s="1">
        <v>1.7657330176618434E-2</v>
      </c>
      <c r="S22" s="2">
        <f t="shared" si="10"/>
        <v>4.7974147407458867E-2</v>
      </c>
      <c r="T22" s="4">
        <f t="shared" si="1"/>
        <v>2.3015188194725924E-3</v>
      </c>
      <c r="U22" s="1">
        <f t="shared" si="0"/>
        <v>2.025398302765304E-5</v>
      </c>
      <c r="V22" s="6">
        <f>2*sigma/alpha*corel*(B22/12-1/alpha*(1-EXP(-alpha*Output!B22/12)))</f>
        <v>1.8680792270195179E-3</v>
      </c>
      <c r="W22" s="5">
        <f t="shared" si="2"/>
        <v>-2.2812648364449392E-3</v>
      </c>
      <c r="X22" s="1">
        <f t="shared" si="3"/>
        <v>8.3681274536298658E-3</v>
      </c>
      <c r="Y22" s="3">
        <f t="shared" si="4"/>
        <v>4.8877849321814118E-2</v>
      </c>
      <c r="Z22" s="1">
        <f t="shared" si="5"/>
        <v>5.0107362762981347E-2</v>
      </c>
      <c r="AA22" s="8">
        <f t="shared" si="11"/>
        <v>0.83333333333333337</v>
      </c>
      <c r="AB22" s="1">
        <v>0.91669999999999996</v>
      </c>
      <c r="AC22" s="1">
        <v>3.2566800000000001E-3</v>
      </c>
      <c r="AD22" s="8">
        <f t="shared" si="6"/>
        <v>4.9861922637966898E-2</v>
      </c>
      <c r="AE22" s="3">
        <f t="shared" si="7"/>
        <v>1.5310660745902851E-3</v>
      </c>
      <c r="AF22" s="11">
        <f t="shared" si="8"/>
        <v>0.83333333333333337</v>
      </c>
      <c r="AG22" s="1">
        <f t="shared" si="9"/>
        <v>5.0107362762981347E-2</v>
      </c>
    </row>
    <row r="23" spans="2:33" ht="15">
      <c r="B23" s="1">
        <v>12</v>
      </c>
      <c r="C23" s="1">
        <v>0.99999734695796028</v>
      </c>
      <c r="D23" s="1">
        <v>1.0316896949733607</v>
      </c>
      <c r="E23" s="1">
        <v>0.96921125256747764</v>
      </c>
      <c r="G23" s="1">
        <v>0.99987393204959751</v>
      </c>
      <c r="H23" s="1">
        <v>1.3219177529181327</v>
      </c>
      <c r="I23" s="1">
        <v>0.75202734945629757</v>
      </c>
      <c r="K23" s="1">
        <v>0.99996525194987629</v>
      </c>
      <c r="L23" s="1">
        <v>1.2357884814229727</v>
      </c>
      <c r="M23" s="1">
        <v>0.80717949561546842</v>
      </c>
      <c r="O23" s="1">
        <v>3.2550582311892335E-3</v>
      </c>
      <c r="P23" s="1">
        <v>0.99675023372742</v>
      </c>
      <c r="R23" s="1">
        <v>1.8404774302796086E-2</v>
      </c>
      <c r="S23" s="2">
        <f t="shared" si="10"/>
        <v>5.0188394691618857E-2</v>
      </c>
      <c r="T23" s="4">
        <f t="shared" si="1"/>
        <v>2.5188749617217157E-3</v>
      </c>
      <c r="U23" s="1">
        <f t="shared" si="0"/>
        <v>2.624240509992846E-5</v>
      </c>
      <c r="V23" s="6">
        <f>2*sigma/alpha*corel*(B23/12-1/alpha*(1-EXP(-alpha*Output!B23/12)))</f>
        <v>2.2211835025624845E-3</v>
      </c>
      <c r="W23" s="5">
        <f t="shared" si="2"/>
        <v>-2.4926325566217871E-3</v>
      </c>
      <c r="X23" s="1">
        <f t="shared" si="3"/>
        <v>9.9754638826392034E-3</v>
      </c>
      <c r="Y23" s="3">
        <f t="shared" si="4"/>
        <v>4.8828030282769726E-2</v>
      </c>
      <c r="Z23" s="1">
        <f t="shared" si="5"/>
        <v>5.0188394691618857E-2</v>
      </c>
      <c r="AA23" s="8">
        <f t="shared" si="11"/>
        <v>0.91666666666666674</v>
      </c>
      <c r="AB23" s="1">
        <v>1</v>
      </c>
      <c r="AC23" s="1">
        <v>3.2599999999999999E-3</v>
      </c>
      <c r="AD23" s="8">
        <f t="shared" si="6"/>
        <v>4.9417688107664115E-2</v>
      </c>
      <c r="AE23" s="3">
        <f t="shared" si="7"/>
        <v>1.5158800033025803E-3</v>
      </c>
      <c r="AF23" s="11">
        <f t="shared" si="8"/>
        <v>0.91666666666666674</v>
      </c>
      <c r="AG23" s="1">
        <f t="shared" si="9"/>
        <v>5.0188394691618857E-2</v>
      </c>
    </row>
    <row r="24" spans="2:33" ht="15">
      <c r="B24" s="1">
        <v>13</v>
      </c>
      <c r="C24" s="1">
        <v>0.99999756081693447</v>
      </c>
      <c r="D24" s="1">
        <v>1.0326398970795081</v>
      </c>
      <c r="E24" s="1">
        <v>0.96831367498358523</v>
      </c>
      <c r="G24" s="1">
        <v>0.9998857385195834</v>
      </c>
      <c r="H24" s="1">
        <v>1.3355850578139921</v>
      </c>
      <c r="I24" s="1">
        <v>0.74396621928386253</v>
      </c>
      <c r="K24" s="1">
        <v>0.99995819717021317</v>
      </c>
      <c r="L24" s="1">
        <v>1.230910670813397</v>
      </c>
      <c r="M24" s="1">
        <v>0.81020934684775114</v>
      </c>
      <c r="O24" s="1">
        <v>3.265393760554818E-3</v>
      </c>
      <c r="P24" s="1">
        <v>0.99646873970937211</v>
      </c>
      <c r="R24" s="1">
        <v>1.9179780529071603E-2</v>
      </c>
      <c r="S24" s="2">
        <f t="shared" si="10"/>
        <v>5.2482111794004235E-2</v>
      </c>
      <c r="T24" s="4">
        <f t="shared" si="1"/>
        <v>2.7543720583583587E-3</v>
      </c>
      <c r="U24" s="1">
        <f t="shared" si="0"/>
        <v>3.3297980645287823E-5</v>
      </c>
      <c r="V24" s="6">
        <f>2*sigma/alpha*corel*(B24/12-1/alpha*(1-EXP(-alpha*Output!B24/12)))</f>
        <v>2.6044789534448404E-3</v>
      </c>
      <c r="W24" s="5">
        <f t="shared" si="2"/>
        <v>-2.7210740777130708E-3</v>
      </c>
      <c r="X24" s="1">
        <f t="shared" si="3"/>
        <v>1.1798104314042242E-2</v>
      </c>
      <c r="Y24" s="3">
        <f t="shared" si="4"/>
        <v>4.892981538747837E-2</v>
      </c>
      <c r="Z24" s="1">
        <f t="shared" si="5"/>
        <v>5.0423182016196527E-2</v>
      </c>
      <c r="AA24" s="8">
        <f t="shared" si="11"/>
        <v>1</v>
      </c>
      <c r="AB24" s="1">
        <v>1.083</v>
      </c>
      <c r="AC24" s="1">
        <v>3.2703099999999998E-3</v>
      </c>
      <c r="AD24" s="8">
        <f t="shared" si="6"/>
        <v>4.9162394451817727E-2</v>
      </c>
      <c r="AE24" s="3">
        <f t="shared" si="7"/>
        <v>1.5032946250299736E-3</v>
      </c>
      <c r="AF24" s="11">
        <f t="shared" si="8"/>
        <v>1</v>
      </c>
      <c r="AG24" s="1">
        <f t="shared" si="9"/>
        <v>5.0423182016196527E-2</v>
      </c>
    </row>
    <row r="25" spans="2:33" ht="15">
      <c r="B25" s="1">
        <v>14</v>
      </c>
      <c r="C25" s="1">
        <v>0.99999753574547268</v>
      </c>
      <c r="D25" s="1">
        <v>1.0354006241331151</v>
      </c>
      <c r="E25" s="1">
        <v>0.9657261433696871</v>
      </c>
      <c r="G25" s="1">
        <v>0.99987582253165952</v>
      </c>
      <c r="H25" s="1">
        <v>1.3595375331891444</v>
      </c>
      <c r="I25" s="1">
        <v>0.73050012230693484</v>
      </c>
      <c r="K25" s="1">
        <v>0.99994417859719453</v>
      </c>
      <c r="L25" s="1">
        <v>1.223974219406319</v>
      </c>
      <c r="M25" s="1">
        <v>0.81463119646790982</v>
      </c>
      <c r="O25" s="1">
        <v>3.2828525888097442E-3</v>
      </c>
      <c r="P25" s="1">
        <v>0.99617733038805623</v>
      </c>
      <c r="R25" s="1">
        <v>1.991263079866502E-2</v>
      </c>
      <c r="S25" s="2">
        <f t="shared" si="10"/>
        <v>5.4682126501130718E-2</v>
      </c>
      <c r="T25" s="4">
        <f t="shared" si="1"/>
        <v>2.9901349586856623E-3</v>
      </c>
      <c r="U25" s="1">
        <f t="shared" si="0"/>
        <v>4.1504990646242936E-5</v>
      </c>
      <c r="V25" s="6">
        <f>2*sigma/alpha*corel*(B25/12-1/alpha*(1-EXP(-alpha*Output!B25/12)))</f>
        <v>3.0178843568604017E-3</v>
      </c>
      <c r="W25" s="5">
        <f t="shared" si="2"/>
        <v>-2.9486299680394194E-3</v>
      </c>
      <c r="X25" s="1">
        <f t="shared" si="3"/>
        <v>1.3769380810175339E-2</v>
      </c>
      <c r="Y25" s="3">
        <f t="shared" si="4"/>
        <v>4.8996480253252386E-2</v>
      </c>
      <c r="Z25" s="1">
        <f t="shared" si="5"/>
        <v>5.0625811813052118E-2</v>
      </c>
      <c r="AA25" s="8">
        <f t="shared" si="11"/>
        <v>1.0833333333333333</v>
      </c>
      <c r="AB25" s="1">
        <v>1.167</v>
      </c>
      <c r="AC25" s="1">
        <v>3.2877499999999999E-3</v>
      </c>
      <c r="AD25" s="8">
        <f t="shared" si="6"/>
        <v>4.8974111902556905E-2</v>
      </c>
      <c r="AE25" s="3">
        <f t="shared" si="7"/>
        <v>1.4895935488573311E-3</v>
      </c>
      <c r="AF25" s="11">
        <f t="shared" si="8"/>
        <v>1.0833333333333333</v>
      </c>
      <c r="AG25" s="1">
        <f t="shared" si="9"/>
        <v>5.0625811813052118E-2</v>
      </c>
    </row>
    <row r="26" spans="2:33" ht="15">
      <c r="B26" s="1">
        <v>15</v>
      </c>
      <c r="C26" s="1">
        <v>0.99999763356893168</v>
      </c>
      <c r="D26" s="1">
        <v>1.0357883766582878</v>
      </c>
      <c r="E26" s="1">
        <v>0.96535898157371614</v>
      </c>
      <c r="G26" s="1">
        <v>0.99987571844871437</v>
      </c>
      <c r="H26" s="1">
        <v>1.3708872343411695</v>
      </c>
      <c r="I26" s="1">
        <v>0.72409661480268828</v>
      </c>
      <c r="K26" s="1">
        <v>0.99995618516900808</v>
      </c>
      <c r="L26" s="1">
        <v>1.2180233237246638</v>
      </c>
      <c r="M26" s="1">
        <v>0.81844071287826181</v>
      </c>
      <c r="O26" s="1">
        <v>3.3069482320222721E-3</v>
      </c>
      <c r="P26" s="1">
        <v>0.99587484662687564</v>
      </c>
      <c r="R26" s="1">
        <v>2.0695747914622708E-2</v>
      </c>
      <c r="S26" s="2">
        <f t="shared" si="10"/>
        <v>5.7022604778343033E-2</v>
      </c>
      <c r="T26" s="4">
        <f t="shared" si="1"/>
        <v>3.2515774557071099E-3</v>
      </c>
      <c r="U26" s="1">
        <f t="shared" si="0"/>
        <v>5.0947021053707624E-5</v>
      </c>
      <c r="V26" s="6">
        <f>2*sigma/alpha*corel*(B26/12-1/alpha*(1-EXP(-alpha*Output!B26/12)))</f>
        <v>3.4613187085149682E-3</v>
      </c>
      <c r="W26" s="5">
        <f t="shared" si="2"/>
        <v>-3.2006304346534021E-3</v>
      </c>
      <c r="X26" s="1">
        <f t="shared" si="3"/>
        <v>1.6015132900468926E-2</v>
      </c>
      <c r="Y26" s="3">
        <f t="shared" si="4"/>
        <v>4.9235836640877315E-2</v>
      </c>
      <c r="Z26" s="1">
        <f t="shared" si="5"/>
        <v>5.1002568215391737E-2</v>
      </c>
      <c r="AA26" s="8">
        <f t="shared" si="11"/>
        <v>1.1666666666666665</v>
      </c>
      <c r="AB26" s="1">
        <v>1.25</v>
      </c>
      <c r="AC26" s="1">
        <v>3.3118599999999998E-3</v>
      </c>
      <c r="AD26" s="8">
        <f t="shared" si="6"/>
        <v>4.9117679777276567E-2</v>
      </c>
      <c r="AE26" s="3">
        <f t="shared" si="7"/>
        <v>1.4830844231723736E-3</v>
      </c>
      <c r="AF26" s="11">
        <f t="shared" si="8"/>
        <v>1.1666666666666665</v>
      </c>
      <c r="AG26" s="1">
        <f t="shared" si="9"/>
        <v>5.1002568215391737E-2</v>
      </c>
    </row>
    <row r="27" spans="2:33" ht="15">
      <c r="B27" s="1">
        <v>16</v>
      </c>
      <c r="C27" s="1">
        <v>0.99999756266281858</v>
      </c>
      <c r="D27" s="1">
        <v>1.0391716629570831</v>
      </c>
      <c r="E27" s="1">
        <v>0.96221043410240104</v>
      </c>
      <c r="G27" s="1">
        <v>0.99985941806231626</v>
      </c>
      <c r="H27" s="1">
        <v>1.4123876249855241</v>
      </c>
      <c r="I27" s="1">
        <v>0.70247541325039653</v>
      </c>
      <c r="K27" s="1">
        <v>0.99995675074704993</v>
      </c>
      <c r="L27" s="1">
        <v>1.2170074736280398</v>
      </c>
      <c r="M27" s="1">
        <v>0.8189532423828243</v>
      </c>
      <c r="O27" s="1">
        <v>3.3372217978713536E-3</v>
      </c>
      <c r="P27" s="1">
        <v>0.99556025586871177</v>
      </c>
      <c r="R27" s="1">
        <v>2.1470699261567264E-2</v>
      </c>
      <c r="S27" s="2">
        <f t="shared" si="10"/>
        <v>5.9357683287119462E-2</v>
      </c>
      <c r="T27" s="4">
        <f t="shared" si="1"/>
        <v>3.523334565213981E-3</v>
      </c>
      <c r="U27" s="1">
        <f t="shared" si="0"/>
        <v>6.1706967166946637E-5</v>
      </c>
      <c r="V27" s="6">
        <f>2*sigma/alpha*corel*(B27/12-1/alpha*(1-EXP(-alpha*Output!B27/12)))</f>
        <v>3.9347012220395184E-3</v>
      </c>
      <c r="W27" s="5">
        <f t="shared" si="2"/>
        <v>-3.4616275980470343E-3</v>
      </c>
      <c r="X27" s="1">
        <f t="shared" si="3"/>
        <v>1.847749572995757E-2</v>
      </c>
      <c r="Y27" s="3">
        <f t="shared" si="4"/>
        <v>4.9498969256126374E-2</v>
      </c>
      <c r="Z27" s="1">
        <f t="shared" si="5"/>
        <v>5.140526163643646E-2</v>
      </c>
      <c r="AA27" s="8">
        <f t="shared" si="11"/>
        <v>1.2499999999999998</v>
      </c>
      <c r="AB27" s="1">
        <v>1.333</v>
      </c>
      <c r="AC27" s="1">
        <v>3.3421599999999998E-3</v>
      </c>
      <c r="AD27" s="8">
        <f t="shared" si="6"/>
        <v>4.9382021286461901E-2</v>
      </c>
      <c r="AE27" s="3">
        <f t="shared" si="7"/>
        <v>1.4775480912482318E-3</v>
      </c>
      <c r="AF27" s="11">
        <f t="shared" si="8"/>
        <v>1.2499999999999998</v>
      </c>
      <c r="AG27" s="1">
        <f t="shared" si="9"/>
        <v>5.140526163643646E-2</v>
      </c>
    </row>
    <row r="28" spans="2:33" ht="15">
      <c r="B28" s="1">
        <v>17</v>
      </c>
      <c r="C28" s="1">
        <v>0.99999810807234257</v>
      </c>
      <c r="D28" s="1">
        <v>1.0396301953242659</v>
      </c>
      <c r="E28" s="1">
        <v>0.96178051565995437</v>
      </c>
      <c r="G28" s="1">
        <v>0.99989015938727011</v>
      </c>
      <c r="H28" s="1">
        <v>1.4101400205931118</v>
      </c>
      <c r="I28" s="1">
        <v>0.7032497798123496</v>
      </c>
      <c r="K28" s="1">
        <v>0.99995175837566153</v>
      </c>
      <c r="L28" s="1">
        <v>1.22060470253138</v>
      </c>
      <c r="M28" s="1">
        <v>0.81636962061955232</v>
      </c>
      <c r="O28" s="1">
        <v>3.3731820633009849E-3</v>
      </c>
      <c r="P28" s="1">
        <v>0.99523272511002669</v>
      </c>
      <c r="R28" s="1">
        <v>2.2107230765161467E-2</v>
      </c>
      <c r="S28" s="2">
        <f t="shared" si="10"/>
        <v>6.1359942520406732E-2</v>
      </c>
      <c r="T28" s="4">
        <f t="shared" si="1"/>
        <v>3.765042546107618E-3</v>
      </c>
      <c r="U28" s="1">
        <f t="shared" si="0"/>
        <v>7.3867037995427933E-5</v>
      </c>
      <c r="V28" s="6">
        <f>2*sigma/alpha*corel*(B28/12-1/alpha*(1-EXP(-alpha*Output!B28/12)))</f>
        <v>4.4379513284021248E-3</v>
      </c>
      <c r="W28" s="5">
        <f t="shared" si="2"/>
        <v>-3.69117550811219E-3</v>
      </c>
      <c r="X28" s="1">
        <f t="shared" si="3"/>
        <v>2.0936356624629011E-2</v>
      </c>
      <c r="Y28" s="3">
        <f t="shared" si="4"/>
        <v>4.950213847023853E-2</v>
      </c>
      <c r="Z28" s="1">
        <f t="shared" si="5"/>
        <v>5.1552663281057391E-2</v>
      </c>
      <c r="AA28" s="8">
        <f t="shared" si="11"/>
        <v>1.333333333333333</v>
      </c>
      <c r="AB28" s="1">
        <v>1.417</v>
      </c>
      <c r="AC28" s="1">
        <v>3.3781800000000002E-3</v>
      </c>
      <c r="AD28" s="8">
        <f t="shared" si="6"/>
        <v>4.9979366990153019E-2</v>
      </c>
      <c r="AE28" s="3">
        <f t="shared" si="7"/>
        <v>1.4794761377473378E-3</v>
      </c>
      <c r="AF28" s="11">
        <f t="shared" si="8"/>
        <v>1.333333333333333</v>
      </c>
      <c r="AG28" s="1">
        <f t="shared" si="9"/>
        <v>5.1552663281057391E-2</v>
      </c>
    </row>
    <row r="29" spans="2:33" ht="15">
      <c r="B29" s="1">
        <v>18</v>
      </c>
      <c r="C29" s="1">
        <v>0.99999848244771261</v>
      </c>
      <c r="D29" s="1">
        <v>1.0440374800921808</v>
      </c>
      <c r="E29" s="1">
        <v>0.95771500244550056</v>
      </c>
      <c r="G29" s="1">
        <v>0.99990784427310242</v>
      </c>
      <c r="H29" s="1">
        <v>1.4632950868540358</v>
      </c>
      <c r="I29" s="1">
        <v>0.67737126245396517</v>
      </c>
      <c r="K29" s="1">
        <v>0.99992343199701084</v>
      </c>
      <c r="L29" s="1">
        <v>1.2239867689022548</v>
      </c>
      <c r="M29" s="1">
        <v>0.8139442743629921</v>
      </c>
      <c r="O29" s="1">
        <v>3.4143666781156603E-3</v>
      </c>
      <c r="P29" s="1">
        <v>0.99489154275881031</v>
      </c>
      <c r="R29" s="1">
        <v>2.2361258829111226E-2</v>
      </c>
      <c r="S29" s="2">
        <f t="shared" si="10"/>
        <v>6.2414059508299591E-2</v>
      </c>
      <c r="T29" s="4">
        <f t="shared" si="1"/>
        <v>3.8955148243055627E-3</v>
      </c>
      <c r="U29" s="1">
        <f t="shared" si="0"/>
        <v>8.7508760598191136E-5</v>
      </c>
      <c r="V29" s="6">
        <f>2*sigma/alpha*corel*(B29/12-1/alpha*(1-EXP(-alpha*Output!B29/12)))</f>
        <v>4.9709886753256652E-3</v>
      </c>
      <c r="W29" s="5">
        <f t="shared" si="2"/>
        <v>-3.8080060637073715E-3</v>
      </c>
      <c r="X29" s="1">
        <f t="shared" si="3"/>
        <v>2.2872747110654443E-2</v>
      </c>
      <c r="Y29" s="3">
        <f t="shared" si="4"/>
        <v>4.8755465980463902E-2</v>
      </c>
      <c r="Z29" s="1">
        <f t="shared" si="5"/>
        <v>5.0960866190346253E-2</v>
      </c>
      <c r="AA29" s="8">
        <f t="shared" si="11"/>
        <v>1.4166666666666663</v>
      </c>
      <c r="AB29" s="1">
        <v>1.5</v>
      </c>
      <c r="AC29" s="1">
        <v>3.4194500000000001E-3</v>
      </c>
      <c r="AD29" s="8">
        <f t="shared" si="6"/>
        <v>5.0833218843398392E-2</v>
      </c>
      <c r="AE29" s="3">
        <f t="shared" si="7"/>
        <v>1.4865904997411394E-3</v>
      </c>
      <c r="AF29" s="11">
        <f t="shared" si="8"/>
        <v>1.4166666666666663</v>
      </c>
      <c r="AG29" s="1">
        <f t="shared" si="9"/>
        <v>5.0960866190346253E-2</v>
      </c>
    </row>
    <row r="30" spans="2:33" ht="15">
      <c r="B30" s="1">
        <v>19</v>
      </c>
      <c r="C30" s="1">
        <v>0.99999757473397</v>
      </c>
      <c r="D30" s="1">
        <v>1.0423541806856063</v>
      </c>
      <c r="E30" s="1">
        <v>0.9592561821252924</v>
      </c>
      <c r="G30" s="1">
        <v>0.99981799265485627</v>
      </c>
      <c r="H30" s="1">
        <v>1.4431313013194762</v>
      </c>
      <c r="I30" s="1">
        <v>0.68649867224795191</v>
      </c>
      <c r="K30" s="1">
        <v>0.99993558820390338</v>
      </c>
      <c r="L30" s="1">
        <v>1.2484961442605507</v>
      </c>
      <c r="M30" s="1">
        <v>0.79779941295854095</v>
      </c>
      <c r="O30" s="1">
        <v>3.4603145373604755E-3</v>
      </c>
      <c r="P30" s="1">
        <v>0.99453615007294593</v>
      </c>
      <c r="R30" s="1">
        <v>2.3043820446935138E-2</v>
      </c>
      <c r="S30" s="2">
        <f t="shared" si="10"/>
        <v>6.4566279189961162E-2</v>
      </c>
      <c r="T30" s="4">
        <f t="shared" si="1"/>
        <v>4.1688044084360115E-3</v>
      </c>
      <c r="U30" s="1">
        <f t="shared" si="0"/>
        <v>1.0271298438976454E-4</v>
      </c>
      <c r="V30" s="6">
        <f>2*sigma/alpha*corel*(B30/12-1/alpha*(1-EXP(-alpha*Output!B30/12)))</f>
        <v>5.5337331267018997E-3</v>
      </c>
      <c r="W30" s="5">
        <f t="shared" si="2"/>
        <v>-4.0660914240462469E-3</v>
      </c>
      <c r="X30" s="1">
        <f t="shared" si="3"/>
        <v>2.5782534554610454E-2</v>
      </c>
      <c r="Y30" s="3">
        <f t="shared" si="4"/>
        <v>4.895863394350071E-2</v>
      </c>
      <c r="Z30" s="1">
        <f t="shared" si="5"/>
        <v>5.1312075577439373E-2</v>
      </c>
      <c r="AA30" s="8">
        <f t="shared" si="11"/>
        <v>1.4999999999999996</v>
      </c>
      <c r="AB30" s="1">
        <v>1.583</v>
      </c>
      <c r="AC30" s="1">
        <v>3.4654899999999999E-3</v>
      </c>
      <c r="AD30" s="8">
        <f t="shared" si="6"/>
        <v>5.1754626395244044E-2</v>
      </c>
      <c r="AE30" s="3">
        <f t="shared" si="7"/>
        <v>1.4934288194524885E-3</v>
      </c>
      <c r="AF30" s="11">
        <f t="shared" si="8"/>
        <v>1.4999999999999996</v>
      </c>
      <c r="AG30" s="1">
        <f t="shared" si="9"/>
        <v>5.1312075577439373E-2</v>
      </c>
    </row>
    <row r="31" spans="2:33" ht="15">
      <c r="B31" s="1">
        <v>20</v>
      </c>
      <c r="C31" s="1">
        <v>0.99999808374253174</v>
      </c>
      <c r="D31" s="1">
        <v>1.0383008341522399</v>
      </c>
      <c r="E31" s="1">
        <v>0.96299553644066715</v>
      </c>
      <c r="G31" s="1">
        <v>0.99984168710555876</v>
      </c>
      <c r="H31" s="1">
        <v>1.3921955141530273</v>
      </c>
      <c r="I31" s="1">
        <v>0.71126626656366376</v>
      </c>
      <c r="K31" s="1">
        <v>0.99993362535333741</v>
      </c>
      <c r="L31" s="1">
        <v>1.2525638868583435</v>
      </c>
      <c r="M31" s="1">
        <v>0.79504288149747426</v>
      </c>
      <c r="O31" s="1">
        <v>3.5105719156634748E-3</v>
      </c>
      <c r="P31" s="1">
        <v>0.99416613029938294</v>
      </c>
      <c r="R31" s="1">
        <v>2.3668722843754895E-2</v>
      </c>
      <c r="S31" s="2">
        <f t="shared" si="10"/>
        <v>6.6590944711340971E-2</v>
      </c>
      <c r="T31" s="4">
        <f t="shared" si="1"/>
        <v>4.4343539175488705E-3</v>
      </c>
      <c r="U31" s="1">
        <f t="shared" si="0"/>
        <v>1.1955988542853381E-4</v>
      </c>
      <c r="V31" s="6">
        <f>2*sigma/alpha*corel*(B31/12-1/alpha*(1-EXP(-alpha*Output!B31/12)))</f>
        <v>6.1261047620124812E-3</v>
      </c>
      <c r="W31" s="5">
        <f t="shared" si="2"/>
        <v>-4.314794032120337E-3</v>
      </c>
      <c r="X31" s="1">
        <f t="shared" si="3"/>
        <v>2.8802822707024067E-2</v>
      </c>
      <c r="Y31" s="3">
        <f t="shared" si="4"/>
        <v>4.9076351699795413E-2</v>
      </c>
      <c r="Z31" s="1">
        <f t="shared" si="5"/>
        <v>5.1581123975048493E-2</v>
      </c>
      <c r="AA31" s="8">
        <f t="shared" si="11"/>
        <v>1.5833333333333328</v>
      </c>
      <c r="AB31" s="1">
        <v>1.667</v>
      </c>
      <c r="AC31" s="1">
        <v>3.5158500000000001E-3</v>
      </c>
      <c r="AD31" s="8">
        <f t="shared" si="6"/>
        <v>5.2780843365252302E-2</v>
      </c>
      <c r="AE31" s="3">
        <f t="shared" si="7"/>
        <v>1.5012256883897863E-3</v>
      </c>
      <c r="AF31" s="11">
        <f t="shared" si="8"/>
        <v>1.5833333333333328</v>
      </c>
      <c r="AG31" s="1">
        <f t="shared" si="9"/>
        <v>5.1581123975048493E-2</v>
      </c>
    </row>
    <row r="32" spans="2:33" ht="15">
      <c r="B32" s="1">
        <v>21</v>
      </c>
      <c r="C32" s="1">
        <v>0.9999992322067468</v>
      </c>
      <c r="D32" s="1">
        <v>1.0407314920478232</v>
      </c>
      <c r="E32" s="1">
        <v>0.9607410698890535</v>
      </c>
      <c r="G32" s="1">
        <v>0.99991608223667061</v>
      </c>
      <c r="H32" s="1">
        <v>1.4243574867904181</v>
      </c>
      <c r="I32" s="1">
        <v>0.69486487615887993</v>
      </c>
      <c r="K32" s="1">
        <v>0.99994384436455697</v>
      </c>
      <c r="L32" s="1">
        <v>1.2278090554682626</v>
      </c>
      <c r="M32" s="1">
        <v>0.81090341556643519</v>
      </c>
      <c r="O32" s="1">
        <v>3.564640032786684E-3</v>
      </c>
      <c r="P32" s="1">
        <v>0.99378129661805126</v>
      </c>
      <c r="R32" s="1">
        <v>2.4269165525519908E-2</v>
      </c>
      <c r="S32" s="2">
        <f t="shared" si="10"/>
        <v>6.857194035247452E-2</v>
      </c>
      <c r="T32" s="4">
        <f t="shared" si="1"/>
        <v>4.7021110037033234E-3</v>
      </c>
      <c r="U32" s="1">
        <f t="shared" si="0"/>
        <v>1.3812897067878822E-4</v>
      </c>
      <c r="V32" s="6">
        <f>2*sigma/alpha*corel*(B32/12-1/alpha*(1-EXP(-alpha*Output!B32/12)))</f>
        <v>6.7480238757481525E-3</v>
      </c>
      <c r="W32" s="5">
        <f t="shared" si="2"/>
        <v>-4.5639820330245348E-3</v>
      </c>
      <c r="X32" s="1">
        <f t="shared" si="3"/>
        <v>3.1993410057399412E-2</v>
      </c>
      <c r="Y32" s="3">
        <f t="shared" si="4"/>
        <v>4.9176855407515235E-2</v>
      </c>
      <c r="Z32" s="1">
        <f t="shared" si="5"/>
        <v>5.1835514597086386E-2</v>
      </c>
      <c r="AA32" s="8">
        <f t="shared" si="11"/>
        <v>1.6666666666666661</v>
      </c>
      <c r="AB32" s="1">
        <v>1.75</v>
      </c>
      <c r="AC32" s="1">
        <v>3.57004E-3</v>
      </c>
      <c r="AD32" s="8">
        <f t="shared" si="6"/>
        <v>5.3999672133160648E-2</v>
      </c>
      <c r="AE32" s="3">
        <f t="shared" si="7"/>
        <v>1.5125789104088651E-3</v>
      </c>
      <c r="AF32" s="11">
        <f t="shared" si="8"/>
        <v>1.6666666666666661</v>
      </c>
      <c r="AG32" s="1">
        <f t="shared" si="9"/>
        <v>5.1835514597086386E-2</v>
      </c>
    </row>
    <row r="33" spans="2:33" ht="15">
      <c r="B33" s="1">
        <v>22</v>
      </c>
      <c r="C33" s="1">
        <v>0.99999992590246112</v>
      </c>
      <c r="D33" s="1">
        <v>1.043194975346696</v>
      </c>
      <c r="E33" s="1">
        <v>0.95846698995856161</v>
      </c>
      <c r="G33" s="1">
        <v>0.99995316559157121</v>
      </c>
      <c r="H33" s="1">
        <v>1.4504695087554533</v>
      </c>
      <c r="I33" s="1">
        <v>0.68202093611413428</v>
      </c>
      <c r="K33" s="1">
        <v>0.99993574421224674</v>
      </c>
      <c r="L33" s="1">
        <v>1.2562602677607948</v>
      </c>
      <c r="M33" s="1">
        <v>0.79237334840711882</v>
      </c>
      <c r="O33" s="1">
        <v>3.622059552079092E-3</v>
      </c>
      <c r="P33" s="1">
        <v>0.99338155650489679</v>
      </c>
      <c r="R33" s="1">
        <v>2.4774081535594093E-2</v>
      </c>
      <c r="S33" s="2">
        <f t="shared" si="10"/>
        <v>7.0329636993315015E-2</v>
      </c>
      <c r="T33" s="4">
        <f t="shared" si="1"/>
        <v>4.9462578396114636E-3</v>
      </c>
      <c r="U33" s="1">
        <f t="shared" si="0"/>
        <v>1.584990822426057E-4</v>
      </c>
      <c r="V33" s="6">
        <f>2*sigma/alpha*corel*(B33/12-1/alpha*(1-EXP(-alpha*Output!B33/12)))</f>
        <v>7.3994109768289237E-3</v>
      </c>
      <c r="W33" s="5">
        <f t="shared" si="2"/>
        <v>-4.7877587573688582E-3</v>
      </c>
      <c r="X33" s="1">
        <f t="shared" si="3"/>
        <v>3.5164982170175642E-2</v>
      </c>
      <c r="Y33" s="3">
        <f t="shared" si="4"/>
        <v>4.912469273578491E-2</v>
      </c>
      <c r="Z33" s="1">
        <f t="shared" si="5"/>
        <v>5.1941879265254287E-2</v>
      </c>
      <c r="AA33" s="8">
        <f t="shared" si="11"/>
        <v>1.7499999999999993</v>
      </c>
      <c r="AB33" s="1">
        <v>1.833</v>
      </c>
      <c r="AC33" s="1">
        <v>3.6275999999999999E-3</v>
      </c>
      <c r="AD33" s="8">
        <f t="shared" si="6"/>
        <v>5.5404479209078886E-2</v>
      </c>
      <c r="AE33" s="3">
        <f t="shared" si="7"/>
        <v>1.5273039808435024E-3</v>
      </c>
      <c r="AF33" s="11">
        <f t="shared" si="8"/>
        <v>1.7499999999999993</v>
      </c>
      <c r="AG33" s="1">
        <f t="shared" si="9"/>
        <v>5.1941879265254287E-2</v>
      </c>
    </row>
    <row r="34" spans="2:33" ht="15">
      <c r="B34" s="1">
        <v>23</v>
      </c>
      <c r="C34" s="1">
        <v>1.0000000031023191</v>
      </c>
      <c r="D34" s="1">
        <v>1.0444121997802405</v>
      </c>
      <c r="E34" s="1">
        <v>0.9573446667492248</v>
      </c>
      <c r="G34" s="1">
        <v>0.99993764552915576</v>
      </c>
      <c r="H34" s="1">
        <v>1.4663677324661699</v>
      </c>
      <c r="I34" s="1">
        <v>0.67429569807238809</v>
      </c>
      <c r="K34" s="1">
        <v>0.99994014812990661</v>
      </c>
      <c r="L34" s="1">
        <v>1.2545031174048384</v>
      </c>
      <c r="M34" s="1">
        <v>0.7933179131368161</v>
      </c>
      <c r="O34" s="1">
        <v>3.6823103449467407E-3</v>
      </c>
      <c r="P34" s="1">
        <v>0.99296708601388151</v>
      </c>
      <c r="R34" s="1">
        <v>2.5272530158462033E-2</v>
      </c>
      <c r="S34" s="2">
        <f t="shared" si="10"/>
        <v>7.2088653077989256E-2</v>
      </c>
      <c r="T34" s="4">
        <f t="shared" si="1"/>
        <v>5.1967739025986903E-3</v>
      </c>
      <c r="U34" s="1">
        <f t="shared" si="0"/>
        <v>1.8074840157583473E-4</v>
      </c>
      <c r="V34" s="6">
        <f>2*sigma/alpha*corel*(B34/12-1/alpha*(1-EXP(-alpha*Output!B34/12)))</f>
        <v>8.0801867880285136E-3</v>
      </c>
      <c r="W34" s="5">
        <f t="shared" si="2"/>
        <v>-5.0160255010228555E-3</v>
      </c>
      <c r="X34" s="1">
        <f t="shared" si="3"/>
        <v>3.8521484926371322E-2</v>
      </c>
      <c r="Y34" s="3">
        <f t="shared" si="4"/>
        <v>4.9092710332534324E-2</v>
      </c>
      <c r="Z34" s="1">
        <f t="shared" si="5"/>
        <v>5.2070723991586784E-2</v>
      </c>
      <c r="AA34" s="8">
        <f t="shared" si="11"/>
        <v>1.8333333333333326</v>
      </c>
      <c r="AB34" s="1">
        <v>1.917</v>
      </c>
      <c r="AC34" s="1">
        <v>3.68805E-3</v>
      </c>
      <c r="AD34" s="8">
        <f t="shared" si="6"/>
        <v>5.739655053259296E-2</v>
      </c>
      <c r="AE34" s="3">
        <f t="shared" si="7"/>
        <v>1.5562845008227372E-3</v>
      </c>
      <c r="AF34" s="11">
        <f t="shared" si="8"/>
        <v>1.8333333333333326</v>
      </c>
      <c r="AG34" s="1">
        <f t="shared" si="9"/>
        <v>5.2070723991586784E-2</v>
      </c>
    </row>
    <row r="35" spans="2:33" ht="15">
      <c r="B35" s="1">
        <v>24</v>
      </c>
      <c r="C35" s="1">
        <v>0.99999951669782272</v>
      </c>
      <c r="D35" s="1">
        <v>1.0478851047408249</v>
      </c>
      <c r="E35" s="1">
        <v>0.9541666239763682</v>
      </c>
      <c r="G35" s="1">
        <v>0.99987258320341421</v>
      </c>
      <c r="H35" s="1">
        <v>1.5202181104491117</v>
      </c>
      <c r="I35" s="1">
        <v>0.65009134406590163</v>
      </c>
      <c r="K35" s="1">
        <v>0.99994577543894625</v>
      </c>
      <c r="L35" s="1">
        <v>1.2549158424252842</v>
      </c>
      <c r="M35" s="1">
        <v>0.79289179819630529</v>
      </c>
      <c r="O35" s="1">
        <v>3.7449666529399787E-3</v>
      </c>
      <c r="P35" s="1">
        <v>0.99253804634576259</v>
      </c>
      <c r="R35" s="1">
        <v>2.5880370257639725E-2</v>
      </c>
      <c r="S35" s="2">
        <f t="shared" si="10"/>
        <v>7.4141947934861563E-2</v>
      </c>
      <c r="T35" s="4">
        <f t="shared" si="1"/>
        <v>5.4970284435757232E-3</v>
      </c>
      <c r="U35" s="1">
        <f t="shared" si="0"/>
        <v>2.0495445367556026E-4</v>
      </c>
      <c r="V35" s="6">
        <f>2*sigma/alpha*corel*(B35/12-1/alpha*(1-EXP(-alpha*Output!B35/12)))</f>
        <v>8.7902722453996433E-3</v>
      </c>
      <c r="W35" s="5">
        <f t="shared" si="2"/>
        <v>-5.2920739899001631E-3</v>
      </c>
      <c r="X35" s="1">
        <f t="shared" si="3"/>
        <v>4.2413860805349549E-2</v>
      </c>
      <c r="Y35" s="3">
        <f t="shared" si="4"/>
        <v>4.9288996208703563E-2</v>
      </c>
      <c r="Z35" s="1">
        <f t="shared" si="5"/>
        <v>5.242627415512055E-2</v>
      </c>
      <c r="AA35" s="8">
        <f t="shared" si="11"/>
        <v>1.9166666666666659</v>
      </c>
      <c r="AB35" s="1">
        <v>2</v>
      </c>
      <c r="AC35" s="1">
        <v>3.75092E-3</v>
      </c>
      <c r="AD35" s="8">
        <f t="shared" si="6"/>
        <v>5.9533470600212947E-2</v>
      </c>
      <c r="AE35" s="3">
        <f t="shared" si="7"/>
        <v>1.5871698303406348E-3</v>
      </c>
      <c r="AF35" s="11">
        <f t="shared" si="8"/>
        <v>1.9166666666666659</v>
      </c>
      <c r="AG35" s="1">
        <f t="shared" si="9"/>
        <v>5.242627415512055E-2</v>
      </c>
    </row>
    <row r="36" spans="2:33" ht="15">
      <c r="B36" s="1">
        <v>25</v>
      </c>
      <c r="C36" s="1">
        <v>0.99999964001913699</v>
      </c>
      <c r="D36" s="1">
        <v>1.0496900330408265</v>
      </c>
      <c r="E36" s="1">
        <v>0.95252078613986224</v>
      </c>
      <c r="G36" s="1">
        <v>0.99985711975755354</v>
      </c>
      <c r="H36" s="1">
        <v>1.53274548043397</v>
      </c>
      <c r="I36" s="1">
        <v>0.6444619309835915</v>
      </c>
      <c r="K36" s="1">
        <v>0.99998410907992619</v>
      </c>
      <c r="L36" s="1">
        <v>1.2763248817307482</v>
      </c>
      <c r="M36" s="1">
        <v>0.77942945497114346</v>
      </c>
      <c r="O36" s="1">
        <v>3.8097026817582504E-3</v>
      </c>
      <c r="P36" s="1">
        <v>0.99209453328540509</v>
      </c>
      <c r="R36" s="1">
        <v>2.6554340000431154E-2</v>
      </c>
      <c r="S36" s="2">
        <f t="shared" si="10"/>
        <v>7.6380332504524945E-2</v>
      </c>
      <c r="T36" s="4">
        <f t="shared" si="1"/>
        <v>5.8339551935017902E-3</v>
      </c>
      <c r="U36" s="1">
        <f t="shared" si="0"/>
        <v>2.3119411123960203E-4</v>
      </c>
      <c r="V36" s="6">
        <f>2*sigma/alpha*corel*(B36/12-1/alpha*(1-EXP(-alpha*Output!B36/12)))</f>
        <v>9.5295884976991947E-3</v>
      </c>
      <c r="W36" s="5">
        <f t="shared" si="2"/>
        <v>-5.6027610822621879E-3</v>
      </c>
      <c r="X36" s="1">
        <f t="shared" si="3"/>
        <v>4.6780488742453712E-2</v>
      </c>
      <c r="Y36" s="3">
        <f t="shared" si="4"/>
        <v>4.9622013100572807E-2</v>
      </c>
      <c r="Z36" s="1">
        <f t="shared" si="5"/>
        <v>5.2917846638736714E-2</v>
      </c>
      <c r="AA36" s="8">
        <f t="shared" si="11"/>
        <v>1.9999999999999991</v>
      </c>
      <c r="AB36" s="1">
        <v>2.0830000000000002</v>
      </c>
      <c r="AC36" s="1">
        <v>3.81584E-3</v>
      </c>
      <c r="AD36" s="8">
        <f t="shared" si="6"/>
        <v>6.1373182417496022E-2</v>
      </c>
      <c r="AE36" s="3">
        <f t="shared" si="7"/>
        <v>1.6083793455044244E-3</v>
      </c>
      <c r="AF36" s="11">
        <f t="shared" si="8"/>
        <v>1.9999999999999991</v>
      </c>
      <c r="AG36" s="1">
        <f t="shared" si="9"/>
        <v>5.2917846638736714E-2</v>
      </c>
    </row>
    <row r="37" spans="2:33" ht="15">
      <c r="B37" s="1">
        <v>26</v>
      </c>
      <c r="C37" s="1">
        <v>1.0000004807181677</v>
      </c>
      <c r="D37" s="1">
        <v>1.047931225711243</v>
      </c>
      <c r="E37" s="1">
        <v>0.95411433074642527</v>
      </c>
      <c r="G37" s="1">
        <v>0.99989712683561627</v>
      </c>
      <c r="H37" s="1">
        <v>1.5098494871040717</v>
      </c>
      <c r="I37" s="1">
        <v>0.65391411282257317</v>
      </c>
      <c r="K37" s="1">
        <v>0.99996853111008277</v>
      </c>
      <c r="L37" s="1">
        <v>1.273456989857185</v>
      </c>
      <c r="M37" s="1">
        <v>0.7810220410518024</v>
      </c>
      <c r="O37" s="1">
        <v>3.8764940908661274E-3</v>
      </c>
      <c r="P37" s="1">
        <v>0.99163610311847061</v>
      </c>
      <c r="R37" s="1">
        <v>2.6924371193632193E-2</v>
      </c>
      <c r="S37" s="2">
        <f t="shared" si="10"/>
        <v>7.7867016674909639E-2</v>
      </c>
      <c r="T37" s="4">
        <f t="shared" si="1"/>
        <v>6.0632722858506554E-3</v>
      </c>
      <c r="U37" s="1">
        <f t="shared" si="0"/>
        <v>2.5954359880956123E-4</v>
      </c>
      <c r="V37" s="6">
        <f>2*sigma/alpha*corel*(B37/12-1/alpha*(1-EXP(-alpha*Output!B37/12)))</f>
        <v>1.0298056905815626E-2</v>
      </c>
      <c r="W37" s="5">
        <f t="shared" si="2"/>
        <v>-5.8037286870410943E-3</v>
      </c>
      <c r="X37" s="1">
        <f t="shared" si="3"/>
        <v>5.0405031930391565E-2</v>
      </c>
      <c r="Y37" s="3">
        <f t="shared" si="4"/>
        <v>4.9433675312451311E-2</v>
      </c>
      <c r="Z37" s="1">
        <f t="shared" si="5"/>
        <v>5.2900220819012682E-2</v>
      </c>
      <c r="AA37" s="8">
        <f t="shared" si="11"/>
        <v>2.0833333333333326</v>
      </c>
      <c r="AB37" s="1">
        <v>2.1669999999999998</v>
      </c>
      <c r="AC37" s="1">
        <v>3.8828500000000002E-3</v>
      </c>
      <c r="AD37" s="8">
        <f t="shared" si="6"/>
        <v>6.3559091338727738E-2</v>
      </c>
      <c r="AE37" s="3">
        <f t="shared" si="7"/>
        <v>1.6369185350638767E-3</v>
      </c>
      <c r="AF37" s="11">
        <f t="shared" si="8"/>
        <v>2.0833333333333326</v>
      </c>
      <c r="AG37" s="1">
        <f t="shared" si="9"/>
        <v>5.2900220819012682E-2</v>
      </c>
    </row>
    <row r="38" spans="2:33" ht="15">
      <c r="B38" s="1">
        <v>27</v>
      </c>
      <c r="C38" s="1">
        <v>1.0000010385620492</v>
      </c>
      <c r="D38" s="1">
        <v>1.0504272886979584</v>
      </c>
      <c r="E38" s="1">
        <v>0.95184204989755461</v>
      </c>
      <c r="G38" s="1">
        <v>0.99991035549142349</v>
      </c>
      <c r="H38" s="1">
        <v>1.5428657337832321</v>
      </c>
      <c r="I38" s="1">
        <v>0.63960715278929248</v>
      </c>
      <c r="K38" s="1">
        <v>0.99996632732081125</v>
      </c>
      <c r="L38" s="1">
        <v>1.303624005265307</v>
      </c>
      <c r="M38" s="1">
        <v>0.76278956732389636</v>
      </c>
      <c r="O38" s="1">
        <v>3.9454666314731046E-3</v>
      </c>
      <c r="P38" s="1">
        <v>0.99116198696635005</v>
      </c>
      <c r="R38" s="1">
        <v>2.7388172072493722E-2</v>
      </c>
      <c r="S38" s="2">
        <f t="shared" si="10"/>
        <v>7.9609758389839608E-2</v>
      </c>
      <c r="T38" s="4">
        <f t="shared" si="1"/>
        <v>6.3377136308886382E-3</v>
      </c>
      <c r="U38" s="1">
        <f t="shared" si="0"/>
        <v>2.9007849688480282E-4</v>
      </c>
      <c r="V38" s="6">
        <f>2*sigma/alpha*corel*(B38/12-1/alpha*(1-EXP(-alpha*Output!B38/12)))</f>
        <v>1.109559904219903E-2</v>
      </c>
      <c r="W38" s="5">
        <f t="shared" si="2"/>
        <v>-6.0476351340038358E-3</v>
      </c>
      <c r="X38" s="1">
        <f t="shared" si="3"/>
        <v>5.4551828524139763E-2</v>
      </c>
      <c r="Y38" s="3">
        <f t="shared" si="4"/>
        <v>4.9437273262386713E-2</v>
      </c>
      <c r="Z38" s="1">
        <f t="shared" si="5"/>
        <v>5.3073172259893074E-2</v>
      </c>
      <c r="AA38" s="8">
        <f t="shared" si="11"/>
        <v>2.1666666666666661</v>
      </c>
      <c r="AB38" s="1">
        <v>2.25</v>
      </c>
      <c r="AC38" s="1">
        <v>3.9520600000000003E-3</v>
      </c>
      <c r="AD38" s="8">
        <f t="shared" si="6"/>
        <v>6.5933685268956821E-2</v>
      </c>
      <c r="AE38" s="3">
        <f t="shared" si="7"/>
        <v>1.6683371524965922E-3</v>
      </c>
      <c r="AF38" s="11">
        <f t="shared" si="8"/>
        <v>2.1666666666666661</v>
      </c>
      <c r="AG38" s="1">
        <f t="shared" si="9"/>
        <v>5.3073172259893074E-2</v>
      </c>
    </row>
    <row r="39" spans="2:33" ht="15">
      <c r="B39" s="1">
        <v>28</v>
      </c>
      <c r="C39" s="1">
        <v>1.0000013693362775</v>
      </c>
      <c r="D39" s="1">
        <v>1.0505645658635205</v>
      </c>
      <c r="E39" s="1">
        <v>0.9517126316706509</v>
      </c>
      <c r="G39" s="1">
        <v>0.99990754776412993</v>
      </c>
      <c r="H39" s="1">
        <v>1.5440766476538559</v>
      </c>
      <c r="I39" s="1">
        <v>0.63879233474510044</v>
      </c>
      <c r="K39" s="1">
        <v>0.99996060668759712</v>
      </c>
      <c r="L39" s="1">
        <v>1.3126676114501812</v>
      </c>
      <c r="M39" s="1">
        <v>0.75737653508972336</v>
      </c>
      <c r="O39" s="1">
        <v>4.0167655287534918E-3</v>
      </c>
      <c r="P39" s="1">
        <v>0.99067133163997534</v>
      </c>
      <c r="R39" s="1">
        <v>2.7676615479349988E-2</v>
      </c>
      <c r="S39" s="2">
        <f t="shared" si="10"/>
        <v>8.0927175639140481E-2</v>
      </c>
      <c r="T39" s="4">
        <f t="shared" si="1"/>
        <v>6.5492077569282922E-3</v>
      </c>
      <c r="U39" s="1">
        <f t="shared" si="0"/>
        <v>3.2287374601176077E-4</v>
      </c>
      <c r="V39" s="6">
        <f>2*sigma/alpha*corel*(B39/12-1/alpha*(1-EXP(-alpha*Output!B39/12)))</f>
        <v>1.1922136690292018E-2</v>
      </c>
      <c r="W39" s="5">
        <f t="shared" si="2"/>
        <v>-6.2263340109165316E-3</v>
      </c>
      <c r="X39" s="1">
        <f t="shared" si="3"/>
        <v>5.8254588111816302E-2</v>
      </c>
      <c r="Y39" s="3">
        <f t="shared" si="4"/>
        <v>4.9165229128093617E-2</v>
      </c>
      <c r="Z39" s="1">
        <f t="shared" si="5"/>
        <v>5.2979272592192497E-2</v>
      </c>
      <c r="AA39" s="8">
        <f t="shared" si="11"/>
        <v>2.2499999999999996</v>
      </c>
      <c r="AB39" s="1">
        <v>2.3330000000000002</v>
      </c>
      <c r="AC39" s="1">
        <v>4.0235999999999996E-3</v>
      </c>
      <c r="AD39" s="8">
        <f t="shared" si="6"/>
        <v>6.834471246507795E-2</v>
      </c>
      <c r="AE39" s="3">
        <f t="shared" si="7"/>
        <v>1.6985960946684052E-3</v>
      </c>
      <c r="AF39" s="11">
        <f t="shared" si="8"/>
        <v>2.2499999999999996</v>
      </c>
      <c r="AG39" s="1">
        <f t="shared" si="9"/>
        <v>5.2979272592192497E-2</v>
      </c>
    </row>
    <row r="40" spans="2:33" ht="15">
      <c r="B40" s="1">
        <v>29</v>
      </c>
      <c r="C40" s="1">
        <v>1.0000011578752037</v>
      </c>
      <c r="D40" s="1">
        <v>1.04711566571255</v>
      </c>
      <c r="E40" s="1">
        <v>0.95484228067629828</v>
      </c>
      <c r="G40" s="1">
        <v>0.99985607958023648</v>
      </c>
      <c r="H40" s="1">
        <v>1.4980922475877396</v>
      </c>
      <c r="I40" s="1">
        <v>0.65807762539725023</v>
      </c>
      <c r="K40" s="1">
        <v>0.99993115663984333</v>
      </c>
      <c r="L40" s="1">
        <v>1.3233117648335488</v>
      </c>
      <c r="M40" s="1">
        <v>0.75112802114705846</v>
      </c>
      <c r="O40" s="1">
        <v>4.0905230857800293E-3</v>
      </c>
      <c r="P40" s="1">
        <v>0.99016326947384914</v>
      </c>
      <c r="R40" s="1">
        <v>2.8004890831894714E-2</v>
      </c>
      <c r="S40" s="2">
        <f t="shared" si="10"/>
        <v>8.2365688849428825E-2</v>
      </c>
      <c r="T40" s="4">
        <f t="shared" si="1"/>
        <v>6.784106699640924E-3</v>
      </c>
      <c r="U40" s="1">
        <f t="shared" si="0"/>
        <v>3.5800365085679128E-4</v>
      </c>
      <c r="V40" s="6">
        <f>2*sigma/alpha*corel*(B40/12-1/alpha*(1-EXP(-alpha*Output!B40/12)))</f>
        <v>1.2777591843962299E-2</v>
      </c>
      <c r="W40" s="5">
        <f t="shared" si="2"/>
        <v>-6.4261030487841328E-3</v>
      </c>
      <c r="X40" s="1">
        <f t="shared" si="3"/>
        <v>6.2282262991577513E-2</v>
      </c>
      <c r="Y40" s="3">
        <f t="shared" si="4"/>
        <v>4.899032155900427E-2</v>
      </c>
      <c r="Z40" s="1">
        <f t="shared" si="5"/>
        <v>5.2983172473613345E-2</v>
      </c>
      <c r="AA40" s="8">
        <f t="shared" si="11"/>
        <v>2.333333333333333</v>
      </c>
      <c r="AB40" s="1">
        <v>2.4169999999999998</v>
      </c>
      <c r="AC40" s="1">
        <v>4.0975999999999999E-3</v>
      </c>
      <c r="AD40" s="8">
        <f t="shared" si="6"/>
        <v>7.0769142199705176E-2</v>
      </c>
      <c r="AE40" s="3">
        <f t="shared" si="7"/>
        <v>1.7270876171345468E-3</v>
      </c>
      <c r="AF40" s="11">
        <f t="shared" si="8"/>
        <v>2.333333333333333</v>
      </c>
      <c r="AG40" s="1">
        <f t="shared" si="9"/>
        <v>5.2983172473613345E-2</v>
      </c>
    </row>
    <row r="41" spans="2:33" ht="15">
      <c r="B41" s="1">
        <v>30</v>
      </c>
      <c r="C41" s="1">
        <v>1.0000007375120541</v>
      </c>
      <c r="D41" s="1">
        <v>1.0450236553746748</v>
      </c>
      <c r="E41" s="1">
        <v>0.95674876541775922</v>
      </c>
      <c r="G41" s="1">
        <v>0.99978743001552994</v>
      </c>
      <c r="H41" s="1">
        <v>1.4751537220234368</v>
      </c>
      <c r="I41" s="1">
        <v>0.66798322835325974</v>
      </c>
      <c r="K41" s="1">
        <v>0.99996323045344981</v>
      </c>
      <c r="L41" s="1">
        <v>1.3519752368663711</v>
      </c>
      <c r="M41" s="1">
        <v>0.73505006887302937</v>
      </c>
      <c r="O41" s="1">
        <v>4.1668879474043626E-3</v>
      </c>
      <c r="P41" s="1">
        <v>0.98963685144591385</v>
      </c>
      <c r="R41" s="1">
        <v>2.8607803503794257E-2</v>
      </c>
      <c r="S41" s="2">
        <f t="shared" si="10"/>
        <v>8.4523315906740143E-2</v>
      </c>
      <c r="T41" s="4">
        <f t="shared" si="1"/>
        <v>7.144190931870591E-3</v>
      </c>
      <c r="U41" s="1">
        <f t="shared" si="0"/>
        <v>3.9554188424392977E-4</v>
      </c>
      <c r="V41" s="6">
        <f>2*sigma/alpha*corel*(B41/12-1/alpha*(1-EXP(-alpha*Output!B41/12)))</f>
        <v>1.3661886706934911E-2</v>
      </c>
      <c r="W41" s="5">
        <f t="shared" si="2"/>
        <v>-6.7486490476266611E-3</v>
      </c>
      <c r="X41" s="1">
        <f t="shared" si="3"/>
        <v>6.7673137624659735E-2</v>
      </c>
      <c r="Y41" s="3">
        <f t="shared" si="4"/>
        <v>4.9295744909818556E-2</v>
      </c>
      <c r="Z41" s="1">
        <f t="shared" si="5"/>
        <v>5.3457238731047789E-2</v>
      </c>
      <c r="AA41" s="8">
        <f t="shared" si="11"/>
        <v>2.4166666666666665</v>
      </c>
      <c r="AB41" s="1">
        <v>2.5</v>
      </c>
      <c r="AC41" s="1">
        <v>4.1742000000000003E-3</v>
      </c>
      <c r="AD41" s="8">
        <f t="shared" si="6"/>
        <v>7.3120525956376844E-2</v>
      </c>
      <c r="AE41" s="3">
        <f t="shared" si="7"/>
        <v>1.7517255032431806E-3</v>
      </c>
      <c r="AF41" s="11">
        <f t="shared" si="8"/>
        <v>2.4166666666666665</v>
      </c>
      <c r="AG41" s="1">
        <f t="shared" si="9"/>
        <v>5.3457238731047789E-2</v>
      </c>
    </row>
    <row r="42" spans="2:33" ht="15">
      <c r="B42" s="1">
        <v>31</v>
      </c>
      <c r="C42" s="1">
        <v>0.99999992045029085</v>
      </c>
      <c r="D42" s="1">
        <v>1.0488832736370177</v>
      </c>
      <c r="E42" s="1">
        <v>0.95322324070329501</v>
      </c>
      <c r="G42" s="1">
        <v>0.99968605251920217</v>
      </c>
      <c r="H42" s="1">
        <v>1.5196311213200218</v>
      </c>
      <c r="I42" s="1">
        <v>0.64811465292753512</v>
      </c>
      <c r="K42" s="1">
        <v>0.99996159332524115</v>
      </c>
      <c r="L42" s="1">
        <v>1.3779912862081194</v>
      </c>
      <c r="M42" s="1">
        <v>0.72102232225256169</v>
      </c>
      <c r="O42" s="1">
        <v>4.2459900543937255E-3</v>
      </c>
      <c r="P42" s="1">
        <v>0.98909113038029917</v>
      </c>
      <c r="R42" s="1">
        <v>2.8960433223571357E-2</v>
      </c>
      <c r="S42" s="2">
        <f t="shared" si="10"/>
        <v>8.6067754828913628E-2</v>
      </c>
      <c r="T42" s="4">
        <f t="shared" si="1"/>
        <v>7.4076584212899848E-3</v>
      </c>
      <c r="U42" s="1">
        <f t="shared" si="0"/>
        <v>4.355614911805834E-4</v>
      </c>
      <c r="V42" s="6">
        <f>2*sigma/alpha*corel*(B42/12-1/alpha*(1-EXP(-alpha*Output!B42/12)))</f>
        <v>1.4574943692230218E-2</v>
      </c>
      <c r="W42" s="5">
        <f t="shared" si="2"/>
        <v>-6.9720969301094015E-3</v>
      </c>
      <c r="X42" s="1">
        <f t="shared" si="3"/>
        <v>7.2257430594762168E-2</v>
      </c>
      <c r="Y42" s="3">
        <f t="shared" si="4"/>
        <v>4.9206286294182056E-2</v>
      </c>
      <c r="Z42" s="1">
        <f t="shared" si="5"/>
        <v>5.3548862538890837E-2</v>
      </c>
      <c r="AA42" s="8">
        <f t="shared" si="11"/>
        <v>2.5</v>
      </c>
      <c r="AB42" s="1">
        <v>2.5830000000000002</v>
      </c>
      <c r="AC42" s="1">
        <v>4.2535000000000003E-3</v>
      </c>
      <c r="AD42" s="8">
        <f t="shared" si="6"/>
        <v>7.5099456062748676E-2</v>
      </c>
      <c r="AE42" s="3">
        <f t="shared" si="7"/>
        <v>1.7655920080580387E-3</v>
      </c>
      <c r="AF42" s="11">
        <f t="shared" si="8"/>
        <v>2.5</v>
      </c>
      <c r="AG42" s="1">
        <f t="shared" si="9"/>
        <v>5.3548862538890837E-2</v>
      </c>
    </row>
    <row r="43" spans="2:33" ht="15">
      <c r="B43" s="1">
        <v>32</v>
      </c>
      <c r="C43" s="1">
        <v>1.0000004938634108</v>
      </c>
      <c r="D43" s="1">
        <v>1.0511768760125642</v>
      </c>
      <c r="E43" s="1">
        <v>0.95113847595963052</v>
      </c>
      <c r="G43" s="1">
        <v>0.99969533339245287</v>
      </c>
      <c r="H43" s="1">
        <v>1.5503254161486941</v>
      </c>
      <c r="I43" s="1">
        <v>0.63497168409444105</v>
      </c>
      <c r="K43" s="1">
        <v>0.99997469965596431</v>
      </c>
      <c r="L43" s="1">
        <v>1.3835438675768472</v>
      </c>
      <c r="M43" s="1">
        <v>0.71797904594868345</v>
      </c>
      <c r="O43" s="1">
        <v>4.3279384040623859E-3</v>
      </c>
      <c r="P43" s="1">
        <v>0.98852517474065005</v>
      </c>
      <c r="R43" s="1">
        <v>2.9426390211283307E-2</v>
      </c>
      <c r="S43" s="2">
        <f t="shared" si="10"/>
        <v>8.79240554340745E-2</v>
      </c>
      <c r="T43" s="4">
        <f t="shared" si="1"/>
        <v>7.7306395239742053E-3</v>
      </c>
      <c r="U43" s="1">
        <f t="shared" si="0"/>
        <v>4.7813489285415878E-4</v>
      </c>
      <c r="V43" s="6">
        <f>2*sigma/alpha*corel*(B43/12-1/alpha*(1-EXP(-alpha*Output!B43/12)))</f>
        <v>1.5516685421599027E-2</v>
      </c>
      <c r="W43" s="5">
        <f t="shared" si="2"/>
        <v>-7.2525046311200467E-3</v>
      </c>
      <c r="X43" s="1">
        <f t="shared" si="3"/>
        <v>7.7600816925086705E-2</v>
      </c>
      <c r="Y43" s="3">
        <f t="shared" si="4"/>
        <v>4.9322352452494084E-2</v>
      </c>
      <c r="Z43" s="1">
        <f t="shared" si="5"/>
        <v>5.3842267982416259E-2</v>
      </c>
      <c r="AA43" s="8">
        <f t="shared" si="11"/>
        <v>2.5833333333333335</v>
      </c>
      <c r="AB43" s="1">
        <v>2.6669999999999998</v>
      </c>
      <c r="AC43" s="1">
        <v>4.3356499999999999E-3</v>
      </c>
      <c r="AD43" s="8">
        <f t="shared" si="6"/>
        <v>7.7115959376140158E-2</v>
      </c>
      <c r="AE43" s="3">
        <f t="shared" si="7"/>
        <v>1.7786481698508912E-3</v>
      </c>
      <c r="AF43" s="11">
        <f t="shared" si="8"/>
        <v>2.5833333333333335</v>
      </c>
      <c r="AG43" s="1">
        <f t="shared" si="9"/>
        <v>5.3842267982416259E-2</v>
      </c>
    </row>
    <row r="44" spans="2:33" ht="15">
      <c r="B44" s="1">
        <v>33</v>
      </c>
      <c r="C44" s="1">
        <v>1.0000017818745786</v>
      </c>
      <c r="D44" s="1">
        <v>1.0538032152832331</v>
      </c>
      <c r="E44" s="1">
        <v>0.94876316019072138</v>
      </c>
      <c r="G44" s="1">
        <v>0.99975772713675137</v>
      </c>
      <c r="H44" s="1">
        <v>1.5842842937846349</v>
      </c>
      <c r="I44" s="1">
        <v>0.62105682723170363</v>
      </c>
      <c r="K44" s="1">
        <v>0.99999782592268915</v>
      </c>
      <c r="L44" s="1">
        <v>1.4279094639693963</v>
      </c>
      <c r="M44" s="1">
        <v>0.69552629471308303</v>
      </c>
      <c r="O44" s="1">
        <v>4.4128227537536856E-3</v>
      </c>
      <c r="P44" s="1">
        <v>0.98793807277837009</v>
      </c>
      <c r="R44" s="1">
        <v>2.9943906652298409E-2</v>
      </c>
      <c r="S44" s="2">
        <f t="shared" si="10"/>
        <v>8.9936614883712129E-2</v>
      </c>
      <c r="T44" s="4">
        <f t="shared" si="1"/>
        <v>8.0885946967411502E-3</v>
      </c>
      <c r="U44" s="1">
        <f t="shared" si="0"/>
        <v>5.2333389060401302E-4</v>
      </c>
      <c r="V44" s="6">
        <f>2*sigma/alpha*corel*(B44/12-1/alpha*(1-EXP(-alpha*Output!B44/12)))</f>
        <v>1.6487034724961016E-2</v>
      </c>
      <c r="W44" s="5">
        <f t="shared" si="2"/>
        <v>-7.5652608061371369E-3</v>
      </c>
      <c r="X44" s="1">
        <f t="shared" si="3"/>
        <v>8.3489691181530587E-2</v>
      </c>
      <c r="Y44" s="3">
        <f t="shared" si="4"/>
        <v>4.9537962307591811E-2</v>
      </c>
      <c r="Z44" s="1">
        <f t="shared" si="5"/>
        <v>5.4233819360721108E-2</v>
      </c>
      <c r="AA44" s="8">
        <f t="shared" si="11"/>
        <v>2.666666666666667</v>
      </c>
      <c r="AB44" s="1">
        <v>2.75</v>
      </c>
      <c r="AC44" s="1">
        <v>4.4207600000000001E-3</v>
      </c>
      <c r="AD44" s="8">
        <f t="shared" si="6"/>
        <v>7.9372462463145332E-2</v>
      </c>
      <c r="AE44" s="3">
        <f t="shared" si="7"/>
        <v>1.7954483496761945E-3</v>
      </c>
      <c r="AF44" s="11">
        <f t="shared" si="8"/>
        <v>2.666666666666667</v>
      </c>
      <c r="AG44" s="1">
        <f t="shared" si="9"/>
        <v>5.4233819360721108E-2</v>
      </c>
    </row>
    <row r="45" spans="2:33" ht="15">
      <c r="B45" s="1">
        <v>34</v>
      </c>
      <c r="C45" s="1">
        <v>1.0000026185515496</v>
      </c>
      <c r="D45" s="1">
        <v>1.0529534562279317</v>
      </c>
      <c r="E45" s="1">
        <v>0.94952402542392267</v>
      </c>
      <c r="G45" s="1">
        <v>0.99978729811695211</v>
      </c>
      <c r="H45" s="1">
        <v>1.5718907950718215</v>
      </c>
      <c r="I45" s="1">
        <v>0.62564696573958523</v>
      </c>
      <c r="K45" s="1">
        <v>0.99995897484999385</v>
      </c>
      <c r="L45" s="1">
        <v>1.4635198439852781</v>
      </c>
      <c r="M45" s="1">
        <v>0.67846138118189525</v>
      </c>
      <c r="O45" s="1">
        <v>4.5007612350763063E-3</v>
      </c>
      <c r="P45" s="1">
        <v>0.98732880739762263</v>
      </c>
      <c r="R45" s="1">
        <v>3.0172355482131333E-2</v>
      </c>
      <c r="S45" s="2">
        <f t="shared" si="10"/>
        <v>9.1238380606807862E-2</v>
      </c>
      <c r="T45" s="4">
        <f t="shared" si="1"/>
        <v>8.3244420957527335E-3</v>
      </c>
      <c r="U45" s="1">
        <f t="shared" si="0"/>
        <v>5.7122966987475899E-4</v>
      </c>
      <c r="V45" s="6">
        <f>2*sigma/alpha*corel*(B45/12-1/alpha*(1-EXP(-alpha*Output!B45/12)))</f>
        <v>1.7485914639845904E-2</v>
      </c>
      <c r="W45" s="5">
        <f t="shared" si="2"/>
        <v>-7.7532124258779742E-3</v>
      </c>
      <c r="X45" s="1">
        <f t="shared" si="3"/>
        <v>8.8175498037409011E-2</v>
      </c>
      <c r="Y45" s="3">
        <f t="shared" si="4"/>
        <v>4.9316061069431802E-2</v>
      </c>
      <c r="Z45" s="1">
        <f t="shared" si="5"/>
        <v>5.420367502980087E-2</v>
      </c>
      <c r="AA45" s="8">
        <f t="shared" si="11"/>
        <v>2.7500000000000004</v>
      </c>
      <c r="AB45" s="1">
        <v>2.8330000000000002</v>
      </c>
      <c r="AC45" s="1">
        <v>4.5089700000000002E-3</v>
      </c>
      <c r="AD45" s="8">
        <f t="shared" si="6"/>
        <v>8.2087649236938301E-2</v>
      </c>
      <c r="AE45" s="3">
        <f t="shared" si="7"/>
        <v>1.8205410379075111E-3</v>
      </c>
      <c r="AF45" s="11">
        <f t="shared" si="8"/>
        <v>2.7500000000000004</v>
      </c>
      <c r="AG45" s="1">
        <f t="shared" si="9"/>
        <v>5.420367502980087E-2</v>
      </c>
    </row>
    <row r="46" spans="2:33" ht="15">
      <c r="B46" s="1">
        <v>35</v>
      </c>
      <c r="C46" s="1">
        <v>1.0000031876638218</v>
      </c>
      <c r="D46" s="1">
        <v>1.0503007885164819</v>
      </c>
      <c r="E46" s="1">
        <v>0.95191738094293488</v>
      </c>
      <c r="G46" s="1">
        <v>0.9997936790178692</v>
      </c>
      <c r="H46" s="1">
        <v>1.5353332889893454</v>
      </c>
      <c r="I46" s="1">
        <v>0.64023045213957208</v>
      </c>
      <c r="K46" s="1">
        <v>0.99996406793560089</v>
      </c>
      <c r="L46" s="1">
        <v>1.4706742573240084</v>
      </c>
      <c r="M46" s="1">
        <v>0.67502021495605491</v>
      </c>
      <c r="O46" s="1">
        <v>4.5918647655527048E-3</v>
      </c>
      <c r="P46" s="1">
        <v>0.98669634745992862</v>
      </c>
      <c r="R46" s="1">
        <v>3.0506915765267571E-2</v>
      </c>
      <c r="S46" s="2">
        <f t="shared" si="10"/>
        <v>9.2837065947468461E-2</v>
      </c>
      <c r="T46" s="4">
        <f t="shared" si="1"/>
        <v>8.6187208137346073E-3</v>
      </c>
      <c r="U46" s="1">
        <f t="shared" si="0"/>
        <v>6.218928041443456E-4</v>
      </c>
      <c r="V46" s="6">
        <f>2*sigma/alpha*corel*(B46/12-1/alpha*(1-EXP(-alpha*Output!B46/12)))</f>
        <v>1.8513248410834467E-2</v>
      </c>
      <c r="W46" s="5">
        <f t="shared" si="2"/>
        <v>-7.9968280095902618E-3</v>
      </c>
      <c r="X46" s="1">
        <f t="shared" si="3"/>
        <v>9.3639067145274313E-2</v>
      </c>
      <c r="Y46" s="3">
        <f t="shared" si="4"/>
        <v>4.9284302266870347E-2</v>
      </c>
      <c r="Z46" s="1">
        <f t="shared" si="5"/>
        <v>5.4359819658277353E-2</v>
      </c>
      <c r="AA46" s="8">
        <f t="shared" si="11"/>
        <v>2.8333333333333339</v>
      </c>
      <c r="AB46" s="1">
        <v>2.9169999999999998</v>
      </c>
      <c r="AC46" s="1">
        <v>4.6004100000000001E-3</v>
      </c>
      <c r="AD46" s="8">
        <f t="shared" si="6"/>
        <v>8.5452344472953384E-2</v>
      </c>
      <c r="AE46" s="3">
        <f t="shared" si="7"/>
        <v>1.8574941031984842E-3</v>
      </c>
      <c r="AF46" s="11">
        <f t="shared" si="8"/>
        <v>2.8333333333333339</v>
      </c>
      <c r="AG46" s="1">
        <f t="shared" si="9"/>
        <v>5.4359819658277353E-2</v>
      </c>
    </row>
    <row r="47" spans="2:33" ht="15">
      <c r="B47" s="1">
        <v>36</v>
      </c>
      <c r="C47" s="1">
        <v>1.0000027242485725</v>
      </c>
      <c r="D47" s="1">
        <v>1.0497771042907167</v>
      </c>
      <c r="E47" s="1">
        <v>0.95238749416580515</v>
      </c>
      <c r="G47" s="1">
        <v>0.99971531943278225</v>
      </c>
      <c r="H47" s="1">
        <v>1.5454907175135619</v>
      </c>
      <c r="I47" s="1">
        <v>0.63571125097939984</v>
      </c>
      <c r="K47" s="1">
        <v>0.9999967527949879</v>
      </c>
      <c r="L47" s="1">
        <v>1.4859938114189211</v>
      </c>
      <c r="M47" s="1">
        <v>0.66792206487189276</v>
      </c>
      <c r="O47" s="1">
        <v>4.6863404763086945E-3</v>
      </c>
      <c r="P47" s="1">
        <v>0.98603934509425495</v>
      </c>
      <c r="R47" s="1">
        <v>3.1005890000779395E-2</v>
      </c>
      <c r="S47" s="2">
        <f t="shared" si="10"/>
        <v>9.4883944592680874E-2</v>
      </c>
      <c r="T47" s="4">
        <f t="shared" si="1"/>
        <v>9.0029629414669337E-3</v>
      </c>
      <c r="U47" s="1">
        <f t="shared" si="0"/>
        <v>6.7539325882910533E-4</v>
      </c>
      <c r="V47" s="6">
        <f>2*sigma/alpha*corel*(B47/12-1/alpha*(1-EXP(-alpha*Output!B47/12)))</f>
        <v>1.9568959488999702E-2</v>
      </c>
      <c r="W47" s="5">
        <f t="shared" si="2"/>
        <v>-8.3275696826378282E-3</v>
      </c>
      <c r="X47" s="1">
        <f t="shared" si="3"/>
        <v>0.10031378036713605</v>
      </c>
      <c r="Y47" s="3">
        <f t="shared" si="4"/>
        <v>4.9525758044992339E-2</v>
      </c>
      <c r="Z47" s="1">
        <f t="shared" si="5"/>
        <v>5.4781270952357845E-2</v>
      </c>
      <c r="AA47" s="8">
        <f t="shared" si="11"/>
        <v>2.9166666666666674</v>
      </c>
      <c r="AB47" s="1">
        <v>3</v>
      </c>
      <c r="AC47" s="1">
        <v>4.6951900000000001E-3</v>
      </c>
      <c r="AD47" s="8">
        <f t="shared" si="6"/>
        <v>8.849523691305608E-2</v>
      </c>
      <c r="AE47" s="3">
        <f t="shared" si="7"/>
        <v>1.8848062999166399E-3</v>
      </c>
      <c r="AF47" s="11">
        <f t="shared" si="8"/>
        <v>2.9166666666666674</v>
      </c>
      <c r="AG47" s="1">
        <f t="shared" si="9"/>
        <v>5.4781270952357845E-2</v>
      </c>
    </row>
    <row r="48" spans="2:33" ht="15">
      <c r="B48" s="1">
        <v>37</v>
      </c>
      <c r="C48" s="1">
        <v>1.0000030593969003</v>
      </c>
      <c r="D48" s="1">
        <v>1.0496640612321031</v>
      </c>
      <c r="E48" s="1">
        <v>0.95248534176823918</v>
      </c>
      <c r="G48" s="1">
        <v>0.99970006483490359</v>
      </c>
      <c r="H48" s="1">
        <v>1.5353211993043518</v>
      </c>
      <c r="I48" s="1">
        <v>0.63960872763324284</v>
      </c>
      <c r="K48" s="1">
        <v>1.0000445445850807</v>
      </c>
      <c r="L48" s="1">
        <v>1.4631884251483664</v>
      </c>
      <c r="M48" s="1">
        <v>0.67819105375678412</v>
      </c>
      <c r="O48" s="1">
        <v>4.7842698477040093E-3</v>
      </c>
      <c r="P48" s="1">
        <v>0.98535677162284685</v>
      </c>
      <c r="R48" s="1">
        <v>3.1537810070546617E-2</v>
      </c>
      <c r="S48" s="2">
        <f t="shared" si="10"/>
        <v>9.7045159996237973E-2</v>
      </c>
      <c r="T48" s="4">
        <f t="shared" si="1"/>
        <v>9.4177630786954278E-3</v>
      </c>
      <c r="U48" s="1">
        <f t="shared" si="0"/>
        <v>7.3180039516906013E-4</v>
      </c>
      <c r="V48" s="6">
        <f>2*sigma/alpha*corel*(B48/12-1/alpha*(1-EXP(-alpha*Output!B48/12)))</f>
        <v>2.0652971531355438E-2</v>
      </c>
      <c r="W48" s="5">
        <f t="shared" si="2"/>
        <v>-8.6859626835263676E-3</v>
      </c>
      <c r="X48" s="1">
        <f t="shared" si="3"/>
        <v>0.10755341832990019</v>
      </c>
      <c r="Y48" s="3">
        <f t="shared" si="4"/>
        <v>4.9832498392818114E-2</v>
      </c>
      <c r="Z48" s="1">
        <f t="shared" si="5"/>
        <v>5.5266713735705894E-2</v>
      </c>
      <c r="AA48" s="8">
        <f t="shared" si="11"/>
        <v>3.0000000000000009</v>
      </c>
      <c r="AB48" s="1">
        <v>3.0830000000000002</v>
      </c>
      <c r="AC48" s="1">
        <v>4.7933999999999997E-3</v>
      </c>
      <c r="AD48" s="8">
        <f t="shared" si="6"/>
        <v>9.1301522959904777E-2</v>
      </c>
      <c r="AE48" s="3">
        <f t="shared" si="7"/>
        <v>1.9047340710123247E-3</v>
      </c>
      <c r="AF48" s="11">
        <f t="shared" si="8"/>
        <v>3.0000000000000009</v>
      </c>
      <c r="AG48" s="1">
        <f t="shared" si="9"/>
        <v>5.5266713735705894E-2</v>
      </c>
    </row>
    <row r="49" spans="2:33" ht="15">
      <c r="B49" s="1">
        <v>38</v>
      </c>
      <c r="C49" s="1">
        <v>1.0000036265675842</v>
      </c>
      <c r="D49" s="1">
        <v>1.0500950985681388</v>
      </c>
      <c r="E49" s="1">
        <v>0.95208968771672209</v>
      </c>
      <c r="G49" s="1">
        <v>0.99969620313451846</v>
      </c>
      <c r="H49" s="1">
        <v>1.5372245619870539</v>
      </c>
      <c r="I49" s="1">
        <v>0.63850406341486987</v>
      </c>
      <c r="K49" s="1">
        <v>1.0000085564177303</v>
      </c>
      <c r="L49" s="1">
        <v>1.4694295874323526</v>
      </c>
      <c r="M49" s="1">
        <v>0.6751698725741373</v>
      </c>
      <c r="O49" s="1">
        <v>4.8854812461609307E-3</v>
      </c>
      <c r="P49" s="1">
        <v>0.98464836576897674</v>
      </c>
      <c r="R49" s="1">
        <v>3.1718112885106224E-2</v>
      </c>
      <c r="S49" s="2">
        <f t="shared" si="10"/>
        <v>9.8336612154257319E-2</v>
      </c>
      <c r="T49" s="4">
        <f t="shared" si="1"/>
        <v>9.6700892899768288E-3</v>
      </c>
      <c r="U49" s="1">
        <f t="shared" si="0"/>
        <v>7.9118297408306614E-4</v>
      </c>
      <c r="V49" s="6">
        <f>2*sigma/alpha*corel*(B49/12-1/alpha*(1-EXP(-alpha*Output!B49/12)))</f>
        <v>2.17652084002967E-2</v>
      </c>
      <c r="W49" s="5">
        <f t="shared" si="2"/>
        <v>-8.8789063158937632E-3</v>
      </c>
      <c r="X49" s="1">
        <f t="shared" si="3"/>
        <v>0.11293987096469602</v>
      </c>
      <c r="Y49" s="3">
        <f t="shared" si="4"/>
        <v>4.9626326752467392E-2</v>
      </c>
      <c r="Z49" s="1">
        <f t="shared" si="5"/>
        <v>5.5260405421613618E-2</v>
      </c>
      <c r="AA49" s="8">
        <f t="shared" si="11"/>
        <v>3.0833333333333344</v>
      </c>
      <c r="AB49" s="1">
        <v>3.1669999999999998</v>
      </c>
      <c r="AC49" s="1">
        <v>4.8949299999999996E-3</v>
      </c>
      <c r="AD49" s="8">
        <f t="shared" si="6"/>
        <v>9.4487538390688672E-2</v>
      </c>
      <c r="AE49" s="3">
        <f t="shared" si="7"/>
        <v>1.9303143944997925E-3</v>
      </c>
      <c r="AF49" s="11">
        <f t="shared" si="8"/>
        <v>3.0833333333333344</v>
      </c>
      <c r="AG49" s="1">
        <f t="shared" si="9"/>
        <v>5.5260405421613618E-2</v>
      </c>
    </row>
    <row r="50" spans="2:33" ht="15">
      <c r="B50" s="1">
        <v>39</v>
      </c>
      <c r="C50" s="1">
        <v>1.0000039796019822</v>
      </c>
      <c r="D50" s="1">
        <v>1.0527355600339587</v>
      </c>
      <c r="E50" s="1">
        <v>0.94969702900822672</v>
      </c>
      <c r="G50" s="1">
        <v>0.99967547143884095</v>
      </c>
      <c r="H50" s="1">
        <v>1.5720551550440915</v>
      </c>
      <c r="I50" s="1">
        <v>0.62405171109547675</v>
      </c>
      <c r="K50" s="1">
        <v>1.0000144161236175</v>
      </c>
      <c r="L50" s="1">
        <v>1.4973080782525749</v>
      </c>
      <c r="M50" s="1">
        <v>0.66246080729020496</v>
      </c>
      <c r="O50" s="1">
        <v>4.9898364238231277E-3</v>
      </c>
      <c r="P50" s="1">
        <v>0.98391381870983075</v>
      </c>
      <c r="R50" s="1">
        <v>3.1995621933373013E-2</v>
      </c>
      <c r="S50" s="2">
        <f t="shared" si="10"/>
        <v>9.9906041569287785E-2</v>
      </c>
      <c r="T50" s="4">
        <f t="shared" si="1"/>
        <v>9.9812171420442589E-3</v>
      </c>
      <c r="U50" s="1">
        <f t="shared" si="0"/>
        <v>8.5360916001463616E-4</v>
      </c>
      <c r="V50" s="6">
        <f>2*sigma/alpha*corel*(B50/12-1/alpha*(1-EXP(-alpha*Output!B50/12)))</f>
        <v>2.2905594163053121E-2</v>
      </c>
      <c r="W50" s="5">
        <f t="shared" si="2"/>
        <v>-9.1276079820296219E-3</v>
      </c>
      <c r="X50" s="1">
        <f t="shared" si="3"/>
        <v>0.11918357001034759</v>
      </c>
      <c r="Y50" s="3">
        <f t="shared" si="4"/>
        <v>4.9588329377840815E-2</v>
      </c>
      <c r="Z50" s="1">
        <f t="shared" si="5"/>
        <v>5.5417900862569834E-2</v>
      </c>
      <c r="AA50" s="8">
        <f t="shared" si="11"/>
        <v>3.1666666666666679</v>
      </c>
      <c r="AB50" s="1">
        <v>3.25</v>
      </c>
      <c r="AC50" s="1">
        <v>4.9996199999999998E-3</v>
      </c>
      <c r="AD50" s="8">
        <f t="shared" si="6"/>
        <v>9.7835761768720261E-2</v>
      </c>
      <c r="AE50" s="3">
        <f t="shared" si="7"/>
        <v>1.95686395703514E-3</v>
      </c>
      <c r="AF50" s="11">
        <f t="shared" si="8"/>
        <v>3.1666666666666679</v>
      </c>
      <c r="AG50" s="1">
        <f t="shared" si="9"/>
        <v>5.5417900862569834E-2</v>
      </c>
    </row>
    <row r="51" spans="2:33" ht="15">
      <c r="B51" s="1">
        <v>40</v>
      </c>
      <c r="C51" s="1">
        <v>1.0000043109604706</v>
      </c>
      <c r="D51" s="1">
        <v>1.0535131434246117</v>
      </c>
      <c r="E51" s="1">
        <v>0.94899147104628223</v>
      </c>
      <c r="G51" s="1">
        <v>0.99965124715597597</v>
      </c>
      <c r="H51" s="1">
        <v>1.5821578954750855</v>
      </c>
      <c r="I51" s="1">
        <v>0.61976341291355974</v>
      </c>
      <c r="K51" s="1">
        <v>1.0000121817824328</v>
      </c>
      <c r="L51" s="1">
        <v>1.5129230560204638</v>
      </c>
      <c r="M51" s="1">
        <v>0.65548693234729627</v>
      </c>
      <c r="O51" s="1">
        <v>5.0971604374607949E-3</v>
      </c>
      <c r="P51" s="1">
        <v>0.98315299033887493</v>
      </c>
      <c r="R51" s="1">
        <v>3.2256767834933857E-2</v>
      </c>
      <c r="S51" s="2">
        <f t="shared" si="10"/>
        <v>0.10146287785455957</v>
      </c>
      <c r="T51" s="4">
        <f t="shared" si="1"/>
        <v>1.0294715582529274E-2</v>
      </c>
      <c r="U51" s="1">
        <f t="shared" si="0"/>
        <v>9.1914652473937459E-4</v>
      </c>
      <c r="V51" s="6">
        <f>2*sigma/alpha*corel*(B51/12-1/alpha*(1-EXP(-alpha*Output!B51/12)))</f>
        <v>2.4074053091133505E-2</v>
      </c>
      <c r="W51" s="5">
        <f t="shared" si="2"/>
        <v>-9.3755690577898999E-3</v>
      </c>
      <c r="X51" s="1">
        <f t="shared" si="3"/>
        <v>0.12558714746943339</v>
      </c>
      <c r="Y51" s="3">
        <f t="shared" si="4"/>
        <v>4.9546307493274926E-2</v>
      </c>
      <c r="Z51" s="1">
        <f t="shared" si="5"/>
        <v>5.5573506950333647E-2</v>
      </c>
      <c r="AA51" s="8">
        <f t="shared" si="11"/>
        <v>3.2500000000000013</v>
      </c>
      <c r="AB51" s="1">
        <v>3.3330000000000002</v>
      </c>
      <c r="AC51" s="1">
        <v>5.1073000000000004E-3</v>
      </c>
      <c r="AD51" s="8">
        <f t="shared" si="6"/>
        <v>0.10139562539205477</v>
      </c>
      <c r="AE51" s="3">
        <f t="shared" si="7"/>
        <v>1.9853078024015579E-3</v>
      </c>
      <c r="AF51" s="11">
        <f t="shared" si="8"/>
        <v>3.2500000000000013</v>
      </c>
      <c r="AG51" s="1">
        <f t="shared" si="9"/>
        <v>5.5573506950333647E-2</v>
      </c>
    </row>
    <row r="52" spans="2:33" ht="15">
      <c r="B52" s="1">
        <v>41</v>
      </c>
      <c r="C52" s="1">
        <v>1.0000062285385489</v>
      </c>
      <c r="D52" s="1">
        <v>1.0534622187864036</v>
      </c>
      <c r="E52" s="1">
        <v>0.949032779598451</v>
      </c>
      <c r="G52" s="1">
        <v>0.99975428810365885</v>
      </c>
      <c r="H52" s="1">
        <v>1.5808012430477065</v>
      </c>
      <c r="I52" s="1">
        <v>0.61999175239544335</v>
      </c>
      <c r="K52" s="1">
        <v>1.0000081836383836</v>
      </c>
      <c r="L52" s="1">
        <v>1.5009324386428224</v>
      </c>
      <c r="M52" s="1">
        <v>0.66058583591356457</v>
      </c>
      <c r="O52" s="1">
        <v>5.2072767488636797E-3</v>
      </c>
      <c r="P52" s="1">
        <v>0.98236580590094114</v>
      </c>
      <c r="R52" s="1">
        <v>3.2462042588280331E-2</v>
      </c>
      <c r="S52" s="2">
        <f t="shared" si="10"/>
        <v>0.10290537607648959</v>
      </c>
      <c r="T52" s="4">
        <f t="shared" si="1"/>
        <v>1.0589516425443755E-2</v>
      </c>
      <c r="U52" s="1">
        <f t="shared" si="0"/>
        <v>9.8786205116418741E-4</v>
      </c>
      <c r="V52" s="6">
        <f>2*sigma/alpha*corel*(B52/12-1/alpha*(1-EXP(-alpha*Output!B52/12)))</f>
        <v>2.5270509659777021E-2</v>
      </c>
      <c r="W52" s="5">
        <f t="shared" si="2"/>
        <v>-9.6016543742795668E-3</v>
      </c>
      <c r="X52" s="1">
        <f t="shared" si="3"/>
        <v>0.13186120844028562</v>
      </c>
      <c r="Y52" s="3">
        <f t="shared" si="4"/>
        <v>4.9442411268227342E-2</v>
      </c>
      <c r="Z52" s="1">
        <f t="shared" si="5"/>
        <v>5.567199171132186E-2</v>
      </c>
      <c r="AA52" s="8">
        <f t="shared" si="11"/>
        <v>3.3333333333333348</v>
      </c>
      <c r="AB52" s="1">
        <v>3.4169999999999998</v>
      </c>
      <c r="AC52" s="1">
        <v>5.2178099999999998E-3</v>
      </c>
      <c r="AD52" s="8">
        <f t="shared" si="6"/>
        <v>0.10533251136320143</v>
      </c>
      <c r="AE52" s="3">
        <f t="shared" si="7"/>
        <v>2.0187111328929461E-3</v>
      </c>
      <c r="AF52" s="11">
        <f t="shared" si="8"/>
        <v>3.3333333333333348</v>
      </c>
      <c r="AG52" s="1">
        <f t="shared" si="9"/>
        <v>5.567199171132186E-2</v>
      </c>
    </row>
    <row r="53" spans="2:33" ht="15">
      <c r="B53" s="1">
        <v>42</v>
      </c>
      <c r="C53" s="1">
        <v>1.0000071400199921</v>
      </c>
      <c r="D53" s="1">
        <v>1.0554107017314835</v>
      </c>
      <c r="E53" s="1">
        <v>0.94727616691106453</v>
      </c>
      <c r="G53" s="1">
        <v>0.99977524386398653</v>
      </c>
      <c r="H53" s="1">
        <v>1.6051453866909837</v>
      </c>
      <c r="I53" s="1">
        <v>0.61028999937592421</v>
      </c>
      <c r="K53" s="1">
        <v>1.0000155857693851</v>
      </c>
      <c r="L53" s="1">
        <v>1.4799165860836423</v>
      </c>
      <c r="M53" s="1">
        <v>0.66982705578877</v>
      </c>
      <c r="O53" s="1">
        <v>5.3200435504465217E-3</v>
      </c>
      <c r="P53" s="1">
        <v>0.98155213163595323</v>
      </c>
      <c r="R53" s="1">
        <v>3.2814313740622429E-2</v>
      </c>
      <c r="S53" s="2">
        <f t="shared" si="10"/>
        <v>0.10475516502215504</v>
      </c>
      <c r="T53" s="4">
        <f t="shared" si="1"/>
        <v>1.0973644598818935E-2</v>
      </c>
      <c r="U53" s="1">
        <f t="shared" si="0"/>
        <v>1.0598221370979747E-3</v>
      </c>
      <c r="V53" s="6">
        <f>2*sigma/alpha*corel*(B53/12-1/alpha*(1-EXP(-alpha*Output!B53/12)))</f>
        <v>2.6494888547407641E-2</v>
      </c>
      <c r="W53" s="5">
        <f t="shared" si="2"/>
        <v>-9.9138224617209593E-3</v>
      </c>
      <c r="X53" s="1">
        <f t="shared" si="3"/>
        <v>0.13949549358323299</v>
      </c>
      <c r="Y53" s="3">
        <f t="shared" si="4"/>
        <v>4.9570866658349644E-2</v>
      </c>
      <c r="Z53" s="1">
        <f t="shared" si="5"/>
        <v>5.5993991001124233E-2</v>
      </c>
      <c r="AA53" s="8">
        <f t="shared" si="11"/>
        <v>3.4166666666666683</v>
      </c>
      <c r="AB53" s="1">
        <v>3.5</v>
      </c>
      <c r="AC53" s="1">
        <v>5.3309999999999998E-3</v>
      </c>
      <c r="AD53" s="8">
        <f t="shared" si="6"/>
        <v>0.10956449553478111</v>
      </c>
      <c r="AE53" s="3">
        <f t="shared" si="7"/>
        <v>2.0552334559141082E-3</v>
      </c>
      <c r="AF53" s="11">
        <f t="shared" si="8"/>
        <v>3.4166666666666683</v>
      </c>
      <c r="AG53" s="1">
        <f t="shared" si="9"/>
        <v>5.5993991001124233E-2</v>
      </c>
    </row>
    <row r="54" spans="2:33" ht="15">
      <c r="B54" s="1">
        <v>43</v>
      </c>
      <c r="C54" s="1">
        <v>1.0000093236128149</v>
      </c>
      <c r="D54" s="1">
        <v>1.057347327238221</v>
      </c>
      <c r="E54" s="1">
        <v>0.94553666386213808</v>
      </c>
      <c r="G54" s="1">
        <v>0.99989707910752901</v>
      </c>
      <c r="H54" s="1">
        <v>1.6306880544750602</v>
      </c>
      <c r="I54" s="1">
        <v>0.60043667100666431</v>
      </c>
      <c r="K54" s="1">
        <v>1.0000394348523129</v>
      </c>
      <c r="L54" s="1">
        <v>1.481538337920516</v>
      </c>
      <c r="M54" s="1">
        <v>0.66895445620234251</v>
      </c>
      <c r="O54" s="1">
        <v>5.4352489581065968E-3</v>
      </c>
      <c r="P54" s="1">
        <v>0.9807121291934453</v>
      </c>
      <c r="R54" s="1">
        <v>3.3184664759087795E-2</v>
      </c>
      <c r="S54" s="2">
        <f t="shared" si="10"/>
        <v>0.10668122448617101</v>
      </c>
      <c r="T54" s="4">
        <f t="shared" si="1"/>
        <v>1.1380883657868813E-2</v>
      </c>
      <c r="U54" s="1">
        <f t="shared" si="0"/>
        <v>1.1350925990014867E-3</v>
      </c>
      <c r="V54" s="6">
        <f>2*sigma/alpha*corel*(B54/12-1/alpha*(1-EXP(-alpha*Output!B54/12)))</f>
        <v>2.7747114635084523E-2</v>
      </c>
      <c r="W54" s="5">
        <f t="shared" si="2"/>
        <v>-1.0245791058867327E-2</v>
      </c>
      <c r="X54" s="1">
        <f t="shared" si="3"/>
        <v>0.14762624088100421</v>
      </c>
      <c r="Y54" s="3">
        <f t="shared" si="4"/>
        <v>4.9740626404975244E-2</v>
      </c>
      <c r="Z54" s="1">
        <f t="shared" si="5"/>
        <v>5.6356548472065962E-2</v>
      </c>
      <c r="AA54" s="8">
        <f t="shared" si="11"/>
        <v>3.5000000000000018</v>
      </c>
      <c r="AB54" s="1">
        <v>3.5830000000000002</v>
      </c>
      <c r="AC54" s="1">
        <v>5.4467099999999996E-3</v>
      </c>
      <c r="AD54" s="8">
        <f t="shared" si="6"/>
        <v>0.11461041893402746</v>
      </c>
      <c r="AE54" s="3">
        <f t="shared" si="7"/>
        <v>2.1042137167946789E-3</v>
      </c>
      <c r="AF54" s="11">
        <f t="shared" si="8"/>
        <v>3.5000000000000018</v>
      </c>
      <c r="AG54" s="1">
        <f t="shared" si="9"/>
        <v>5.6356548472065962E-2</v>
      </c>
    </row>
    <row r="55" spans="2:33" ht="15">
      <c r="B55" s="1">
        <v>44</v>
      </c>
      <c r="C55" s="1">
        <v>1.0000100289347293</v>
      </c>
      <c r="D55" s="1">
        <v>1.0548802714613776</v>
      </c>
      <c r="E55" s="1">
        <v>0.94774353625451246</v>
      </c>
      <c r="G55" s="1">
        <v>0.99989728298522873</v>
      </c>
      <c r="H55" s="1">
        <v>1.608874144834106</v>
      </c>
      <c r="I55" s="1">
        <v>0.60827997360326502</v>
      </c>
      <c r="K55" s="1">
        <v>1.000003298166652</v>
      </c>
      <c r="L55" s="1">
        <v>1.4896487746641798</v>
      </c>
      <c r="M55" s="1">
        <v>0.66517372140086839</v>
      </c>
      <c r="O55" s="1">
        <v>5.5527827777323577E-3</v>
      </c>
      <c r="P55" s="1">
        <v>0.97984566587702215</v>
      </c>
      <c r="R55" s="1">
        <v>3.3336275638129215E-2</v>
      </c>
      <c r="S55" s="2">
        <f t="shared" si="10"/>
        <v>0.10807256811749516</v>
      </c>
      <c r="T55" s="4">
        <f t="shared" si="1"/>
        <v>1.1679679979510631E-2</v>
      </c>
      <c r="U55" s="1">
        <f t="shared" si="0"/>
        <v>1.2137386757103074E-3</v>
      </c>
      <c r="V55" s="6">
        <f>2*sigma/alpha*corel*(B55/12-1/alpha*(1-EXP(-alpha*Output!B55/12)))</f>
        <v>2.9027113005958116E-2</v>
      </c>
      <c r="W55" s="5">
        <f t="shared" si="2"/>
        <v>-1.0465941303800323E-2</v>
      </c>
      <c r="X55" s="1">
        <f t="shared" si="3"/>
        <v>0.15434304574519875</v>
      </c>
      <c r="Y55" s="3">
        <f t="shared" si="4"/>
        <v>4.9614281184028622E-2</v>
      </c>
      <c r="Z55" s="1">
        <f t="shared" si="5"/>
        <v>5.6439057993018127E-2</v>
      </c>
      <c r="AA55" s="8">
        <f t="shared" si="11"/>
        <v>3.5833333333333353</v>
      </c>
      <c r="AB55" s="1">
        <v>3.6669999999999998</v>
      </c>
      <c r="AC55" s="1">
        <v>5.5647700000000001E-3</v>
      </c>
      <c r="AD55" s="8">
        <f t="shared" si="6"/>
        <v>0.11987222267642421</v>
      </c>
      <c r="AE55" s="3">
        <f t="shared" si="7"/>
        <v>2.1541271728467521E-3</v>
      </c>
      <c r="AF55" s="11">
        <f t="shared" si="8"/>
        <v>3.5833333333333353</v>
      </c>
      <c r="AG55" s="1">
        <f t="shared" si="9"/>
        <v>5.6439057993018127E-2</v>
      </c>
    </row>
    <row r="56" spans="2:33" ht="15">
      <c r="B56" s="1">
        <v>45</v>
      </c>
      <c r="C56" s="1">
        <v>1.0000102304522811</v>
      </c>
      <c r="D56" s="1">
        <v>1.0547126695718814</v>
      </c>
      <c r="E56" s="1">
        <v>0.94788971211932338</v>
      </c>
      <c r="G56" s="1">
        <v>0.99985496604424284</v>
      </c>
      <c r="H56" s="1">
        <v>1.602856722005608</v>
      </c>
      <c r="I56" s="1">
        <v>0.61026491697811447</v>
      </c>
      <c r="K56" s="1">
        <v>1.0000339414302097</v>
      </c>
      <c r="L56" s="1">
        <v>1.5063358834750653</v>
      </c>
      <c r="M56" s="1">
        <v>0.65766793416562053</v>
      </c>
      <c r="O56" s="1">
        <v>5.672510944349494E-3</v>
      </c>
      <c r="P56" s="1">
        <v>0.97895273542266581</v>
      </c>
      <c r="R56" s="1">
        <v>3.3544956347752106E-2</v>
      </c>
      <c r="S56" s="2">
        <f t="shared" si="10"/>
        <v>0.10963958337879845</v>
      </c>
      <c r="T56" s="4">
        <f t="shared" si="1"/>
        <v>1.2020838243476497E-2</v>
      </c>
      <c r="U56" s="1">
        <f t="shared" si="0"/>
        <v>1.2958250321512574E-3</v>
      </c>
      <c r="V56" s="6">
        <f>2*sigma/alpha*corel*(B56/12-1/alpha*(1-EXP(-alpha*Output!B56/12)))</f>
        <v>3.0334808944726954E-2</v>
      </c>
      <c r="W56" s="5">
        <f t="shared" si="2"/>
        <v>-1.0725013211325282E-2</v>
      </c>
      <c r="X56" s="1">
        <f t="shared" si="3"/>
        <v>0.16179539880359234</v>
      </c>
      <c r="Y56" s="3">
        <f t="shared" si="4"/>
        <v>4.9587090509760234E-2</v>
      </c>
      <c r="Z56" s="1">
        <f t="shared" si="5"/>
        <v>5.6617637401494121E-2</v>
      </c>
      <c r="AA56" s="8">
        <f t="shared" si="11"/>
        <v>3.6666666666666687</v>
      </c>
      <c r="AB56" s="1">
        <v>3.75</v>
      </c>
      <c r="AC56" s="1">
        <v>5.6850199999999998E-3</v>
      </c>
      <c r="AD56" s="8">
        <f t="shared" si="6"/>
        <v>0.12509055650505863</v>
      </c>
      <c r="AE56" s="3">
        <f t="shared" si="7"/>
        <v>2.2003538510868672E-3</v>
      </c>
      <c r="AF56" s="11">
        <f t="shared" si="8"/>
        <v>3.6666666666666687</v>
      </c>
      <c r="AG56" s="1">
        <f t="shared" si="9"/>
        <v>5.6617637401494121E-2</v>
      </c>
    </row>
    <row r="57" spans="2:33" ht="15">
      <c r="B57" s="1">
        <v>46</v>
      </c>
      <c r="C57" s="1">
        <v>1.0000116014975595</v>
      </c>
      <c r="D57" s="1">
        <v>1.055964073889474</v>
      </c>
      <c r="E57" s="1">
        <v>0.94676199396451988</v>
      </c>
      <c r="G57" s="1">
        <v>0.99990741812186279</v>
      </c>
      <c r="H57" s="1">
        <v>1.6176978110960134</v>
      </c>
      <c r="I57" s="1">
        <v>0.60437048508288849</v>
      </c>
      <c r="K57" s="1">
        <v>1.000018776861791</v>
      </c>
      <c r="L57" s="1">
        <v>1.473135367095171</v>
      </c>
      <c r="M57" s="1">
        <v>0.67234991590170179</v>
      </c>
      <c r="O57" s="1">
        <v>5.7942706153022092E-3</v>
      </c>
      <c r="P57" s="1">
        <v>0.97803348558695147</v>
      </c>
      <c r="R57" s="1">
        <v>3.3586590412518949E-2</v>
      </c>
      <c r="S57" s="2">
        <f t="shared" si="10"/>
        <v>0.11080226814539396</v>
      </c>
      <c r="T57" s="4">
        <f t="shared" ref="T57:T86" si="12">S57*S57</f>
        <v>1.2277142626163784E-2</v>
      </c>
      <c r="U57" s="1">
        <f t="shared" ref="U57:U120" si="13">sigma*sigma/alpha/alpha*(B57/12+2/alpha*EXP(-alpha*B57/12)-1/2/alpha*EXP(-2*alpha*B57/12)-3/2/alpha)</f>
        <v>1.3814157630165722E-3</v>
      </c>
      <c r="V57" s="6">
        <f>2*sigma/alpha*corel*(B57/12-1/alpha*(1-EXP(-alpha*Output!B57/12)))</f>
        <v>3.1670127937093714E-2</v>
      </c>
      <c r="W57" s="5">
        <f t="shared" ref="W57:W86" si="14">U57-T57</f>
        <v>-1.0895726863147211E-2</v>
      </c>
      <c r="X57" s="1">
        <f t="shared" ref="X57:X86" si="15">V57*V57-4*W57*B57/12</f>
        <v>0.16807080890514248</v>
      </c>
      <c r="Y57" s="3">
        <f t="shared" ref="Y57:Y86" si="16">(-V57+SQRT(X57))/2/B57*12</f>
        <v>4.9342731081018151E-2</v>
      </c>
      <c r="Z57" s="1">
        <f t="shared" si="5"/>
        <v>5.6592692628989194E-2</v>
      </c>
      <c r="AA57" s="8">
        <f t="shared" si="11"/>
        <v>3.7500000000000022</v>
      </c>
      <c r="AB57" s="1">
        <v>3.8330000000000002</v>
      </c>
      <c r="AC57" s="1">
        <v>5.8073100000000004E-3</v>
      </c>
      <c r="AD57" s="8">
        <f t="shared" si="6"/>
        <v>0.13039384697791262</v>
      </c>
      <c r="AE57" s="3">
        <f t="shared" si="7"/>
        <v>2.2453398729861606E-3</v>
      </c>
      <c r="AF57" s="11">
        <f t="shared" si="8"/>
        <v>3.7500000000000022</v>
      </c>
      <c r="AG57" s="1">
        <f t="shared" si="9"/>
        <v>5.6592692628989194E-2</v>
      </c>
    </row>
    <row r="58" spans="2:33" ht="15">
      <c r="B58" s="1">
        <v>47</v>
      </c>
      <c r="C58" s="1">
        <v>1.0000122703319225</v>
      </c>
      <c r="D58" s="1">
        <v>1.0602702966186006</v>
      </c>
      <c r="E58" s="1">
        <v>0.94291243675786107</v>
      </c>
      <c r="G58" s="1">
        <v>0.99990466046647419</v>
      </c>
      <c r="H58" s="1">
        <v>1.6819967569186887</v>
      </c>
      <c r="I58" s="1">
        <v>0.580982500302483</v>
      </c>
      <c r="K58" s="1">
        <v>1.0000345043494532</v>
      </c>
      <c r="L58" s="1">
        <v>1.4793473976358331</v>
      </c>
      <c r="M58" s="1">
        <v>0.66938713486763057</v>
      </c>
      <c r="O58" s="1">
        <v>5.9178766944649065E-3</v>
      </c>
      <c r="P58" s="1">
        <v>0.97708820417331244</v>
      </c>
      <c r="R58" s="1">
        <v>3.3868972785328619E-2</v>
      </c>
      <c r="S58" s="2">
        <f t="shared" si="10"/>
        <v>0.11261591835977661</v>
      </c>
      <c r="T58" s="4">
        <f t="shared" si="12"/>
        <v>1.268234506801587E-2</v>
      </c>
      <c r="U58" s="1">
        <f t="shared" si="13"/>
        <v>1.4705743964336933E-3</v>
      </c>
      <c r="V58" s="6">
        <f>2*sigma/alpha*corel*(B58/12-1/alpha*(1-EXP(-alpha*Output!B58/12)))</f>
        <v>3.3032995669226989E-2</v>
      </c>
      <c r="W58" s="5">
        <f t="shared" si="14"/>
        <v>-1.1211770671582176E-2</v>
      </c>
      <c r="X58" s="1">
        <f t="shared" si="15"/>
        <v>0.1767422526576706</v>
      </c>
      <c r="Y58" s="3">
        <f t="shared" si="16"/>
        <v>4.9452031982682727E-2</v>
      </c>
      <c r="Z58" s="1">
        <f t="shared" si="5"/>
        <v>5.6903827193613678E-2</v>
      </c>
      <c r="AA58" s="8">
        <f t="shared" si="11"/>
        <v>3.8333333333333357</v>
      </c>
      <c r="AB58" s="1">
        <v>3.9169999999999998</v>
      </c>
      <c r="AC58" s="1">
        <v>5.9314700000000003E-3</v>
      </c>
      <c r="AD58" s="8">
        <f t="shared" si="6"/>
        <v>0.13593305535093864</v>
      </c>
      <c r="AE58" s="3">
        <f t="shared" si="7"/>
        <v>2.2917262559018024E-3</v>
      </c>
      <c r="AF58" s="11">
        <f t="shared" si="8"/>
        <v>3.8333333333333357</v>
      </c>
      <c r="AG58" s="1">
        <f t="shared" si="9"/>
        <v>5.6903827193613678E-2</v>
      </c>
    </row>
    <row r="59" spans="2:33" ht="15">
      <c r="B59" s="1">
        <v>48</v>
      </c>
      <c r="C59" s="1">
        <v>1.0000121013276768</v>
      </c>
      <c r="D59" s="1">
        <v>1.0597280453760134</v>
      </c>
      <c r="E59" s="1">
        <v>0.94339060288374266</v>
      </c>
      <c r="G59" s="1">
        <v>0.99982920402127529</v>
      </c>
      <c r="H59" s="1">
        <v>1.6743313379343461</v>
      </c>
      <c r="I59" s="1">
        <v>0.58335695793959141</v>
      </c>
      <c r="K59" s="1">
        <v>1.0000032173932649</v>
      </c>
      <c r="L59" s="1">
        <v>1.4701957029572768</v>
      </c>
      <c r="M59" s="1">
        <v>0.67341363616997374</v>
      </c>
      <c r="O59" s="1">
        <v>6.0431615592697156E-3</v>
      </c>
      <c r="P59" s="1">
        <v>0.97611717225290739</v>
      </c>
      <c r="R59" s="1">
        <v>3.3955596619517574E-2</v>
      </c>
      <c r="S59" s="2">
        <f t="shared" si="10"/>
        <v>0.11394889963514174</v>
      </c>
      <c r="T59" s="4">
        <f t="shared" si="12"/>
        <v>1.2984351728059606E-2</v>
      </c>
      <c r="U59" s="1">
        <f t="shared" si="13"/>
        <v>1.5633638976048966E-3</v>
      </c>
      <c r="V59" s="6">
        <f>2*sigma/alpha*corel*(B59/12-1/alpha*(1-EXP(-alpha*Output!B59/12)))</f>
        <v>3.4423338027219648E-2</v>
      </c>
      <c r="W59" s="5">
        <f t="shared" si="14"/>
        <v>-1.1420987830454709E-2</v>
      </c>
      <c r="X59" s="1">
        <f t="shared" si="15"/>
        <v>0.18392077148821154</v>
      </c>
      <c r="Y59" s="3">
        <f t="shared" si="16"/>
        <v>4.9304564076196544E-2</v>
      </c>
      <c r="Z59" s="1">
        <f t="shared" si="5"/>
        <v>5.6974449817570869E-2</v>
      </c>
      <c r="AA59" s="8">
        <f t="shared" si="11"/>
        <v>3.9166666666666692</v>
      </c>
      <c r="AB59" s="1">
        <v>4</v>
      </c>
      <c r="AC59" s="1">
        <v>6.0573500000000004E-3</v>
      </c>
      <c r="AD59" s="8">
        <f t="shared" si="6"/>
        <v>0.14188440730284779</v>
      </c>
      <c r="AE59" s="3">
        <f t="shared" si="7"/>
        <v>2.3423511486516018E-3</v>
      </c>
      <c r="AF59" s="11">
        <f t="shared" si="8"/>
        <v>3.9166666666666692</v>
      </c>
      <c r="AG59" s="1">
        <f t="shared" si="9"/>
        <v>5.6974449817570869E-2</v>
      </c>
    </row>
    <row r="60" spans="2:33" ht="15">
      <c r="B60" s="1">
        <v>49</v>
      </c>
      <c r="C60" s="1">
        <v>1.0000139652143776</v>
      </c>
      <c r="D60" s="1">
        <v>1.0585799781308571</v>
      </c>
      <c r="E60" s="1">
        <v>0.94440945829173206</v>
      </c>
      <c r="G60" s="1">
        <v>0.99991529255886036</v>
      </c>
      <c r="H60" s="1">
        <v>1.6583792278066902</v>
      </c>
      <c r="I60" s="1">
        <v>0.58868035583663458</v>
      </c>
      <c r="K60" s="1">
        <v>1.0000027052964262</v>
      </c>
      <c r="L60" s="1">
        <v>1.493781637019407</v>
      </c>
      <c r="M60" s="1">
        <v>0.66264276550019474</v>
      </c>
      <c r="O60" s="1">
        <v>6.1699963713309543E-3</v>
      </c>
      <c r="P60" s="1">
        <v>0.97512057218591286</v>
      </c>
      <c r="R60" s="1">
        <v>3.4258337779876497E-2</v>
      </c>
      <c r="S60" s="2">
        <f t="shared" si="10"/>
        <v>0.11587056097567999</v>
      </c>
      <c r="T60" s="4">
        <f t="shared" si="12"/>
        <v>1.3425986900818775E-2</v>
      </c>
      <c r="U60" s="1">
        <f t="shared" si="13"/>
        <v>1.6598466724299231E-3</v>
      </c>
      <c r="V60" s="6">
        <f>2*sigma/alpha*corel*(B60/12-1/alpha*(1-EXP(-alpha*Output!B60/12)))</f>
        <v>3.5841081096552374E-2</v>
      </c>
      <c r="W60" s="5">
        <f t="shared" si="14"/>
        <v>-1.1766140228388851E-2</v>
      </c>
      <c r="X60" s="1">
        <f t="shared" si="15"/>
        <v>0.19346487349118754</v>
      </c>
      <c r="Y60" s="3">
        <f t="shared" si="16"/>
        <v>4.9470041540748334E-2</v>
      </c>
      <c r="Z60" s="1">
        <f t="shared" si="5"/>
        <v>5.7341056774681529E-2</v>
      </c>
      <c r="AA60" s="8">
        <f t="shared" si="11"/>
        <v>4.0000000000000027</v>
      </c>
      <c r="AB60" s="1">
        <v>4.0830000000000002</v>
      </c>
      <c r="AC60" s="1">
        <v>6.1848099999999998E-3</v>
      </c>
      <c r="AD60" s="8">
        <f t="shared" si="6"/>
        <v>0.14813628669045448</v>
      </c>
      <c r="AE60" s="3">
        <f t="shared" si="7"/>
        <v>2.3951630962059382E-3</v>
      </c>
      <c r="AF60" s="11">
        <f t="shared" si="8"/>
        <v>4.0000000000000027</v>
      </c>
      <c r="AG60" s="1">
        <f t="shared" si="9"/>
        <v>5.7341056774681529E-2</v>
      </c>
    </row>
    <row r="61" spans="2:33" ht="15">
      <c r="B61" s="1">
        <v>50</v>
      </c>
      <c r="C61" s="1">
        <v>1.0000157746981237</v>
      </c>
      <c r="D61" s="1">
        <v>1.0596974423446339</v>
      </c>
      <c r="E61" s="1">
        <v>0.94340931701693242</v>
      </c>
      <c r="G61" s="1">
        <v>0.99999970755922407</v>
      </c>
      <c r="H61" s="1">
        <v>1.6725468717746175</v>
      </c>
      <c r="I61" s="1">
        <v>0.58340845975197508</v>
      </c>
      <c r="K61" s="1">
        <v>0.99998071415991907</v>
      </c>
      <c r="L61" s="1">
        <v>1.4654068284118429</v>
      </c>
      <c r="M61" s="1">
        <v>0.67533286999784181</v>
      </c>
      <c r="O61" s="1">
        <v>6.2983299046642013E-3</v>
      </c>
      <c r="P61" s="1">
        <v>0.97409831474591368</v>
      </c>
      <c r="R61" s="1">
        <v>3.4466108965061602E-2</v>
      </c>
      <c r="S61" s="2">
        <f t="shared" si="10"/>
        <v>0.11757254535714418</v>
      </c>
      <c r="T61" s="4">
        <f t="shared" si="12"/>
        <v>1.3823303421757725E-2</v>
      </c>
      <c r="U61" s="1">
        <f t="shared" si="13"/>
        <v>1.7600845711033828E-3</v>
      </c>
      <c r="V61" s="6">
        <f>2*sigma/alpha*corel*(B61/12-1/alpha*(1-EXP(-alpha*Output!B61/12)))</f>
        <v>3.7286151161557354E-2</v>
      </c>
      <c r="W61" s="5">
        <f t="shared" si="14"/>
        <v>-1.2063218850654343E-2</v>
      </c>
      <c r="X61" s="1">
        <f t="shared" si="15"/>
        <v>0.20244390457934822</v>
      </c>
      <c r="Y61" s="3">
        <f t="shared" si="16"/>
        <v>4.9518181953146431E-2</v>
      </c>
      <c r="Z61" s="1">
        <f t="shared" si="5"/>
        <v>5.7598548777046919E-2</v>
      </c>
      <c r="AA61" s="8">
        <f t="shared" si="11"/>
        <v>4.0833333333333357</v>
      </c>
      <c r="AB61" s="1">
        <v>4.1669999999999998</v>
      </c>
      <c r="AC61" s="1">
        <v>6.3138700000000001E-3</v>
      </c>
      <c r="AD61" s="8">
        <f t="shared" si="6"/>
        <v>0.15540095335798804</v>
      </c>
      <c r="AE61" s="3">
        <f t="shared" si="7"/>
        <v>2.4612631137161207E-3</v>
      </c>
      <c r="AF61" s="11">
        <f t="shared" si="8"/>
        <v>4.0833333333333357</v>
      </c>
      <c r="AG61" s="1">
        <f t="shared" si="9"/>
        <v>5.7598548777046919E-2</v>
      </c>
    </row>
    <row r="62" spans="2:33" ht="15">
      <c r="B62" s="1">
        <v>51</v>
      </c>
      <c r="C62" s="1">
        <v>1.0000168456467848</v>
      </c>
      <c r="D62" s="1">
        <v>1.0620431880857435</v>
      </c>
      <c r="E62" s="1">
        <v>0.94132138987029634</v>
      </c>
      <c r="G62" s="1">
        <v>1.0000249952146494</v>
      </c>
      <c r="H62" s="1">
        <v>1.7047657331829462</v>
      </c>
      <c r="I62" s="1">
        <v>0.57210265210984668</v>
      </c>
      <c r="K62" s="1">
        <v>1.0000021070712239</v>
      </c>
      <c r="L62" s="1">
        <v>1.5113316467401123</v>
      </c>
      <c r="M62" s="1">
        <v>0.65467513266276256</v>
      </c>
      <c r="O62" s="1">
        <v>6.4282455737340359E-3</v>
      </c>
      <c r="P62" s="1">
        <v>0.97304977324687003</v>
      </c>
      <c r="R62" s="1">
        <v>3.4649392254671951E-2</v>
      </c>
      <c r="S62" s="2">
        <f t="shared" si="10"/>
        <v>0.11923831518774061</v>
      </c>
      <c r="T62" s="4">
        <f t="shared" si="12"/>
        <v>1.4217775808810973E-2</v>
      </c>
      <c r="U62" s="1">
        <f t="shared" si="13"/>
        <v>1.8641388916962539E-3</v>
      </c>
      <c r="V62" s="6">
        <f>2*sigma/alpha*corel*(B62/12-1/alpha*(1-EXP(-alpha*Output!B62/12)))</f>
        <v>3.8758474704881557E-2</v>
      </c>
      <c r="W62" s="5">
        <f t="shared" si="14"/>
        <v>-1.2353636917114719E-2</v>
      </c>
      <c r="X62" s="1">
        <f t="shared" si="15"/>
        <v>0.2115140469523992</v>
      </c>
      <c r="Y62" s="3">
        <f t="shared" si="16"/>
        <v>4.9546833950573972E-2</v>
      </c>
      <c r="Z62" s="1">
        <f t="shared" si="5"/>
        <v>5.7839078604675888E-2</v>
      </c>
      <c r="AA62" s="8">
        <f t="shared" si="11"/>
        <v>4.1666666666666687</v>
      </c>
      <c r="AB62" s="1">
        <v>4.25</v>
      </c>
      <c r="AC62" s="1">
        <v>6.4445800000000001E-3</v>
      </c>
      <c r="AD62" s="8">
        <f t="shared" si="6"/>
        <v>0.16334426265964158</v>
      </c>
      <c r="AE62" s="3">
        <f t="shared" si="7"/>
        <v>2.5345990376353707E-3</v>
      </c>
      <c r="AF62" s="11">
        <f t="shared" si="8"/>
        <v>4.1666666666666687</v>
      </c>
      <c r="AG62" s="1">
        <f t="shared" si="9"/>
        <v>5.7839078604675888E-2</v>
      </c>
    </row>
    <row r="63" spans="2:33" ht="15">
      <c r="B63" s="1">
        <v>52</v>
      </c>
      <c r="C63" s="1">
        <v>1.0000174878761605</v>
      </c>
      <c r="D63" s="1">
        <v>1.0623799378003183</v>
      </c>
      <c r="E63" s="1">
        <v>0.94101883555503985</v>
      </c>
      <c r="G63" s="1">
        <v>1.0000126728015886</v>
      </c>
      <c r="H63" s="1">
        <v>1.7091663025240942</v>
      </c>
      <c r="I63" s="1">
        <v>0.57035074955446008</v>
      </c>
      <c r="K63" s="1">
        <v>0.99998060798504007</v>
      </c>
      <c r="L63" s="1">
        <v>1.5151471635974547</v>
      </c>
      <c r="M63" s="1">
        <v>0.65289046510528281</v>
      </c>
      <c r="O63" s="1">
        <v>6.5598184070425405E-3</v>
      </c>
      <c r="P63" s="1">
        <v>0.97197433444348136</v>
      </c>
      <c r="R63" s="1">
        <v>3.4760544248211761E-2</v>
      </c>
      <c r="S63" s="2">
        <f t="shared" si="10"/>
        <v>0.12074334638557541</v>
      </c>
      <c r="T63" s="4">
        <f t="shared" si="12"/>
        <v>1.4578955696387046E-2</v>
      </c>
      <c r="U63" s="1">
        <f t="shared" si="13"/>
        <v>1.9720703837094187E-3</v>
      </c>
      <c r="V63" s="6">
        <f>2*sigma/alpha*corel*(B63/12-1/alpha*(1-EXP(-alpha*Output!B63/12)))</f>
        <v>4.0257978406954907E-2</v>
      </c>
      <c r="W63" s="5">
        <f t="shared" si="14"/>
        <v>-1.2606885312677629E-2</v>
      </c>
      <c r="X63" s="1">
        <f t="shared" si="15"/>
        <v>0.22014005024516042</v>
      </c>
      <c r="Y63" s="3">
        <f t="shared" si="16"/>
        <v>4.9492253986853682E-2</v>
      </c>
      <c r="Z63" s="1">
        <f t="shared" si="5"/>
        <v>5.8003227422910995E-2</v>
      </c>
      <c r="AA63" s="8">
        <f t="shared" si="11"/>
        <v>4.2500000000000018</v>
      </c>
      <c r="AB63" s="1">
        <v>4.3330000000000002</v>
      </c>
      <c r="AC63" s="1">
        <v>6.5769799999999996E-3</v>
      </c>
      <c r="AD63" s="8">
        <f t="shared" si="6"/>
        <v>0.17161592957459088</v>
      </c>
      <c r="AE63" s="3">
        <f t="shared" si="7"/>
        <v>2.6093424272932392E-3</v>
      </c>
      <c r="AF63" s="11">
        <f t="shared" si="8"/>
        <v>4.2500000000000018</v>
      </c>
      <c r="AG63" s="1">
        <f t="shared" si="9"/>
        <v>5.8003227422910995E-2</v>
      </c>
    </row>
    <row r="64" spans="2:33" ht="15">
      <c r="B64" s="1">
        <v>53</v>
      </c>
      <c r="C64" s="1">
        <v>1.0000191898652255</v>
      </c>
      <c r="D64" s="1">
        <v>1.0631056696928394</v>
      </c>
      <c r="E64" s="1">
        <v>0.94037230185650889</v>
      </c>
      <c r="G64" s="1">
        <v>1.0000791693971016</v>
      </c>
      <c r="H64" s="1">
        <v>1.7196910177324414</v>
      </c>
      <c r="I64" s="1">
        <v>0.56658308785421652</v>
      </c>
      <c r="K64" s="1">
        <v>0.99997714889413314</v>
      </c>
      <c r="L64" s="1">
        <v>1.4976305927189582</v>
      </c>
      <c r="M64" s="1">
        <v>0.66038919965659582</v>
      </c>
      <c r="O64" s="1">
        <v>6.6930882682652111E-3</v>
      </c>
      <c r="P64" s="1">
        <v>0.97087151688618634</v>
      </c>
      <c r="R64" s="1">
        <v>3.4885586310399216E-2</v>
      </c>
      <c r="S64" s="2">
        <f t="shared" si="10"/>
        <v>0.12231264709875095</v>
      </c>
      <c r="T64" s="4">
        <f t="shared" si="12"/>
        <v>1.4960383640303589E-2</v>
      </c>
      <c r="U64" s="1">
        <f t="shared" si="13"/>
        <v>2.0839392516173224E-3</v>
      </c>
      <c r="V64" s="6">
        <f>2*sigma/alpha*corel*(B64/12-1/alpha*(1-EXP(-alpha*Output!B64/12)))</f>
        <v>4.1784589145458302E-2</v>
      </c>
      <c r="W64" s="5">
        <f t="shared" si="14"/>
        <v>-1.2876444388686266E-2</v>
      </c>
      <c r="X64" s="1">
        <f t="shared" si="15"/>
        <v>0.22922980275684546</v>
      </c>
      <c r="Y64" s="3">
        <f t="shared" si="16"/>
        <v>4.9471121172106058E-2</v>
      </c>
      <c r="Z64" s="1">
        <f t="shared" si="5"/>
        <v>5.8200143241028915E-2</v>
      </c>
      <c r="AA64" s="8">
        <f t="shared" si="11"/>
        <v>4.3333333333333348</v>
      </c>
      <c r="AB64" s="1">
        <v>4.4169999999999998</v>
      </c>
      <c r="AC64" s="1">
        <v>6.71113E-3</v>
      </c>
      <c r="AD64" s="8">
        <f t="shared" si="6"/>
        <v>0.18041731734788971</v>
      </c>
      <c r="AE64" s="3">
        <f t="shared" si="7"/>
        <v>2.6883299436591111E-3</v>
      </c>
      <c r="AF64" s="11">
        <f t="shared" si="8"/>
        <v>4.3333333333333348</v>
      </c>
      <c r="AG64" s="1">
        <f t="shared" si="9"/>
        <v>5.8200143241028915E-2</v>
      </c>
    </row>
    <row r="65" spans="2:33" ht="15">
      <c r="B65" s="1">
        <v>54</v>
      </c>
      <c r="C65" s="1">
        <v>1.0000206420057496</v>
      </c>
      <c r="D65" s="1">
        <v>1.062040446785997</v>
      </c>
      <c r="E65" s="1">
        <v>0.94131137246003926</v>
      </c>
      <c r="G65" s="1">
        <v>1.000126080754081</v>
      </c>
      <c r="H65" s="1">
        <v>1.7045136127575309</v>
      </c>
      <c r="I65" s="1">
        <v>0.57134873237097916</v>
      </c>
      <c r="K65" s="1">
        <v>1.0000094535495396</v>
      </c>
      <c r="L65" s="1">
        <v>1.5147094208718521</v>
      </c>
      <c r="M65" s="1">
        <v>0.65280708720082536</v>
      </c>
      <c r="O65" s="1">
        <v>6.8280835796631859E-3</v>
      </c>
      <c r="P65" s="1">
        <v>0.96974088105070533</v>
      </c>
      <c r="R65" s="1">
        <v>3.5139233506527041E-2</v>
      </c>
      <c r="S65" s="2">
        <f t="shared" si="10"/>
        <v>0.12424850212656482</v>
      </c>
      <c r="T65" s="4">
        <f t="shared" si="12"/>
        <v>1.5437690280694983E-2</v>
      </c>
      <c r="U65" s="1">
        <f t="shared" si="13"/>
        <v>2.1998051583809295E-3</v>
      </c>
      <c r="V65" s="6">
        <f>2*sigma/alpha*corel*(B65/12-1/alpha*(1-EXP(-alpha*Output!B65/12)))</f>
        <v>4.3338233994791975E-2</v>
      </c>
      <c r="W65" s="5">
        <f t="shared" si="14"/>
        <v>-1.3237885122314054E-2</v>
      </c>
      <c r="X65" s="1">
        <f t="shared" si="15"/>
        <v>0.24016013472744033</v>
      </c>
      <c r="Y65" s="3">
        <f t="shared" si="16"/>
        <v>4.9635902681147911E-2</v>
      </c>
      <c r="Z65" s="1">
        <f t="shared" si="5"/>
        <v>5.8571305603976775E-2</v>
      </c>
      <c r="AA65" s="8">
        <f t="shared" si="11"/>
        <v>4.4166666666666679</v>
      </c>
      <c r="AB65" s="1">
        <v>4.5</v>
      </c>
      <c r="AC65" s="1">
        <v>6.8470600000000003E-3</v>
      </c>
      <c r="AD65" s="8">
        <f t="shared" si="6"/>
        <v>0.18976420336814376</v>
      </c>
      <c r="AE65" s="3">
        <f t="shared" si="7"/>
        <v>2.7714698479076238E-3</v>
      </c>
      <c r="AF65" s="11">
        <f t="shared" si="8"/>
        <v>4.4166666666666679</v>
      </c>
      <c r="AG65" s="1">
        <f t="shared" si="9"/>
        <v>5.8571305603976775E-2</v>
      </c>
    </row>
    <row r="66" spans="2:33" ht="15">
      <c r="B66" s="1">
        <v>55</v>
      </c>
      <c r="C66" s="1">
        <v>1.0000221328983308</v>
      </c>
      <c r="D66" s="1">
        <v>1.0639402939905718</v>
      </c>
      <c r="E66" s="1">
        <v>0.93962641845959038</v>
      </c>
      <c r="G66" s="1">
        <v>1.0001759710863614</v>
      </c>
      <c r="H66" s="1">
        <v>1.7308187813893388</v>
      </c>
      <c r="I66" s="1">
        <v>0.5623903717524269</v>
      </c>
      <c r="K66" s="1">
        <v>1.000037166876645</v>
      </c>
      <c r="L66" s="1">
        <v>1.5519776325347752</v>
      </c>
      <c r="M66" s="1">
        <v>0.63699826756262568</v>
      </c>
      <c r="O66" s="1">
        <v>6.9648533232949568E-3</v>
      </c>
      <c r="P66" s="1">
        <v>0.96858189181894572</v>
      </c>
      <c r="R66" s="1">
        <v>3.5267418826826311E-2</v>
      </c>
      <c r="S66" s="2">
        <f t="shared" si="10"/>
        <v>0.12588404157662902</v>
      </c>
      <c r="T66" s="4">
        <f t="shared" si="12"/>
        <v>1.5846791923666465E-2</v>
      </c>
      <c r="U66" s="1">
        <f t="shared" si="13"/>
        <v>2.3197272289425764E-3</v>
      </c>
      <c r="V66" s="6">
        <f>2*sigma/alpha*corel*(B66/12-1/alpha*(1-EXP(-alpha*Output!B66/12)))</f>
        <v>4.4918840225546458E-2</v>
      </c>
      <c r="W66" s="5">
        <f t="shared" si="14"/>
        <v>-1.3527064694723888E-2</v>
      </c>
      <c r="X66" s="1">
        <f t="shared" si="15"/>
        <v>0.2500138882771461</v>
      </c>
      <c r="Y66" s="3">
        <f t="shared" si="16"/>
        <v>4.9646732493678618E-2</v>
      </c>
      <c r="Z66" s="1">
        <f t="shared" si="5"/>
        <v>5.8800356072514576E-2</v>
      </c>
      <c r="AA66" s="8">
        <f t="shared" si="11"/>
        <v>4.5000000000000009</v>
      </c>
      <c r="AB66" s="1">
        <v>4.5830000000000002</v>
      </c>
      <c r="AC66" s="1">
        <v>6.98483E-3</v>
      </c>
      <c r="AD66" s="8">
        <f t="shared" si="6"/>
        <v>0.19976676705043239</v>
      </c>
      <c r="AE66" s="3">
        <f t="shared" si="7"/>
        <v>2.8600090059519327E-3</v>
      </c>
      <c r="AF66" s="11">
        <f t="shared" si="8"/>
        <v>4.5000000000000009</v>
      </c>
      <c r="AG66" s="1">
        <f t="shared" si="9"/>
        <v>5.8800356072514576E-2</v>
      </c>
    </row>
    <row r="67" spans="2:33" ht="15">
      <c r="B67" s="1">
        <v>56</v>
      </c>
      <c r="C67" s="1">
        <v>1.000023333113115</v>
      </c>
      <c r="D67" s="1">
        <v>1.0665847982748748</v>
      </c>
      <c r="E67" s="1">
        <v>0.9372926540406944</v>
      </c>
      <c r="G67" s="1">
        <v>1.0002048373614933</v>
      </c>
      <c r="H67" s="1">
        <v>1.7556190257685078</v>
      </c>
      <c r="I67" s="1">
        <v>0.55417502822676878</v>
      </c>
      <c r="K67" s="1">
        <v>1.0000543645457558</v>
      </c>
      <c r="L67" s="1">
        <v>1.5599115952862841</v>
      </c>
      <c r="M67" s="1">
        <v>0.63362637211868356</v>
      </c>
      <c r="O67" s="1">
        <v>7.103422070553863E-3</v>
      </c>
      <c r="P67" s="1">
        <v>0.96739411396676955</v>
      </c>
      <c r="R67" s="1">
        <v>3.5542640960382295E-2</v>
      </c>
      <c r="S67" s="2">
        <f t="shared" si="10"/>
        <v>0.12793722166282634</v>
      </c>
      <c r="T67" s="4">
        <f t="shared" si="12"/>
        <v>1.6367932686803161E-2</v>
      </c>
      <c r="U67" s="1">
        <f t="shared" si="13"/>
        <v>2.4437640537049261E-3</v>
      </c>
      <c r="V67" s="6">
        <f>2*sigma/alpha*corel*(B67/12-1/alpha*(1-EXP(-alpha*Output!B67/12)))</f>
        <v>4.6526335303975493E-2</v>
      </c>
      <c r="W67" s="5">
        <f t="shared" si="14"/>
        <v>-1.3924168633098234E-2</v>
      </c>
      <c r="X67" s="1">
        <f t="shared" si="15"/>
        <v>0.26208251436131835</v>
      </c>
      <c r="Y67" s="3">
        <f t="shared" si="16"/>
        <v>4.9865744636328924E-2</v>
      </c>
      <c r="Z67" s="1">
        <f t="shared" si="5"/>
        <v>5.9223425662250452E-2</v>
      </c>
      <c r="AA67" s="8">
        <f t="shared" si="11"/>
        <v>4.5833333333333339</v>
      </c>
      <c r="AB67" s="1">
        <v>4.6669999999999998</v>
      </c>
      <c r="AC67" s="1">
        <v>7.1244699999999999E-3</v>
      </c>
      <c r="AD67" s="8">
        <f t="shared" si="6"/>
        <v>0.21047929446136976</v>
      </c>
      <c r="AE67" s="3">
        <f t="shared" si="7"/>
        <v>2.954315120442219E-3</v>
      </c>
      <c r="AF67" s="11">
        <f t="shared" si="8"/>
        <v>4.5833333333333339</v>
      </c>
      <c r="AG67" s="1">
        <f t="shared" si="9"/>
        <v>5.9223425662250452E-2</v>
      </c>
    </row>
    <row r="68" spans="2:33" ht="15">
      <c r="B68" s="1">
        <v>57</v>
      </c>
      <c r="C68" s="1">
        <v>1.0000248204623294</v>
      </c>
      <c r="D68" s="1">
        <v>1.0645894013742585</v>
      </c>
      <c r="E68" s="1">
        <v>0.93904543249803918</v>
      </c>
      <c r="G68" s="1">
        <v>1.0002517924374814</v>
      </c>
      <c r="H68" s="1">
        <v>1.7362726674562619</v>
      </c>
      <c r="I68" s="1">
        <v>0.56007614736527755</v>
      </c>
      <c r="K68" s="1">
        <v>1.0000480302311694</v>
      </c>
      <c r="L68" s="1">
        <v>1.5267426530209627</v>
      </c>
      <c r="M68" s="1">
        <v>0.64725723621590714</v>
      </c>
      <c r="O68" s="1">
        <v>7.243863940896573E-3</v>
      </c>
      <c r="P68" s="1">
        <v>0.96617688214692299</v>
      </c>
      <c r="R68" s="1">
        <v>3.5651975198148042E-2</v>
      </c>
      <c r="S68" s="2">
        <f t="shared" si="10"/>
        <v>0.12958299160161779</v>
      </c>
      <c r="T68" s="4">
        <f t="shared" si="12"/>
        <v>1.6791751712424946E-2</v>
      </c>
      <c r="U68" s="1">
        <f t="shared" si="13"/>
        <v>2.5719736919852438E-3</v>
      </c>
      <c r="V68" s="6">
        <f>2*sigma/alpha*corel*(B68/12-1/alpha*(1-EXP(-alpha*Output!B68/12)))</f>
        <v>4.8160646891468012E-2</v>
      </c>
      <c r="W68" s="5">
        <f t="shared" si="14"/>
        <v>-1.4219778020439703E-2</v>
      </c>
      <c r="X68" s="1">
        <f t="shared" si="15"/>
        <v>0.272495230297359</v>
      </c>
      <c r="Y68" s="3">
        <f t="shared" si="16"/>
        <v>4.9878958946053223E-2</v>
      </c>
      <c r="Z68" s="1">
        <f t="shared" si="5"/>
        <v>5.9456754230855967E-2</v>
      </c>
      <c r="AA68" s="8">
        <f t="shared" si="11"/>
        <v>4.666666666666667</v>
      </c>
      <c r="AB68" s="1">
        <v>4.75</v>
      </c>
      <c r="AC68" s="1">
        <v>7.2660499999999996E-3</v>
      </c>
      <c r="AD68" s="8">
        <f t="shared" si="6"/>
        <v>0.22186059103426575</v>
      </c>
      <c r="AE68" s="3">
        <f t="shared" si="7"/>
        <v>3.0533865172172742E-3</v>
      </c>
      <c r="AF68" s="11">
        <f t="shared" si="8"/>
        <v>4.666666666666667</v>
      </c>
      <c r="AG68" s="1">
        <f t="shared" si="9"/>
        <v>5.9456754230855967E-2</v>
      </c>
    </row>
    <row r="69" spans="2:33" ht="15">
      <c r="B69" s="1">
        <v>58</v>
      </c>
      <c r="C69" s="1">
        <v>1.0000255205342736</v>
      </c>
      <c r="D69" s="1">
        <v>1.0646030605476011</v>
      </c>
      <c r="E69" s="1">
        <v>0.93902939208886349</v>
      </c>
      <c r="G69" s="1">
        <v>1.0002364833647801</v>
      </c>
      <c r="H69" s="1">
        <v>1.7268252194653997</v>
      </c>
      <c r="I69" s="1">
        <v>0.56286522673241501</v>
      </c>
      <c r="K69" s="1">
        <v>1.0000400730227668</v>
      </c>
      <c r="L69" s="1">
        <v>1.5070435185161706</v>
      </c>
      <c r="M69" s="1">
        <v>0.65558118560362244</v>
      </c>
      <c r="O69" s="1">
        <v>7.3862002750266827E-3</v>
      </c>
      <c r="P69" s="1">
        <v>0.96492975986597029</v>
      </c>
      <c r="R69" s="1">
        <v>3.5696507701550813E-2</v>
      </c>
      <c r="S69" s="2">
        <f t="shared" si="10"/>
        <v>0.13108689736200091</v>
      </c>
      <c r="T69" s="4">
        <f t="shared" si="12"/>
        <v>1.7183774659995762E-2</v>
      </c>
      <c r="U69" s="1">
        <f t="shared" si="13"/>
        <v>2.7044136754515741E-3</v>
      </c>
      <c r="V69" s="6">
        <f>2*sigma/alpha*corel*(B69/12-1/alpha*(1-EXP(-alpha*Output!B69/12)))</f>
        <v>4.9821702844025789E-2</v>
      </c>
      <c r="W69" s="5">
        <f t="shared" si="14"/>
        <v>-1.4479360984544188E-2</v>
      </c>
      <c r="X69" s="1">
        <f t="shared" si="15"/>
        <v>0.28241651444213273</v>
      </c>
      <c r="Y69" s="3">
        <f t="shared" si="16"/>
        <v>4.9821418487895494E-2</v>
      </c>
      <c r="Z69" s="1">
        <f t="shared" si="5"/>
        <v>5.9626032257376844E-2</v>
      </c>
      <c r="AA69" s="8">
        <f t="shared" si="11"/>
        <v>4.75</v>
      </c>
      <c r="AB69" s="1">
        <v>4.8330000000000002</v>
      </c>
      <c r="AC69" s="1">
        <v>7.4096099999999996E-3</v>
      </c>
      <c r="AD69" s="8">
        <f t="shared" si="6"/>
        <v>0.23409724973316898</v>
      </c>
      <c r="AE69" s="3">
        <f t="shared" si="7"/>
        <v>3.1593734317078631E-3</v>
      </c>
      <c r="AF69" s="11">
        <f t="shared" si="8"/>
        <v>4.75</v>
      </c>
      <c r="AG69" s="1">
        <f t="shared" si="9"/>
        <v>5.9626032257376844E-2</v>
      </c>
    </row>
    <row r="70" spans="2:33" ht="15">
      <c r="B70" s="1">
        <v>59</v>
      </c>
      <c r="C70" s="1">
        <v>1.0000265233387504</v>
      </c>
      <c r="D70" s="1">
        <v>1.065937538721321</v>
      </c>
      <c r="E70" s="1">
        <v>0.93784983524425258</v>
      </c>
      <c r="G70" s="1">
        <v>1.0002437945281857</v>
      </c>
      <c r="H70" s="1">
        <v>1.7463122443983543</v>
      </c>
      <c r="I70" s="1">
        <v>0.55631237303543002</v>
      </c>
      <c r="K70" s="1">
        <v>1.0000255757567682</v>
      </c>
      <c r="L70" s="1">
        <v>1.5547114034673082</v>
      </c>
      <c r="M70" s="1">
        <v>0.63534850593372061</v>
      </c>
      <c r="O70" s="1">
        <v>7.5305151056582319E-3</v>
      </c>
      <c r="P70" s="1">
        <v>0.96365201232904274</v>
      </c>
      <c r="R70" s="1">
        <v>3.5725869406717597E-2</v>
      </c>
      <c r="S70" s="2">
        <f t="shared" si="10"/>
        <v>0.13258037347966262</v>
      </c>
      <c r="T70" s="4">
        <f t="shared" si="12"/>
        <v>1.7577555432006828E-2</v>
      </c>
      <c r="U70" s="1">
        <f t="shared" si="13"/>
        <v>2.8411410115369864E-3</v>
      </c>
      <c r="V70" s="6">
        <f>2*sigma/alpha*corel*(B70/12-1/alpha*(1-EXP(-alpha*Output!B70/12)))</f>
        <v>5.150943121173749E-2</v>
      </c>
      <c r="W70" s="5">
        <f t="shared" si="14"/>
        <v>-1.4736414420469841E-2</v>
      </c>
      <c r="X70" s="1">
        <f t="shared" si="15"/>
        <v>0.29246937177299692</v>
      </c>
      <c r="Y70" s="3">
        <f t="shared" si="16"/>
        <v>4.9758807819731257E-2</v>
      </c>
      <c r="Z70" s="1">
        <f t="shared" si="5"/>
        <v>5.9792106670271995E-2</v>
      </c>
      <c r="AA70" s="8">
        <f t="shared" si="11"/>
        <v>4.833333333333333</v>
      </c>
      <c r="AB70" s="1">
        <v>4.9169999999999998</v>
      </c>
      <c r="AC70" s="1">
        <v>7.5551899999999998E-3</v>
      </c>
      <c r="AD70" s="8">
        <f t="shared" si="6"/>
        <v>0.24674894341767881</v>
      </c>
      <c r="AE70" s="3">
        <f t="shared" si="7"/>
        <v>3.2659528538352954E-3</v>
      </c>
      <c r="AF70" s="11">
        <f t="shared" si="8"/>
        <v>4.833333333333333</v>
      </c>
      <c r="AG70" s="1">
        <f t="shared" si="9"/>
        <v>5.9792106670271995E-2</v>
      </c>
    </row>
    <row r="71" spans="2:33" ht="15">
      <c r="B71" s="1">
        <v>60</v>
      </c>
      <c r="C71" s="1">
        <v>1.00002816109209</v>
      </c>
      <c r="D71" s="1">
        <v>1.0688253353580184</v>
      </c>
      <c r="E71" s="1">
        <v>0.93531199322283309</v>
      </c>
      <c r="G71" s="1">
        <v>1.0003022274594853</v>
      </c>
      <c r="H71" s="1">
        <v>1.7895373601476829</v>
      </c>
      <c r="I71" s="1">
        <v>0.54260986499472941</v>
      </c>
      <c r="K71" s="1">
        <v>1.0000392842307113</v>
      </c>
      <c r="L71" s="1">
        <v>1.5484452813983935</v>
      </c>
      <c r="M71" s="1">
        <v>0.63778669645564956</v>
      </c>
      <c r="O71" s="1">
        <v>7.6768495658604344E-3</v>
      </c>
      <c r="P71" s="1">
        <v>0.9623430915948662</v>
      </c>
      <c r="R71" s="1">
        <v>3.5861990145299553E-2</v>
      </c>
      <c r="S71" s="2">
        <f t="shared" si="10"/>
        <v>0.13438884839852255</v>
      </c>
      <c r="T71" s="4">
        <f t="shared" si="12"/>
        <v>1.8060362573881078E-2</v>
      </c>
      <c r="U71" s="1">
        <f t="shared" si="13"/>
        <v>2.9822121868368174E-3</v>
      </c>
      <c r="V71" s="6">
        <f>2*sigma/alpha*corel*(B71/12-1/alpha*(1-EXP(-alpha*Output!B71/12)))</f>
        <v>5.3223760238257305E-2</v>
      </c>
      <c r="W71" s="5">
        <f t="shared" si="14"/>
        <v>-1.507815038704426E-2</v>
      </c>
      <c r="X71" s="1">
        <f t="shared" si="15"/>
        <v>0.30439577639478466</v>
      </c>
      <c r="Y71" s="3">
        <f t="shared" si="16"/>
        <v>4.9849698107457811E-2</v>
      </c>
      <c r="Z71" s="1">
        <f t="shared" si="5"/>
        <v>6.0100520087402035E-2</v>
      </c>
      <c r="AA71" s="8">
        <f t="shared" si="11"/>
        <v>4.9166666666666661</v>
      </c>
      <c r="AB71" s="1">
        <v>5</v>
      </c>
      <c r="AC71" s="1">
        <v>7.7028399999999999E-3</v>
      </c>
      <c r="AD71" s="8">
        <f t="shared" si="6"/>
        <v>0.25990434139565483</v>
      </c>
      <c r="AE71" s="3">
        <f t="shared" si="7"/>
        <v>3.3741365703513879E-3</v>
      </c>
      <c r="AF71" s="11">
        <f t="shared" si="8"/>
        <v>4.9166666666666661</v>
      </c>
      <c r="AG71" s="1">
        <f t="shared" si="9"/>
        <v>6.0100520087402035E-2</v>
      </c>
    </row>
    <row r="72" spans="2:33" ht="15">
      <c r="B72" s="1">
        <v>61</v>
      </c>
      <c r="C72" s="1">
        <v>1.0000287755171713</v>
      </c>
      <c r="D72" s="1">
        <v>1.0714104467022334</v>
      </c>
      <c r="E72" s="1">
        <v>0.93305137972447527</v>
      </c>
      <c r="G72" s="1">
        <v>1.0002711529047066</v>
      </c>
      <c r="H72" s="1">
        <v>1.827163288641974</v>
      </c>
      <c r="I72" s="1">
        <v>0.53117662000735755</v>
      </c>
      <c r="K72" s="1">
        <v>0.99998347701454726</v>
      </c>
      <c r="L72" s="1">
        <v>1.5100143915144508</v>
      </c>
      <c r="M72" s="1">
        <v>0.65388256058193184</v>
      </c>
      <c r="O72" s="1">
        <v>7.8252261722715835E-3</v>
      </c>
      <c r="P72" s="1">
        <v>0.96100253413099612</v>
      </c>
      <c r="R72" s="1">
        <v>3.5810841607285156E-2</v>
      </c>
      <c r="S72" s="2">
        <f t="shared" si="10"/>
        <v>0.1357284663291366</v>
      </c>
      <c r="T72" s="4">
        <f t="shared" si="12"/>
        <v>1.8422216572059568E-2</v>
      </c>
      <c r="U72" s="1">
        <f t="shared" si="13"/>
        <v>3.127683170482334E-3</v>
      </c>
      <c r="V72" s="6">
        <f>2*sigma/alpha*corel*(B72/12-1/alpha*(1-EXP(-alpha*Output!B72/12)))</f>
        <v>5.4964618360285065E-2</v>
      </c>
      <c r="W72" s="5">
        <f t="shared" si="14"/>
        <v>-1.5294533401577234E-2</v>
      </c>
      <c r="X72" s="1">
        <f t="shared" si="15"/>
        <v>0.31400995510356222</v>
      </c>
      <c r="Y72" s="3">
        <f t="shared" si="16"/>
        <v>4.9711602633073775E-2</v>
      </c>
      <c r="Z72" s="1">
        <f t="shared" si="5"/>
        <v>6.0200021630723584E-2</v>
      </c>
      <c r="AA72" s="8">
        <f t="shared" si="11"/>
        <v>4.9999999999999991</v>
      </c>
      <c r="AB72" s="1">
        <v>5.0830000000000002</v>
      </c>
      <c r="AC72" s="1">
        <v>7.8525599999999997E-3</v>
      </c>
      <c r="AD72" s="8">
        <f t="shared" si="6"/>
        <v>0.27333827728416238</v>
      </c>
      <c r="AE72" s="3">
        <f t="shared" si="7"/>
        <v>3.480881104813747E-3</v>
      </c>
      <c r="AF72" s="11">
        <f t="shared" si="8"/>
        <v>4.9999999999999991</v>
      </c>
      <c r="AG72" s="1">
        <f t="shared" si="9"/>
        <v>6.0200021630723584E-2</v>
      </c>
    </row>
    <row r="73" spans="2:33" ht="15">
      <c r="B73" s="1">
        <v>62</v>
      </c>
      <c r="C73" s="1">
        <v>1.0000281108751734</v>
      </c>
      <c r="D73" s="1">
        <v>1.0708322856242909</v>
      </c>
      <c r="E73" s="1">
        <v>0.93355129319943475</v>
      </c>
      <c r="G73" s="1">
        <v>1.0001367466270499</v>
      </c>
      <c r="H73" s="1">
        <v>1.8185234582261258</v>
      </c>
      <c r="I73" s="1">
        <v>0.53343963497258395</v>
      </c>
      <c r="K73" s="1">
        <v>1.0000197870866958</v>
      </c>
      <c r="L73" s="1">
        <v>1.5201173658284228</v>
      </c>
      <c r="M73" s="1">
        <v>0.64940143329466848</v>
      </c>
      <c r="O73" s="1">
        <v>7.9755159128750749E-3</v>
      </c>
      <c r="P73" s="1">
        <v>0.9596306268904915</v>
      </c>
      <c r="R73" s="1">
        <v>3.5817975635312541E-2</v>
      </c>
      <c r="S73" s="2">
        <f t="shared" si="10"/>
        <v>0.13725332476034674</v>
      </c>
      <c r="T73" s="4">
        <f t="shared" si="12"/>
        <v>1.8838475157769211E-2</v>
      </c>
      <c r="U73" s="1">
        <f t="shared" si="13"/>
        <v>3.2776094174984927E-3</v>
      </c>
      <c r="V73" s="6">
        <f>2*sigma/alpha*corel*(B73/12-1/alpha*(1-EXP(-alpha*Output!B73/12)))</f>
        <v>5.6731934207045365E-2</v>
      </c>
      <c r="W73" s="5">
        <f t="shared" si="14"/>
        <v>-1.5560865740270718E-2</v>
      </c>
      <c r="X73" s="1">
        <f t="shared" si="15"/>
        <v>0.32480973765780075</v>
      </c>
      <c r="Y73" s="3">
        <f t="shared" si="16"/>
        <v>4.9663440270952687E-2</v>
      </c>
      <c r="Z73" s="1">
        <f t="shared" si="5"/>
        <v>6.0383412309581178E-2</v>
      </c>
      <c r="AA73" s="8">
        <f t="shared" si="11"/>
        <v>5.0833333333333321</v>
      </c>
      <c r="AB73" s="1">
        <v>5.1669999999999998</v>
      </c>
      <c r="AC73" s="1">
        <v>8.0041399999999999E-3</v>
      </c>
      <c r="AD73" s="8">
        <f t="shared" si="6"/>
        <v>0.28624087124924991</v>
      </c>
      <c r="AE73" s="3">
        <f t="shared" si="7"/>
        <v>3.5761602276977904E-3</v>
      </c>
      <c r="AF73" s="11">
        <f t="shared" si="8"/>
        <v>5.0833333333333321</v>
      </c>
      <c r="AG73" s="1">
        <f t="shared" si="9"/>
        <v>6.0383412309581178E-2</v>
      </c>
    </row>
    <row r="74" spans="2:33" ht="15">
      <c r="B74" s="1">
        <v>63</v>
      </c>
      <c r="C74" s="1">
        <v>1.0000298608714679</v>
      </c>
      <c r="D74" s="1">
        <v>1.0730668442546654</v>
      </c>
      <c r="E74" s="1">
        <v>0.93160344014231211</v>
      </c>
      <c r="G74" s="1">
        <v>1.0002011660140371</v>
      </c>
      <c r="H74" s="1">
        <v>1.853013623299866</v>
      </c>
      <c r="I74" s="1">
        <v>0.52325510340057535</v>
      </c>
      <c r="K74" s="1">
        <v>1.0000396005421608</v>
      </c>
      <c r="L74" s="1">
        <v>1.5396793163331401</v>
      </c>
      <c r="M74" s="1">
        <v>0.64101709135498985</v>
      </c>
      <c r="O74" s="1">
        <v>8.1273758511443278E-3</v>
      </c>
      <c r="P74" s="1">
        <v>0.95822877643775195</v>
      </c>
      <c r="R74" s="1">
        <v>3.5942938177102014E-2</v>
      </c>
      <c r="S74" s="2">
        <f t="shared" si="10"/>
        <v>0.13912330952965063</v>
      </c>
      <c r="T74" s="4">
        <f t="shared" si="12"/>
        <v>1.9355295254482978E-2</v>
      </c>
      <c r="U74" s="1">
        <f t="shared" si="13"/>
        <v>3.4320458721392162E-3</v>
      </c>
      <c r="V74" s="6">
        <f>2*sigma/alpha*corel*(B74/12-1/alpha*(1-EXP(-alpha*Output!B74/12)))</f>
        <v>5.8525636599770108E-2</v>
      </c>
      <c r="W74" s="5">
        <f t="shared" si="14"/>
        <v>-1.5923249382343761E-2</v>
      </c>
      <c r="X74" s="1">
        <f t="shared" si="15"/>
        <v>0.33781348716862736</v>
      </c>
      <c r="Y74" s="3">
        <f t="shared" si="16"/>
        <v>4.9780153286109727E-2</v>
      </c>
      <c r="Z74" s="1">
        <f t="shared" si="5"/>
        <v>6.0718390176418592E-2</v>
      </c>
      <c r="AA74" s="8">
        <f t="shared" si="11"/>
        <v>5.1666666666666652</v>
      </c>
      <c r="AB74" s="1">
        <v>5.25</v>
      </c>
      <c r="AC74" s="1">
        <v>8.1573600000000007E-3</v>
      </c>
      <c r="AD74" s="8">
        <f t="shared" si="6"/>
        <v>0.29984148855672843</v>
      </c>
      <c r="AE74" s="3">
        <f t="shared" si="7"/>
        <v>3.6757172486776165E-3</v>
      </c>
      <c r="AF74" s="11">
        <f t="shared" si="8"/>
        <v>5.1666666666666652</v>
      </c>
      <c r="AG74" s="1">
        <f t="shared" si="9"/>
        <v>6.0718390176418592E-2</v>
      </c>
    </row>
    <row r="75" spans="2:33" ht="15">
      <c r="B75" s="1">
        <v>64</v>
      </c>
      <c r="C75" s="1">
        <v>1.0000294930723037</v>
      </c>
      <c r="D75" s="1">
        <v>1.0728234578902212</v>
      </c>
      <c r="E75" s="1">
        <v>0.9318109930027636</v>
      </c>
      <c r="G75" s="1">
        <v>1.0000879977171901</v>
      </c>
      <c r="H75" s="1">
        <v>1.8484491397450846</v>
      </c>
      <c r="I75" s="1">
        <v>0.52429111251860261</v>
      </c>
      <c r="K75" s="1">
        <v>1.0000310087395181</v>
      </c>
      <c r="L75" s="1">
        <v>1.5449916942634092</v>
      </c>
      <c r="M75" s="1">
        <v>0.63867991361922494</v>
      </c>
      <c r="O75" s="1">
        <v>8.2805654219653881E-3</v>
      </c>
      <c r="P75" s="1">
        <v>0.95679797177937964</v>
      </c>
      <c r="R75" s="1">
        <v>3.591949714501419E-2</v>
      </c>
      <c r="S75" s="2">
        <f t="shared" si="10"/>
        <v>0.14062156858618369</v>
      </c>
      <c r="T75" s="4">
        <f t="shared" si="12"/>
        <v>1.9774425551638764E-2</v>
      </c>
      <c r="U75" s="1">
        <f t="shared" si="13"/>
        <v>3.5910469712067674E-3</v>
      </c>
      <c r="V75" s="6">
        <f>2*sigma/alpha*corel*(B75/12-1/alpha*(1-EXP(-alpha*Output!B75/12)))</f>
        <v>6.0345654551183965E-2</v>
      </c>
      <c r="W75" s="5">
        <f t="shared" si="14"/>
        <v>-1.6183378580431996E-2</v>
      </c>
      <c r="X75" s="1">
        <f t="shared" si="15"/>
        <v>0.34888700773909342</v>
      </c>
      <c r="Y75" s="3">
        <f t="shared" si="16"/>
        <v>4.971758668227623E-2</v>
      </c>
      <c r="Z75" s="1">
        <f t="shared" si="5"/>
        <v>6.0890925357825434E-2</v>
      </c>
      <c r="AA75" s="8">
        <f t="shared" si="11"/>
        <v>5.2499999999999982</v>
      </c>
      <c r="AB75" s="1">
        <v>5.3330000000000002</v>
      </c>
      <c r="AC75" s="1">
        <v>8.3119500000000002E-3</v>
      </c>
      <c r="AD75" s="8">
        <f t="shared" si="6"/>
        <v>0.31384578034612115</v>
      </c>
      <c r="AE75" s="3">
        <f t="shared" si="7"/>
        <v>3.7758381648845471E-3</v>
      </c>
      <c r="AF75" s="11">
        <f t="shared" si="8"/>
        <v>5.2499999999999982</v>
      </c>
      <c r="AG75" s="1">
        <f t="shared" si="9"/>
        <v>6.0890925357825434E-2</v>
      </c>
    </row>
    <row r="76" spans="2:33" ht="15">
      <c r="B76" s="1">
        <v>65</v>
      </c>
      <c r="C76" s="1">
        <v>1.0000309594153394</v>
      </c>
      <c r="D76" s="1">
        <v>1.0722019760551333</v>
      </c>
      <c r="E76" s="1">
        <v>0.93234732856445723</v>
      </c>
      <c r="G76" s="1">
        <v>1.000125948608487</v>
      </c>
      <c r="H76" s="1">
        <v>1.8382051579325509</v>
      </c>
      <c r="I76" s="1">
        <v>0.52695551793263695</v>
      </c>
      <c r="K76" s="1">
        <v>1.0000770678773192</v>
      </c>
      <c r="L76" s="1">
        <v>1.5612524503310741</v>
      </c>
      <c r="M76" s="1">
        <v>0.63189627580635677</v>
      </c>
      <c r="O76" s="1">
        <v>8.4349086681140724E-3</v>
      </c>
      <c r="P76" s="1">
        <v>0.95533894177091228</v>
      </c>
      <c r="R76" s="1">
        <v>3.6092286215931316E-2</v>
      </c>
      <c r="S76" s="2">
        <f t="shared" si="10"/>
        <v>0.14267648317652348</v>
      </c>
      <c r="T76" s="4">
        <f t="shared" si="12"/>
        <v>2.0356578851620788E-2</v>
      </c>
      <c r="U76" s="1">
        <f t="shared" si="13"/>
        <v>3.7546666473437002E-3</v>
      </c>
      <c r="V76" s="6">
        <f>2*sigma/alpha*corel*(B76/12-1/alpha*(1-EXP(-alpha*Output!B76/12)))</f>
        <v>6.2191917264984957E-2</v>
      </c>
      <c r="W76" s="5">
        <f t="shared" si="14"/>
        <v>-1.6601912204277088E-2</v>
      </c>
      <c r="X76" s="1">
        <f t="shared" si="15"/>
        <v>0.36357593233243168</v>
      </c>
      <c r="Y76" s="3">
        <f t="shared" si="16"/>
        <v>4.9918215029392123E-2</v>
      </c>
      <c r="Z76" s="1">
        <f t="shared" si="5"/>
        <v>6.1303651067007227E-2</v>
      </c>
      <c r="AA76" s="8">
        <f t="shared" si="11"/>
        <v>5.3333333333333313</v>
      </c>
      <c r="AB76" s="1">
        <v>5.4169999999999998</v>
      </c>
      <c r="AC76" s="1">
        <v>8.4676600000000001E-3</v>
      </c>
      <c r="AD76" s="8">
        <f t="shared" si="6"/>
        <v>0.32751331885927726</v>
      </c>
      <c r="AE76" s="3">
        <f t="shared" si="7"/>
        <v>3.8678137627074925E-3</v>
      </c>
      <c r="AF76" s="11">
        <f t="shared" si="8"/>
        <v>5.3333333333333313</v>
      </c>
      <c r="AG76" s="1">
        <f t="shared" si="9"/>
        <v>6.1303651067007227E-2</v>
      </c>
    </row>
    <row r="77" spans="2:33" ht="15">
      <c r="B77" s="1">
        <v>66</v>
      </c>
      <c r="C77" s="1">
        <v>1.0000310218774768</v>
      </c>
      <c r="D77" s="1">
        <v>1.0750973894679621</v>
      </c>
      <c r="E77" s="1">
        <v>0.92983263076645206</v>
      </c>
      <c r="G77" s="1">
        <v>1.0000502504887288</v>
      </c>
      <c r="H77" s="1">
        <v>1.8813085849667845</v>
      </c>
      <c r="I77" s="1">
        <v>0.51463089521579097</v>
      </c>
      <c r="K77" s="1">
        <v>1.0000871491774812</v>
      </c>
      <c r="L77" s="1">
        <v>1.5845777285055458</v>
      </c>
      <c r="M77" s="1">
        <v>0.62246495149039716</v>
      </c>
      <c r="O77" s="1">
        <v>8.5901424613812893E-3</v>
      </c>
      <c r="P77" s="1">
        <v>0.95385292743024763</v>
      </c>
      <c r="R77" s="1">
        <v>3.5988700548594696E-2</v>
      </c>
      <c r="S77" s="2">
        <f t="shared" si="10"/>
        <v>0.14400836592573579</v>
      </c>
      <c r="T77" s="4">
        <f t="shared" si="12"/>
        <v>2.0738409456600621E-2</v>
      </c>
      <c r="U77" s="1">
        <f t="shared" si="13"/>
        <v>3.9229583323209761E-3</v>
      </c>
      <c r="V77" s="6">
        <f>2*sigma/alpha*corel*(B77/12-1/alpha*(1-EXP(-alpha*Output!B77/12)))</f>
        <v>6.4064354135335413E-2</v>
      </c>
      <c r="W77" s="5">
        <f t="shared" si="14"/>
        <v>-1.6815451124279644E-2</v>
      </c>
      <c r="X77" s="1">
        <f t="shared" si="15"/>
        <v>0.37404416620492981</v>
      </c>
      <c r="Y77" s="3">
        <f t="shared" si="16"/>
        <v>4.9775195326296442E-2</v>
      </c>
      <c r="Z77" s="1">
        <f t="shared" ref="Z77:Z140" si="17">S77/SQRT(B77/12)</f>
        <v>6.1405373553135502E-2</v>
      </c>
      <c r="AA77" s="8">
        <f t="shared" si="11"/>
        <v>5.4166666666666643</v>
      </c>
      <c r="AB77" s="1">
        <v>5.5</v>
      </c>
      <c r="AC77" s="1">
        <v>8.6242599999999999E-3</v>
      </c>
      <c r="AD77" s="8">
        <f t="shared" ref="AD77:AD140" si="18">(AC77-O77)*10000</f>
        <v>0.34117538618710574</v>
      </c>
      <c r="AE77" s="3">
        <f t="shared" ref="AE77:AE140" si="19">AD77/AC77/10000</f>
        <v>3.9559960644403782E-3</v>
      </c>
      <c r="AF77" s="11">
        <f t="shared" ref="AF77:AF140" si="20">AA77</f>
        <v>5.4166666666666643</v>
      </c>
      <c r="AG77" s="1">
        <f t="shared" ref="AG77:AG140" si="21">Z77</f>
        <v>6.1405373553135502E-2</v>
      </c>
    </row>
    <row r="78" spans="2:33" ht="15">
      <c r="B78" s="1">
        <v>67</v>
      </c>
      <c r="C78" s="1">
        <v>1.0000327263289039</v>
      </c>
      <c r="D78" s="1">
        <v>1.0719956930163146</v>
      </c>
      <c r="E78" s="1">
        <v>0.93251927520472055</v>
      </c>
      <c r="G78" s="1">
        <v>1.0001034250085354</v>
      </c>
      <c r="H78" s="1">
        <v>1.8312298597705239</v>
      </c>
      <c r="I78" s="1">
        <v>0.52844647462450667</v>
      </c>
      <c r="K78" s="1">
        <v>1.0000755295065158</v>
      </c>
      <c r="L78" s="1">
        <v>1.548142975476537</v>
      </c>
      <c r="M78" s="1">
        <v>0.63698162738051456</v>
      </c>
      <c r="O78" s="1">
        <v>8.7459596427306614E-3</v>
      </c>
      <c r="P78" s="1">
        <v>0.95234148287901876</v>
      </c>
      <c r="R78" s="1">
        <v>3.5923666298943363E-2</v>
      </c>
      <c r="S78" s="2">
        <f t="shared" ref="S78:S85" si="22">optim_vol_implied(P78,R78)</f>
        <v>0.14546613683426241</v>
      </c>
      <c r="T78" s="4">
        <f t="shared" si="12"/>
        <v>2.1160396965484354E-2</v>
      </c>
      <c r="U78" s="1">
        <f t="shared" si="13"/>
        <v>4.0959749602871454E-3</v>
      </c>
      <c r="V78" s="6">
        <f>2*sigma/alpha*corel*(B78/12-1/alpha*(1-EXP(-alpha*Output!B78/12)))</f>
        <v>6.596289474634616E-2</v>
      </c>
      <c r="W78" s="5">
        <f t="shared" si="14"/>
        <v>-1.7064422005197206E-2</v>
      </c>
      <c r="X78" s="1">
        <f t="shared" si="15"/>
        <v>0.38545652826605514</v>
      </c>
      <c r="Y78" s="3">
        <f t="shared" si="16"/>
        <v>4.9691512792938104E-2</v>
      </c>
      <c r="Z78" s="1">
        <f t="shared" si="17"/>
        <v>6.156234112316037E-2</v>
      </c>
      <c r="AA78" s="8">
        <f t="shared" ref="AA78:AA141" si="23">AA77+1/12</f>
        <v>5.4999999999999973</v>
      </c>
      <c r="AB78" s="1">
        <v>5.5830000000000002</v>
      </c>
      <c r="AC78" s="1">
        <v>8.7814999999999994E-3</v>
      </c>
      <c r="AD78" s="8">
        <f t="shared" si="18"/>
        <v>0.35540357269337952</v>
      </c>
      <c r="AE78" s="3">
        <f t="shared" si="19"/>
        <v>4.0471852495972162E-3</v>
      </c>
      <c r="AF78" s="11">
        <f t="shared" si="20"/>
        <v>5.4999999999999973</v>
      </c>
      <c r="AG78" s="1">
        <f t="shared" si="21"/>
        <v>6.156234112316037E-2</v>
      </c>
    </row>
    <row r="79" spans="2:33" ht="15">
      <c r="B79" s="1">
        <v>68</v>
      </c>
      <c r="C79" s="1">
        <v>1.0000346295923834</v>
      </c>
      <c r="D79" s="1">
        <v>1.0732503917934955</v>
      </c>
      <c r="E79" s="1">
        <v>0.9314254120783747</v>
      </c>
      <c r="G79" s="1">
        <v>1.0001691136664368</v>
      </c>
      <c r="H79" s="1">
        <v>1.8503801516549909</v>
      </c>
      <c r="I79" s="1">
        <v>0.52272214402221095</v>
      </c>
      <c r="K79" s="1">
        <v>1.0000785603861662</v>
      </c>
      <c r="L79" s="1">
        <v>1.5787375909052372</v>
      </c>
      <c r="M79" s="1">
        <v>0.62450733685085591</v>
      </c>
      <c r="O79" s="1">
        <v>8.9021080784015272E-3</v>
      </c>
      <c r="P79" s="1">
        <v>0.95080595619606245</v>
      </c>
      <c r="R79" s="1">
        <v>3.5878939048719291E-2</v>
      </c>
      <c r="S79" s="2">
        <f t="shared" si="22"/>
        <v>0.1469994331454651</v>
      </c>
      <c r="T79" s="4">
        <f t="shared" si="12"/>
        <v>2.1608833345088063E-2</v>
      </c>
      <c r="U79" s="1">
        <f t="shared" si="13"/>
        <v>4.2737689710131369E-3</v>
      </c>
      <c r="V79" s="6">
        <f>2*sigma/alpha*corel*(B79/12-1/alpha*(1-EXP(-alpha*Output!B79/12)))</f>
        <v>6.7887468871567103E-2</v>
      </c>
      <c r="W79" s="5">
        <f t="shared" si="14"/>
        <v>-1.7335064374074928E-2</v>
      </c>
      <c r="X79" s="1">
        <f t="shared" si="15"/>
        <v>0.39753683424215308</v>
      </c>
      <c r="Y79" s="3">
        <f t="shared" si="16"/>
        <v>4.9642742872219328E-2</v>
      </c>
      <c r="Z79" s="1">
        <f t="shared" si="17"/>
        <v>6.1752113579100501E-2</v>
      </c>
      <c r="AA79" s="8">
        <f t="shared" si="23"/>
        <v>5.5833333333333304</v>
      </c>
      <c r="AB79" s="1">
        <v>5.6669999999999998</v>
      </c>
      <c r="AC79" s="1">
        <v>8.9391200000000001E-3</v>
      </c>
      <c r="AD79" s="8">
        <f t="shared" si="18"/>
        <v>0.37011921598472874</v>
      </c>
      <c r="AE79" s="3">
        <f t="shared" si="19"/>
        <v>4.1404435334208376E-3</v>
      </c>
      <c r="AF79" s="11">
        <f t="shared" si="20"/>
        <v>5.5833333333333304</v>
      </c>
      <c r="AG79" s="1">
        <f t="shared" si="21"/>
        <v>6.1752113579100501E-2</v>
      </c>
    </row>
    <row r="80" spans="2:33" ht="15">
      <c r="B80" s="1">
        <v>69</v>
      </c>
      <c r="C80" s="1">
        <v>1.0000359181175638</v>
      </c>
      <c r="D80" s="1">
        <v>1.0748669607706578</v>
      </c>
      <c r="E80" s="1">
        <v>0.93002091837044842</v>
      </c>
      <c r="G80" s="1">
        <v>1.0001817955098176</v>
      </c>
      <c r="H80" s="1">
        <v>1.8767311360933088</v>
      </c>
      <c r="I80" s="1">
        <v>0.51513115047393343</v>
      </c>
      <c r="K80" s="1">
        <v>1.0001033885671491</v>
      </c>
      <c r="L80" s="1">
        <v>1.5613173608366477</v>
      </c>
      <c r="M80" s="1">
        <v>0.63134366660440078</v>
      </c>
      <c r="O80" s="1">
        <v>9.0583088974151311E-3</v>
      </c>
      <c r="P80" s="1">
        <v>0.94924791517409079</v>
      </c>
      <c r="R80" s="1">
        <v>3.5937077084602302E-2</v>
      </c>
      <c r="S80" s="2">
        <f t="shared" si="22"/>
        <v>0.14883354124181947</v>
      </c>
      <c r="T80" s="4">
        <f t="shared" si="12"/>
        <v>2.2151422998580375E-2</v>
      </c>
      <c r="U80" s="1">
        <f t="shared" si="13"/>
        <v>4.4563923131167599E-3</v>
      </c>
      <c r="V80" s="6">
        <f>2*sigma/alpha*corel*(B80/12-1/alpha*(1-EXP(-alpha*Output!B80/12)))</f>
        <v>6.9838006473477127E-2</v>
      </c>
      <c r="W80" s="5">
        <f t="shared" si="14"/>
        <v>-1.7695030685463617E-2</v>
      </c>
      <c r="X80" s="1">
        <f t="shared" si="15"/>
        <v>0.41186305291385261</v>
      </c>
      <c r="Y80" s="3">
        <f t="shared" si="16"/>
        <v>4.9732832022667116E-2</v>
      </c>
      <c r="Z80" s="1">
        <f t="shared" si="17"/>
        <v>6.2067877288154924E-2</v>
      </c>
      <c r="AA80" s="8">
        <f t="shared" si="23"/>
        <v>5.6666666666666634</v>
      </c>
      <c r="AB80" s="1">
        <v>5.75</v>
      </c>
      <c r="AC80" s="1">
        <v>9.0968899999999998E-3</v>
      </c>
      <c r="AD80" s="8">
        <f t="shared" si="18"/>
        <v>0.38581102584868754</v>
      </c>
      <c r="AE80" s="3">
        <f t="shared" si="19"/>
        <v>4.2411310442215695E-3</v>
      </c>
      <c r="AF80" s="11">
        <f t="shared" si="20"/>
        <v>5.6666666666666634</v>
      </c>
      <c r="AG80" s="1">
        <f t="shared" si="21"/>
        <v>6.2067877288154924E-2</v>
      </c>
    </row>
    <row r="81" spans="2:33" ht="15">
      <c r="B81" s="1">
        <v>70</v>
      </c>
      <c r="C81" s="1">
        <v>1.0000354003542713</v>
      </c>
      <c r="D81" s="1">
        <v>1.0731587740856738</v>
      </c>
      <c r="E81" s="1">
        <v>0.93149763000784291</v>
      </c>
      <c r="G81" s="1">
        <v>1.0000499773207896</v>
      </c>
      <c r="H81" s="1">
        <v>1.8561073277146656</v>
      </c>
      <c r="I81" s="1">
        <v>0.52060078410948551</v>
      </c>
      <c r="K81" s="1">
        <v>1.0000901540358751</v>
      </c>
      <c r="L81" s="1">
        <v>1.5815801511886236</v>
      </c>
      <c r="M81" s="1">
        <v>0.62312522603647647</v>
      </c>
      <c r="O81" s="1">
        <v>9.2144362364742216E-3</v>
      </c>
      <c r="P81" s="1">
        <v>0.94766816204144577</v>
      </c>
      <c r="R81" s="1">
        <v>3.5773880688431049E-2</v>
      </c>
      <c r="S81" s="2">
        <f t="shared" si="22"/>
        <v>0.15007808539457462</v>
      </c>
      <c r="T81" s="4">
        <f t="shared" si="12"/>
        <v>2.2523431715701234E-2</v>
      </c>
      <c r="U81" s="1">
        <f t="shared" si="13"/>
        <v>4.6438964472559525E-3</v>
      </c>
      <c r="V81" s="6">
        <f>2*sigma/alpha*corel*(B81/12-1/alpha*(1-EXP(-alpha*Output!B81/12)))</f>
        <v>7.1814437702975006E-2</v>
      </c>
      <c r="W81" s="5">
        <f t="shared" si="14"/>
        <v>-1.7879535268445282E-2</v>
      </c>
      <c r="X81" s="1">
        <f t="shared" si="15"/>
        <v>0.42234646972631773</v>
      </c>
      <c r="Y81" s="3">
        <f t="shared" si="16"/>
        <v>4.9548638687621258E-2</v>
      </c>
      <c r="Z81" s="1">
        <f t="shared" si="17"/>
        <v>6.2138230765702039E-2</v>
      </c>
      <c r="AA81" s="8">
        <f t="shared" si="23"/>
        <v>5.7499999999999964</v>
      </c>
      <c r="AB81" s="1">
        <v>5.8330000000000002</v>
      </c>
      <c r="AC81" s="1">
        <v>9.2545400000000003E-3</v>
      </c>
      <c r="AD81" s="8">
        <f t="shared" si="18"/>
        <v>0.40103763525778724</v>
      </c>
      <c r="AE81" s="3">
        <f t="shared" si="19"/>
        <v>4.3334151158003226E-3</v>
      </c>
      <c r="AF81" s="11">
        <f t="shared" si="20"/>
        <v>5.7499999999999964</v>
      </c>
      <c r="AG81" s="1">
        <f t="shared" si="21"/>
        <v>6.2138230765702039E-2</v>
      </c>
    </row>
    <row r="82" spans="2:33" ht="15">
      <c r="B82" s="1">
        <v>71</v>
      </c>
      <c r="C82" s="1">
        <v>1.0000361117058789</v>
      </c>
      <c r="D82" s="1">
        <v>1.0722110018118842</v>
      </c>
      <c r="E82" s="1">
        <v>0.93231740483341807</v>
      </c>
      <c r="G82" s="1">
        <v>1.0000151922823775</v>
      </c>
      <c r="H82" s="1">
        <v>1.8415268341257405</v>
      </c>
      <c r="I82" s="1">
        <v>0.52446667885894893</v>
      </c>
      <c r="K82" s="1">
        <v>1.0001142140853243</v>
      </c>
      <c r="L82" s="1">
        <v>1.5903272265452768</v>
      </c>
      <c r="M82" s="1">
        <v>0.61956883880165814</v>
      </c>
      <c r="O82" s="1">
        <v>9.3702296228729866E-3</v>
      </c>
      <c r="P82" s="1">
        <v>0.94606828915455266</v>
      </c>
      <c r="R82" s="1">
        <v>3.5760259200434484E-2</v>
      </c>
      <c r="S82" s="2">
        <f t="shared" si="22"/>
        <v>0.15174957194053151</v>
      </c>
      <c r="T82" s="4">
        <f t="shared" si="12"/>
        <v>2.3027932584134551E-2</v>
      </c>
      <c r="U82" s="1">
        <f t="shared" si="13"/>
        <v>4.8363323493231178E-3</v>
      </c>
      <c r="V82" s="6">
        <f>2*sigma/alpha*corel*(B82/12-1/alpha*(1-EXP(-alpha*Output!B82/12)))</f>
        <v>7.3816692898875311E-2</v>
      </c>
      <c r="W82" s="5">
        <f t="shared" si="14"/>
        <v>-1.8191600234811433E-2</v>
      </c>
      <c r="X82" s="1">
        <f t="shared" si="15"/>
        <v>0.43598344304106412</v>
      </c>
      <c r="Y82" s="3">
        <f t="shared" si="16"/>
        <v>4.9561160311708208E-2</v>
      </c>
      <c r="Z82" s="1">
        <f t="shared" si="17"/>
        <v>6.2386256048887791E-2</v>
      </c>
      <c r="AA82" s="8">
        <f t="shared" si="23"/>
        <v>5.8333333333333295</v>
      </c>
      <c r="AB82" s="1">
        <v>5.9169999999999998</v>
      </c>
      <c r="AC82" s="1">
        <v>9.4118499999999994E-3</v>
      </c>
      <c r="AD82" s="8">
        <f t="shared" si="18"/>
        <v>0.41620377127012803</v>
      </c>
      <c r="AE82" s="3">
        <f t="shared" si="19"/>
        <v>4.4221249942373508E-3</v>
      </c>
      <c r="AF82" s="11">
        <f t="shared" si="20"/>
        <v>5.8333333333333295</v>
      </c>
      <c r="AG82" s="1">
        <f t="shared" si="21"/>
        <v>6.2386256048887791E-2</v>
      </c>
    </row>
    <row r="83" spans="2:33" ht="15">
      <c r="B83" s="1">
        <v>72</v>
      </c>
      <c r="C83" s="1">
        <v>1.0000367708425859</v>
      </c>
      <c r="D83" s="1">
        <v>1.0789285981547918</v>
      </c>
      <c r="E83" s="1">
        <v>0.92650906743404915</v>
      </c>
      <c r="G83" s="1">
        <v>0.99997439401145183</v>
      </c>
      <c r="H83" s="1">
        <v>1.9467604721321823</v>
      </c>
      <c r="I83" s="1">
        <v>0.49587418683237572</v>
      </c>
      <c r="K83" s="1">
        <v>1.0000937996417172</v>
      </c>
      <c r="L83" s="1">
        <v>1.5776943067691682</v>
      </c>
      <c r="M83" s="1">
        <v>0.62439975605548093</v>
      </c>
      <c r="O83" s="1">
        <v>9.5254185345211226E-3</v>
      </c>
      <c r="P83" s="1">
        <v>0.94445001916967342</v>
      </c>
      <c r="R83" s="1">
        <v>3.5740391562714732E-2</v>
      </c>
      <c r="S83" s="2">
        <f t="shared" si="22"/>
        <v>0.15341853579700548</v>
      </c>
      <c r="T83" s="4">
        <f t="shared" si="12"/>
        <v>2.3537247126097054E-2</v>
      </c>
      <c r="U83" s="1">
        <f t="shared" si="13"/>
        <v>5.033750513602729E-3</v>
      </c>
      <c r="V83" s="6">
        <f>2*sigma/alpha*corel*(B83/12-1/alpha*(1-EXP(-alpha*Output!B83/12)))</f>
        <v>7.584470258739906E-2</v>
      </c>
      <c r="W83" s="5">
        <f t="shared" si="14"/>
        <v>-1.8503496612494324E-2</v>
      </c>
      <c r="X83" s="1">
        <f t="shared" si="15"/>
        <v>0.44983633761043479</v>
      </c>
      <c r="Y83" s="3">
        <f t="shared" si="16"/>
        <v>4.9571141068853616E-2</v>
      </c>
      <c r="Z83" s="1">
        <f t="shared" si="17"/>
        <v>6.263285496459646E-2</v>
      </c>
      <c r="AA83" s="8">
        <f t="shared" si="23"/>
        <v>5.9166666666666625</v>
      </c>
      <c r="AB83" s="1">
        <v>6</v>
      </c>
      <c r="AC83" s="1">
        <v>9.5685500000000003E-3</v>
      </c>
      <c r="AD83" s="8">
        <f t="shared" si="18"/>
        <v>0.4313146547887774</v>
      </c>
      <c r="AE83" s="3">
        <f t="shared" si="19"/>
        <v>4.5076281650697058E-3</v>
      </c>
      <c r="AF83" s="11">
        <f t="shared" si="20"/>
        <v>5.9166666666666625</v>
      </c>
      <c r="AG83" s="1">
        <f t="shared" si="21"/>
        <v>6.263285496459646E-2</v>
      </c>
    </row>
    <row r="84" spans="2:33" ht="15">
      <c r="B84" s="1">
        <v>73</v>
      </c>
      <c r="C84" s="1">
        <v>1.0000371168394968</v>
      </c>
      <c r="D84" s="1">
        <v>1.0801242311059165</v>
      </c>
      <c r="E84" s="1">
        <v>0.92547993879481827</v>
      </c>
      <c r="G84" s="1">
        <v>0.99990940291093267</v>
      </c>
      <c r="H84" s="1">
        <v>1.9641889186927113</v>
      </c>
      <c r="I84" s="1">
        <v>0.49123448942119552</v>
      </c>
      <c r="K84" s="1">
        <v>1.0000764276666232</v>
      </c>
      <c r="L84" s="1">
        <v>1.5634106411276221</v>
      </c>
      <c r="M84" s="1">
        <v>0.62997315139176857</v>
      </c>
      <c r="O84" s="1">
        <v>9.6797818177593673E-3</v>
      </c>
      <c r="P84" s="1">
        <v>0.94281486668615722</v>
      </c>
      <c r="R84" s="1">
        <v>3.5583806591474129E-2</v>
      </c>
      <c r="S84" s="2">
        <f t="shared" si="22"/>
        <v>0.15472006994780207</v>
      </c>
      <c r="T84" s="4">
        <f t="shared" si="12"/>
        <v>2.3938300044652767E-2</v>
      </c>
      <c r="U84" s="1">
        <f t="shared" si="13"/>
        <v>5.236200955921244E-3</v>
      </c>
      <c r="V84" s="6">
        <f>2*sigma/alpha*corel*(B84/12-1/alpha*(1-EXP(-alpha*Output!B84/12)))</f>
        <v>7.7898397481672266E-2</v>
      </c>
      <c r="W84" s="5">
        <f t="shared" si="14"/>
        <v>-1.8702099088731522E-2</v>
      </c>
      <c r="X84" s="1">
        <f t="shared" si="15"/>
        <v>0.4611525714893463</v>
      </c>
      <c r="Y84" s="3">
        <f t="shared" si="16"/>
        <v>4.9412363525733027E-2</v>
      </c>
      <c r="Z84" s="1">
        <f t="shared" si="17"/>
        <v>6.2730080671387717E-2</v>
      </c>
      <c r="AA84" s="8">
        <f t="shared" si="23"/>
        <v>5.9999999999999956</v>
      </c>
      <c r="AB84" s="1">
        <v>6.0830000000000002</v>
      </c>
      <c r="AC84" s="1">
        <v>9.7244500000000008E-3</v>
      </c>
      <c r="AD84" s="8">
        <f t="shared" si="18"/>
        <v>0.44668182240633486</v>
      </c>
      <c r="AE84" s="3">
        <f t="shared" si="19"/>
        <v>4.5933890596006445E-3</v>
      </c>
      <c r="AF84" s="11">
        <f t="shared" si="20"/>
        <v>5.9999999999999956</v>
      </c>
      <c r="AG84" s="1">
        <f t="shared" si="21"/>
        <v>6.2730080671387717E-2</v>
      </c>
    </row>
    <row r="85" spans="2:33" ht="15">
      <c r="B85" s="1">
        <v>74</v>
      </c>
      <c r="C85" s="1">
        <v>1.0000378298134014</v>
      </c>
      <c r="D85" s="1">
        <v>1.076862539341735</v>
      </c>
      <c r="E85" s="1">
        <v>0.92827958522706178</v>
      </c>
      <c r="G85" s="1">
        <v>0.99987041314856984</v>
      </c>
      <c r="H85" s="1">
        <v>1.9112466603745761</v>
      </c>
      <c r="I85" s="1">
        <v>0.50459561543985698</v>
      </c>
      <c r="K85" s="1">
        <v>1.0000600374543065</v>
      </c>
      <c r="L85" s="1">
        <v>1.5414165176254324</v>
      </c>
      <c r="M85" s="1">
        <v>0.63882899303336638</v>
      </c>
      <c r="O85" s="1">
        <v>9.8333201074506105E-3</v>
      </c>
      <c r="P85" s="1">
        <v>0.94116311961201882</v>
      </c>
      <c r="R85" s="1">
        <v>3.5474835758633076E-2</v>
      </c>
      <c r="S85" s="2">
        <f t="shared" si="22"/>
        <v>0.15616458156990765</v>
      </c>
      <c r="T85" s="4">
        <f t="shared" si="12"/>
        <v>2.4387376536904339E-2</v>
      </c>
      <c r="U85" s="1">
        <f t="shared" si="13"/>
        <v>5.4437332167740025E-3</v>
      </c>
      <c r="V85" s="6">
        <f>2*sigma/alpha*corel*(B85/12-1/alpha*(1-EXP(-alpha*Output!B85/12)))</f>
        <v>7.9977708481221765E-2</v>
      </c>
      <c r="W85" s="5">
        <f t="shared" si="14"/>
        <v>-1.8943643320130335E-2</v>
      </c>
      <c r="X85" s="1">
        <f t="shared" si="15"/>
        <v>0.47367296908378892</v>
      </c>
      <c r="Y85" s="3">
        <f t="shared" si="16"/>
        <v>4.9318485921352781E-2</v>
      </c>
      <c r="Z85" s="1">
        <f t="shared" si="17"/>
        <v>6.2886482718364764E-2</v>
      </c>
      <c r="AA85" s="8">
        <f t="shared" si="23"/>
        <v>6.0833333333333286</v>
      </c>
      <c r="AB85" s="1">
        <v>6.1669999999999998</v>
      </c>
      <c r="AC85" s="1">
        <v>9.8795299999999992E-3</v>
      </c>
      <c r="AD85" s="8">
        <f t="shared" si="18"/>
        <v>0.46209892549388742</v>
      </c>
      <c r="AE85" s="3">
        <f t="shared" si="19"/>
        <v>4.6773371354091485E-3</v>
      </c>
      <c r="AF85" s="11">
        <f t="shared" si="20"/>
        <v>6.0833333333333286</v>
      </c>
      <c r="AG85" s="1">
        <f t="shared" si="21"/>
        <v>6.2886482718364764E-2</v>
      </c>
    </row>
    <row r="86" spans="2:33" ht="15">
      <c r="B86" s="1">
        <v>75</v>
      </c>
      <c r="C86" s="1">
        <v>1.0000379764287319</v>
      </c>
      <c r="D86" s="1">
        <v>1.0759135573056853</v>
      </c>
      <c r="E86" s="1">
        <v>0.92909484715651269</v>
      </c>
      <c r="G86" s="1">
        <v>0.99979117289945929</v>
      </c>
      <c r="H86" s="1">
        <v>1.8956398582019027</v>
      </c>
      <c r="I86" s="1">
        <v>0.5085018102007981</v>
      </c>
      <c r="K86" s="1">
        <v>1.0001118658017059</v>
      </c>
      <c r="L86" s="1">
        <v>1.5331090126576121</v>
      </c>
      <c r="M86" s="1">
        <v>0.64215683920412947</v>
      </c>
      <c r="O86" s="1">
        <v>9.9860920766648258E-3</v>
      </c>
      <c r="P86" s="1">
        <v>0.93949472439298165</v>
      </c>
      <c r="R86" s="1">
        <v>3.5507602714708597E-2</v>
      </c>
      <c r="S86" s="2">
        <f>optim_vol_implied(P86,R86)</f>
        <v>0.15801769331957416</v>
      </c>
      <c r="T86" s="4">
        <f t="shared" si="12"/>
        <v>2.4969591402038992E-2</v>
      </c>
      <c r="U86" s="1">
        <f t="shared" si="13"/>
        <v>5.6563963644367552E-3</v>
      </c>
      <c r="V86" s="6">
        <f>2*sigma/alpha*corel*(B86/12-1/alpha*(1-EXP(-alpha*Output!B86/12)))</f>
        <v>8.2082566671475121E-2</v>
      </c>
      <c r="W86" s="5">
        <f t="shared" si="14"/>
        <v>-1.9313195037602236E-2</v>
      </c>
      <c r="X86" s="1">
        <f t="shared" si="15"/>
        <v>0.48956742369143308</v>
      </c>
      <c r="Y86" s="3">
        <f t="shared" si="16"/>
        <v>4.9408670562209225E-2</v>
      </c>
      <c r="Z86" s="1">
        <f t="shared" si="17"/>
        <v>6.3207077327829667E-2</v>
      </c>
      <c r="AA86" s="8">
        <f t="shared" si="23"/>
        <v>6.1666666666666616</v>
      </c>
      <c r="AB86" s="1">
        <v>6.25</v>
      </c>
      <c r="AC86" s="1">
        <v>1.0033800000000001E-2</v>
      </c>
      <c r="AD86" s="8">
        <f t="shared" si="18"/>
        <v>0.4770792333517494</v>
      </c>
      <c r="AE86" s="3">
        <f t="shared" si="19"/>
        <v>4.754721375269084E-3</v>
      </c>
      <c r="AF86" s="11">
        <f t="shared" si="20"/>
        <v>6.1666666666666616</v>
      </c>
      <c r="AG86" s="1">
        <f t="shared" si="21"/>
        <v>6.3207077327829667E-2</v>
      </c>
    </row>
    <row r="87" spans="2:33" ht="15">
      <c r="B87" s="1">
        <v>76</v>
      </c>
      <c r="C87" s="1">
        <v>1.000038027695304</v>
      </c>
      <c r="D87" s="1">
        <v>1.0781119579689653</v>
      </c>
      <c r="E87" s="1">
        <v>0.92719683785311524</v>
      </c>
      <c r="G87" s="1">
        <v>0.99970188157133544</v>
      </c>
      <c r="H87" s="1">
        <v>1.9315465029406995</v>
      </c>
      <c r="I87" s="1">
        <v>0.49880558431145916</v>
      </c>
      <c r="K87" s="1">
        <v>1.0000822459972991</v>
      </c>
      <c r="L87" s="1">
        <v>1.5354706459642362</v>
      </c>
      <c r="M87" s="1">
        <v>0.64103560565960793</v>
      </c>
      <c r="O87" s="1">
        <v>1.0138152110170015E-2</v>
      </c>
      <c r="P87" s="1">
        <v>0.93780963653430027</v>
      </c>
      <c r="R87" s="1">
        <v>3.5492845641610406E-2</v>
      </c>
      <c r="S87" s="2">
        <f t="shared" ref="S87:S150" si="24">optim_vol_implied(P87,R87)</f>
        <v>0.15975111113513291</v>
      </c>
      <c r="T87" s="4">
        <f t="shared" ref="T87:T150" si="25">S87*S87</f>
        <v>2.5520417508909585E-2</v>
      </c>
      <c r="U87" s="1">
        <f t="shared" si="13"/>
        <v>5.8742389980541718E-3</v>
      </c>
      <c r="V87" s="6">
        <f>2*sigma/alpha*corel*(B87/12-1/alpha*(1-EXP(-alpha*Output!B87/12)))</f>
        <v>8.4212903323258606E-2</v>
      </c>
      <c r="W87" s="5">
        <f t="shared" ref="W87:W150" si="26">U87-T87</f>
        <v>-1.9646178510855414E-2</v>
      </c>
      <c r="X87" s="1">
        <f t="shared" ref="X87:X150" si="27">V87*V87-4*W87*B87/12</f>
        <v>0.50479500202780303</v>
      </c>
      <c r="Y87" s="3">
        <f t="shared" ref="Y87:Y150" si="28">(-V87+SQRT(X87))/2/B87*12</f>
        <v>4.9442871011350878E-2</v>
      </c>
      <c r="Z87" s="1">
        <f t="shared" si="17"/>
        <v>6.3478654732673209E-2</v>
      </c>
      <c r="AA87" s="8">
        <f t="shared" si="23"/>
        <v>6.2499999999999947</v>
      </c>
      <c r="AB87" s="1">
        <v>6.3330000000000002</v>
      </c>
      <c r="AC87" s="1">
        <v>1.0187399999999999E-2</v>
      </c>
      <c r="AD87" s="8">
        <f t="shared" si="18"/>
        <v>0.49247889829984526</v>
      </c>
      <c r="AE87" s="3">
        <f t="shared" si="19"/>
        <v>4.8341961471999265E-3</v>
      </c>
      <c r="AF87" s="11">
        <f t="shared" si="20"/>
        <v>6.2499999999999947</v>
      </c>
      <c r="AG87" s="1">
        <f t="shared" si="21"/>
        <v>6.3478654732673209E-2</v>
      </c>
    </row>
    <row r="88" spans="2:33" ht="15">
      <c r="B88" s="1">
        <v>77</v>
      </c>
      <c r="C88" s="1">
        <v>1.0000406157574568</v>
      </c>
      <c r="D88" s="1">
        <v>1.0788602392883215</v>
      </c>
      <c r="E88" s="1">
        <v>0.92655030208620071</v>
      </c>
      <c r="G88" s="1">
        <v>0.99981351350089354</v>
      </c>
      <c r="H88" s="1">
        <v>1.9414531907461492</v>
      </c>
      <c r="I88" s="1">
        <v>0.49601831172199823</v>
      </c>
      <c r="K88" s="1">
        <v>1.0001445839251684</v>
      </c>
      <c r="L88" s="1">
        <v>1.5440259725334504</v>
      </c>
      <c r="M88" s="1">
        <v>0.63735088205932722</v>
      </c>
      <c r="O88" s="1">
        <v>1.0289437554227895E-2</v>
      </c>
      <c r="P88" s="1">
        <v>0.93610849948161046</v>
      </c>
      <c r="R88" s="1">
        <v>3.551991370581422E-2</v>
      </c>
      <c r="S88" s="2">
        <f t="shared" si="24"/>
        <v>0.1616151973815157</v>
      </c>
      <c r="T88" s="4">
        <f t="shared" si="25"/>
        <v>2.6119472024666277E-2</v>
      </c>
      <c r="U88" s="1">
        <f t="shared" si="13"/>
        <v>6.0973092507157264E-3</v>
      </c>
      <c r="V88" s="6">
        <f>2*sigma/alpha*corel*(B88/12-1/alpha*(1-EXP(-alpha*Output!B88/12)))</f>
        <v>8.636864989230017E-2</v>
      </c>
      <c r="W88" s="5">
        <f t="shared" si="26"/>
        <v>-2.0022162773950553E-2</v>
      </c>
      <c r="X88" s="1">
        <f t="shared" si="27"/>
        <v>0.52136172154894966</v>
      </c>
      <c r="Y88" s="3">
        <f t="shared" si="28"/>
        <v>4.9533909497842428E-2</v>
      </c>
      <c r="Z88" s="1">
        <f t="shared" si="17"/>
        <v>6.3800995829055518E-2</v>
      </c>
      <c r="AA88" s="8">
        <f t="shared" si="23"/>
        <v>6.3333333333333277</v>
      </c>
      <c r="AB88" s="1">
        <v>6.4169999999999998</v>
      </c>
      <c r="AC88" s="1">
        <v>1.0340200000000001E-2</v>
      </c>
      <c r="AD88" s="8">
        <f t="shared" si="18"/>
        <v>0.50762445772106068</v>
      </c>
      <c r="AE88" s="3">
        <f t="shared" si="19"/>
        <v>4.9092324879698715E-3</v>
      </c>
      <c r="AF88" s="11">
        <f t="shared" si="20"/>
        <v>6.3333333333333277</v>
      </c>
      <c r="AG88" s="1">
        <f t="shared" si="21"/>
        <v>6.3800995829055518E-2</v>
      </c>
    </row>
    <row r="89" spans="2:33" ht="15">
      <c r="B89" s="1">
        <v>78</v>
      </c>
      <c r="C89" s="1">
        <v>1.0000401074240468</v>
      </c>
      <c r="D89" s="1">
        <v>1.0776597040997358</v>
      </c>
      <c r="E89" s="1">
        <v>0.92757907250891558</v>
      </c>
      <c r="G89" s="1">
        <v>0.99967534776027911</v>
      </c>
      <c r="H89" s="1">
        <v>1.9233491111681271</v>
      </c>
      <c r="I89" s="1">
        <v>0.50044308067453813</v>
      </c>
      <c r="K89" s="1">
        <v>1.0001476293082525</v>
      </c>
      <c r="L89" s="1">
        <v>1.559260697286853</v>
      </c>
      <c r="M89" s="1">
        <v>0.63099218799413748</v>
      </c>
      <c r="O89" s="1">
        <v>1.0439999951959822E-2</v>
      </c>
      <c r="P89" s="1">
        <v>0.93439127949146839</v>
      </c>
      <c r="R89" s="1">
        <v>3.5405994540973429E-2</v>
      </c>
      <c r="S89" s="2">
        <f t="shared" si="24"/>
        <v>0.16309284945578689</v>
      </c>
      <c r="T89" s="4">
        <f t="shared" si="25"/>
        <v>2.6599277543607965E-2</v>
      </c>
      <c r="U89" s="1">
        <f t="shared" si="13"/>
        <v>6.3256547925140414E-3</v>
      </c>
      <c r="V89" s="6">
        <f>2*sigma/alpha*corel*(B89/12-1/alpha*(1-EXP(-alpha*Output!B89/12)))</f>
        <v>8.8549738018730756E-2</v>
      </c>
      <c r="W89" s="5">
        <f t="shared" si="26"/>
        <v>-2.0273622751093925E-2</v>
      </c>
      <c r="X89" s="1">
        <f t="shared" si="27"/>
        <v>0.53495524763162794</v>
      </c>
      <c r="Y89" s="3">
        <f t="shared" si="28"/>
        <v>4.9450508551435408E-2</v>
      </c>
      <c r="Z89" s="1">
        <f t="shared" si="17"/>
        <v>6.397027860788522E-2</v>
      </c>
      <c r="AA89" s="8">
        <f t="shared" si="23"/>
        <v>6.4166666666666607</v>
      </c>
      <c r="AB89" s="1">
        <v>6.5</v>
      </c>
      <c r="AC89" s="1">
        <v>1.04923E-2</v>
      </c>
      <c r="AD89" s="8">
        <f t="shared" si="18"/>
        <v>0.52300048040177649</v>
      </c>
      <c r="AE89" s="3">
        <f t="shared" si="19"/>
        <v>4.9846123385890277E-3</v>
      </c>
      <c r="AF89" s="11">
        <f t="shared" si="20"/>
        <v>6.4166666666666607</v>
      </c>
      <c r="AG89" s="1">
        <f t="shared" si="21"/>
        <v>6.397027860788522E-2</v>
      </c>
    </row>
    <row r="90" spans="2:33" ht="15">
      <c r="B90" s="1">
        <v>79</v>
      </c>
      <c r="C90" s="1">
        <v>1.0000408661544804</v>
      </c>
      <c r="D90" s="1">
        <v>1.0785416698663868</v>
      </c>
      <c r="E90" s="1">
        <v>0.92681715467290393</v>
      </c>
      <c r="G90" s="1">
        <v>0.99963960333658164</v>
      </c>
      <c r="H90" s="1">
        <v>1.9472330940340674</v>
      </c>
      <c r="I90" s="1">
        <v>0.49406383083405392</v>
      </c>
      <c r="K90" s="1">
        <v>1.0001871737780739</v>
      </c>
      <c r="L90" s="1">
        <v>1.565056178679161</v>
      </c>
      <c r="M90" s="1">
        <v>0.62852463586289065</v>
      </c>
      <c r="O90" s="1">
        <v>1.058993669321673E-2</v>
      </c>
      <c r="P90" s="1">
        <v>0.93265764707232879</v>
      </c>
      <c r="R90" s="1">
        <v>3.5501135141203122E-2</v>
      </c>
      <c r="S90" s="2">
        <f t="shared" si="24"/>
        <v>0.16517663074478905</v>
      </c>
      <c r="T90" s="4">
        <f t="shared" si="25"/>
        <v>2.7283319344200394E-2</v>
      </c>
      <c r="U90" s="1">
        <f t="shared" si="13"/>
        <v>6.5593228335752637E-3</v>
      </c>
      <c r="V90" s="6">
        <f>2*sigma/alpha*corel*(B90/12-1/alpha*(1-EXP(-alpha*Output!B90/12)))</f>
        <v>9.075609952658846E-2</v>
      </c>
      <c r="W90" s="5">
        <f t="shared" si="26"/>
        <v>-2.072399651062513E-2</v>
      </c>
      <c r="X90" s="1">
        <f t="shared" si="27"/>
        <v>0.55396857771440844</v>
      </c>
      <c r="Y90" s="3">
        <f t="shared" si="28"/>
        <v>4.963553578700821E-2</v>
      </c>
      <c r="Z90" s="1">
        <f t="shared" si="17"/>
        <v>6.4376250842502231E-2</v>
      </c>
      <c r="AA90" s="8">
        <f t="shared" si="23"/>
        <v>6.4999999999999938</v>
      </c>
      <c r="AB90" s="1">
        <v>6.5830000000000002</v>
      </c>
      <c r="AC90" s="1">
        <v>1.0643700000000001E-2</v>
      </c>
      <c r="AD90" s="8">
        <f t="shared" si="18"/>
        <v>0.53763306783270737</v>
      </c>
      <c r="AE90" s="3">
        <f t="shared" si="19"/>
        <v>5.0511858454551266E-3</v>
      </c>
      <c r="AF90" s="11">
        <f t="shared" si="20"/>
        <v>6.4999999999999938</v>
      </c>
      <c r="AG90" s="1">
        <f t="shared" si="21"/>
        <v>6.4376250842502231E-2</v>
      </c>
    </row>
    <row r="91" spans="2:33" ht="15">
      <c r="B91" s="1">
        <v>80</v>
      </c>
      <c r="C91" s="1">
        <v>1.0000438315815583</v>
      </c>
      <c r="D91" s="1">
        <v>1.0783718847622819</v>
      </c>
      <c r="E91" s="1">
        <v>0.92695970109401882</v>
      </c>
      <c r="G91" s="1">
        <v>0.99978160902090618</v>
      </c>
      <c r="H91" s="1">
        <v>1.9228599939826916</v>
      </c>
      <c r="I91" s="1">
        <v>0.50008237733578476</v>
      </c>
      <c r="K91" s="1">
        <v>1.000257528140972</v>
      </c>
      <c r="L91" s="1">
        <v>1.5583117589763595</v>
      </c>
      <c r="M91" s="1">
        <v>0.63111341384113262</v>
      </c>
      <c r="O91" s="1">
        <v>1.0739199751870515E-2</v>
      </c>
      <c r="P91" s="1">
        <v>0.9309081489920471</v>
      </c>
      <c r="R91" s="1">
        <v>3.5626025248720973E-2</v>
      </c>
      <c r="S91" s="2">
        <f t="shared" si="24"/>
        <v>0.1673602063454297</v>
      </c>
      <c r="T91" s="4">
        <f t="shared" si="25"/>
        <v>2.8009438667984807E-2</v>
      </c>
      <c r="U91" s="1">
        <f t="shared" si="13"/>
        <v>6.798360127084499E-3</v>
      </c>
      <c r="V91" s="6">
        <f>2*sigma/alpha*corel*(B91/12-1/alpha*(1-EXP(-alpha*Output!B91/12)))</f>
        <v>9.298766642332526E-2</v>
      </c>
      <c r="W91" s="5">
        <f t="shared" si="26"/>
        <v>-2.1211078540900308E-2</v>
      </c>
      <c r="X91" s="1">
        <f t="shared" si="27"/>
        <v>0.57427546719753042</v>
      </c>
      <c r="Y91" s="3">
        <f t="shared" si="28"/>
        <v>4.9861648845664894E-2</v>
      </c>
      <c r="Z91" s="1">
        <f t="shared" si="17"/>
        <v>6.4818329199368613E-2</v>
      </c>
      <c r="AA91" s="8">
        <f t="shared" si="23"/>
        <v>6.5833333333333268</v>
      </c>
      <c r="AB91" s="1">
        <v>6.6669999999999998</v>
      </c>
      <c r="AC91" s="1">
        <v>1.07945E-2</v>
      </c>
      <c r="AD91" s="8">
        <f t="shared" si="18"/>
        <v>0.55300248129485152</v>
      </c>
      <c r="AE91" s="3">
        <f t="shared" si="19"/>
        <v>5.1230022816698461E-3</v>
      </c>
      <c r="AF91" s="11">
        <f t="shared" si="20"/>
        <v>6.5833333333333268</v>
      </c>
      <c r="AG91" s="1">
        <f t="shared" si="21"/>
        <v>6.4818329199368613E-2</v>
      </c>
    </row>
    <row r="92" spans="2:33" ht="15">
      <c r="B92" s="1">
        <v>81</v>
      </c>
      <c r="C92" s="1">
        <v>1.0000438687013766</v>
      </c>
      <c r="D92" s="1">
        <v>1.0789997991096025</v>
      </c>
      <c r="E92" s="1">
        <v>0.9264169123763667</v>
      </c>
      <c r="G92" s="1">
        <v>0.99968269572305868</v>
      </c>
      <c r="H92" s="1">
        <v>1.9429220813865788</v>
      </c>
      <c r="I92" s="1">
        <v>0.49467738700665032</v>
      </c>
      <c r="K92" s="1">
        <v>1.0002732333419255</v>
      </c>
      <c r="L92" s="1">
        <v>1.5358153562444197</v>
      </c>
      <c r="M92" s="1">
        <v>0.64022447855714704</v>
      </c>
      <c r="O92" s="1">
        <v>1.0887854090287842E-2</v>
      </c>
      <c r="P92" s="1">
        <v>0.929142635728476</v>
      </c>
      <c r="R92" s="1">
        <v>3.5576449909723945E-2</v>
      </c>
      <c r="S92" s="2">
        <f t="shared" si="24"/>
        <v>0.1690591403957965</v>
      </c>
      <c r="T92" s="4">
        <f t="shared" si="25"/>
        <v>2.8580992951365632E-2</v>
      </c>
      <c r="U92" s="1">
        <f t="shared" si="13"/>
        <v>7.0428129722865758E-3</v>
      </c>
      <c r="V92" s="6">
        <f>2*sigma/alpha*corel*(B92/12-1/alpha*(1-EXP(-alpha*Output!B92/12)))</f>
        <v>9.5244370899310302E-2</v>
      </c>
      <c r="W92" s="5">
        <f t="shared" si="26"/>
        <v>-2.1538179979079055E-2</v>
      </c>
      <c r="X92" s="1">
        <f t="shared" si="27"/>
        <v>0.59060234962313984</v>
      </c>
      <c r="Y92" s="3">
        <f t="shared" si="28"/>
        <v>4.9871274079265629E-2</v>
      </c>
      <c r="Z92" s="1">
        <f t="shared" si="17"/>
        <v>6.5070893477653227E-2</v>
      </c>
      <c r="AA92" s="8">
        <f t="shared" si="23"/>
        <v>6.6666666666666599</v>
      </c>
      <c r="AB92" s="1">
        <v>6.75</v>
      </c>
      <c r="AC92" s="1">
        <v>1.09447E-2</v>
      </c>
      <c r="AD92" s="8">
        <f t="shared" si="18"/>
        <v>0.56845909712157849</v>
      </c>
      <c r="AE92" s="3">
        <f t="shared" si="19"/>
        <v>5.1939212323917376E-3</v>
      </c>
      <c r="AF92" s="11">
        <f t="shared" si="20"/>
        <v>6.6666666666666599</v>
      </c>
      <c r="AG92" s="1">
        <f t="shared" si="21"/>
        <v>6.5070893477653227E-2</v>
      </c>
    </row>
    <row r="93" spans="2:33" ht="15">
      <c r="B93" s="1">
        <v>82</v>
      </c>
      <c r="C93" s="1">
        <v>1.0000442395927267</v>
      </c>
      <c r="D93" s="1">
        <v>1.0766532191475917</v>
      </c>
      <c r="E93" s="1">
        <v>0.92843271383555426</v>
      </c>
      <c r="G93" s="1">
        <v>0.99961433439812442</v>
      </c>
      <c r="H93" s="1">
        <v>1.903293897829387</v>
      </c>
      <c r="I93" s="1">
        <v>0.50473082885659604</v>
      </c>
      <c r="K93" s="1">
        <v>1.0002748622470983</v>
      </c>
      <c r="L93" s="1">
        <v>1.5379076188297005</v>
      </c>
      <c r="M93" s="1">
        <v>0.63922029315769546</v>
      </c>
      <c r="O93" s="1">
        <v>1.1035994681545029E-2</v>
      </c>
      <c r="P93" s="1">
        <v>0.92736075020299757</v>
      </c>
      <c r="R93" s="1">
        <v>3.5519581505301781E-2</v>
      </c>
      <c r="S93" s="2">
        <f t="shared" si="24"/>
        <v>0.17074943489521116</v>
      </c>
      <c r="T93" s="4">
        <f t="shared" si="25"/>
        <v>2.9155369517033954E-2</v>
      </c>
      <c r="U93" s="1">
        <f t="shared" si="13"/>
        <v>7.2927272174714503E-3</v>
      </c>
      <c r="V93" s="6">
        <f>2*sigma/alpha*corel*(B93/12-1/alpha*(1-EXP(-alpha*Output!B93/12)))</f>
        <v>9.7526145327341843E-2</v>
      </c>
      <c r="W93" s="5">
        <f t="shared" si="26"/>
        <v>-2.1862642299562505E-2</v>
      </c>
      <c r="X93" s="1">
        <f t="shared" si="27"/>
        <v>0.60709023854378497</v>
      </c>
      <c r="Y93" s="3">
        <f t="shared" si="28"/>
        <v>4.9875644754260672E-2</v>
      </c>
      <c r="Z93" s="1">
        <f t="shared" si="17"/>
        <v>6.5319518074746716E-2</v>
      </c>
      <c r="AA93" s="8">
        <f t="shared" si="23"/>
        <v>6.7499999999999929</v>
      </c>
      <c r="AB93" s="1">
        <v>6.8330000000000002</v>
      </c>
      <c r="AC93" s="1">
        <v>1.10943E-2</v>
      </c>
      <c r="AD93" s="8">
        <f t="shared" si="18"/>
        <v>0.58305318454970545</v>
      </c>
      <c r="AE93" s="3">
        <f t="shared" si="19"/>
        <v>5.2554301267290901E-3</v>
      </c>
      <c r="AF93" s="11">
        <f t="shared" si="20"/>
        <v>6.7499999999999929</v>
      </c>
      <c r="AG93" s="1">
        <f t="shared" si="21"/>
        <v>6.5319518074746716E-2</v>
      </c>
    </row>
    <row r="94" spans="2:33" ht="15">
      <c r="B94" s="1">
        <v>83</v>
      </c>
      <c r="C94" s="1">
        <v>1.0000443384210445</v>
      </c>
      <c r="D94" s="1">
        <v>1.0755645441294042</v>
      </c>
      <c r="E94" s="1">
        <v>0.92936914581552388</v>
      </c>
      <c r="G94" s="1">
        <v>0.99951714989183926</v>
      </c>
      <c r="H94" s="1">
        <v>1.8868356859695297</v>
      </c>
      <c r="I94" s="1">
        <v>0.50888525556559683</v>
      </c>
      <c r="K94" s="1">
        <v>1.0002676348485748</v>
      </c>
      <c r="L94" s="1">
        <v>1.5413100708672836</v>
      </c>
      <c r="M94" s="1">
        <v>0.63767634754839386</v>
      </c>
      <c r="O94" s="1">
        <v>1.1183636054739824E-2</v>
      </c>
      <c r="P94" s="1">
        <v>0.92556262538824141</v>
      </c>
      <c r="R94" s="1">
        <v>3.5528058917670469E-2</v>
      </c>
      <c r="S94" s="2">
        <f t="shared" si="24"/>
        <v>0.17264079133810883</v>
      </c>
      <c r="T94" s="4">
        <f t="shared" si="25"/>
        <v>2.9804842833848433E-2</v>
      </c>
      <c r="U94" s="1">
        <f t="shared" si="13"/>
        <v>7.5481482629393259E-3</v>
      </c>
      <c r="V94" s="6">
        <f>2*sigma/alpha*corel*(B94/12-1/alpha*(1-EXP(-alpha*Output!B94/12)))</f>
        <v>9.9832922262154011E-2</v>
      </c>
      <c r="W94" s="5">
        <f t="shared" si="26"/>
        <v>-2.2256694570909105E-2</v>
      </c>
      <c r="X94" s="1">
        <f t="shared" si="27"/>
        <v>0.6257351621625532</v>
      </c>
      <c r="Y94" s="3">
        <f t="shared" si="28"/>
        <v>4.9966360012721631E-2</v>
      </c>
      <c r="Z94" s="1">
        <f t="shared" si="17"/>
        <v>6.5643993660417468E-2</v>
      </c>
      <c r="AA94" s="8">
        <f t="shared" si="23"/>
        <v>6.8333333333333259</v>
      </c>
      <c r="AB94" s="1">
        <v>6.9169999999999998</v>
      </c>
      <c r="AC94" s="1">
        <v>1.1243400000000001E-2</v>
      </c>
      <c r="AD94" s="8">
        <f t="shared" si="18"/>
        <v>0.59763945260176565</v>
      </c>
      <c r="AE94" s="3">
        <f t="shared" si="19"/>
        <v>5.3154690983311598E-3</v>
      </c>
      <c r="AF94" s="11">
        <f t="shared" si="20"/>
        <v>6.8333333333333259</v>
      </c>
      <c r="AG94" s="1">
        <f t="shared" si="21"/>
        <v>6.5643993660417468E-2</v>
      </c>
    </row>
    <row r="95" spans="2:33" ht="15">
      <c r="B95" s="1">
        <v>84</v>
      </c>
      <c r="C95" s="1">
        <v>1.0000451601029949</v>
      </c>
      <c r="D95" s="1">
        <v>1.0764660042484167</v>
      </c>
      <c r="E95" s="1">
        <v>0.92858757641027856</v>
      </c>
      <c r="G95" s="1">
        <v>0.99948259660745631</v>
      </c>
      <c r="H95" s="1">
        <v>1.899991110998974</v>
      </c>
      <c r="I95" s="1">
        <v>0.50511545782142975</v>
      </c>
      <c r="K95" s="1">
        <v>1.0002979617628587</v>
      </c>
      <c r="L95" s="1">
        <v>1.5510508458917822</v>
      </c>
      <c r="M95" s="1">
        <v>0.63353966614020063</v>
      </c>
      <c r="O95" s="1">
        <v>1.1330772856807071E-2</v>
      </c>
      <c r="P95" s="1">
        <v>0.92374851897320498</v>
      </c>
      <c r="R95" s="1">
        <v>3.5622030090639099E-2</v>
      </c>
      <c r="S95" s="2">
        <f t="shared" si="24"/>
        <v>0.17479369528627919</v>
      </c>
      <c r="T95" s="4">
        <f t="shared" si="25"/>
        <v>3.055283591183262E-2</v>
      </c>
      <c r="U95" s="1">
        <f t="shared" si="13"/>
        <v>7.8091210639504114E-3</v>
      </c>
      <c r="V95" s="6">
        <f>2*sigma/alpha*corel*(B95/12-1/alpha*(1-EXP(-alpha*Output!B95/12)))</f>
        <v>0.10216463443992632</v>
      </c>
      <c r="W95" s="5">
        <f t="shared" si="26"/>
        <v>-2.2743714847882207E-2</v>
      </c>
      <c r="X95" s="1">
        <f t="shared" si="27"/>
        <v>0.64726162827094558</v>
      </c>
      <c r="Y95" s="3">
        <f t="shared" si="28"/>
        <v>5.016864870797183E-2</v>
      </c>
      <c r="Z95" s="1">
        <f t="shared" si="17"/>
        <v>6.606580692421396E-2</v>
      </c>
      <c r="AA95" s="8">
        <f t="shared" si="23"/>
        <v>6.916666666666659</v>
      </c>
      <c r="AB95" s="1">
        <v>7</v>
      </c>
      <c r="AC95" s="1">
        <v>1.13919E-2</v>
      </c>
      <c r="AD95" s="8">
        <f t="shared" si="18"/>
        <v>0.61127143192929101</v>
      </c>
      <c r="AE95" s="3">
        <f t="shared" si="19"/>
        <v>5.3658426770713486E-3</v>
      </c>
      <c r="AF95" s="11">
        <f t="shared" si="20"/>
        <v>6.916666666666659</v>
      </c>
      <c r="AG95" s="1">
        <f t="shared" si="21"/>
        <v>6.606580692421396E-2</v>
      </c>
    </row>
    <row r="96" spans="2:33" ht="15">
      <c r="B96" s="1">
        <v>85</v>
      </c>
      <c r="C96" s="1">
        <v>1.0000459314769594</v>
      </c>
      <c r="D96" s="1">
        <v>1.0804050367144549</v>
      </c>
      <c r="E96" s="1">
        <v>0.9251987949278494</v>
      </c>
      <c r="G96" s="1">
        <v>0.99944205493098048</v>
      </c>
      <c r="H96" s="1">
        <v>1.9638282583135749</v>
      </c>
      <c r="I96" s="1">
        <v>0.48845776618786096</v>
      </c>
      <c r="K96" s="1">
        <v>1.0003233331476307</v>
      </c>
      <c r="L96" s="1">
        <v>1.5756579384513791</v>
      </c>
      <c r="M96" s="1">
        <v>0.62351574800862186</v>
      </c>
      <c r="O96" s="1">
        <v>1.1477349839995692E-2</v>
      </c>
      <c r="P96" s="1">
        <v>0.92191901574583013</v>
      </c>
      <c r="R96" s="1">
        <v>3.5680011246095725E-2</v>
      </c>
      <c r="S96" s="2">
        <f t="shared" si="24"/>
        <v>0.17685655874018563</v>
      </c>
      <c r="T96" s="4">
        <f t="shared" si="25"/>
        <v>3.1278242369420728E-2</v>
      </c>
      <c r="U96" s="1">
        <f t="shared" si="13"/>
        <v>8.0756901336604264E-3</v>
      </c>
      <c r="V96" s="6">
        <f>2*sigma/alpha*corel*(B96/12-1/alpha*(1-EXP(-alpha*Output!B96/12)))</f>
        <v>0.1045212147777987</v>
      </c>
      <c r="W96" s="5">
        <f t="shared" si="26"/>
        <v>-2.3202552235760301E-2</v>
      </c>
      <c r="X96" s="1">
        <f t="shared" si="27"/>
        <v>0.66833033101850192</v>
      </c>
      <c r="Y96" s="3">
        <f t="shared" si="28"/>
        <v>5.0328953897026553E-2</v>
      </c>
      <c r="Z96" s="1">
        <f t="shared" si="17"/>
        <v>6.6451123872499115E-2</v>
      </c>
      <c r="AA96" s="8">
        <f t="shared" si="23"/>
        <v>6.999999999999992</v>
      </c>
      <c r="AB96" s="1">
        <v>7.0830000000000002</v>
      </c>
      <c r="AC96" s="1">
        <v>1.1539900000000001E-2</v>
      </c>
      <c r="AD96" s="8">
        <f t="shared" si="18"/>
        <v>0.62550160004308175</v>
      </c>
      <c r="AE96" s="3">
        <f t="shared" si="19"/>
        <v>5.4203381315529745E-3</v>
      </c>
      <c r="AF96" s="11">
        <f t="shared" si="20"/>
        <v>6.999999999999992</v>
      </c>
      <c r="AG96" s="1">
        <f t="shared" si="21"/>
        <v>6.6451123872499115E-2</v>
      </c>
    </row>
    <row r="97" spans="2:33" ht="15">
      <c r="B97" s="1">
        <v>86</v>
      </c>
      <c r="C97" s="1">
        <v>1.0000458879081009</v>
      </c>
      <c r="D97" s="1">
        <v>1.0836516689427196</v>
      </c>
      <c r="E97" s="1">
        <v>0.92242366215193117</v>
      </c>
      <c r="G97" s="1">
        <v>0.99933156339141005</v>
      </c>
      <c r="H97" s="1">
        <v>2.0187855580488243</v>
      </c>
      <c r="I97" s="1">
        <v>0.47492895345627828</v>
      </c>
      <c r="K97" s="1">
        <v>1.0003490631960823</v>
      </c>
      <c r="L97" s="1">
        <v>1.5816768209588077</v>
      </c>
      <c r="M97" s="1">
        <v>0.62101364197251707</v>
      </c>
      <c r="O97" s="1">
        <v>1.1623402763333818E-2</v>
      </c>
      <c r="P97" s="1">
        <v>0.92007411432280861</v>
      </c>
      <c r="R97" s="1">
        <v>3.5674398202988622E-2</v>
      </c>
      <c r="S97" s="2">
        <f t="shared" si="24"/>
        <v>0.17874756895212801</v>
      </c>
      <c r="T97" s="4">
        <f t="shared" si="25"/>
        <v>3.1950693406295756E-2</v>
      </c>
      <c r="U97" s="1">
        <f t="shared" si="13"/>
        <v>8.3478995460297793E-3</v>
      </c>
      <c r="V97" s="6">
        <f>2*sigma/alpha*corel*(B97/12-1/alpha*(1-EXP(-alpha*Output!B97/12)))</f>
        <v>0.10690259637338209</v>
      </c>
      <c r="W97" s="5">
        <f t="shared" si="26"/>
        <v>-2.3602793860265977E-2</v>
      </c>
      <c r="X97" s="1">
        <f t="shared" si="27"/>
        <v>0.6880415891056616</v>
      </c>
      <c r="Y97" s="3">
        <f t="shared" si="28"/>
        <v>5.0412567030731076E-2</v>
      </c>
      <c r="Z97" s="1">
        <f t="shared" si="17"/>
        <v>6.6770025380035403E-2</v>
      </c>
      <c r="AA97" s="8">
        <f t="shared" si="23"/>
        <v>7.083333333333325</v>
      </c>
      <c r="AB97" s="1">
        <v>7.1669999999999998</v>
      </c>
      <c r="AC97" s="1">
        <v>1.1687400000000001E-2</v>
      </c>
      <c r="AD97" s="8">
        <f t="shared" si="18"/>
        <v>0.63997236666182844</v>
      </c>
      <c r="AE97" s="3">
        <f t="shared" si="19"/>
        <v>5.4757462452027688E-3</v>
      </c>
      <c r="AF97" s="11">
        <f t="shared" si="20"/>
        <v>7.083333333333325</v>
      </c>
      <c r="AG97" s="1">
        <f t="shared" si="21"/>
        <v>6.6770025380035403E-2</v>
      </c>
    </row>
    <row r="98" spans="2:33" ht="15">
      <c r="B98" s="1">
        <v>87</v>
      </c>
      <c r="C98" s="1">
        <v>1.0000466036399238</v>
      </c>
      <c r="D98" s="1">
        <v>1.0860058507409545</v>
      </c>
      <c r="E98" s="1">
        <v>0.92042088647413756</v>
      </c>
      <c r="G98" s="1">
        <v>0.99928364390826863</v>
      </c>
      <c r="H98" s="1">
        <v>2.0566714211657251</v>
      </c>
      <c r="I98" s="1">
        <v>0.46595314888816841</v>
      </c>
      <c r="K98" s="1">
        <v>1.0003655193708589</v>
      </c>
      <c r="L98" s="1">
        <v>1.5530292088247815</v>
      </c>
      <c r="M98" s="1">
        <v>0.63233728268356126</v>
      </c>
      <c r="O98" s="1">
        <v>1.1768816903184078E-2</v>
      </c>
      <c r="P98" s="1">
        <v>0.91821480574447045</v>
      </c>
      <c r="R98" s="1">
        <v>3.5676133509249704E-2</v>
      </c>
      <c r="S98" s="2">
        <f t="shared" si="24"/>
        <v>0.18067188921655608</v>
      </c>
      <c r="T98" s="4">
        <f t="shared" si="25"/>
        <v>3.2642331553079516E-2</v>
      </c>
      <c r="U98" s="1">
        <f t="shared" si="13"/>
        <v>8.6257929387300123E-3</v>
      </c>
      <c r="V98" s="6">
        <f>2*sigma/alpha*corel*(B98/12-1/alpha*(1-EXP(-alpha*Output!B98/12)))</f>
        <v>0.1093087125042744</v>
      </c>
      <c r="W98" s="5">
        <f t="shared" si="26"/>
        <v>-2.4016538614349506E-2</v>
      </c>
      <c r="X98" s="1">
        <f t="shared" si="27"/>
        <v>0.70842801444547787</v>
      </c>
      <c r="Y98" s="3">
        <f t="shared" si="28"/>
        <v>5.0508479041978908E-2</v>
      </c>
      <c r="Z98" s="1">
        <f t="shared" si="17"/>
        <v>6.7099855134310465E-2</v>
      </c>
      <c r="AA98" s="8">
        <f t="shared" si="23"/>
        <v>7.1666666666666581</v>
      </c>
      <c r="AB98" s="1">
        <v>7.25</v>
      </c>
      <c r="AC98" s="1">
        <v>1.18342E-2</v>
      </c>
      <c r="AD98" s="8">
        <f t="shared" si="18"/>
        <v>0.65383096815922048</v>
      </c>
      <c r="AE98" s="3">
        <f t="shared" si="19"/>
        <v>5.5249274827129892E-3</v>
      </c>
      <c r="AF98" s="11">
        <f t="shared" si="20"/>
        <v>7.1666666666666581</v>
      </c>
      <c r="AG98" s="1">
        <f t="shared" si="21"/>
        <v>6.7099855134310465E-2</v>
      </c>
    </row>
    <row r="99" spans="2:33" ht="15">
      <c r="B99" s="1">
        <v>88</v>
      </c>
      <c r="C99" s="1">
        <v>1.0000462803894805</v>
      </c>
      <c r="D99" s="1">
        <v>1.0827474767510255</v>
      </c>
      <c r="E99" s="1">
        <v>0.92318757597053203</v>
      </c>
      <c r="G99" s="1">
        <v>0.9991447743280687</v>
      </c>
      <c r="H99" s="1">
        <v>2.0005554626242747</v>
      </c>
      <c r="I99" s="1">
        <v>0.47878982583290747</v>
      </c>
      <c r="K99" s="1">
        <v>1.000334529311381</v>
      </c>
      <c r="L99" s="1">
        <v>1.5581024618361277</v>
      </c>
      <c r="M99" s="1">
        <v>0.63014706930842368</v>
      </c>
      <c r="O99" s="1">
        <v>1.191352364076954E-2</v>
      </c>
      <c r="P99" s="1">
        <v>0.91634179979092856</v>
      </c>
      <c r="R99" s="1">
        <v>3.5413888954670972E-2</v>
      </c>
      <c r="S99" s="2">
        <f t="shared" si="24"/>
        <v>0.18182880645763999</v>
      </c>
      <c r="T99" s="4">
        <f t="shared" si="25"/>
        <v>3.3061714857809905E-2</v>
      </c>
      <c r="U99" s="1">
        <f t="shared" si="13"/>
        <v>8.9094135160162347E-3</v>
      </c>
      <c r="V99" s="6">
        <f>2*sigma/alpha*corel*(B99/12-1/alpha*(1-EXP(-alpha*Output!B99/12)))</f>
        <v>0.11173949662757508</v>
      </c>
      <c r="W99" s="5">
        <f t="shared" si="26"/>
        <v>-2.4152301341793671E-2</v>
      </c>
      <c r="X99" s="1">
        <f t="shared" si="27"/>
        <v>0.72095322113253157</v>
      </c>
      <c r="Y99" s="3">
        <f t="shared" si="28"/>
        <v>5.0273873587500698E-2</v>
      </c>
      <c r="Z99" s="1">
        <f t="shared" si="17"/>
        <v>6.7144736669590296E-2</v>
      </c>
      <c r="AA99" s="8">
        <f t="shared" si="23"/>
        <v>7.2499999999999911</v>
      </c>
      <c r="AB99" s="1">
        <v>7.3330000000000002</v>
      </c>
      <c r="AC99" s="1">
        <v>1.19802E-2</v>
      </c>
      <c r="AD99" s="8">
        <f t="shared" si="18"/>
        <v>0.66676359230459503</v>
      </c>
      <c r="AE99" s="3">
        <f t="shared" si="19"/>
        <v>5.5655464207992776E-3</v>
      </c>
      <c r="AF99" s="11">
        <f t="shared" si="20"/>
        <v>7.2499999999999911</v>
      </c>
      <c r="AG99" s="1">
        <f t="shared" si="21"/>
        <v>6.7144736669590296E-2</v>
      </c>
    </row>
    <row r="100" spans="2:33" ht="15">
      <c r="B100" s="1">
        <v>89</v>
      </c>
      <c r="C100" s="1">
        <v>1.0000484301261825</v>
      </c>
      <c r="D100" s="1">
        <v>1.0812734625371634</v>
      </c>
      <c r="E100" s="1">
        <v>0.92444291483424834</v>
      </c>
      <c r="G100" s="1">
        <v>0.99920967198009936</v>
      </c>
      <c r="H100" s="1">
        <v>1.974991833429427</v>
      </c>
      <c r="I100" s="1">
        <v>0.48475083514088352</v>
      </c>
      <c r="K100" s="1">
        <v>1.0003419724235596</v>
      </c>
      <c r="L100" s="1">
        <v>1.5619005201722851</v>
      </c>
      <c r="M100" s="1">
        <v>0.62848379881989758</v>
      </c>
      <c r="O100" s="1">
        <v>1.2057460253948341E-2</v>
      </c>
      <c r="P100" s="1">
        <v>0.91445578280021822</v>
      </c>
      <c r="R100" s="1">
        <v>3.5368601072500831E-2</v>
      </c>
      <c r="S100" s="2">
        <f t="shared" si="24"/>
        <v>0.18363251525643404</v>
      </c>
      <c r="T100" s="4">
        <f t="shared" si="25"/>
        <v>3.3720900659404481E-2</v>
      </c>
      <c r="U100" s="1">
        <f t="shared" si="13"/>
        <v>9.1988040515951809E-3</v>
      </c>
      <c r="V100" s="6">
        <f>2*sigma/alpha*corel*(B100/12-1/alpha*(1-EXP(-alpha*Output!B100/12)))</f>
        <v>0.11419488237940313</v>
      </c>
      <c r="W100" s="5">
        <f t="shared" si="26"/>
        <v>-2.45220966078093E-2</v>
      </c>
      <c r="X100" s="1">
        <f t="shared" si="27"/>
        <v>0.74052933719332159</v>
      </c>
      <c r="Y100" s="3">
        <f t="shared" si="28"/>
        <v>5.0315410807941531E-2</v>
      </c>
      <c r="Z100" s="1">
        <f t="shared" si="17"/>
        <v>6.7428764567917604E-2</v>
      </c>
      <c r="AA100" s="8">
        <f t="shared" si="23"/>
        <v>7.3333333333333242</v>
      </c>
      <c r="AB100" s="1">
        <v>7.4169999999999998</v>
      </c>
      <c r="AC100" s="1">
        <v>1.21254E-2</v>
      </c>
      <c r="AD100" s="8">
        <f t="shared" si="18"/>
        <v>0.67939746051659189</v>
      </c>
      <c r="AE100" s="3">
        <f t="shared" si="19"/>
        <v>5.6030931805679971E-3</v>
      </c>
      <c r="AF100" s="11">
        <f t="shared" si="20"/>
        <v>7.3333333333333242</v>
      </c>
      <c r="AG100" s="1">
        <f t="shared" si="21"/>
        <v>6.7428764567917604E-2</v>
      </c>
    </row>
    <row r="101" spans="2:33" ht="15">
      <c r="B101" s="1">
        <v>90</v>
      </c>
      <c r="C101" s="1">
        <v>1.0000498395183794</v>
      </c>
      <c r="D101" s="1">
        <v>1.0822299465081837</v>
      </c>
      <c r="E101" s="1">
        <v>0.92362273888110014</v>
      </c>
      <c r="G101" s="1">
        <v>0.99921459841168414</v>
      </c>
      <c r="H101" s="1">
        <v>2.0015307582909032</v>
      </c>
      <c r="I101" s="1">
        <v>0.47809035082164159</v>
      </c>
      <c r="K101" s="1">
        <v>1.0003677914698745</v>
      </c>
      <c r="L101" s="1">
        <v>1.5810386500990325</v>
      </c>
      <c r="M101" s="1">
        <v>0.62074680329518772</v>
      </c>
      <c r="O101" s="1">
        <v>1.2200479465171638E-2</v>
      </c>
      <c r="P101" s="1">
        <v>0.91255803459765084</v>
      </c>
      <c r="R101" s="1">
        <v>3.5363752281541191E-2</v>
      </c>
      <c r="S101" s="2">
        <f t="shared" si="24"/>
        <v>0.18556481997896629</v>
      </c>
      <c r="T101" s="4">
        <f t="shared" si="25"/>
        <v>3.4434302413826168E-2</v>
      </c>
      <c r="U101" s="1">
        <f t="shared" si="13"/>
        <v>9.4940068914735106E-3</v>
      </c>
      <c r="V101" s="6">
        <f>2*sigma/alpha*corel*(B101/12-1/alpha*(1-EXP(-alpha*Output!B101/12)))</f>
        <v>0.11667480357441487</v>
      </c>
      <c r="W101" s="5">
        <f t="shared" si="26"/>
        <v>-2.4940295522352655E-2</v>
      </c>
      <c r="X101" s="1">
        <f t="shared" si="27"/>
        <v>0.76182187545970792</v>
      </c>
      <c r="Y101" s="3">
        <f t="shared" si="28"/>
        <v>5.0409951793474642E-2</v>
      </c>
      <c r="Z101" s="1">
        <f t="shared" si="17"/>
        <v>6.7758691854576766E-2</v>
      </c>
      <c r="AA101" s="8">
        <f t="shared" si="23"/>
        <v>7.4166666666666572</v>
      </c>
      <c r="AB101" s="1">
        <v>7.5</v>
      </c>
      <c r="AC101" s="1">
        <v>1.22696E-2</v>
      </c>
      <c r="AD101" s="8">
        <f t="shared" si="18"/>
        <v>0.6912053482836279</v>
      </c>
      <c r="AE101" s="3">
        <f t="shared" si="19"/>
        <v>5.6334790725339695E-3</v>
      </c>
      <c r="AF101" s="11">
        <f t="shared" si="20"/>
        <v>7.4166666666666572</v>
      </c>
      <c r="AG101" s="1">
        <f t="shared" si="21"/>
        <v>6.7758691854576766E-2</v>
      </c>
    </row>
    <row r="102" spans="2:33" ht="15">
      <c r="B102" s="1">
        <v>91</v>
      </c>
      <c r="C102" s="1">
        <v>1.000050597402069</v>
      </c>
      <c r="D102" s="1">
        <v>1.0851601777414726</v>
      </c>
      <c r="E102" s="1">
        <v>0.92112558674754708</v>
      </c>
      <c r="G102" s="1">
        <v>0.99916429766958026</v>
      </c>
      <c r="H102" s="1">
        <v>2.0507090049280823</v>
      </c>
      <c r="I102" s="1">
        <v>0.46639791608130149</v>
      </c>
      <c r="K102" s="1">
        <v>1.0003983441991007</v>
      </c>
      <c r="L102" s="1">
        <v>1.5987225313480089</v>
      </c>
      <c r="M102" s="1">
        <v>0.6137526846216198</v>
      </c>
      <c r="O102" s="1">
        <v>1.2342451867775737E-2</v>
      </c>
      <c r="P102" s="1">
        <v>0.91064974690637568</v>
      </c>
      <c r="R102" s="1">
        <v>3.5321346623627459E-2</v>
      </c>
      <c r="S102" s="2">
        <f t="shared" si="24"/>
        <v>0.18739301304079986</v>
      </c>
      <c r="T102" s="4">
        <f t="shared" si="25"/>
        <v>3.5116141336509386E-2</v>
      </c>
      <c r="U102" s="1">
        <f t="shared" si="13"/>
        <v>9.7950639567869428E-3</v>
      </c>
      <c r="V102" s="6">
        <f>2*sigma/alpha*corel*(B102/12-1/alpha*(1-EXP(-alpha*Output!B102/12)))</f>
        <v>0.11917919420532422</v>
      </c>
      <c r="W102" s="5">
        <f t="shared" si="26"/>
        <v>-2.5321077379722445E-2</v>
      </c>
      <c r="X102" s="1">
        <f t="shared" si="27"/>
        <v>0.78227636084967789</v>
      </c>
      <c r="Y102" s="3">
        <f t="shared" si="28"/>
        <v>5.045833114863589E-2</v>
      </c>
      <c r="Z102" s="1">
        <f t="shared" si="17"/>
        <v>6.8049246553233605E-2</v>
      </c>
      <c r="AA102" s="8">
        <f t="shared" si="23"/>
        <v>7.4999999999999902</v>
      </c>
      <c r="AB102" s="1">
        <v>7.5830000000000002</v>
      </c>
      <c r="AC102" s="1">
        <v>1.2412899999999999E-2</v>
      </c>
      <c r="AD102" s="8">
        <f t="shared" si="18"/>
        <v>0.70448132224261784</v>
      </c>
      <c r="AE102" s="3">
        <f t="shared" si="19"/>
        <v>5.6753967424422814E-3</v>
      </c>
      <c r="AF102" s="11">
        <f t="shared" si="20"/>
        <v>7.4999999999999902</v>
      </c>
      <c r="AG102" s="1">
        <f t="shared" si="21"/>
        <v>6.8049246553233605E-2</v>
      </c>
    </row>
    <row r="103" spans="2:33" ht="15">
      <c r="B103" s="1">
        <v>92</v>
      </c>
      <c r="C103" s="1">
        <v>1.0000526594487971</v>
      </c>
      <c r="D103" s="1">
        <v>1.0882494738980404</v>
      </c>
      <c r="E103" s="1">
        <v>0.91850763109293065</v>
      </c>
      <c r="G103" s="1">
        <v>0.99921691316813033</v>
      </c>
      <c r="H103" s="1">
        <v>2.1042037696170457</v>
      </c>
      <c r="I103" s="1">
        <v>0.4543193706674426</v>
      </c>
      <c r="K103" s="1">
        <v>1.0004288485293136</v>
      </c>
      <c r="L103" s="1">
        <v>1.6211236238295417</v>
      </c>
      <c r="M103" s="1">
        <v>0.60514561093648345</v>
      </c>
      <c r="O103" s="1">
        <v>1.2483328860476015E-2</v>
      </c>
      <c r="P103" s="1">
        <v>0.9087315787980117</v>
      </c>
      <c r="R103" s="1">
        <v>3.5291295745068063E-2</v>
      </c>
      <c r="S103" s="2">
        <f t="shared" si="24"/>
        <v>0.18926490002392599</v>
      </c>
      <c r="T103" s="4">
        <f t="shared" si="25"/>
        <v>3.5821202381066695E-2</v>
      </c>
      <c r="U103" s="1">
        <f t="shared" si="13"/>
        <v>1.0102016746611804E-2</v>
      </c>
      <c r="V103" s="6">
        <f>2*sigma/alpha*corel*(B103/12-1/alpha*(1-EXP(-alpha*Output!B103/12)))</f>
        <v>0.12170798844242331</v>
      </c>
      <c r="W103" s="5">
        <f t="shared" si="26"/>
        <v>-2.571918563445489E-2</v>
      </c>
      <c r="X103" s="1">
        <f t="shared" si="27"/>
        <v>0.803534527240651</v>
      </c>
      <c r="Y103" s="3">
        <f t="shared" si="28"/>
        <v>5.0523449070205111E-2</v>
      </c>
      <c r="Z103" s="1">
        <f t="shared" si="17"/>
        <v>6.8354449345719451E-2</v>
      </c>
      <c r="AA103" s="8">
        <f t="shared" si="23"/>
        <v>7.5833333333333233</v>
      </c>
      <c r="AB103" s="1">
        <v>7.6669999999999998</v>
      </c>
      <c r="AC103" s="1">
        <v>1.2555E-2</v>
      </c>
      <c r="AD103" s="8">
        <f t="shared" si="18"/>
        <v>0.71671139523984961</v>
      </c>
      <c r="AE103" s="3">
        <f t="shared" si="19"/>
        <v>5.7085734387881289E-3</v>
      </c>
      <c r="AF103" s="11">
        <f t="shared" si="20"/>
        <v>7.5833333333333233</v>
      </c>
      <c r="AG103" s="1">
        <f t="shared" si="21"/>
        <v>6.8354449345719451E-2</v>
      </c>
    </row>
    <row r="104" spans="2:33" ht="15">
      <c r="B104" s="1">
        <v>93</v>
      </c>
      <c r="C104" s="1">
        <v>1.0000514223740622</v>
      </c>
      <c r="D104" s="1">
        <v>1.0878006332621275</v>
      </c>
      <c r="E104" s="1">
        <v>0.91888355126674015</v>
      </c>
      <c r="G104" s="1">
        <v>0.9990082608420231</v>
      </c>
      <c r="H104" s="1">
        <v>2.0961707840995443</v>
      </c>
      <c r="I104" s="1">
        <v>0.45583829647920532</v>
      </c>
      <c r="K104" s="1">
        <v>1.0003155079535868</v>
      </c>
      <c r="L104" s="1">
        <v>1.6218105237360434</v>
      </c>
      <c r="M104" s="1">
        <v>0.60476330286221536</v>
      </c>
      <c r="O104" s="1">
        <v>1.262305861593583E-2</v>
      </c>
      <c r="P104" s="1">
        <v>0.90680422213887546</v>
      </c>
      <c r="R104" s="1">
        <v>3.5063838294585925E-2</v>
      </c>
      <c r="S104" s="2">
        <f t="shared" si="24"/>
        <v>0.19054781579082131</v>
      </c>
      <c r="T104" s="4">
        <f t="shared" si="25"/>
        <v>3.6308470102652771E-2</v>
      </c>
      <c r="U104" s="1">
        <f t="shared" si="13"/>
        <v>1.0414906340768937E-2</v>
      </c>
      <c r="V104" s="6">
        <f>2*sigma/alpha*corel*(B104/12-1/alpha*(1-EXP(-alpha*Output!B104/12)))</f>
        <v>0.12426112063310539</v>
      </c>
      <c r="W104" s="5">
        <f t="shared" si="26"/>
        <v>-2.5893563761883835E-2</v>
      </c>
      <c r="X104" s="1">
        <f t="shared" si="27"/>
        <v>0.818141302719394</v>
      </c>
      <c r="Y104" s="3">
        <f t="shared" si="28"/>
        <v>5.0338743036026701E-2</v>
      </c>
      <c r="Z104" s="1">
        <f t="shared" si="17"/>
        <v>6.8446796011305461E-2</v>
      </c>
      <c r="AA104" s="8">
        <f t="shared" si="23"/>
        <v>7.6666666666666563</v>
      </c>
      <c r="AB104" s="1">
        <v>7.75</v>
      </c>
      <c r="AC104" s="1">
        <v>1.26959E-2</v>
      </c>
      <c r="AD104" s="8">
        <f t="shared" si="18"/>
        <v>0.72841384064169934</v>
      </c>
      <c r="AE104" s="3">
        <f t="shared" si="19"/>
        <v>5.7373942819469231E-3</v>
      </c>
      <c r="AF104" s="11">
        <f t="shared" si="20"/>
        <v>7.6666666666666563</v>
      </c>
      <c r="AG104" s="1">
        <f t="shared" si="21"/>
        <v>6.8446796011305461E-2</v>
      </c>
    </row>
    <row r="105" spans="2:33" ht="15">
      <c r="B105" s="1">
        <v>94</v>
      </c>
      <c r="C105" s="1">
        <v>1.0000527269411332</v>
      </c>
      <c r="D105" s="1">
        <v>1.0856121989668677</v>
      </c>
      <c r="E105" s="1">
        <v>0.92073283139374917</v>
      </c>
      <c r="G105" s="1">
        <v>0.99900683369955401</v>
      </c>
      <c r="H105" s="1">
        <v>2.0577772742256815</v>
      </c>
      <c r="I105" s="1">
        <v>0.46411707399687835</v>
      </c>
      <c r="K105" s="1">
        <v>1.0003823651240202</v>
      </c>
      <c r="L105" s="1">
        <v>1.6467816914533162</v>
      </c>
      <c r="M105" s="1">
        <v>0.59546883474983026</v>
      </c>
      <c r="O105" s="1">
        <v>1.2761514590186349E-2</v>
      </c>
      <c r="P105" s="1">
        <v>0.90486890907676976</v>
      </c>
      <c r="R105" s="1">
        <v>3.5189736893088304E-2</v>
      </c>
      <c r="S105" s="2">
        <f t="shared" si="24"/>
        <v>0.19290097023447067</v>
      </c>
      <c r="T105" s="4">
        <f t="shared" si="25"/>
        <v>3.7210784317400138E-2</v>
      </c>
      <c r="U105" s="1">
        <f t="shared" si="13"/>
        <v>1.0733773402595773E-2</v>
      </c>
      <c r="V105" s="6">
        <f>2*sigma/alpha*corel*(B105/12-1/alpha*(1-EXP(-alpha*Output!B105/12)))</f>
        <v>0.12683852530138626</v>
      </c>
      <c r="W105" s="5">
        <f t="shared" si="26"/>
        <v>-2.6477010914804366E-2</v>
      </c>
      <c r="X105" s="1">
        <f t="shared" si="27"/>
        <v>0.84570102016450055</v>
      </c>
      <c r="Y105" s="3">
        <f t="shared" si="28"/>
        <v>5.0603075482467223E-2</v>
      </c>
      <c r="Z105" s="1">
        <f t="shared" si="17"/>
        <v>6.8922513677194028E-2</v>
      </c>
      <c r="AA105" s="8">
        <f t="shared" si="23"/>
        <v>7.7499999999999893</v>
      </c>
      <c r="AB105" s="1">
        <v>7.8330000000000002</v>
      </c>
      <c r="AC105" s="1">
        <v>1.2835600000000001E-2</v>
      </c>
      <c r="AD105" s="8">
        <f t="shared" si="18"/>
        <v>0.74085409813651537</v>
      </c>
      <c r="AE105" s="3">
        <f t="shared" si="19"/>
        <v>5.771869629285077E-3</v>
      </c>
      <c r="AF105" s="11">
        <f t="shared" si="20"/>
        <v>7.7499999999999893</v>
      </c>
      <c r="AG105" s="1">
        <f t="shared" si="21"/>
        <v>6.8922513677194028E-2</v>
      </c>
    </row>
    <row r="106" spans="2:33" ht="15">
      <c r="B106" s="1">
        <v>95</v>
      </c>
      <c r="C106" s="1">
        <v>1.0000556192229701</v>
      </c>
      <c r="D106" s="1">
        <v>1.0933353623609658</v>
      </c>
      <c r="E106" s="1">
        <v>0.91422589492522799</v>
      </c>
      <c r="G106" s="1">
        <v>0.99912443432628717</v>
      </c>
      <c r="H106" s="1">
        <v>2.1938223212266195</v>
      </c>
      <c r="I106" s="1">
        <v>0.43512387792862606</v>
      </c>
      <c r="K106" s="1">
        <v>1.0004165635181894</v>
      </c>
      <c r="L106" s="1">
        <v>1.6657237182584896</v>
      </c>
      <c r="M106" s="1">
        <v>0.58857473906501523</v>
      </c>
      <c r="O106" s="1">
        <v>1.2898498092472416E-2</v>
      </c>
      <c r="P106" s="1">
        <v>0.90292741586412251</v>
      </c>
      <c r="R106" s="1">
        <v>3.5212340579320885E-2</v>
      </c>
      <c r="S106" s="2">
        <f t="shared" si="24"/>
        <v>0.1949473726128651</v>
      </c>
      <c r="T106" s="4">
        <f t="shared" si="25"/>
        <v>3.8004478088659269E-2</v>
      </c>
      <c r="U106" s="1">
        <f t="shared" si="13"/>
        <v>1.1058658181717329E-2</v>
      </c>
      <c r="V106" s="6">
        <f>2*sigma/alpha*corel*(B106/12-1/alpha*(1-EXP(-alpha*Output!B106/12)))</f>
        <v>0.12944013714743285</v>
      </c>
      <c r="W106" s="5">
        <f t="shared" si="26"/>
        <v>-2.6945819906941941E-2</v>
      </c>
      <c r="X106" s="1">
        <f t="shared" si="27"/>
        <v>0.87003904615790773</v>
      </c>
      <c r="Y106" s="3">
        <f t="shared" si="28"/>
        <v>5.0735917823006557E-2</v>
      </c>
      <c r="Z106" s="1">
        <f t="shared" si="17"/>
        <v>6.928611443358855E-2</v>
      </c>
      <c r="AA106" s="8">
        <f t="shared" si="23"/>
        <v>7.8333333333333224</v>
      </c>
      <c r="AB106" s="1">
        <v>7.9169999999999998</v>
      </c>
      <c r="AC106" s="1">
        <v>1.29739E-2</v>
      </c>
      <c r="AD106" s="8">
        <f t="shared" si="18"/>
        <v>0.75401907527583578</v>
      </c>
      <c r="AE106" s="3">
        <f t="shared" si="19"/>
        <v>5.811815069299407E-3</v>
      </c>
      <c r="AF106" s="11">
        <f t="shared" si="20"/>
        <v>7.8333333333333224</v>
      </c>
      <c r="AG106" s="1">
        <f t="shared" si="21"/>
        <v>6.928611443358855E-2</v>
      </c>
    </row>
    <row r="107" spans="2:33" ht="15">
      <c r="B107" s="1">
        <v>96</v>
      </c>
      <c r="C107" s="1">
        <v>1.000058144377505</v>
      </c>
      <c r="D107" s="1">
        <v>1.0931717942671595</v>
      </c>
      <c r="E107" s="1">
        <v>0.91435969474191481</v>
      </c>
      <c r="G107" s="1">
        <v>0.99921340659596958</v>
      </c>
      <c r="H107" s="1">
        <v>2.1892140365849007</v>
      </c>
      <c r="I107" s="1">
        <v>0.43582748354893708</v>
      </c>
      <c r="K107" s="1">
        <v>1.0004196183773491</v>
      </c>
      <c r="L107" s="1">
        <v>1.6275545729581449</v>
      </c>
      <c r="M107" s="1">
        <v>0.60225241557679476</v>
      </c>
      <c r="O107" s="1">
        <v>1.3034016735491361E-2</v>
      </c>
      <c r="P107" s="1">
        <v>0.90098007684864756</v>
      </c>
      <c r="R107" s="1">
        <v>3.5125933579319875E-2</v>
      </c>
      <c r="S107" s="2">
        <f t="shared" si="24"/>
        <v>0.19666551108684543</v>
      </c>
      <c r="T107" s="4">
        <f t="shared" si="25"/>
        <v>3.8677323251050125E-2</v>
      </c>
      <c r="U107" s="1">
        <f t="shared" si="13"/>
        <v>1.1389600516792515E-2</v>
      </c>
      <c r="V107" s="6">
        <f>2*sigma/alpha*corel*(B107/12-1/alpha*(1-EXP(-alpha*Output!B107/12)))</f>
        <v>0.13206589104708438</v>
      </c>
      <c r="W107" s="5">
        <f t="shared" si="26"/>
        <v>-2.728772273425761E-2</v>
      </c>
      <c r="X107" s="1">
        <f t="shared" si="27"/>
        <v>0.89064852707430386</v>
      </c>
      <c r="Y107" s="3">
        <f t="shared" si="28"/>
        <v>5.0729742389244617E-2</v>
      </c>
      <c r="Z107" s="1">
        <f t="shared" si="17"/>
        <v>6.9531758257513274E-2</v>
      </c>
      <c r="AA107" s="8">
        <f t="shared" si="23"/>
        <v>7.9166666666666554</v>
      </c>
      <c r="AB107" s="1">
        <v>8</v>
      </c>
      <c r="AC107" s="1">
        <v>1.3110699999999999E-2</v>
      </c>
      <c r="AD107" s="8">
        <f t="shared" si="18"/>
        <v>0.76683264508638216</v>
      </c>
      <c r="AE107" s="3">
        <f t="shared" si="19"/>
        <v>5.8489069621483385E-3</v>
      </c>
      <c r="AF107" s="11">
        <f t="shared" si="20"/>
        <v>7.9166666666666554</v>
      </c>
      <c r="AG107" s="1">
        <f t="shared" si="21"/>
        <v>6.9531758257513274E-2</v>
      </c>
    </row>
    <row r="108" spans="2:33" ht="15">
      <c r="B108" s="1">
        <v>97</v>
      </c>
      <c r="C108" s="1">
        <v>1.000059563194944</v>
      </c>
      <c r="D108" s="1">
        <v>1.091336790180875</v>
      </c>
      <c r="E108" s="1">
        <v>0.91589414597095142</v>
      </c>
      <c r="G108" s="1">
        <v>0.99921336010912343</v>
      </c>
      <c r="H108" s="1">
        <v>2.1530879323487544</v>
      </c>
      <c r="I108" s="1">
        <v>0.44292434992175406</v>
      </c>
      <c r="K108" s="1">
        <v>1.0003418739369816</v>
      </c>
      <c r="L108" s="1">
        <v>1.6448771662650119</v>
      </c>
      <c r="M108" s="1">
        <v>0.59578581723223467</v>
      </c>
      <c r="O108" s="1">
        <v>1.3168009395480233E-2</v>
      </c>
      <c r="P108" s="1">
        <v>0.89902772129951014</v>
      </c>
      <c r="R108" s="1">
        <v>3.4856914221164312E-2</v>
      </c>
      <c r="S108" s="2">
        <f t="shared" si="24"/>
        <v>0.1978241640712618</v>
      </c>
      <c r="T108" s="4">
        <f t="shared" si="25"/>
        <v>3.9134399890493506E-2</v>
      </c>
      <c r="U108" s="1">
        <f t="shared" si="13"/>
        <v>1.1726639838245631E-2</v>
      </c>
      <c r="V108" s="6">
        <f>2*sigma/alpha*corel*(B108/12-1/alpha*(1-EXP(-alpha*Output!B108/12)))</f>
        <v>0.13471572205138549</v>
      </c>
      <c r="W108" s="5">
        <f t="shared" si="26"/>
        <v>-2.7407760052247876E-2</v>
      </c>
      <c r="X108" s="1">
        <f t="shared" si="27"/>
        <v>0.90433256745717416</v>
      </c>
      <c r="Y108" s="3">
        <f t="shared" si="28"/>
        <v>5.0489585444108198E-2</v>
      </c>
      <c r="Z108" s="1">
        <f t="shared" si="17"/>
        <v>6.9579947245005533E-2</v>
      </c>
      <c r="AA108" s="8">
        <f t="shared" si="23"/>
        <v>7.9999999999999885</v>
      </c>
      <c r="AB108" s="1">
        <v>8.0830000000000002</v>
      </c>
      <c r="AC108" s="1">
        <v>1.3246000000000001E-2</v>
      </c>
      <c r="AD108" s="8">
        <f t="shared" si="18"/>
        <v>0.77990604519767581</v>
      </c>
      <c r="AE108" s="3">
        <f t="shared" si="19"/>
        <v>5.8878608274020514E-3</v>
      </c>
      <c r="AF108" s="11">
        <f t="shared" si="20"/>
        <v>7.9999999999999885</v>
      </c>
      <c r="AG108" s="1">
        <f t="shared" si="21"/>
        <v>6.9579947245005533E-2</v>
      </c>
    </row>
    <row r="109" spans="2:33" ht="15">
      <c r="B109" s="1">
        <v>98</v>
      </c>
      <c r="C109" s="1">
        <v>1.0000598936554925</v>
      </c>
      <c r="D109" s="1">
        <v>1.0929885780711002</v>
      </c>
      <c r="E109" s="1">
        <v>0.91450703799488064</v>
      </c>
      <c r="G109" s="1">
        <v>0.9991247829828972</v>
      </c>
      <c r="H109" s="1">
        <v>2.1818966471342365</v>
      </c>
      <c r="I109" s="1">
        <v>0.43686338708350936</v>
      </c>
      <c r="K109" s="1">
        <v>1.0003353013354213</v>
      </c>
      <c r="L109" s="1">
        <v>1.6248438326829986</v>
      </c>
      <c r="M109" s="1">
        <v>0.60300585342219093</v>
      </c>
      <c r="O109" s="1">
        <v>1.3300563985656391E-2</v>
      </c>
      <c r="P109" s="1">
        <v>0.89707009824216688</v>
      </c>
      <c r="R109" s="1">
        <v>3.4843898212739935E-2</v>
      </c>
      <c r="S109" s="2">
        <f t="shared" si="24"/>
        <v>0.19976838908328026</v>
      </c>
      <c r="T109" s="4">
        <f t="shared" si="25"/>
        <v>3.9907409276928846E-2</v>
      </c>
      <c r="U109" s="1">
        <f t="shared" si="13"/>
        <v>1.2069815170981985E-2</v>
      </c>
      <c r="V109" s="6">
        <f>2*sigma/alpha*corel*(B109/12-1/alpha*(1-EXP(-alpha*Output!B109/12)))</f>
        <v>0.13738956538610911</v>
      </c>
      <c r="W109" s="5">
        <f t="shared" si="26"/>
        <v>-2.7837594105946863E-2</v>
      </c>
      <c r="X109" s="1">
        <f t="shared" si="27"/>
        <v>0.92823730013791483</v>
      </c>
      <c r="Y109" s="3">
        <f t="shared" si="28"/>
        <v>5.0575173057757841E-2</v>
      </c>
      <c r="Z109" s="1">
        <f t="shared" si="17"/>
        <v>6.9904374284544865E-2</v>
      </c>
      <c r="AA109" s="8">
        <f t="shared" si="23"/>
        <v>8.0833333333333215</v>
      </c>
      <c r="AB109" s="1">
        <v>8.1669999999999998</v>
      </c>
      <c r="AC109" s="1">
        <v>1.3379800000000001E-2</v>
      </c>
      <c r="AD109" s="8">
        <f t="shared" si="18"/>
        <v>0.79236014343609518</v>
      </c>
      <c r="AE109" s="3">
        <f t="shared" si="19"/>
        <v>5.9220626873054544E-3</v>
      </c>
      <c r="AF109" s="11">
        <f t="shared" si="20"/>
        <v>8.0833333333333215</v>
      </c>
      <c r="AG109" s="1">
        <f t="shared" si="21"/>
        <v>6.9904374284544865E-2</v>
      </c>
    </row>
    <row r="110" spans="2:33" ht="15">
      <c r="B110" s="1">
        <v>99</v>
      </c>
      <c r="C110" s="1">
        <v>1.0000631869726471</v>
      </c>
      <c r="D110" s="1">
        <v>1.0934172798830881</v>
      </c>
      <c r="E110" s="1">
        <v>0.91414554743132082</v>
      </c>
      <c r="G110" s="1">
        <v>0.99927660270480845</v>
      </c>
      <c r="H110" s="1">
        <v>2.1908517029360075</v>
      </c>
      <c r="I110" s="1">
        <v>0.43486590352916332</v>
      </c>
      <c r="K110" s="1">
        <v>1.0003266494689627</v>
      </c>
      <c r="L110" s="1">
        <v>1.6397418648207467</v>
      </c>
      <c r="M110" s="1">
        <v>0.5974027140334035</v>
      </c>
      <c r="O110" s="1">
        <v>1.3431753737998771E-2</v>
      </c>
      <c r="P110" s="1">
        <v>0.8951070415706186</v>
      </c>
      <c r="R110" s="1">
        <v>3.4725232329790329E-2</v>
      </c>
      <c r="S110" s="2">
        <f t="shared" si="24"/>
        <v>0.20138896410416585</v>
      </c>
      <c r="T110" s="4">
        <f t="shared" si="25"/>
        <v>4.0557514862949E-2</v>
      </c>
      <c r="U110" s="1">
        <f t="shared" si="13"/>
        <v>1.2419165137090318E-2</v>
      </c>
      <c r="V110" s="6">
        <f>2*sigma/alpha*corel*(B110/12-1/alpha*(1-EXP(-alpha*Output!B110/12)))</f>
        <v>0.14008735645129133</v>
      </c>
      <c r="W110" s="5">
        <f t="shared" si="26"/>
        <v>-2.8138349725858682E-2</v>
      </c>
      <c r="X110" s="1">
        <f t="shared" si="27"/>
        <v>0.94819000839084766</v>
      </c>
      <c r="Y110" s="3">
        <f t="shared" si="28"/>
        <v>5.0525038135969876E-2</v>
      </c>
      <c r="Z110" s="1">
        <f t="shared" si="17"/>
        <v>7.0114637613198721E-2</v>
      </c>
      <c r="AA110" s="8">
        <f t="shared" si="23"/>
        <v>8.1666666666666554</v>
      </c>
      <c r="AB110" s="1">
        <v>8.25</v>
      </c>
      <c r="AC110" s="1">
        <v>1.35123E-2</v>
      </c>
      <c r="AD110" s="8">
        <f t="shared" si="18"/>
        <v>0.80546262001228786</v>
      </c>
      <c r="AE110" s="3">
        <f t="shared" si="19"/>
        <v>5.9609586821805895E-3</v>
      </c>
      <c r="AF110" s="11">
        <f t="shared" si="20"/>
        <v>8.1666666666666554</v>
      </c>
      <c r="AG110" s="1">
        <f t="shared" si="21"/>
        <v>7.0114637613198721E-2</v>
      </c>
    </row>
    <row r="111" spans="2:33" ht="15">
      <c r="B111" s="1">
        <v>100</v>
      </c>
      <c r="C111" s="1">
        <v>1.000066032250996</v>
      </c>
      <c r="D111" s="1">
        <v>1.0951820576042623</v>
      </c>
      <c r="E111" s="1">
        <v>0.91266958091187689</v>
      </c>
      <c r="G111" s="1">
        <v>0.99938651714667881</v>
      </c>
      <c r="H111" s="1">
        <v>2.2220737050454544</v>
      </c>
      <c r="I111" s="1">
        <v>0.42854695026844569</v>
      </c>
      <c r="K111" s="1">
        <v>1.0003224949320095</v>
      </c>
      <c r="L111" s="1">
        <v>1.6776198773703976</v>
      </c>
      <c r="M111" s="1">
        <v>0.58379266631188953</v>
      </c>
      <c r="O111" s="1">
        <v>1.356156314573448E-2</v>
      </c>
      <c r="P111" s="1">
        <v>0.89313902581975269</v>
      </c>
      <c r="R111" s="1">
        <v>3.4678842482724966E-2</v>
      </c>
      <c r="S111" s="2">
        <f t="shared" si="24"/>
        <v>0.20323475072039265</v>
      </c>
      <c r="T111" s="4">
        <f t="shared" si="25"/>
        <v>4.1304363900380142E-2</v>
      </c>
      <c r="U111" s="1">
        <f t="shared" si="13"/>
        <v>1.2774727958523862E-2</v>
      </c>
      <c r="V111" s="6">
        <f>2*sigma/alpha*corel*(B111/12-1/alpha*(1-EXP(-alpha*Output!B111/12)))</f>
        <v>0.14280903082075955</v>
      </c>
      <c r="W111" s="5">
        <f t="shared" si="26"/>
        <v>-2.8529635941856278E-2</v>
      </c>
      <c r="X111" s="1">
        <f t="shared" si="27"/>
        <v>0.97138228401250726</v>
      </c>
      <c r="Y111" s="3">
        <f t="shared" si="28"/>
        <v>5.0566694875105386E-2</v>
      </c>
      <c r="Z111" s="1">
        <f t="shared" si="17"/>
        <v>7.040258282226311E-2</v>
      </c>
      <c r="AA111" s="8">
        <f t="shared" si="23"/>
        <v>8.2499999999999893</v>
      </c>
      <c r="AB111" s="1">
        <v>8.3330000000000002</v>
      </c>
      <c r="AC111" s="1">
        <v>1.3643600000000001E-2</v>
      </c>
      <c r="AD111" s="8">
        <f t="shared" si="18"/>
        <v>0.82036854265520043</v>
      </c>
      <c r="AE111" s="3">
        <f t="shared" si="19"/>
        <v>6.0128451629716528E-3</v>
      </c>
      <c r="AF111" s="11">
        <f t="shared" si="20"/>
        <v>8.2499999999999893</v>
      </c>
      <c r="AG111" s="1">
        <f t="shared" si="21"/>
        <v>7.040258282226311E-2</v>
      </c>
    </row>
    <row r="112" spans="2:33" ht="15">
      <c r="B112" s="1">
        <v>101</v>
      </c>
      <c r="C112" s="1">
        <v>1.0000659172127453</v>
      </c>
      <c r="D112" s="1">
        <v>1.0975570541593407</v>
      </c>
      <c r="E112" s="1">
        <v>0.9106917746584291</v>
      </c>
      <c r="G112" s="1">
        <v>0.99925724776682268</v>
      </c>
      <c r="H112" s="1">
        <v>2.2649877676556396</v>
      </c>
      <c r="I112" s="1">
        <v>0.42022274255300551</v>
      </c>
      <c r="K112" s="1">
        <v>1.0003219110183663</v>
      </c>
      <c r="L112" s="1">
        <v>1.6751925899803359</v>
      </c>
      <c r="M112" s="1">
        <v>0.58451677169680138</v>
      </c>
      <c r="O112" s="1">
        <v>1.3690237298718204E-2</v>
      </c>
      <c r="P112" s="1">
        <v>0.89116457183089937</v>
      </c>
      <c r="R112" s="1">
        <v>3.4593208867334822E-2</v>
      </c>
      <c r="S112" s="2">
        <f t="shared" si="24"/>
        <v>0.20496177536196347</v>
      </c>
      <c r="T112" s="4">
        <f t="shared" si="25"/>
        <v>4.2009329359527975E-2</v>
      </c>
      <c r="U112" s="1">
        <f t="shared" si="13"/>
        <v>1.3136541459768234E-2</v>
      </c>
      <c r="V112" s="6">
        <f>2*sigma/alpha*corel*(B112/12-1/alpha*(1-EXP(-alpha*Output!B112/12)))</f>
        <v>0.14555452424166468</v>
      </c>
      <c r="W112" s="5">
        <f t="shared" si="26"/>
        <v>-2.8872787899759743E-2</v>
      </c>
      <c r="X112" s="1">
        <f t="shared" si="27"/>
        <v>0.99323664548579538</v>
      </c>
      <c r="Y112" s="3">
        <f t="shared" si="28"/>
        <v>5.0557904626489937E-2</v>
      </c>
      <c r="Z112" s="1">
        <f t="shared" si="17"/>
        <v>7.0648478034963991E-2</v>
      </c>
      <c r="AA112" s="8">
        <f t="shared" si="23"/>
        <v>8.3333333333333233</v>
      </c>
      <c r="AB112" s="1">
        <v>8.4169999999999998</v>
      </c>
      <c r="AC112" s="1">
        <v>1.37736E-2</v>
      </c>
      <c r="AD112" s="8">
        <f t="shared" si="18"/>
        <v>0.83362701281796547</v>
      </c>
      <c r="AE112" s="3">
        <f t="shared" si="19"/>
        <v>6.0523538713042743E-3</v>
      </c>
      <c r="AF112" s="11">
        <f t="shared" si="20"/>
        <v>8.3333333333333233</v>
      </c>
      <c r="AG112" s="1">
        <f t="shared" si="21"/>
        <v>7.0648478034963991E-2</v>
      </c>
    </row>
    <row r="113" spans="2:33" ht="15">
      <c r="B113" s="1">
        <v>102</v>
      </c>
      <c r="C113" s="1">
        <v>1.0000686015125109</v>
      </c>
      <c r="D113" s="1">
        <v>1.0975011312494072</v>
      </c>
      <c r="E113" s="1">
        <v>0.91073531068363633</v>
      </c>
      <c r="G113" s="1">
        <v>0.99936509737714208</v>
      </c>
      <c r="H113" s="1">
        <v>2.2630419914734605</v>
      </c>
      <c r="I113" s="1">
        <v>0.42037933666054939</v>
      </c>
      <c r="K113" s="1">
        <v>1.0003826117435239</v>
      </c>
      <c r="L113" s="1">
        <v>1.7044306270950027</v>
      </c>
      <c r="M113" s="1">
        <v>0.5743702180256155</v>
      </c>
      <c r="O113" s="1">
        <v>1.3817878880815935E-2</v>
      </c>
      <c r="P113" s="1">
        <v>0.88918321775783948</v>
      </c>
      <c r="R113" s="1">
        <v>3.4628010584809084E-2</v>
      </c>
      <c r="S113" s="2">
        <f t="shared" si="24"/>
        <v>0.20707030653301667</v>
      </c>
      <c r="T113" s="4">
        <f t="shared" si="25"/>
        <v>4.2878111847677487E-2</v>
      </c>
      <c r="U113" s="1">
        <f t="shared" si="13"/>
        <v>1.3504643070499454E-2</v>
      </c>
      <c r="V113" s="6">
        <f>2*sigma/alpha*corel*(B113/12-1/alpha*(1-EXP(-alpha*Output!B113/12)))</f>
        <v>0.14832377263401902</v>
      </c>
      <c r="W113" s="5">
        <f t="shared" si="26"/>
        <v>-2.9373468777178034E-2</v>
      </c>
      <c r="X113" s="1">
        <f t="shared" si="27"/>
        <v>1.0206978799524413</v>
      </c>
      <c r="Y113" s="3">
        <f t="shared" si="28"/>
        <v>5.0704244952041996E-2</v>
      </c>
      <c r="Z113" s="1">
        <f t="shared" si="17"/>
        <v>7.1024529190875929E-2</v>
      </c>
      <c r="AA113" s="8">
        <f t="shared" si="23"/>
        <v>8.4166666666666572</v>
      </c>
      <c r="AB113" s="1">
        <v>8.5</v>
      </c>
      <c r="AC113" s="1">
        <v>1.39025E-2</v>
      </c>
      <c r="AD113" s="8">
        <f t="shared" si="18"/>
        <v>0.84621119184065396</v>
      </c>
      <c r="AE113" s="3">
        <f t="shared" si="19"/>
        <v>6.0867555608031219E-3</v>
      </c>
      <c r="AF113" s="11">
        <f t="shared" si="20"/>
        <v>8.4166666666666572</v>
      </c>
      <c r="AG113" s="1">
        <f t="shared" si="21"/>
        <v>7.1024529190875929E-2</v>
      </c>
    </row>
    <row r="114" spans="2:33" ht="15">
      <c r="B114" s="1">
        <v>103</v>
      </c>
      <c r="C114" s="1">
        <v>1.0000688940683395</v>
      </c>
      <c r="D114" s="1">
        <v>1.0962640168772539</v>
      </c>
      <c r="E114" s="1">
        <v>0.91176020620827247</v>
      </c>
      <c r="G114" s="1">
        <v>0.99927010409419403</v>
      </c>
      <c r="H114" s="1">
        <v>2.2398490528834931</v>
      </c>
      <c r="I114" s="1">
        <v>0.42452551286464357</v>
      </c>
      <c r="K114" s="1">
        <v>1.0004289355011093</v>
      </c>
      <c r="L114" s="1">
        <v>1.6724310433728029</v>
      </c>
      <c r="M114" s="1">
        <v>0.58523803576130473</v>
      </c>
      <c r="O114" s="1">
        <v>1.3944543305158949E-2</v>
      </c>
      <c r="P114" s="1">
        <v>0.88719483613547512</v>
      </c>
      <c r="R114" s="1">
        <v>3.4507162141024568E-2</v>
      </c>
      <c r="S114" s="2">
        <f t="shared" si="24"/>
        <v>0.20869496256736614</v>
      </c>
      <c r="T114" s="4">
        <f t="shared" si="25"/>
        <v>4.3553587400994354E-2</v>
      </c>
      <c r="U114" s="1">
        <f t="shared" si="13"/>
        <v>1.3879069828213998E-2</v>
      </c>
      <c r="V114" s="6">
        <f>2*sigma/alpha*corel*(B114/12-1/alpha*(1-EXP(-alpha*Output!B114/12)))</f>
        <v>0.15111671209022479</v>
      </c>
      <c r="W114" s="5">
        <f t="shared" si="26"/>
        <v>-2.9674517572780355E-2</v>
      </c>
      <c r="X114" s="1">
        <f t="shared" si="27"/>
        <v>1.0416613640050854</v>
      </c>
      <c r="Y114" s="3">
        <f t="shared" si="28"/>
        <v>5.065056793998618E-2</v>
      </c>
      <c r="Z114" s="1">
        <f t="shared" si="17"/>
        <v>7.1233449708668475E-2</v>
      </c>
      <c r="AA114" s="8">
        <f t="shared" si="23"/>
        <v>8.4999999999999911</v>
      </c>
      <c r="AB114" s="1">
        <v>8.5830000000000002</v>
      </c>
      <c r="AC114" s="1">
        <v>1.40305E-2</v>
      </c>
      <c r="AD114" s="8">
        <f t="shared" si="18"/>
        <v>0.85956694841050896</v>
      </c>
      <c r="AE114" s="3">
        <f t="shared" si="19"/>
        <v>6.1264170800079043E-3</v>
      </c>
      <c r="AF114" s="11">
        <f t="shared" si="20"/>
        <v>8.4999999999999911</v>
      </c>
      <c r="AG114" s="1">
        <f t="shared" si="21"/>
        <v>7.1233449708668475E-2</v>
      </c>
    </row>
    <row r="115" spans="2:33" ht="15">
      <c r="B115" s="1">
        <v>104</v>
      </c>
      <c r="C115" s="1">
        <v>1.0000697570071453</v>
      </c>
      <c r="D115" s="1">
        <v>1.0957391500604929</v>
      </c>
      <c r="E115" s="1">
        <v>0.91219410917608956</v>
      </c>
      <c r="G115" s="1">
        <v>0.99921125777760766</v>
      </c>
      <c r="H115" s="1">
        <v>2.2289075390086164</v>
      </c>
      <c r="I115" s="1">
        <v>0.42640185125137792</v>
      </c>
      <c r="K115" s="1">
        <v>1.0004846842328403</v>
      </c>
      <c r="L115" s="1">
        <v>1.7048788630057095</v>
      </c>
      <c r="M115" s="1">
        <v>0.57397999957073487</v>
      </c>
      <c r="O115" s="1">
        <v>1.4070309244734711E-2</v>
      </c>
      <c r="P115" s="1">
        <v>0.88519910655411205</v>
      </c>
      <c r="R115" s="1">
        <v>3.4514755885810003E-2</v>
      </c>
      <c r="S115" s="2">
        <f t="shared" si="24"/>
        <v>0.21072949970214272</v>
      </c>
      <c r="T115" s="4">
        <f t="shared" si="25"/>
        <v>4.4406922044715372E-2</v>
      </c>
      <c r="U115" s="1">
        <f t="shared" si="13"/>
        <v>1.4259858380851179E-2</v>
      </c>
      <c r="V115" s="6">
        <f>2*sigma/alpha*corel*(B115/12-1/alpha*(1-EXP(-alpha*Output!B115/12)))</f>
        <v>0.15393327887461578</v>
      </c>
      <c r="W115" s="5">
        <f t="shared" si="26"/>
        <v>-3.0147063663864195E-2</v>
      </c>
      <c r="X115" s="1">
        <f t="shared" si="27"/>
        <v>1.068793661359049</v>
      </c>
      <c r="Y115" s="3">
        <f t="shared" si="28"/>
        <v>5.0762970817452499E-2</v>
      </c>
      <c r="Z115" s="1">
        <f t="shared" si="17"/>
        <v>7.1581251878854987E-2</v>
      </c>
      <c r="AA115" s="8">
        <f t="shared" si="23"/>
        <v>8.583333333333325</v>
      </c>
      <c r="AB115" s="1">
        <v>8.6669999999999998</v>
      </c>
      <c r="AC115" s="1">
        <v>1.4157599999999999E-2</v>
      </c>
      <c r="AD115" s="8">
        <f t="shared" si="18"/>
        <v>0.87290755265288089</v>
      </c>
      <c r="AE115" s="3">
        <f t="shared" si="19"/>
        <v>6.1656463853540216E-3</v>
      </c>
      <c r="AF115" s="11">
        <f t="shared" si="20"/>
        <v>8.583333333333325</v>
      </c>
      <c r="AG115" s="1">
        <f t="shared" si="21"/>
        <v>7.1581251878854987E-2</v>
      </c>
    </row>
    <row r="116" spans="2:33" ht="15">
      <c r="B116" s="1">
        <v>105</v>
      </c>
      <c r="C116" s="1">
        <v>1.0000727913142993</v>
      </c>
      <c r="D116" s="1">
        <v>1.0947266594344551</v>
      </c>
      <c r="E116" s="1">
        <v>0.91303495776401578</v>
      </c>
      <c r="G116" s="1">
        <v>0.99932858786084822</v>
      </c>
      <c r="H116" s="1">
        <v>2.2096348777040995</v>
      </c>
      <c r="I116" s="1">
        <v>0.42991165629850397</v>
      </c>
      <c r="K116" s="1">
        <v>1.0005431862231338</v>
      </c>
      <c r="L116" s="1">
        <v>1.6809414841917556</v>
      </c>
      <c r="M116" s="1">
        <v>0.58203246916330664</v>
      </c>
      <c r="O116" s="1">
        <v>1.4195262967233812E-2</v>
      </c>
      <c r="P116" s="1">
        <v>0.8831956303752857</v>
      </c>
      <c r="R116" s="1">
        <v>3.4481322172533871E-2</v>
      </c>
      <c r="S116" s="2">
        <f t="shared" si="24"/>
        <v>0.21264062400603295</v>
      </c>
      <c r="T116" s="4">
        <f t="shared" si="25"/>
        <v>4.5216034977675075E-2</v>
      </c>
      <c r="U116" s="1">
        <f t="shared" si="13"/>
        <v>1.464704498940674E-2</v>
      </c>
      <c r="V116" s="6">
        <f>2*sigma/alpha*corel*(B116/12-1/alpha*(1-EXP(-alpha*Output!B116/12)))</f>
        <v>0.15677340942299223</v>
      </c>
      <c r="W116" s="5">
        <f t="shared" si="26"/>
        <v>-3.0568989988268333E-2</v>
      </c>
      <c r="X116" s="1">
        <f t="shared" si="27"/>
        <v>1.0944925514915007</v>
      </c>
      <c r="Y116" s="3">
        <f t="shared" si="28"/>
        <v>5.0823232630036574E-2</v>
      </c>
      <c r="Z116" s="1">
        <f t="shared" si="17"/>
        <v>7.1885651242730192E-2</v>
      </c>
      <c r="AA116" s="8">
        <f t="shared" si="23"/>
        <v>8.666666666666659</v>
      </c>
      <c r="AB116" s="1">
        <v>8.75</v>
      </c>
      <c r="AC116" s="1">
        <v>1.4283799999999999E-2</v>
      </c>
      <c r="AD116" s="8">
        <f t="shared" si="18"/>
        <v>0.88537032766186974</v>
      </c>
      <c r="AE116" s="3">
        <f t="shared" si="19"/>
        <v>6.1984228822993164E-3</v>
      </c>
      <c r="AF116" s="11">
        <f t="shared" si="20"/>
        <v>8.666666666666659</v>
      </c>
      <c r="AG116" s="1">
        <f t="shared" si="21"/>
        <v>7.1885651242730192E-2</v>
      </c>
    </row>
    <row r="117" spans="2:33" ht="15">
      <c r="B117" s="1">
        <v>106</v>
      </c>
      <c r="C117" s="1">
        <v>1.00007430312262</v>
      </c>
      <c r="D117" s="1">
        <v>1.0955788641968811</v>
      </c>
      <c r="E117" s="1">
        <v>0.91232194474604489</v>
      </c>
      <c r="G117" s="1">
        <v>0.99932566932393807</v>
      </c>
      <c r="H117" s="1">
        <v>2.2062568983924371</v>
      </c>
      <c r="I117" s="1">
        <v>0.43036036994816035</v>
      </c>
      <c r="K117" s="1">
        <v>1.0005677641118844</v>
      </c>
      <c r="L117" s="1">
        <v>1.656901238439622</v>
      </c>
      <c r="M117" s="1">
        <v>0.59035426863614526</v>
      </c>
      <c r="O117" s="1">
        <v>1.431948448101187E-2</v>
      </c>
      <c r="P117" s="1">
        <v>0.88118403674103407</v>
      </c>
      <c r="R117" s="1">
        <v>3.4338663984173637E-2</v>
      </c>
      <c r="S117" s="2">
        <f t="shared" si="24"/>
        <v>0.214209084240577</v>
      </c>
      <c r="T117" s="4">
        <f t="shared" si="25"/>
        <v>4.5885531771186615E-2</v>
      </c>
      <c r="U117" s="1">
        <f t="shared" si="13"/>
        <v>1.5040665530509723E-2</v>
      </c>
      <c r="V117" s="6">
        <f>2*sigma/alpha*corel*(B117/12-1/alpha*(1-EXP(-alpha*Output!B117/12)))</f>
        <v>0.15963704034216014</v>
      </c>
      <c r="W117" s="5">
        <f t="shared" si="26"/>
        <v>-3.0844866240676894E-2</v>
      </c>
      <c r="X117" s="1">
        <f t="shared" si="27"/>
        <v>1.1153359251531214</v>
      </c>
      <c r="Y117" s="3">
        <f t="shared" si="28"/>
        <v>5.0742883978089542E-2</v>
      </c>
      <c r="Z117" s="1">
        <f t="shared" si="17"/>
        <v>7.2073493757403517E-2</v>
      </c>
      <c r="AA117" s="8">
        <f t="shared" si="23"/>
        <v>8.7499999999999929</v>
      </c>
      <c r="AB117" s="1">
        <v>8.8330000000000002</v>
      </c>
      <c r="AC117" s="1">
        <v>1.44093E-2</v>
      </c>
      <c r="AD117" s="8">
        <f t="shared" si="18"/>
        <v>0.89815518988130283</v>
      </c>
      <c r="AE117" s="3">
        <f t="shared" si="19"/>
        <v>6.2331632340315128E-3</v>
      </c>
      <c r="AF117" s="11">
        <f t="shared" si="20"/>
        <v>8.7499999999999929</v>
      </c>
      <c r="AG117" s="1">
        <f t="shared" si="21"/>
        <v>7.2073493757403517E-2</v>
      </c>
    </row>
    <row r="118" spans="2:33" ht="15">
      <c r="B118" s="1">
        <v>107</v>
      </c>
      <c r="C118" s="1">
        <v>1.0000766587809857</v>
      </c>
      <c r="D118" s="1">
        <v>1.0947618873468234</v>
      </c>
      <c r="E118" s="1">
        <v>0.91299998836310725</v>
      </c>
      <c r="G118" s="1">
        <v>0.99939309206993932</v>
      </c>
      <c r="H118" s="1">
        <v>2.205098658612902</v>
      </c>
      <c r="I118" s="1">
        <v>0.4303769049235367</v>
      </c>
      <c r="K118" s="1">
        <v>1.0004890571786591</v>
      </c>
      <c r="L118" s="1">
        <v>1.6724513894653095</v>
      </c>
      <c r="M118" s="1">
        <v>0.5847434272371157</v>
      </c>
      <c r="O118" s="1">
        <v>1.4443035537540849E-2</v>
      </c>
      <c r="P118" s="1">
        <v>0.87916407868765001</v>
      </c>
      <c r="R118" s="1">
        <v>3.4290048287133758E-2</v>
      </c>
      <c r="S118" s="2">
        <f t="shared" si="24"/>
        <v>0.21608313568983861</v>
      </c>
      <c r="T118" s="4">
        <f t="shared" si="25"/>
        <v>4.6691921529553204E-2</v>
      </c>
      <c r="U118" s="1">
        <f t="shared" si="13"/>
        <v>1.5440755499010288E-2</v>
      </c>
      <c r="V118" s="6">
        <f>2*sigma/alpha*corel*(B118/12-1/alpha*(1-EXP(-alpha*Output!B118/12)))</f>
        <v>0.1625241084094709</v>
      </c>
      <c r="W118" s="5">
        <f t="shared" si="26"/>
        <v>-3.1251166030542912E-2</v>
      </c>
      <c r="X118" s="1">
        <f t="shared" si="27"/>
        <v>1.1410390075703238</v>
      </c>
      <c r="Y118" s="3">
        <f t="shared" si="28"/>
        <v>5.0785242945111955E-2</v>
      </c>
      <c r="Z118" s="1">
        <f t="shared" si="17"/>
        <v>7.236350724560324E-2</v>
      </c>
      <c r="AA118" s="8">
        <f t="shared" si="23"/>
        <v>8.8333333333333268</v>
      </c>
      <c r="AB118" s="1">
        <v>8.9169999999999998</v>
      </c>
      <c r="AC118" s="1">
        <v>1.4534200000000001E-2</v>
      </c>
      <c r="AD118" s="8">
        <f t="shared" si="18"/>
        <v>0.91164462459152051</v>
      </c>
      <c r="AE118" s="3">
        <f t="shared" si="19"/>
        <v>6.2724100713594175E-3</v>
      </c>
      <c r="AF118" s="11">
        <f t="shared" si="20"/>
        <v>8.8333333333333268</v>
      </c>
      <c r="AG118" s="1">
        <f t="shared" si="21"/>
        <v>7.236350724560324E-2</v>
      </c>
    </row>
    <row r="119" spans="2:33" ht="15">
      <c r="B119" s="1">
        <v>108</v>
      </c>
      <c r="C119" s="1">
        <v>1.000079571161808</v>
      </c>
      <c r="D119" s="1">
        <v>1.0940573009182777</v>
      </c>
      <c r="E119" s="1">
        <v>0.91358520146874311</v>
      </c>
      <c r="G119" s="1">
        <v>0.99950520453845471</v>
      </c>
      <c r="H119" s="1">
        <v>2.1972844344042359</v>
      </c>
      <c r="I119" s="1">
        <v>0.43169731536481065</v>
      </c>
      <c r="K119" s="1">
        <v>1.0003950855751074</v>
      </c>
      <c r="L119" s="1">
        <v>1.6561772171671545</v>
      </c>
      <c r="M119" s="1">
        <v>0.59036631256829419</v>
      </c>
      <c r="O119" s="1">
        <v>1.4565979599592719E-2</v>
      </c>
      <c r="P119" s="1">
        <v>0.87713548084095216</v>
      </c>
      <c r="R119" s="1">
        <v>3.4147557574185708E-2</v>
      </c>
      <c r="S119" s="2">
        <f t="shared" si="24"/>
        <v>0.21766096828941417</v>
      </c>
      <c r="T119" s="4">
        <f t="shared" si="25"/>
        <v>4.7376297116685361E-2</v>
      </c>
      <c r="U119" s="1">
        <f t="shared" si="13"/>
        <v>1.5847350010532998E-2</v>
      </c>
      <c r="V119" s="6">
        <f>2*sigma/alpha*corel*(B119/12-1/alpha*(1-EXP(-alpha*Output!B119/12)))</f>
        <v>0.16543455057236231</v>
      </c>
      <c r="W119" s="5">
        <f t="shared" si="26"/>
        <v>-3.1528947106152366E-2</v>
      </c>
      <c r="X119" s="1">
        <f t="shared" si="27"/>
        <v>1.1624106863445647</v>
      </c>
      <c r="Y119" s="3">
        <f t="shared" si="28"/>
        <v>5.0706497947695606E-2</v>
      </c>
      <c r="Z119" s="1">
        <f t="shared" si="17"/>
        <v>7.2553656096471394E-2</v>
      </c>
      <c r="AA119" s="8">
        <f t="shared" si="23"/>
        <v>8.9166666666666607</v>
      </c>
      <c r="AB119" s="1">
        <v>9</v>
      </c>
      <c r="AC119" s="1">
        <v>1.4658600000000001E-2</v>
      </c>
      <c r="AD119" s="8">
        <f t="shared" si="18"/>
        <v>0.92620400407281833</v>
      </c>
      <c r="AE119" s="3">
        <f t="shared" si="19"/>
        <v>6.3185024768587601E-3</v>
      </c>
      <c r="AF119" s="11">
        <f t="shared" si="20"/>
        <v>8.9166666666666607</v>
      </c>
      <c r="AG119" s="1">
        <f t="shared" si="21"/>
        <v>7.2553656096471394E-2</v>
      </c>
    </row>
    <row r="120" spans="2:33" ht="15">
      <c r="B120" s="1">
        <v>109</v>
      </c>
      <c r="C120" s="1">
        <v>1.0000808845023106</v>
      </c>
      <c r="D120" s="1">
        <v>1.0946185187324342</v>
      </c>
      <c r="E120" s="1">
        <v>0.91311404840518706</v>
      </c>
      <c r="G120" s="1">
        <v>0.99947735102545465</v>
      </c>
      <c r="H120" s="1">
        <v>2.1882416110589036</v>
      </c>
      <c r="I120" s="1">
        <v>0.43327039215797014</v>
      </c>
      <c r="K120" s="1">
        <v>1.0004127550578175</v>
      </c>
      <c r="L120" s="1">
        <v>1.6494428926522506</v>
      </c>
      <c r="M120" s="1">
        <v>0.59265317090593705</v>
      </c>
      <c r="O120" s="1">
        <v>1.4688345695621096E-2</v>
      </c>
      <c r="P120" s="1">
        <v>0.87509822649945346</v>
      </c>
      <c r="R120" s="1">
        <v>3.4150236360378013E-2</v>
      </c>
      <c r="S120" s="2">
        <f t="shared" si="24"/>
        <v>0.21971346130436542</v>
      </c>
      <c r="T120" s="4">
        <f t="shared" si="25"/>
        <v>4.8274005078344881E-2</v>
      </c>
      <c r="U120" s="1">
        <f t="shared" si="13"/>
        <v>1.6260483804022424E-2</v>
      </c>
      <c r="V120" s="6">
        <f>2*sigma/alpha*corel*(B120/12-1/alpha*(1-EXP(-alpha*Output!B120/12)))</f>
        <v>0.16836830394790311</v>
      </c>
      <c r="W120" s="5">
        <f t="shared" si="26"/>
        <v>-3.2013521274322457E-2</v>
      </c>
      <c r="X120" s="1">
        <f t="shared" si="27"/>
        <v>1.1915058254080095</v>
      </c>
      <c r="Y120" s="3">
        <f t="shared" si="28"/>
        <v>5.0817956876427019E-2</v>
      </c>
      <c r="Z120" s="1">
        <f t="shared" si="17"/>
        <v>7.2901093039976356E-2</v>
      </c>
      <c r="AA120" s="8">
        <f t="shared" si="23"/>
        <v>8.9999999999999947</v>
      </c>
      <c r="AB120" s="1">
        <v>9.0830000000000002</v>
      </c>
      <c r="AC120" s="1">
        <v>1.4782399999999999E-2</v>
      </c>
      <c r="AD120" s="8">
        <f t="shared" si="18"/>
        <v>0.94054304378903697</v>
      </c>
      <c r="AE120" s="3">
        <f t="shared" si="19"/>
        <v>6.3625868856818715E-3</v>
      </c>
      <c r="AF120" s="11">
        <f t="shared" si="20"/>
        <v>8.9999999999999947</v>
      </c>
      <c r="AG120" s="1">
        <f t="shared" si="21"/>
        <v>7.2901093039976356E-2</v>
      </c>
    </row>
    <row r="121" spans="2:33" ht="15">
      <c r="B121" s="1">
        <v>110</v>
      </c>
      <c r="C121" s="1">
        <v>1.0000812030885378</v>
      </c>
      <c r="D121" s="1">
        <v>1.094417805352933</v>
      </c>
      <c r="E121" s="1">
        <v>0.91327877617887776</v>
      </c>
      <c r="G121" s="1">
        <v>0.99937037797626127</v>
      </c>
      <c r="H121" s="1">
        <v>2.1837431951848405</v>
      </c>
      <c r="I121" s="1">
        <v>0.43395169702930303</v>
      </c>
      <c r="K121" s="1">
        <v>1.0003720571112815</v>
      </c>
      <c r="L121" s="1">
        <v>1.6211204289550742</v>
      </c>
      <c r="M121" s="1">
        <v>0.60288175269195299</v>
      </c>
      <c r="O121" s="1">
        <v>1.4810150738173499E-2</v>
      </c>
      <c r="P121" s="1">
        <v>0.87305238859305223</v>
      </c>
      <c r="R121" s="1">
        <v>3.3990961383453318E-2</v>
      </c>
      <c r="S121" s="2">
        <f t="shared" si="24"/>
        <v>0.22124678824448113</v>
      </c>
      <c r="T121" s="4">
        <f t="shared" si="25"/>
        <v>4.8950141308498271E-2</v>
      </c>
      <c r="U121" s="1">
        <f t="shared" ref="U121:U184" si="29">sigma*sigma/alpha/alpha*(B121/12+2/alpha*EXP(-alpha*B121/12)-1/2/alpha*EXP(-2*alpha*B121/12)-3/2/alpha)</f>
        <v>1.668019124427338E-2</v>
      </c>
      <c r="V121" s="6">
        <f>2*sigma/alpha*corel*(B121/12-1/alpha*(1-EXP(-alpha*Output!B121/12)))</f>
        <v>0.17132530582233271</v>
      </c>
      <c r="W121" s="5">
        <f t="shared" si="26"/>
        <v>-3.2269950064224895E-2</v>
      </c>
      <c r="X121" s="1">
        <f t="shared" si="27"/>
        <v>1.2125838627700285</v>
      </c>
      <c r="Y121" s="3">
        <f t="shared" si="28"/>
        <v>5.0719011868295402E-2</v>
      </c>
      <c r="Z121" s="1">
        <f t="shared" si="17"/>
        <v>7.3075409102327571E-2</v>
      </c>
      <c r="AA121" s="8">
        <f t="shared" si="23"/>
        <v>9.0833333333333286</v>
      </c>
      <c r="AB121" s="1">
        <v>9.1669999999999998</v>
      </c>
      <c r="AC121" s="1">
        <v>1.4905699999999999E-2</v>
      </c>
      <c r="AD121" s="8">
        <f t="shared" si="18"/>
        <v>0.95549261826500043</v>
      </c>
      <c r="AE121" s="3">
        <f t="shared" si="19"/>
        <v>6.4102498927591494E-3</v>
      </c>
      <c r="AF121" s="11">
        <f t="shared" si="20"/>
        <v>9.0833333333333286</v>
      </c>
      <c r="AG121" s="1">
        <f t="shared" si="21"/>
        <v>7.3075409102327571E-2</v>
      </c>
    </row>
    <row r="122" spans="2:33" ht="15">
      <c r="B122" s="1">
        <v>111</v>
      </c>
      <c r="C122" s="1">
        <v>1.0000841117550257</v>
      </c>
      <c r="D122" s="1">
        <v>1.0904337809321216</v>
      </c>
      <c r="E122" s="1">
        <v>0.91661281608338774</v>
      </c>
      <c r="G122" s="1">
        <v>0.99948400551335703</v>
      </c>
      <c r="H122" s="1">
        <v>2.1144161542972606</v>
      </c>
      <c r="I122" s="1">
        <v>0.44796199713785267</v>
      </c>
      <c r="K122" s="1">
        <v>1.0003603647090629</v>
      </c>
      <c r="L122" s="1">
        <v>1.6444587821186725</v>
      </c>
      <c r="M122" s="1">
        <v>0.59420177901506299</v>
      </c>
      <c r="O122" s="1">
        <v>1.4931174028948939E-2</v>
      </c>
      <c r="P122" s="1">
        <v>0.87099994979717854</v>
      </c>
      <c r="R122" s="1">
        <v>3.3918451577865077E-2</v>
      </c>
      <c r="S122" s="2">
        <f t="shared" si="24"/>
        <v>0.22306562831725907</v>
      </c>
      <c r="T122" s="4">
        <f t="shared" si="25"/>
        <v>4.9758274536573568E-2</v>
      </c>
      <c r="U122" s="1">
        <f t="shared" si="29"/>
        <v>1.7106506324447473E-2</v>
      </c>
      <c r="V122" s="6">
        <f>2*sigma/alpha*corel*(B122/12-1/alpha*(1-EXP(-alpha*Output!B122/12)))</f>
        <v>0.17430549365060957</v>
      </c>
      <c r="W122" s="5">
        <f t="shared" si="26"/>
        <v>-3.2651768212126092E-2</v>
      </c>
      <c r="X122" s="1">
        <f t="shared" si="27"/>
        <v>1.2384978289654482</v>
      </c>
      <c r="Y122" s="3">
        <f t="shared" si="28"/>
        <v>5.0733658368118446E-2</v>
      </c>
      <c r="Z122" s="1">
        <f t="shared" si="17"/>
        <v>7.3343526795981245E-2</v>
      </c>
      <c r="AA122" s="8">
        <f t="shared" si="23"/>
        <v>9.1666666666666625</v>
      </c>
      <c r="AB122" s="1">
        <v>9.25</v>
      </c>
      <c r="AC122" s="1">
        <v>1.5028100000000001E-2</v>
      </c>
      <c r="AD122" s="8">
        <f t="shared" si="18"/>
        <v>0.96925971051061921</v>
      </c>
      <c r="AE122" s="3">
        <f t="shared" si="19"/>
        <v>6.4496490608301725E-3</v>
      </c>
      <c r="AF122" s="11">
        <f t="shared" si="20"/>
        <v>9.1666666666666625</v>
      </c>
      <c r="AG122" s="1">
        <f t="shared" si="21"/>
        <v>7.3343526795981245E-2</v>
      </c>
    </row>
    <row r="123" spans="2:33" ht="15">
      <c r="B123" s="1">
        <v>112</v>
      </c>
      <c r="C123" s="1">
        <v>1.000085497341263</v>
      </c>
      <c r="D123" s="1">
        <v>1.0924671889524693</v>
      </c>
      <c r="E123" s="1">
        <v>0.91490401936027077</v>
      </c>
      <c r="G123" s="1">
        <v>0.99946528169891968</v>
      </c>
      <c r="H123" s="1">
        <v>2.1485710155578071</v>
      </c>
      <c r="I123" s="1">
        <v>0.44062651319024898</v>
      </c>
      <c r="K123" s="1">
        <v>1.0003739568195358</v>
      </c>
      <c r="L123" s="1">
        <v>1.6780027178509036</v>
      </c>
      <c r="M123" s="1">
        <v>0.5822021462545991</v>
      </c>
      <c r="O123" s="1">
        <v>1.5051131936305952E-2</v>
      </c>
      <c r="P123" s="1">
        <v>0.86894344932856604</v>
      </c>
      <c r="R123" s="1">
        <v>3.3906694687929347E-2</v>
      </c>
      <c r="S123" s="2">
        <f t="shared" si="24"/>
        <v>0.22508599180550787</v>
      </c>
      <c r="T123" s="4">
        <f t="shared" si="25"/>
        <v>5.0663703707069158E-2</v>
      </c>
      <c r="U123" s="1">
        <f t="shared" si="29"/>
        <v>1.7539462668570989E-2</v>
      </c>
      <c r="V123" s="6">
        <f>2*sigma/alpha*corel*(B123/12-1/alpha*(1-EXP(-alpha*Output!B123/12)))</f>
        <v>0.17730880505595625</v>
      </c>
      <c r="W123" s="5">
        <f t="shared" si="26"/>
        <v>-3.3124241038498169E-2</v>
      </c>
      <c r="X123" s="1">
        <f t="shared" si="27"/>
        <v>1.2680767444543026</v>
      </c>
      <c r="Y123" s="3">
        <f t="shared" si="28"/>
        <v>5.0827517782357397E-2</v>
      </c>
      <c r="Z123" s="1">
        <f t="shared" si="17"/>
        <v>7.3676685380210688E-2</v>
      </c>
      <c r="AA123" s="8">
        <f t="shared" si="23"/>
        <v>9.2499999999999964</v>
      </c>
      <c r="AB123" s="1">
        <v>9.3330000000000002</v>
      </c>
      <c r="AC123" s="1">
        <v>1.51495E-2</v>
      </c>
      <c r="AD123" s="8">
        <f t="shared" si="18"/>
        <v>0.98368063694048025</v>
      </c>
      <c r="AE123" s="3">
        <f t="shared" si="19"/>
        <v>6.4931557935277084E-3</v>
      </c>
      <c r="AF123" s="11">
        <f t="shared" si="20"/>
        <v>9.2499999999999964</v>
      </c>
      <c r="AG123" s="1">
        <f t="shared" si="21"/>
        <v>7.3676685380210688E-2</v>
      </c>
    </row>
    <row r="124" spans="2:33" ht="15">
      <c r="B124" s="1">
        <v>113</v>
      </c>
      <c r="C124" s="1">
        <v>1.0000870941762461</v>
      </c>
      <c r="D124" s="1">
        <v>1.091954501718414</v>
      </c>
      <c r="E124" s="1">
        <v>0.91533088737981638</v>
      </c>
      <c r="G124" s="1">
        <v>0.99946648399341464</v>
      </c>
      <c r="H124" s="1">
        <v>2.1384494683030502</v>
      </c>
      <c r="I124" s="1">
        <v>0.44249672154803293</v>
      </c>
      <c r="K124" s="1">
        <v>1.0004714130937395</v>
      </c>
      <c r="L124" s="1">
        <v>1.6605248261692556</v>
      </c>
      <c r="M124" s="1">
        <v>0.58820757226967424</v>
      </c>
      <c r="O124" s="1">
        <v>1.516992442065835E-2</v>
      </c>
      <c r="P124" s="1">
        <v>0.86688398632003827</v>
      </c>
      <c r="R124" s="1">
        <v>3.3974928661954076E-2</v>
      </c>
      <c r="S124" s="2">
        <f t="shared" si="24"/>
        <v>0.22737299386235399</v>
      </c>
      <c r="T124" s="4">
        <f t="shared" si="25"/>
        <v>5.1698478337930065E-2</v>
      </c>
      <c r="U124" s="1">
        <f t="shared" si="29"/>
        <v>1.7979093534018536E-2</v>
      </c>
      <c r="V124" s="6">
        <f>2*sigma/alpha*corel*(B124/12-1/alpha*(1-EXP(-alpha*Output!B124/12)))</f>
        <v>0.18033517782940572</v>
      </c>
      <c r="W124" s="5">
        <f t="shared" si="26"/>
        <v>-3.3719384803911526E-2</v>
      </c>
      <c r="X124" s="1">
        <f t="shared" si="27"/>
        <v>1.3026176039767641</v>
      </c>
      <c r="Y124" s="3">
        <f t="shared" si="28"/>
        <v>5.1025888422830491E-2</v>
      </c>
      <c r="Z124" s="1">
        <f t="shared" si="17"/>
        <v>7.4095235300884632E-2</v>
      </c>
      <c r="AA124" s="8">
        <f t="shared" si="23"/>
        <v>9.3333333333333304</v>
      </c>
      <c r="AB124" s="1">
        <v>9.4169999999999998</v>
      </c>
      <c r="AC124" s="1">
        <v>1.52698E-2</v>
      </c>
      <c r="AD124" s="8">
        <f t="shared" si="18"/>
        <v>0.99875579341650311</v>
      </c>
      <c r="AE124" s="3">
        <f t="shared" si="19"/>
        <v>6.5407260960621827E-3</v>
      </c>
      <c r="AF124" s="11">
        <f t="shared" si="20"/>
        <v>9.3333333333333304</v>
      </c>
      <c r="AG124" s="1">
        <f t="shared" si="21"/>
        <v>7.4095235300884632E-2</v>
      </c>
    </row>
    <row r="125" spans="2:33" ht="15">
      <c r="B125" s="1">
        <v>114</v>
      </c>
      <c r="C125" s="1">
        <v>1.0000900151180312</v>
      </c>
      <c r="D125" s="1">
        <v>1.0918659776329582</v>
      </c>
      <c r="E125" s="1">
        <v>0.91540242378607595</v>
      </c>
      <c r="G125" s="1">
        <v>0.99957466185188659</v>
      </c>
      <c r="H125" s="1">
        <v>2.1359767036290229</v>
      </c>
      <c r="I125" s="1">
        <v>0.44279352602488342</v>
      </c>
      <c r="K125" s="1">
        <v>1.0005588059825035</v>
      </c>
      <c r="L125" s="1">
        <v>1.6555318521092</v>
      </c>
      <c r="M125" s="1">
        <v>0.58985866709220403</v>
      </c>
      <c r="O125" s="1">
        <v>1.5287399733700961E-2</v>
      </c>
      <c r="P125" s="1">
        <v>0.86482310360230696</v>
      </c>
      <c r="R125" s="1">
        <v>3.3900245880617817E-2</v>
      </c>
      <c r="S125" s="2">
        <f t="shared" si="24"/>
        <v>0.22918949894750018</v>
      </c>
      <c r="T125" s="4">
        <f t="shared" si="25"/>
        <v>5.2527826427806186E-2</v>
      </c>
      <c r="U125" s="1">
        <f t="shared" si="29"/>
        <v>1.8425431813988983E-2</v>
      </c>
      <c r="V125" s="6">
        <f>2*sigma/alpha*corel*(B125/12-1/alpha*(1-EXP(-alpha*Output!B125/12)))</f>
        <v>0.1833845499293508</v>
      </c>
      <c r="W125" s="5">
        <f t="shared" si="26"/>
        <v>-3.41023946138172E-2</v>
      </c>
      <c r="X125" s="1">
        <f t="shared" si="27"/>
        <v>1.3295208884778442</v>
      </c>
      <c r="Y125" s="3">
        <f t="shared" si="28"/>
        <v>5.1034945770452658E-2</v>
      </c>
      <c r="Z125" s="1">
        <f t="shared" si="17"/>
        <v>7.435889245502178E-2</v>
      </c>
      <c r="AA125" s="8">
        <f t="shared" si="23"/>
        <v>9.4166666666666643</v>
      </c>
      <c r="AB125" s="1">
        <v>9.5</v>
      </c>
      <c r="AC125" s="1">
        <v>1.53887E-2</v>
      </c>
      <c r="AD125" s="8">
        <f t="shared" si="18"/>
        <v>1.0130026629903872</v>
      </c>
      <c r="AE125" s="3">
        <f t="shared" si="19"/>
        <v>6.5827695841129356E-3</v>
      </c>
      <c r="AF125" s="11">
        <f t="shared" si="20"/>
        <v>9.4166666666666643</v>
      </c>
      <c r="AG125" s="1">
        <f t="shared" si="21"/>
        <v>7.435889245502178E-2</v>
      </c>
    </row>
    <row r="126" spans="2:33" ht="15">
      <c r="B126" s="1">
        <v>115</v>
      </c>
      <c r="C126" s="1">
        <v>1.0000926372320089</v>
      </c>
      <c r="D126" s="1">
        <v>1.0932245985769939</v>
      </c>
      <c r="E126" s="1">
        <v>0.91426213812726065</v>
      </c>
      <c r="G126" s="1">
        <v>0.99965589780586184</v>
      </c>
      <c r="H126" s="1">
        <v>2.1579105792962898</v>
      </c>
      <c r="I126" s="1">
        <v>0.43807963784940168</v>
      </c>
      <c r="K126" s="1">
        <v>1.0005784522122698</v>
      </c>
      <c r="L126" s="1">
        <v>1.6667411890890409</v>
      </c>
      <c r="M126" s="1">
        <v>0.58576964213330407</v>
      </c>
      <c r="O126" s="1">
        <v>1.5403315587051242E-2</v>
      </c>
      <c r="P126" s="1">
        <v>0.86276312191886151</v>
      </c>
      <c r="R126" s="1">
        <v>3.3878955411924587E-2</v>
      </c>
      <c r="S126" s="2">
        <f t="shared" si="24"/>
        <v>0.23118086608536148</v>
      </c>
      <c r="T126" s="4">
        <f t="shared" si="25"/>
        <v>5.3444592843977838E-2</v>
      </c>
      <c r="U126" s="1">
        <f t="shared" si="29"/>
        <v>1.887851003995621E-2</v>
      </c>
      <c r="V126" s="6">
        <f>2*sigma/alpha*corel*(B126/12-1/alpha*(1-EXP(-alpha*Output!B126/12)))</f>
        <v>0.18645685948109458</v>
      </c>
      <c r="W126" s="5">
        <f t="shared" si="26"/>
        <v>-3.4566082804021625E-2</v>
      </c>
      <c r="X126" s="1">
        <f t="shared" si="27"/>
        <v>1.359799334601715</v>
      </c>
      <c r="Y126" s="3">
        <f t="shared" si="28"/>
        <v>5.1112042525275111E-2</v>
      </c>
      <c r="Z126" s="1">
        <f t="shared" si="17"/>
        <v>7.4678156641494575E-2</v>
      </c>
      <c r="AA126" s="8">
        <f t="shared" si="23"/>
        <v>9.4999999999999982</v>
      </c>
      <c r="AB126" s="1">
        <v>9.5830000000000002</v>
      </c>
      <c r="AC126" s="1">
        <v>1.5506199999999999E-2</v>
      </c>
      <c r="AD126" s="8">
        <f t="shared" si="18"/>
        <v>1.0288441294875779</v>
      </c>
      <c r="AE126" s="3">
        <f t="shared" si="19"/>
        <v>6.6350500411937021E-3</v>
      </c>
      <c r="AF126" s="11">
        <f t="shared" si="20"/>
        <v>9.4999999999999982</v>
      </c>
      <c r="AG126" s="1">
        <f t="shared" si="21"/>
        <v>7.4678156641494575E-2</v>
      </c>
    </row>
    <row r="127" spans="2:33" ht="15">
      <c r="B127" s="1">
        <v>116</v>
      </c>
      <c r="C127" s="1">
        <v>1.0000965695851864</v>
      </c>
      <c r="D127" s="1">
        <v>1.0899197551098783</v>
      </c>
      <c r="E127" s="1">
        <v>0.91703170640681064</v>
      </c>
      <c r="G127" s="1">
        <v>0.99984216689336369</v>
      </c>
      <c r="H127" s="1">
        <v>2.0977123641366342</v>
      </c>
      <c r="I127" s="1">
        <v>0.45043209064561879</v>
      </c>
      <c r="K127" s="1">
        <v>1.0005551396491679</v>
      </c>
      <c r="L127" s="1">
        <v>1.6873411759329584</v>
      </c>
      <c r="M127" s="1">
        <v>0.57849771173092679</v>
      </c>
      <c r="O127" s="1">
        <v>1.551749888830542E-2</v>
      </c>
      <c r="P127" s="1">
        <v>0.86070583390727917</v>
      </c>
      <c r="R127" s="1">
        <v>3.3730640304090294E-2</v>
      </c>
      <c r="S127" s="2">
        <f t="shared" si="24"/>
        <v>0.23274399509246108</v>
      </c>
      <c r="T127" s="4">
        <f t="shared" si="25"/>
        <v>5.4169767251599547E-2</v>
      </c>
      <c r="U127" s="1">
        <f t="shared" si="29"/>
        <v>1.9338360384110513E-2</v>
      </c>
      <c r="V127" s="6">
        <f>2*sigma/alpha*corel*(B127/12-1/alpha*(1-EXP(-alpha*Output!B127/12)))</f>
        <v>0.18955204477639961</v>
      </c>
      <c r="W127" s="5">
        <f t="shared" si="26"/>
        <v>-3.4831406867489034E-2</v>
      </c>
      <c r="X127" s="1">
        <f t="shared" si="27"/>
        <v>1.3827443765551568</v>
      </c>
      <c r="Y127" s="3">
        <f t="shared" si="28"/>
        <v>5.101807612469364E-2</v>
      </c>
      <c r="Z127" s="1">
        <f t="shared" si="17"/>
        <v>7.4858326364056121E-2</v>
      </c>
      <c r="AA127" s="8">
        <f t="shared" si="23"/>
        <v>9.5833333333333321</v>
      </c>
      <c r="AB127" s="1">
        <v>9.6669999999999998</v>
      </c>
      <c r="AC127" s="1">
        <v>1.5621899999999999E-2</v>
      </c>
      <c r="AD127" s="8">
        <f t="shared" si="18"/>
        <v>1.0440111169457942</v>
      </c>
      <c r="AE127" s="3">
        <f t="shared" si="19"/>
        <v>6.6829970550688084E-3</v>
      </c>
      <c r="AF127" s="11">
        <f t="shared" si="20"/>
        <v>9.5833333333333321</v>
      </c>
      <c r="AG127" s="1">
        <f t="shared" si="21"/>
        <v>7.4858326364056121E-2</v>
      </c>
    </row>
    <row r="128" spans="2:33" ht="15">
      <c r="B128" s="1">
        <v>117</v>
      </c>
      <c r="C128" s="1">
        <v>1.0000960636726002</v>
      </c>
      <c r="D128" s="1">
        <v>1.092630326535551</v>
      </c>
      <c r="E128" s="1">
        <v>0.91475413084121104</v>
      </c>
      <c r="G128" s="1">
        <v>0.99966728439218655</v>
      </c>
      <c r="H128" s="1">
        <v>2.1460972697209</v>
      </c>
      <c r="I128" s="1">
        <v>0.44006276496564739</v>
      </c>
      <c r="K128" s="1">
        <v>1.0005854691092457</v>
      </c>
      <c r="L128" s="1">
        <v>1.6848105065897019</v>
      </c>
      <c r="M128" s="1">
        <v>0.57924595502470155</v>
      </c>
      <c r="O128" s="1">
        <v>1.5629811698315212E-2</v>
      </c>
      <c r="P128" s="1">
        <v>0.85865277043327859</v>
      </c>
      <c r="R128" s="1">
        <v>3.3666383247176447E-2</v>
      </c>
      <c r="S128" s="2">
        <f t="shared" si="24"/>
        <v>0.23458135131470903</v>
      </c>
      <c r="T128" s="4">
        <f t="shared" si="25"/>
        <v>5.5028410384634942E-2</v>
      </c>
      <c r="U128" s="1">
        <f t="shared" si="29"/>
        <v>1.9805014661790129E-2</v>
      </c>
      <c r="V128" s="6">
        <f>2*sigma/alpha*corel*(B128/12-1/alpha*(1-EXP(-alpha*Output!B128/12)))</f>
        <v>0.19267004427304121</v>
      </c>
      <c r="W128" s="5">
        <f t="shared" si="26"/>
        <v>-3.5223395722844816E-2</v>
      </c>
      <c r="X128" s="1">
        <f t="shared" si="27"/>
        <v>1.4108341791511236</v>
      </c>
      <c r="Y128" s="3">
        <f t="shared" si="28"/>
        <v>5.1031557193933312E-2</v>
      </c>
      <c r="Z128" s="1">
        <f t="shared" si="17"/>
        <v>7.5126157406253807E-2</v>
      </c>
      <c r="AA128" s="8">
        <f t="shared" si="23"/>
        <v>9.6666666666666661</v>
      </c>
      <c r="AB128" s="1">
        <v>9.75</v>
      </c>
      <c r="AC128" s="1">
        <v>1.5735699999999998E-2</v>
      </c>
      <c r="AD128" s="8">
        <f t="shared" si="18"/>
        <v>1.0588830168478669</v>
      </c>
      <c r="AE128" s="3">
        <f t="shared" si="19"/>
        <v>6.7291764385941973E-3</v>
      </c>
      <c r="AF128" s="11">
        <f t="shared" si="20"/>
        <v>9.6666666666666661</v>
      </c>
      <c r="AG128" s="1">
        <f t="shared" si="21"/>
        <v>7.5126157406253807E-2</v>
      </c>
    </row>
    <row r="129" spans="2:33" ht="15">
      <c r="B129" s="1">
        <v>118</v>
      </c>
      <c r="C129" s="1">
        <v>1.0000971544671204</v>
      </c>
      <c r="D129" s="1">
        <v>1.0917155821488871</v>
      </c>
      <c r="E129" s="1">
        <v>0.91551798781065974</v>
      </c>
      <c r="G129" s="1">
        <v>0.99962404180280173</v>
      </c>
      <c r="H129" s="1">
        <v>2.1293943409981209</v>
      </c>
      <c r="I129" s="1">
        <v>0.44329895284135257</v>
      </c>
      <c r="K129" s="1">
        <v>1.0006682156216575</v>
      </c>
      <c r="L129" s="1">
        <v>1.6757021477448242</v>
      </c>
      <c r="M129" s="1">
        <v>0.58227315435765747</v>
      </c>
      <c r="O129" s="1">
        <v>1.5740140851331574E-2</v>
      </c>
      <c r="P129" s="1">
        <v>0.85660527846778756</v>
      </c>
      <c r="R129" s="1">
        <v>3.365917473483334E-2</v>
      </c>
      <c r="S129" s="2">
        <f t="shared" si="24"/>
        <v>0.23660435254574402</v>
      </c>
      <c r="T129" s="4">
        <f t="shared" si="25"/>
        <v>5.5981619643590726E-2</v>
      </c>
      <c r="U129" s="1">
        <f t="shared" si="29"/>
        <v>2.0278504333888114E-2</v>
      </c>
      <c r="V129" s="6">
        <f>2*sigma/alpha*corel*(B129/12-1/alpha*(1-EXP(-alpha*Output!B129/12)))</f>
        <v>0.19581079659436154</v>
      </c>
      <c r="W129" s="5">
        <f t="shared" si="26"/>
        <v>-3.5703115309702611E-2</v>
      </c>
      <c r="X129" s="1">
        <f t="shared" si="27"/>
        <v>1.4426644035778879</v>
      </c>
      <c r="Y129" s="3">
        <f t="shared" si="28"/>
        <v>5.1116891110529153E-2</v>
      </c>
      <c r="Z129" s="1">
        <f t="shared" si="17"/>
        <v>7.545227674132772E-2</v>
      </c>
      <c r="AA129" s="8">
        <f t="shared" si="23"/>
        <v>9.75</v>
      </c>
      <c r="AB129" s="1">
        <v>9.8330000000000002</v>
      </c>
      <c r="AC129" s="1">
        <v>1.5847400000000001E-2</v>
      </c>
      <c r="AD129" s="8">
        <f t="shared" si="18"/>
        <v>1.072591486684267</v>
      </c>
      <c r="AE129" s="3">
        <f t="shared" si="19"/>
        <v>6.768248966292684E-3</v>
      </c>
      <c r="AF129" s="11">
        <f t="shared" si="20"/>
        <v>9.75</v>
      </c>
      <c r="AG129" s="1">
        <f t="shared" si="21"/>
        <v>7.545227674132772E-2</v>
      </c>
    </row>
    <row r="130" spans="2:33" ht="15">
      <c r="B130" s="1">
        <v>119</v>
      </c>
      <c r="C130" s="1">
        <v>1.0000999462460647</v>
      </c>
      <c r="D130" s="1">
        <v>1.093674137193982</v>
      </c>
      <c r="E130" s="1">
        <v>0.91387588388998375</v>
      </c>
      <c r="G130" s="1">
        <v>0.99971669946612696</v>
      </c>
      <c r="H130" s="1">
        <v>2.1618123213913574</v>
      </c>
      <c r="I130" s="1">
        <v>0.43643905000742655</v>
      </c>
      <c r="K130" s="1">
        <v>1.0006173811666919</v>
      </c>
      <c r="L130" s="1">
        <v>1.6800927186996277</v>
      </c>
      <c r="M130" s="1">
        <v>0.58063052787695302</v>
      </c>
      <c r="O130" s="1">
        <v>1.5848250890117762E-2</v>
      </c>
      <c r="P130" s="1">
        <v>0.85456576066279122</v>
      </c>
      <c r="R130" s="1">
        <v>3.343711854944606E-2</v>
      </c>
      <c r="S130" s="2">
        <f t="shared" si="24"/>
        <v>0.2378903356337525</v>
      </c>
      <c r="T130" s="4">
        <f t="shared" si="25"/>
        <v>5.6591811787939414E-2</v>
      </c>
      <c r="U130" s="1">
        <f t="shared" si="29"/>
        <v>2.0758860509253164E-2</v>
      </c>
      <c r="V130" s="6">
        <f>2*sigma/alpha*corel*(B130/12-1/alpha*(1-EXP(-alpha*Output!B130/12)))</f>
        <v>0.19897424052882193</v>
      </c>
      <c r="W130" s="5">
        <f t="shared" si="26"/>
        <v>-3.5832951278686249E-2</v>
      </c>
      <c r="X130" s="1">
        <f t="shared" si="27"/>
        <v>1.4609644824485761</v>
      </c>
      <c r="Y130" s="3">
        <f t="shared" si="28"/>
        <v>5.0910725879828658E-2</v>
      </c>
      <c r="Z130" s="1">
        <f t="shared" si="17"/>
        <v>7.5542950188310462E-2</v>
      </c>
      <c r="AA130" s="8">
        <f t="shared" si="23"/>
        <v>9.8333333333333339</v>
      </c>
      <c r="AB130" s="1">
        <v>9.9169999999999998</v>
      </c>
      <c r="AC130" s="1">
        <v>1.5956999999999999E-2</v>
      </c>
      <c r="AD130" s="8">
        <f t="shared" si="18"/>
        <v>1.0874910988223698</v>
      </c>
      <c r="AE130" s="3">
        <f t="shared" si="19"/>
        <v>6.8151350430680569E-3</v>
      </c>
      <c r="AF130" s="11">
        <f t="shared" si="20"/>
        <v>9.8333333333333339</v>
      </c>
      <c r="AG130" s="1">
        <f t="shared" si="21"/>
        <v>7.5542950188310462E-2</v>
      </c>
    </row>
    <row r="131" spans="2:33" ht="15">
      <c r="B131" s="1">
        <v>120</v>
      </c>
      <c r="C131" s="1">
        <v>1.0001025125289704</v>
      </c>
      <c r="D131" s="1">
        <v>1.094003726435788</v>
      </c>
      <c r="E131" s="1">
        <v>0.91359798535752224</v>
      </c>
      <c r="G131" s="1">
        <v>0.9997957011398878</v>
      </c>
      <c r="H131" s="1">
        <v>2.1667225319847598</v>
      </c>
      <c r="I131" s="1">
        <v>0.43523828530549918</v>
      </c>
      <c r="K131" s="1">
        <v>1.000616225909152</v>
      </c>
      <c r="L131" s="1">
        <v>1.6877143466713826</v>
      </c>
      <c r="M131" s="1">
        <v>0.57788802583871013</v>
      </c>
      <c r="O131" s="1">
        <v>1.5954001688119876E-2</v>
      </c>
      <c r="P131" s="1">
        <v>0.85253585088794703</v>
      </c>
      <c r="R131" s="1">
        <v>3.3373045945064669E-2</v>
      </c>
      <c r="S131" s="2">
        <f t="shared" si="24"/>
        <v>0.23969928175107225</v>
      </c>
      <c r="T131" s="4">
        <f t="shared" si="25"/>
        <v>5.7455745671979919E-2</v>
      </c>
      <c r="U131" s="1">
        <f t="shared" si="29"/>
        <v>2.1246113947075634E-2</v>
      </c>
      <c r="V131" s="6">
        <f>2*sigma/alpha*corel*(B131/12-1/alpha*(1-EXP(-alpha*Output!B131/12)))</f>
        <v>0.20216031502956203</v>
      </c>
      <c r="W131" s="5">
        <f t="shared" si="26"/>
        <v>-3.6209631724904282E-2</v>
      </c>
      <c r="X131" s="1">
        <f t="shared" si="27"/>
        <v>1.4892540619690229</v>
      </c>
      <c r="Y131" s="3">
        <f t="shared" si="28"/>
        <v>5.090948300848875E-2</v>
      </c>
      <c r="Z131" s="1">
        <f t="shared" si="17"/>
        <v>7.5799568383982177E-2</v>
      </c>
      <c r="AA131" s="8">
        <f t="shared" si="23"/>
        <v>9.9166666666666679</v>
      </c>
      <c r="AB131" s="1">
        <v>10</v>
      </c>
      <c r="AC131" s="1">
        <v>1.6064100000000001E-2</v>
      </c>
      <c r="AD131" s="8">
        <f t="shared" si="18"/>
        <v>1.1009831188012533</v>
      </c>
      <c r="AE131" s="3">
        <f t="shared" si="19"/>
        <v>6.8536869093273394E-3</v>
      </c>
      <c r="AF131" s="11">
        <f t="shared" si="20"/>
        <v>9.9166666666666679</v>
      </c>
      <c r="AG131" s="1">
        <f t="shared" si="21"/>
        <v>7.5799568383982177E-2</v>
      </c>
    </row>
    <row r="132" spans="2:33" ht="15">
      <c r="B132" s="1">
        <v>121</v>
      </c>
      <c r="C132" s="1">
        <v>1.0001022809103379</v>
      </c>
      <c r="D132" s="1">
        <v>1.0956948780026454</v>
      </c>
      <c r="E132" s="1">
        <v>0.91218533504030896</v>
      </c>
      <c r="G132" s="1">
        <v>0.99964685210274151</v>
      </c>
      <c r="H132" s="1">
        <v>2.1975388987843956</v>
      </c>
      <c r="I132" s="1">
        <v>0.42892625672937656</v>
      </c>
      <c r="K132" s="1">
        <v>1.0005328203182979</v>
      </c>
      <c r="L132" s="1">
        <v>1.6909795437137625</v>
      </c>
      <c r="M132" s="1">
        <v>0.5766520047103223</v>
      </c>
      <c r="O132" s="1">
        <v>1.6057299120911951E-2</v>
      </c>
      <c r="P132" s="1">
        <v>0.85051681257548206</v>
      </c>
      <c r="R132" s="1">
        <v>3.3167634663408677E-2</v>
      </c>
      <c r="S132" s="2">
        <f t="shared" si="24"/>
        <v>0.24101139324677473</v>
      </c>
      <c r="T132" s="4">
        <f t="shared" si="25"/>
        <v>5.8086491674751495E-2</v>
      </c>
      <c r="U132" s="1">
        <f t="shared" si="29"/>
        <v>2.1740295059252169E-2</v>
      </c>
      <c r="V132" s="6">
        <f>2*sigma/alpha*corel*(B132/12-1/alpha*(1-EXP(-alpha*Output!B132/12)))</f>
        <v>0.20536895921395279</v>
      </c>
      <c r="W132" s="5">
        <f t="shared" si="26"/>
        <v>-3.6346196615499329E-2</v>
      </c>
      <c r="X132" s="1">
        <f t="shared" si="27"/>
        <v>1.5081396729004284</v>
      </c>
      <c r="Y132" s="3">
        <f t="shared" si="28"/>
        <v>5.0712120192482786E-2</v>
      </c>
      <c r="Z132" s="1">
        <f t="shared" si="17"/>
        <v>7.589890514661389E-2</v>
      </c>
      <c r="AA132" s="8">
        <f t="shared" si="23"/>
        <v>10.000000000000002</v>
      </c>
      <c r="AB132" s="1">
        <v>10.08</v>
      </c>
      <c r="AC132" s="1">
        <v>1.6168600000000002E-2</v>
      </c>
      <c r="AD132" s="8">
        <f t="shared" si="18"/>
        <v>1.1130087908805055</v>
      </c>
      <c r="AE132" s="3">
        <f t="shared" si="19"/>
        <v>6.8837672456520992E-3</v>
      </c>
      <c r="AF132" s="11">
        <f t="shared" si="20"/>
        <v>10.000000000000002</v>
      </c>
      <c r="AG132" s="1">
        <f t="shared" si="21"/>
        <v>7.589890514661389E-2</v>
      </c>
    </row>
    <row r="133" spans="2:33" ht="15">
      <c r="B133" s="1">
        <v>122</v>
      </c>
      <c r="C133" s="1">
        <v>1.0001035810087364</v>
      </c>
      <c r="D133" s="1">
        <v>1.0997204966697234</v>
      </c>
      <c r="E133" s="1">
        <v>0.90884367230976948</v>
      </c>
      <c r="G133" s="1">
        <v>0.9996160221105731</v>
      </c>
      <c r="H133" s="1">
        <v>2.2725356504185892</v>
      </c>
      <c r="I133" s="1">
        <v>0.41456947772623337</v>
      </c>
      <c r="K133" s="1">
        <v>1.0005237492245971</v>
      </c>
      <c r="L133" s="1">
        <v>1.695237257256295</v>
      </c>
      <c r="M133" s="1">
        <v>0.57508387912834624</v>
      </c>
      <c r="O133" s="1">
        <v>1.615847524051657E-2</v>
      </c>
      <c r="P133" s="1">
        <v>0.84850624727050139</v>
      </c>
      <c r="R133" s="1">
        <v>3.3080317001397512E-2</v>
      </c>
      <c r="S133" s="2">
        <f t="shared" si="24"/>
        <v>0.24271621951283934</v>
      </c>
      <c r="T133" s="4">
        <f t="shared" si="25"/>
        <v>5.8911163214604809E-2</v>
      </c>
      <c r="U133" s="1">
        <f t="shared" si="29"/>
        <v>2.2241433912745977E-2</v>
      </c>
      <c r="V133" s="6">
        <f>2*sigma/alpha*corel*(B133/12-1/alpha*(1-EXP(-alpha*Output!B133/12)))</f>
        <v>0.20860011236315729</v>
      </c>
      <c r="W133" s="5">
        <f t="shared" si="26"/>
        <v>-3.6669729301858828E-2</v>
      </c>
      <c r="X133" s="1">
        <f t="shared" si="27"/>
        <v>1.534749665153514</v>
      </c>
      <c r="Y133" s="3">
        <f t="shared" si="28"/>
        <v>5.0668034062221243E-2</v>
      </c>
      <c r="Z133" s="1">
        <f t="shared" si="17"/>
        <v>7.6121880192619326E-2</v>
      </c>
      <c r="AA133" s="8">
        <f t="shared" si="23"/>
        <v>10.083333333333336</v>
      </c>
      <c r="AB133" s="1">
        <v>10.17</v>
      </c>
      <c r="AC133" s="1">
        <v>1.6271000000000001E-2</v>
      </c>
      <c r="AD133" s="8">
        <f t="shared" si="18"/>
        <v>1.1252475948343026</v>
      </c>
      <c r="AE133" s="3">
        <f t="shared" si="19"/>
        <v>6.9156634185624883E-3</v>
      </c>
      <c r="AF133" s="11">
        <f t="shared" si="20"/>
        <v>10.083333333333336</v>
      </c>
      <c r="AG133" s="1">
        <f t="shared" si="21"/>
        <v>7.6121880192619326E-2</v>
      </c>
    </row>
    <row r="134" spans="2:33" ht="15">
      <c r="B134" s="1">
        <v>123</v>
      </c>
      <c r="C134" s="1">
        <v>1.0001055670004317</v>
      </c>
      <c r="D134" s="1">
        <v>1.0958924532201184</v>
      </c>
      <c r="E134" s="1">
        <v>0.91201581209978944</v>
      </c>
      <c r="G134" s="1">
        <v>0.99964212267564689</v>
      </c>
      <c r="H134" s="1">
        <v>2.2009545245382873</v>
      </c>
      <c r="I134" s="1">
        <v>0.42784434647818148</v>
      </c>
      <c r="K134" s="1">
        <v>1.0005671492997392</v>
      </c>
      <c r="L134" s="1">
        <v>1.6860410104948698</v>
      </c>
      <c r="M134" s="1">
        <v>0.57810013354147238</v>
      </c>
      <c r="O134" s="1">
        <v>1.6257852472158617E-2</v>
      </c>
      <c r="P134" s="1">
        <v>0.84650176882227846</v>
      </c>
      <c r="R134" s="1">
        <v>3.3158092659322111E-2</v>
      </c>
      <c r="S134" s="2">
        <f t="shared" si="24"/>
        <v>0.24498452406888616</v>
      </c>
      <c r="T134" s="4">
        <f t="shared" si="25"/>
        <v>6.0017417033258663E-2</v>
      </c>
      <c r="U134" s="1">
        <f t="shared" si="29"/>
        <v>2.2749560231926751E-2</v>
      </c>
      <c r="V134" s="6">
        <f>2*sigma/alpha*corel*(B134/12-1/alpha*(1-EXP(-alpha*Output!B134/12)))</f>
        <v>0.21185371392169064</v>
      </c>
      <c r="W134" s="5">
        <f t="shared" si="26"/>
        <v>-3.7267856801331913E-2</v>
      </c>
      <c r="X134" s="1">
        <f t="shared" si="27"/>
        <v>1.5728641249570221</v>
      </c>
      <c r="Y134" s="3">
        <f t="shared" si="28"/>
        <v>5.0843174839080858E-2</v>
      </c>
      <c r="Z134" s="1">
        <f t="shared" si="17"/>
        <v>7.6520309456655417E-2</v>
      </c>
      <c r="AA134" s="8">
        <f t="shared" si="23"/>
        <v>10.16666666666667</v>
      </c>
      <c r="AB134" s="1">
        <v>10.25</v>
      </c>
      <c r="AC134" s="1">
        <v>1.63716E-2</v>
      </c>
      <c r="AD134" s="8">
        <f t="shared" si="18"/>
        <v>1.1374752784138256</v>
      </c>
      <c r="AE134" s="3">
        <f t="shared" si="19"/>
        <v>6.9478565223547208E-3</v>
      </c>
      <c r="AF134" s="11">
        <f t="shared" si="20"/>
        <v>10.16666666666667</v>
      </c>
      <c r="AG134" s="1">
        <f t="shared" si="21"/>
        <v>7.6520309456655417E-2</v>
      </c>
    </row>
    <row r="135" spans="2:33" ht="15">
      <c r="B135" s="1">
        <v>124</v>
      </c>
      <c r="C135" s="1">
        <v>1.0001054394774611</v>
      </c>
      <c r="D135" s="1">
        <v>1.0972958101852861</v>
      </c>
      <c r="E135" s="1">
        <v>0.91084690562705994</v>
      </c>
      <c r="G135" s="1">
        <v>0.99949948385235221</v>
      </c>
      <c r="H135" s="1">
        <v>2.2259319468687471</v>
      </c>
      <c r="I135" s="1">
        <v>0.42283782900747774</v>
      </c>
      <c r="K135" s="1">
        <v>1.0006019874755006</v>
      </c>
      <c r="L135" s="1">
        <v>1.6932938328984266</v>
      </c>
      <c r="M135" s="1">
        <v>0.57550406986630631</v>
      </c>
      <c r="O135" s="1">
        <v>1.6355860774077413E-2</v>
      </c>
      <c r="P135" s="1">
        <v>0.84449998429411499</v>
      </c>
      <c r="R135" s="1">
        <v>3.3082433639806154E-2</v>
      </c>
      <c r="S135" s="2">
        <f t="shared" si="24"/>
        <v>0.24672008572799814</v>
      </c>
      <c r="T135" s="4">
        <f t="shared" si="25"/>
        <v>6.0870800701630749E-2</v>
      </c>
      <c r="U135" s="1">
        <f t="shared" si="29"/>
        <v>2.3264703400900779E-2</v>
      </c>
      <c r="V135" s="6">
        <f>2*sigma/alpha*corel*(B135/12-1/alpha*(1-EXP(-alpha*Output!B135/12)))</f>
        <v>0.21512970349697849</v>
      </c>
      <c r="W135" s="5">
        <f t="shared" si="26"/>
        <v>-3.7606097300729974E-2</v>
      </c>
      <c r="X135" s="1">
        <f t="shared" si="27"/>
        <v>1.6006661444235368</v>
      </c>
      <c r="Y135" s="3">
        <f t="shared" si="28"/>
        <v>5.080861209059831E-2</v>
      </c>
      <c r="Z135" s="1">
        <f t="shared" si="17"/>
        <v>7.6751043305905042E-2</v>
      </c>
      <c r="AA135" s="8">
        <f t="shared" si="23"/>
        <v>10.250000000000004</v>
      </c>
      <c r="AB135" s="1">
        <v>10.33</v>
      </c>
      <c r="AC135" s="1">
        <v>1.6470800000000001E-2</v>
      </c>
      <c r="AD135" s="8">
        <f t="shared" si="18"/>
        <v>1.1493922592258761</v>
      </c>
      <c r="AE135" s="3">
        <f t="shared" si="19"/>
        <v>6.9783632806292104E-3</v>
      </c>
      <c r="AF135" s="11">
        <f t="shared" si="20"/>
        <v>10.250000000000004</v>
      </c>
      <c r="AG135" s="1">
        <f t="shared" si="21"/>
        <v>7.6751043305905042E-2</v>
      </c>
    </row>
    <row r="136" spans="2:33" ht="15">
      <c r="B136" s="1">
        <v>125</v>
      </c>
      <c r="C136" s="1">
        <v>1.0001065567897245</v>
      </c>
      <c r="D136" s="1">
        <v>1.0959808319707565</v>
      </c>
      <c r="E136" s="1">
        <v>0.91193725951031568</v>
      </c>
      <c r="G136" s="1">
        <v>0.99945230032568866</v>
      </c>
      <c r="H136" s="1">
        <v>2.1988545195602214</v>
      </c>
      <c r="I136" s="1">
        <v>0.42783674564046359</v>
      </c>
      <c r="K136" s="1">
        <v>1.0005860093098755</v>
      </c>
      <c r="L136" s="1">
        <v>1.7303635945901517</v>
      </c>
      <c r="M136" s="1">
        <v>0.56305766946828217</v>
      </c>
      <c r="O136" s="1">
        <v>1.6452900573787073E-2</v>
      </c>
      <c r="P136" s="1">
        <v>0.84249767114674956</v>
      </c>
      <c r="R136" s="1">
        <v>3.3040405393008711E-2</v>
      </c>
      <c r="S136" s="2">
        <f t="shared" si="24"/>
        <v>0.24857221046127009</v>
      </c>
      <c r="T136" s="4">
        <f t="shared" si="25"/>
        <v>6.1788143813601953E-2</v>
      </c>
      <c r="U136" s="1">
        <f t="shared" si="29"/>
        <v>2.3786892465817448E-2</v>
      </c>
      <c r="V136" s="6">
        <f>2*sigma/alpha*corel*(B136/12-1/alpha*(1-EXP(-alpha*Output!B136/12)))</f>
        <v>0.21842802085891824</v>
      </c>
      <c r="W136" s="5">
        <f t="shared" si="26"/>
        <v>-3.8001251347784509E-2</v>
      </c>
      <c r="X136" s="1">
        <f t="shared" si="27"/>
        <v>1.6310962731206986</v>
      </c>
      <c r="Y136" s="3">
        <f t="shared" si="28"/>
        <v>5.0818357159029312E-2</v>
      </c>
      <c r="Z136" s="1">
        <f t="shared" si="17"/>
        <v>7.7017282515717128E-2</v>
      </c>
      <c r="AA136" s="8">
        <f t="shared" si="23"/>
        <v>10.333333333333337</v>
      </c>
      <c r="AB136" s="1">
        <v>10.42</v>
      </c>
      <c r="AC136" s="1">
        <v>1.6568900000000001E-2</v>
      </c>
      <c r="AD136" s="8">
        <f t="shared" si="18"/>
        <v>1.1599942621292811</v>
      </c>
      <c r="AE136" s="3">
        <f t="shared" si="19"/>
        <v>7.001033636084961E-3</v>
      </c>
      <c r="AF136" s="11">
        <f t="shared" si="20"/>
        <v>10.333333333333337</v>
      </c>
      <c r="AG136" s="1">
        <f t="shared" si="21"/>
        <v>7.7017282515717128E-2</v>
      </c>
    </row>
    <row r="137" spans="2:33" ht="15">
      <c r="B137" s="1">
        <v>126</v>
      </c>
      <c r="C137" s="1">
        <v>1.0001097522542144</v>
      </c>
      <c r="D137" s="1">
        <v>1.0938963440605627</v>
      </c>
      <c r="E137" s="1">
        <v>0.91367252526128961</v>
      </c>
      <c r="G137" s="1">
        <v>0.99957416958842205</v>
      </c>
      <c r="H137" s="1">
        <v>2.1616344724477701</v>
      </c>
      <c r="I137" s="1">
        <v>0.4349919246486309</v>
      </c>
      <c r="K137" s="1">
        <v>1.0005849672604381</v>
      </c>
      <c r="L137" s="1">
        <v>1.7796395064196764</v>
      </c>
      <c r="M137" s="1">
        <v>0.54735328858160648</v>
      </c>
      <c r="O137" s="1">
        <v>1.6549347064353959E-2</v>
      </c>
      <c r="P137" s="1">
        <v>0.84049174797599846</v>
      </c>
      <c r="R137" s="1">
        <v>3.2902267336757975E-2</v>
      </c>
      <c r="S137" s="2">
        <f t="shared" si="24"/>
        <v>0.25009064926363267</v>
      </c>
      <c r="T137" s="4">
        <f t="shared" si="25"/>
        <v>6.2545332849105337E-2</v>
      </c>
      <c r="U137" s="1">
        <f t="shared" si="29"/>
        <v>2.4316156137182871E-2</v>
      </c>
      <c r="V137" s="6">
        <f>2*sigma/alpha*corel*(B137/12-1/alpha*(1-EXP(-alpha*Output!B137/12)))</f>
        <v>0.22174860593944573</v>
      </c>
      <c r="W137" s="5">
        <f t="shared" si="26"/>
        <v>-3.8229176711922469E-2</v>
      </c>
      <c r="X137" s="1">
        <f t="shared" si="27"/>
        <v>1.6547978661368314</v>
      </c>
      <c r="Y137" s="3">
        <f t="shared" si="28"/>
        <v>5.0697183958646586E-2</v>
      </c>
      <c r="Z137" s="1">
        <f t="shared" si="17"/>
        <v>7.7179649951146193E-2</v>
      </c>
      <c r="AA137" s="8">
        <f t="shared" si="23"/>
        <v>10.416666666666671</v>
      </c>
      <c r="AB137" s="1">
        <v>10.5</v>
      </c>
      <c r="AC137" s="1">
        <v>1.6666500000000001E-2</v>
      </c>
      <c r="AD137" s="8">
        <f t="shared" si="18"/>
        <v>1.1715293564604212</v>
      </c>
      <c r="AE137" s="3">
        <f t="shared" si="19"/>
        <v>7.0292464312268392E-3</v>
      </c>
      <c r="AF137" s="11">
        <f t="shared" si="20"/>
        <v>10.416666666666671</v>
      </c>
      <c r="AG137" s="1">
        <f t="shared" si="21"/>
        <v>7.7179649951146193E-2</v>
      </c>
    </row>
    <row r="138" spans="2:33" ht="15">
      <c r="B138" s="1">
        <v>127</v>
      </c>
      <c r="C138" s="1">
        <v>1.0001120650767708</v>
      </c>
      <c r="D138" s="1">
        <v>1.0954580261751603</v>
      </c>
      <c r="E138" s="1">
        <v>0.91236752631042273</v>
      </c>
      <c r="G138" s="1">
        <v>0.9996192331925684</v>
      </c>
      <c r="H138" s="1">
        <v>2.1855891979730364</v>
      </c>
      <c r="I138" s="1">
        <v>0.43001519505141894</v>
      </c>
      <c r="K138" s="1">
        <v>1.0006273852176124</v>
      </c>
      <c r="L138" s="1">
        <v>1.7665355276688259</v>
      </c>
      <c r="M138" s="1">
        <v>0.55129863318166916</v>
      </c>
      <c r="O138" s="1">
        <v>1.6645466583901342E-2</v>
      </c>
      <c r="P138" s="1">
        <v>0.8384800241263618</v>
      </c>
      <c r="R138" s="1">
        <v>3.2912896761667178E-2</v>
      </c>
      <c r="S138" s="2">
        <f t="shared" si="24"/>
        <v>0.25213575941343291</v>
      </c>
      <c r="T138" s="4">
        <f t="shared" si="25"/>
        <v>6.3572441174988531E-2</v>
      </c>
      <c r="U138" s="1">
        <f t="shared" si="29"/>
        <v>2.4852522792132951E-2</v>
      </c>
      <c r="V138" s="6">
        <f>2*sigma/alpha*corel*(B138/12-1/alpha*(1-EXP(-alpha*Output!B138/12)))</f>
        <v>0.22509139883209606</v>
      </c>
      <c r="W138" s="5">
        <f t="shared" si="26"/>
        <v>-3.871991838285558E-2</v>
      </c>
      <c r="X138" s="1">
        <f t="shared" si="27"/>
        <v>1.6898093493690758</v>
      </c>
      <c r="Y138" s="3">
        <f t="shared" si="28"/>
        <v>5.0779619146489097E-2</v>
      </c>
      <c r="Z138" s="1">
        <f t="shared" si="17"/>
        <v>7.7503837552936605E-2</v>
      </c>
      <c r="AA138" s="8">
        <f t="shared" si="23"/>
        <v>10.500000000000005</v>
      </c>
      <c r="AB138" s="1">
        <v>10.58</v>
      </c>
      <c r="AC138" s="1">
        <v>1.6763799999999999E-2</v>
      </c>
      <c r="AD138" s="8">
        <f t="shared" si="18"/>
        <v>1.1833341609865724</v>
      </c>
      <c r="AE138" s="3">
        <f t="shared" si="19"/>
        <v>7.0588658954805735E-3</v>
      </c>
      <c r="AF138" s="11">
        <f t="shared" si="20"/>
        <v>10.500000000000005</v>
      </c>
      <c r="AG138" s="1">
        <f t="shared" si="21"/>
        <v>7.7503837552936605E-2</v>
      </c>
    </row>
    <row r="139" spans="2:33" ht="15">
      <c r="B139" s="1">
        <v>128</v>
      </c>
      <c r="C139" s="1">
        <v>1.0001118005173226</v>
      </c>
      <c r="D139" s="1">
        <v>1.0943759305382936</v>
      </c>
      <c r="E139" s="1">
        <v>0.91326719735642392</v>
      </c>
      <c r="G139" s="1">
        <v>0.99945425539996136</v>
      </c>
      <c r="H139" s="1">
        <v>2.1710118458033572</v>
      </c>
      <c r="I139" s="1">
        <v>0.43269217527981524</v>
      </c>
      <c r="K139" s="1">
        <v>1.0006931752895571</v>
      </c>
      <c r="L139" s="1">
        <v>1.7849750419440737</v>
      </c>
      <c r="M139" s="1">
        <v>0.54548983931039452</v>
      </c>
      <c r="O139" s="1">
        <v>1.674177735616672E-2</v>
      </c>
      <c r="P139" s="1">
        <v>0.83645800882883536</v>
      </c>
      <c r="R139" s="1">
        <v>3.287202118463621E-2</v>
      </c>
      <c r="S139" s="2">
        <f t="shared" si="24"/>
        <v>0.25401042491312087</v>
      </c>
      <c r="T139" s="4">
        <f t="shared" si="25"/>
        <v>6.4521295964544215E-2</v>
      </c>
      <c r="U139" s="1">
        <f t="shared" si="29"/>
        <v>2.5396020476715204E-2</v>
      </c>
      <c r="V139" s="6">
        <f>2*sigma/alpha*corel*(B139/12-1/alpha*(1-EXP(-alpha*Output!B139/12)))</f>
        <v>0.22845633979156807</v>
      </c>
      <c r="W139" s="5">
        <f t="shared" si="26"/>
        <v>-3.9125275487829014E-2</v>
      </c>
      <c r="X139" s="1">
        <f t="shared" si="27"/>
        <v>1.721537386671665</v>
      </c>
      <c r="Y139" s="3">
        <f t="shared" si="28"/>
        <v>5.0794563624725939E-2</v>
      </c>
      <c r="Z139" s="1">
        <f t="shared" si="17"/>
        <v>7.7774491298085779E-2</v>
      </c>
      <c r="AA139" s="8">
        <f t="shared" si="23"/>
        <v>10.583333333333339</v>
      </c>
      <c r="AB139" s="1">
        <v>10.67</v>
      </c>
      <c r="AC139" s="1">
        <v>1.6861299999999999E-2</v>
      </c>
      <c r="AD139" s="8">
        <f t="shared" si="18"/>
        <v>1.1952264383327873</v>
      </c>
      <c r="AE139" s="3">
        <f t="shared" si="19"/>
        <v>7.0885782136180919E-3</v>
      </c>
      <c r="AF139" s="11">
        <f t="shared" si="20"/>
        <v>10.583333333333339</v>
      </c>
      <c r="AG139" s="1">
        <f t="shared" si="21"/>
        <v>7.7774491298085779E-2</v>
      </c>
    </row>
    <row r="140" spans="2:33" ht="15">
      <c r="B140" s="1">
        <v>129</v>
      </c>
      <c r="C140" s="1">
        <v>1.0001144726998126</v>
      </c>
      <c r="D140" s="1">
        <v>1.0960594066218086</v>
      </c>
      <c r="E140" s="1">
        <v>0.9118620375228299</v>
      </c>
      <c r="G140" s="1">
        <v>0.99953273847676738</v>
      </c>
      <c r="H140" s="1">
        <v>2.2286109212316139</v>
      </c>
      <c r="I140" s="1">
        <v>0.42130429714713574</v>
      </c>
      <c r="K140" s="1">
        <v>1.000665428887374</v>
      </c>
      <c r="L140" s="1">
        <v>1.7964235193243099</v>
      </c>
      <c r="M140" s="1">
        <v>0.5419005646911379</v>
      </c>
      <c r="O140" s="1">
        <v>1.6838681559525295E-2</v>
      </c>
      <c r="P140" s="1">
        <v>0.83442215238805262</v>
      </c>
      <c r="R140" s="1">
        <v>3.2768340469597611E-2</v>
      </c>
      <c r="S140" s="2">
        <f t="shared" si="24"/>
        <v>0.25567571501329422</v>
      </c>
      <c r="T140" s="4">
        <f t="shared" si="25"/>
        <v>6.5370071247559253E-2</v>
      </c>
      <c r="U140" s="1">
        <f t="shared" si="29"/>
        <v>2.5946676908146452E-2</v>
      </c>
      <c r="V140" s="6">
        <f>2*sigma/alpha*corel*(B140/12-1/alpha*(1-EXP(-alpha*Output!B140/12)))</f>
        <v>0.23184336923329502</v>
      </c>
      <c r="W140" s="5">
        <f t="shared" si="26"/>
        <v>-3.9423394339412804E-2</v>
      </c>
      <c r="X140" s="1">
        <f t="shared" si="27"/>
        <v>1.7489573044521967</v>
      </c>
      <c r="Y140" s="3">
        <f t="shared" si="28"/>
        <v>5.0727354683917772E-2</v>
      </c>
      <c r="Z140" s="1">
        <f t="shared" si="17"/>
        <v>7.7980362016587673E-2</v>
      </c>
      <c r="AA140" s="8">
        <f t="shared" si="23"/>
        <v>10.666666666666673</v>
      </c>
      <c r="AB140" s="1">
        <v>10.75</v>
      </c>
      <c r="AC140" s="1">
        <v>1.6959399999999999E-2</v>
      </c>
      <c r="AD140" s="8">
        <f t="shared" si="18"/>
        <v>1.2071844047470415</v>
      </c>
      <c r="AE140" s="3">
        <f t="shared" si="19"/>
        <v>7.1180843941828211E-3</v>
      </c>
      <c r="AF140" s="11">
        <f t="shared" si="20"/>
        <v>10.666666666666673</v>
      </c>
      <c r="AG140" s="1">
        <f t="shared" si="21"/>
        <v>7.7980362016587673E-2</v>
      </c>
    </row>
    <row r="141" spans="2:33" ht="15">
      <c r="B141" s="1">
        <v>130</v>
      </c>
      <c r="C141" s="1">
        <v>1.0001147386021592</v>
      </c>
      <c r="D141" s="1">
        <v>1.0974378371799491</v>
      </c>
      <c r="E141" s="1">
        <v>0.91071427410104322</v>
      </c>
      <c r="G141" s="1">
        <v>0.99941030733540814</v>
      </c>
      <c r="H141" s="1">
        <v>2.2205479031851216</v>
      </c>
      <c r="I141" s="1">
        <v>0.42262863254806721</v>
      </c>
      <c r="K141" s="1">
        <v>1.0006275436557848</v>
      </c>
      <c r="L141" s="1">
        <v>1.8071208830615504</v>
      </c>
      <c r="M141" s="1">
        <v>0.53858053468346623</v>
      </c>
      <c r="O141" s="1">
        <v>1.693653685373888E-2</v>
      </c>
      <c r="P141" s="1">
        <v>0.8323692310806704</v>
      </c>
      <c r="R141" s="1">
        <v>3.2717596311745901E-2</v>
      </c>
      <c r="S141" s="2">
        <f t="shared" si="24"/>
        <v>0.25754510488992088</v>
      </c>
      <c r="T141" s="4">
        <f t="shared" si="25"/>
        <v>6.6329481052760347E-2</v>
      </c>
      <c r="U141" s="1">
        <f t="shared" si="29"/>
        <v>2.6504519477054091E-2</v>
      </c>
      <c r="V141" s="6">
        <f>2*sigma/alpha*corel*(B141/12-1/alpha*(1-EXP(-alpha*Output!B141/12)))</f>
        <v>0.23525242773300742</v>
      </c>
      <c r="W141" s="5">
        <f t="shared" si="26"/>
        <v>-3.9824961575706253E-2</v>
      </c>
      <c r="X141" s="1">
        <f t="shared" si="27"/>
        <v>1.7810920397015451</v>
      </c>
      <c r="Y141" s="3">
        <f t="shared" si="28"/>
        <v>5.0737992697346024E-2</v>
      </c>
      <c r="Z141" s="1">
        <f t="shared" ref="Z141:Z204" si="30">S141/SQRT(B141/12)</f>
        <v>7.8247819956514503E-2</v>
      </c>
      <c r="AA141" s="8">
        <f t="shared" si="23"/>
        <v>10.750000000000007</v>
      </c>
      <c r="AB141" s="1">
        <v>10.83</v>
      </c>
      <c r="AC141" s="1">
        <v>1.7058500000000001E-2</v>
      </c>
      <c r="AD141" s="8">
        <f t="shared" ref="AD141:AD204" si="31">(AC141-O141)*10000</f>
        <v>1.219631462611205</v>
      </c>
      <c r="AE141" s="3">
        <f t="shared" ref="AE141:AE204" si="32">AD141/AC141/10000</f>
        <v>7.1496993440877277E-3</v>
      </c>
      <c r="AF141" s="11">
        <f t="shared" ref="AF141:AF204" si="33">AA141</f>
        <v>10.750000000000007</v>
      </c>
      <c r="AG141" s="1">
        <f t="shared" ref="AG141:AG204" si="34">Z141</f>
        <v>7.8247819956514503E-2</v>
      </c>
    </row>
    <row r="142" spans="2:33" ht="15">
      <c r="B142" s="1">
        <v>131</v>
      </c>
      <c r="C142" s="1">
        <v>1.0001160342313562</v>
      </c>
      <c r="D142" s="1">
        <v>1.0937088738328384</v>
      </c>
      <c r="E142" s="1">
        <v>0.913816905111422</v>
      </c>
      <c r="G142" s="1">
        <v>0.99937314630502116</v>
      </c>
      <c r="H142" s="1">
        <v>2.1518240820638748</v>
      </c>
      <c r="I142" s="1">
        <v>0.43591441536017578</v>
      </c>
      <c r="K142" s="1">
        <v>1.0005854815837563</v>
      </c>
      <c r="L142" s="1">
        <v>1.7768176682225758</v>
      </c>
      <c r="M142" s="1">
        <v>0.54765179540664777</v>
      </c>
      <c r="O142" s="1">
        <v>1.7035750472203723E-2</v>
      </c>
      <c r="P142" s="1">
        <v>0.83029550675452934</v>
      </c>
      <c r="R142" s="1">
        <v>3.2576094117115435E-2</v>
      </c>
      <c r="S142" s="2">
        <f t="shared" si="24"/>
        <v>0.25910948324501826</v>
      </c>
      <c r="T142" s="4">
        <f t="shared" si="25"/>
        <v>6.7137724307500396E-2</v>
      </c>
      <c r="U142" s="1">
        <f t="shared" si="29"/>
        <v>2.7069575249717325E-2</v>
      </c>
      <c r="V142" s="6">
        <f>2*sigma/alpha*corel*(B142/12-1/alpha*(1-EXP(-alpha*Output!B142/12)))</f>
        <v>0.23868345602630481</v>
      </c>
      <c r="W142" s="5">
        <f t="shared" si="26"/>
        <v>-4.0068149057783067E-2</v>
      </c>
      <c r="X142" s="1">
        <f t="shared" si="27"/>
        <v>1.8066123010371882</v>
      </c>
      <c r="Y142" s="3">
        <f t="shared" si="28"/>
        <v>5.0629893004930961E-2</v>
      </c>
      <c r="Z142" s="1">
        <f t="shared" si="30"/>
        <v>7.8422066711174757E-2</v>
      </c>
      <c r="AA142" s="8">
        <f t="shared" ref="AA142:AA205" si="35">AA141+1/12</f>
        <v>10.833333333333341</v>
      </c>
      <c r="AB142" s="1">
        <v>10.92</v>
      </c>
      <c r="AC142" s="1">
        <v>1.7159000000000001E-2</v>
      </c>
      <c r="AD142" s="8">
        <f t="shared" si="31"/>
        <v>1.2324952779627778</v>
      </c>
      <c r="AE142" s="3">
        <f t="shared" si="32"/>
        <v>7.1827919923234318E-3</v>
      </c>
      <c r="AF142" s="11">
        <f t="shared" si="33"/>
        <v>10.833333333333341</v>
      </c>
      <c r="AG142" s="1">
        <f t="shared" si="34"/>
        <v>7.8422066711174757E-2</v>
      </c>
    </row>
    <row r="143" spans="2:33" ht="15">
      <c r="B143" s="1">
        <v>132</v>
      </c>
      <c r="C143" s="1">
        <v>1.0001169749869645</v>
      </c>
      <c r="D143" s="1">
        <v>1.0946780754705081</v>
      </c>
      <c r="E143" s="1">
        <v>0.91300543001202894</v>
      </c>
      <c r="G143" s="1">
        <v>0.99930824207512847</v>
      </c>
      <c r="H143" s="1">
        <v>2.1691419661302236</v>
      </c>
      <c r="I143" s="1">
        <v>0.43222408185255728</v>
      </c>
      <c r="K143" s="1">
        <v>1.0005739493040555</v>
      </c>
      <c r="L143" s="1">
        <v>1.77213734727465</v>
      </c>
      <c r="M143" s="1">
        <v>0.5489837932947168</v>
      </c>
      <c r="O143" s="1">
        <v>1.7136724888268149E-2</v>
      </c>
      <c r="P143" s="1">
        <v>0.82819721236608002</v>
      </c>
      <c r="R143" s="1">
        <v>3.2357995786064547E-2</v>
      </c>
      <c r="S143" s="2">
        <f t="shared" si="24"/>
        <v>0.26041872334590299</v>
      </c>
      <c r="T143" s="4">
        <f t="shared" si="25"/>
        <v>6.7817911469109954E-2</v>
      </c>
      <c r="U143" s="1">
        <f t="shared" si="29"/>
        <v>2.7641870970280449E-2</v>
      </c>
      <c r="V143" s="6">
        <f>2*sigma/alpha*corel*(B143/12-1/alpha*(1-EXP(-alpha*Output!B143/12)))</f>
        <v>0.24213639500822473</v>
      </c>
      <c r="W143" s="5">
        <f t="shared" si="26"/>
        <v>-4.0176040498829502E-2</v>
      </c>
      <c r="X143" s="1">
        <f t="shared" si="27"/>
        <v>1.826375815736077</v>
      </c>
      <c r="Y143" s="3">
        <f t="shared" si="28"/>
        <v>5.0422651359903314E-2</v>
      </c>
      <c r="Z143" s="1">
        <f t="shared" si="30"/>
        <v>7.8519199429247857E-2</v>
      </c>
      <c r="AA143" s="8">
        <f t="shared" si="35"/>
        <v>10.916666666666675</v>
      </c>
      <c r="AB143" s="1">
        <v>11</v>
      </c>
      <c r="AC143" s="1">
        <v>1.7261200000000001E-2</v>
      </c>
      <c r="AD143" s="8">
        <f t="shared" si="31"/>
        <v>1.2447511173185184</v>
      </c>
      <c r="AE143" s="3">
        <f t="shared" si="32"/>
        <v>7.211266408584098E-3</v>
      </c>
      <c r="AF143" s="11">
        <f t="shared" si="33"/>
        <v>10.916666666666675</v>
      </c>
      <c r="AG143" s="1">
        <f t="shared" si="34"/>
        <v>7.8519199429247857E-2</v>
      </c>
    </row>
    <row r="144" spans="2:33" ht="15">
      <c r="B144" s="1">
        <v>133</v>
      </c>
      <c r="C144" s="1">
        <v>1.0001221344464224</v>
      </c>
      <c r="D144" s="1">
        <v>1.0930865842548694</v>
      </c>
      <c r="E144" s="1">
        <v>0.91433233658004054</v>
      </c>
      <c r="G144" s="1">
        <v>0.9995812708487849</v>
      </c>
      <c r="H144" s="1">
        <v>2.171233575611927</v>
      </c>
      <c r="I144" s="1">
        <v>0.43159792161344895</v>
      </c>
      <c r="K144" s="1">
        <v>1.0006115831466647</v>
      </c>
      <c r="L144" s="1">
        <v>1.8076499385879261</v>
      </c>
      <c r="M144" s="1">
        <v>0.53808649600483138</v>
      </c>
      <c r="O144" s="1">
        <v>1.7239649389901638E-2</v>
      </c>
      <c r="P144" s="1">
        <v>0.82607246379965305</v>
      </c>
      <c r="R144" s="1">
        <v>3.2300117399266255E-2</v>
      </c>
      <c r="S144" s="2">
        <f t="shared" si="24"/>
        <v>0.26232947527736794</v>
      </c>
      <c r="T144" s="4">
        <f t="shared" si="25"/>
        <v>6.8816753599299202E-2</v>
      </c>
      <c r="U144" s="1">
        <f t="shared" si="29"/>
        <v>2.8221433062960648E-2</v>
      </c>
      <c r="V144" s="6">
        <f>2*sigma/alpha*corel*(B144/12-1/alpha*(1-EXP(-alpha*Output!B144/12)))</f>
        <v>0.24561118573281396</v>
      </c>
      <c r="W144" s="5">
        <f t="shared" si="26"/>
        <v>-4.0595320536338554E-2</v>
      </c>
      <c r="X144" s="1">
        <f t="shared" si="27"/>
        <v>1.8600507316680881</v>
      </c>
      <c r="Y144" s="3">
        <f t="shared" si="28"/>
        <v>5.0446266900941207E-2</v>
      </c>
      <c r="Z144" s="1">
        <f t="shared" si="30"/>
        <v>7.8797400971965872E-2</v>
      </c>
      <c r="AA144" s="8">
        <f t="shared" si="35"/>
        <v>11.000000000000009</v>
      </c>
      <c r="AB144" s="1">
        <v>11.08</v>
      </c>
      <c r="AC144" s="1">
        <v>1.7365499999999999E-2</v>
      </c>
      <c r="AD144" s="8">
        <f t="shared" si="31"/>
        <v>1.2585061009836098</v>
      </c>
      <c r="AE144" s="3">
        <f t="shared" si="32"/>
        <v>7.2471630588443175E-3</v>
      </c>
      <c r="AF144" s="11">
        <f t="shared" si="33"/>
        <v>11.000000000000009</v>
      </c>
      <c r="AG144" s="1">
        <f t="shared" si="34"/>
        <v>7.8797400971965872E-2</v>
      </c>
    </row>
    <row r="145" spans="2:33" ht="15">
      <c r="B145" s="1">
        <v>134</v>
      </c>
      <c r="C145" s="1">
        <v>1.0001243223141294</v>
      </c>
      <c r="D145" s="1">
        <v>1.0942326030116167</v>
      </c>
      <c r="E145" s="1">
        <v>0.91337235426591501</v>
      </c>
      <c r="G145" s="1">
        <v>0.99961836784916935</v>
      </c>
      <c r="H145" s="1">
        <v>2.1813139454980575</v>
      </c>
      <c r="I145" s="1">
        <v>0.42939470030018245</v>
      </c>
      <c r="K145" s="1">
        <v>1.0006200207419249</v>
      </c>
      <c r="L145" s="1">
        <v>1.794087619933677</v>
      </c>
      <c r="M145" s="1">
        <v>0.54204119786839133</v>
      </c>
      <c r="O145" s="1">
        <v>1.7343984665237198E-2</v>
      </c>
      <c r="P145" s="1">
        <v>0.82392605232112404</v>
      </c>
      <c r="R145" s="1">
        <v>3.2180189396052744E-2</v>
      </c>
      <c r="S145" s="2">
        <f t="shared" si="24"/>
        <v>0.26403554371008597</v>
      </c>
      <c r="T145" s="4">
        <f t="shared" si="25"/>
        <v>6.9714768342280714E-2</v>
      </c>
      <c r="U145" s="1">
        <f t="shared" si="29"/>
        <v>2.8808287634240433E-2</v>
      </c>
      <c r="V145" s="6">
        <f>2*sigma/alpha*corel*(B145/12-1/alpha*(1-EXP(-alpha*Output!B145/12)))</f>
        <v>0.24910776941269933</v>
      </c>
      <c r="W145" s="5">
        <f t="shared" si="26"/>
        <v>-4.0906480708040281E-2</v>
      </c>
      <c r="X145" s="1">
        <f t="shared" si="27"/>
        <v>1.8892108190742365</v>
      </c>
      <c r="Y145" s="3">
        <f t="shared" si="28"/>
        <v>5.0390054631854975E-2</v>
      </c>
      <c r="Z145" s="1">
        <f t="shared" si="30"/>
        <v>7.9013375974519726E-2</v>
      </c>
      <c r="AA145" s="8">
        <f t="shared" si="35"/>
        <v>11.083333333333343</v>
      </c>
      <c r="AB145" s="1">
        <v>11.17</v>
      </c>
      <c r="AC145" s="1">
        <v>1.7471299999999999E-2</v>
      </c>
      <c r="AD145" s="8">
        <f t="shared" si="31"/>
        <v>1.2731533476280019</v>
      </c>
      <c r="AE145" s="3">
        <f t="shared" si="32"/>
        <v>7.2871128515222226E-3</v>
      </c>
      <c r="AF145" s="11">
        <f t="shared" si="33"/>
        <v>11.083333333333343</v>
      </c>
      <c r="AG145" s="1">
        <f t="shared" si="34"/>
        <v>7.9013375974519726E-2</v>
      </c>
    </row>
    <row r="146" spans="2:33" ht="15">
      <c r="B146" s="1">
        <v>135</v>
      </c>
      <c r="C146" s="1">
        <v>1.0001237517472308</v>
      </c>
      <c r="D146" s="1">
        <v>1.0955049424657195</v>
      </c>
      <c r="E146" s="1">
        <v>0.9123091849417998</v>
      </c>
      <c r="G146" s="1">
        <v>0.9994299520238803</v>
      </c>
      <c r="H146" s="1">
        <v>2.1934584719920434</v>
      </c>
      <c r="I146" s="1">
        <v>0.42680983186956151</v>
      </c>
      <c r="K146" s="1">
        <v>1.0005352845695337</v>
      </c>
      <c r="L146" s="1">
        <v>1.7912629460468847</v>
      </c>
      <c r="M146" s="1">
        <v>0.542782860425015</v>
      </c>
      <c r="O146" s="1">
        <v>1.7449241642651526E-2</v>
      </c>
      <c r="P146" s="1">
        <v>0.82176240684062762</v>
      </c>
      <c r="R146" s="1">
        <v>3.1880914020383053E-2</v>
      </c>
      <c r="S146" s="2">
        <f t="shared" si="24"/>
        <v>0.26509882654410566</v>
      </c>
      <c r="T146" s="4">
        <f t="shared" si="25"/>
        <v>7.0277387835061822E-2</v>
      </c>
      <c r="U146" s="1">
        <f t="shared" si="29"/>
        <v>2.9402460475052423E-2</v>
      </c>
      <c r="V146" s="6">
        <f>2*sigma/alpha*corel*(B146/12-1/alpha*(1-EXP(-alpha*Output!B146/12)))</f>
        <v>0.25262608741866438</v>
      </c>
      <c r="W146" s="5">
        <f t="shared" si="26"/>
        <v>-4.0874927360009403E-2</v>
      </c>
      <c r="X146" s="1">
        <f t="shared" si="27"/>
        <v>1.9031916712448855</v>
      </c>
      <c r="Y146" s="3">
        <f t="shared" si="28"/>
        <v>5.0086046348461546E-2</v>
      </c>
      <c r="Z146" s="1">
        <f t="shared" si="30"/>
        <v>7.9037199587739457E-2</v>
      </c>
      <c r="AA146" s="8">
        <f t="shared" si="35"/>
        <v>11.166666666666677</v>
      </c>
      <c r="AB146" s="1">
        <v>11.25</v>
      </c>
      <c r="AC146" s="1">
        <v>1.7578E-2</v>
      </c>
      <c r="AD146" s="8">
        <f t="shared" si="31"/>
        <v>1.2875835734847338</v>
      </c>
      <c r="AE146" s="3">
        <f t="shared" si="32"/>
        <v>7.3249719734027408E-3</v>
      </c>
      <c r="AF146" s="11">
        <f t="shared" si="33"/>
        <v>11.166666666666677</v>
      </c>
      <c r="AG146" s="1">
        <f t="shared" si="34"/>
        <v>7.9037199587739457E-2</v>
      </c>
    </row>
    <row r="147" spans="2:33" ht="15">
      <c r="B147" s="1">
        <v>136</v>
      </c>
      <c r="C147" s="1">
        <v>1.0001267633475177</v>
      </c>
      <c r="D147" s="1">
        <v>1.0970581250189122</v>
      </c>
      <c r="E147" s="1">
        <v>0.91101521801427676</v>
      </c>
      <c r="G147" s="1">
        <v>0.99953343040086051</v>
      </c>
      <c r="H147" s="1">
        <v>2.2295034470891673</v>
      </c>
      <c r="I147" s="1">
        <v>0.41970550917788019</v>
      </c>
      <c r="K147" s="1">
        <v>1.0005530777443956</v>
      </c>
      <c r="L147" s="1">
        <v>1.8283534957933711</v>
      </c>
      <c r="M147" s="1">
        <v>0.53166102370489221</v>
      </c>
      <c r="O147" s="1">
        <v>1.755486659598509E-2</v>
      </c>
      <c r="P147" s="1">
        <v>0.81958664707320261</v>
      </c>
      <c r="R147" s="1">
        <v>3.1775827879038147E-2</v>
      </c>
      <c r="S147" s="2">
        <f t="shared" si="24"/>
        <v>0.26688088863292647</v>
      </c>
      <c r="T147" s="4">
        <f t="shared" si="25"/>
        <v>7.1225408717500507E-2</v>
      </c>
      <c r="U147" s="1">
        <f t="shared" si="29"/>
        <v>3.0003977062939405E-2</v>
      </c>
      <c r="V147" s="6">
        <f>2*sigma/alpha*corel*(B147/12-1/alpha*(1-EXP(-alpha*Output!B147/12)))</f>
        <v>0.25616608127922019</v>
      </c>
      <c r="W147" s="5">
        <f t="shared" si="26"/>
        <v>-4.1221431654561103E-2</v>
      </c>
      <c r="X147" s="1">
        <f t="shared" si="27"/>
        <v>1.9343259628713887</v>
      </c>
      <c r="Y147" s="3">
        <f t="shared" si="28"/>
        <v>5.0057399748529477E-2</v>
      </c>
      <c r="Z147" s="1">
        <f t="shared" si="30"/>
        <v>7.9275436844197078E-2</v>
      </c>
      <c r="AA147" s="8">
        <f t="shared" si="35"/>
        <v>11.250000000000011</v>
      </c>
      <c r="AB147" s="1">
        <v>11.33</v>
      </c>
      <c r="AC147" s="1">
        <v>1.7685099999999999E-2</v>
      </c>
      <c r="AD147" s="8">
        <f t="shared" si="31"/>
        <v>1.3023340401490877</v>
      </c>
      <c r="AE147" s="3">
        <f t="shared" si="32"/>
        <v>7.3640185249112975E-3</v>
      </c>
      <c r="AF147" s="11">
        <f t="shared" si="33"/>
        <v>11.250000000000011</v>
      </c>
      <c r="AG147" s="1">
        <f t="shared" si="34"/>
        <v>7.9275436844197078E-2</v>
      </c>
    </row>
    <row r="148" spans="2:33" ht="15">
      <c r="B148" s="1">
        <v>137</v>
      </c>
      <c r="C148" s="1">
        <v>1.0001273840994436</v>
      </c>
      <c r="D148" s="1">
        <v>1.0977559750498389</v>
      </c>
      <c r="E148" s="1">
        <v>0.91043374816810818</v>
      </c>
      <c r="G148" s="1">
        <v>0.99944630565193093</v>
      </c>
      <c r="H148" s="1">
        <v>2.2415915565461924</v>
      </c>
      <c r="I148" s="1">
        <v>0.41723942039476791</v>
      </c>
      <c r="K148" s="1">
        <v>1.0005189302496551</v>
      </c>
      <c r="L148" s="1">
        <v>1.8331394975148982</v>
      </c>
      <c r="M148" s="1">
        <v>0.53016248881505845</v>
      </c>
      <c r="O148" s="1">
        <v>1.7660139558156551E-2</v>
      </c>
      <c r="P148" s="1">
        <v>0.81740554299592871</v>
      </c>
      <c r="R148" s="1">
        <v>3.1649207864266851E-2</v>
      </c>
      <c r="S148" s="2">
        <f t="shared" si="24"/>
        <v>0.26858677983247004</v>
      </c>
      <c r="T148" s="4">
        <f t="shared" si="25"/>
        <v>7.2138858300775738E-2</v>
      </c>
      <c r="U148" s="1">
        <f t="shared" si="29"/>
        <v>3.0612862564211162E-2</v>
      </c>
      <c r="V148" s="6">
        <f>2*sigma/alpha*corel*(B148/12-1/alpha*(1-EXP(-alpha*Output!B148/12)))</f>
        <v>0.25972769268018303</v>
      </c>
      <c r="W148" s="5">
        <f t="shared" si="26"/>
        <v>-4.1525995736564576E-2</v>
      </c>
      <c r="X148" s="1">
        <f t="shared" si="27"/>
        <v>1.963812279648087</v>
      </c>
      <c r="Y148" s="3">
        <f t="shared" si="28"/>
        <v>4.9998533183282012E-2</v>
      </c>
      <c r="Z148" s="1">
        <f t="shared" si="30"/>
        <v>7.9490452973527331E-2</v>
      </c>
      <c r="AA148" s="8">
        <f t="shared" si="35"/>
        <v>11.333333333333345</v>
      </c>
      <c r="AB148" s="1">
        <v>11.42</v>
      </c>
      <c r="AC148" s="1">
        <v>1.77918E-2</v>
      </c>
      <c r="AD148" s="8">
        <f t="shared" si="31"/>
        <v>1.3166044184344945</v>
      </c>
      <c r="AE148" s="3">
        <f t="shared" si="32"/>
        <v>7.4000630539602201E-3</v>
      </c>
      <c r="AF148" s="11">
        <f t="shared" si="33"/>
        <v>11.333333333333345</v>
      </c>
      <c r="AG148" s="1">
        <f t="shared" si="34"/>
        <v>7.9490452973527331E-2</v>
      </c>
    </row>
    <row r="149" spans="2:33" ht="15">
      <c r="B149" s="1">
        <v>138</v>
      </c>
      <c r="C149" s="1">
        <v>1.0001265899592067</v>
      </c>
      <c r="D149" s="1">
        <v>1.099231753368296</v>
      </c>
      <c r="E149" s="1">
        <v>0.90920912481628913</v>
      </c>
      <c r="G149" s="1">
        <v>0.99924817670936394</v>
      </c>
      <c r="H149" s="1">
        <v>2.2832072584551204</v>
      </c>
      <c r="I149" s="1">
        <v>0.40943549227768028</v>
      </c>
      <c r="K149" s="1">
        <v>1.0004553481136302</v>
      </c>
      <c r="L149" s="1">
        <v>1.8307355675118209</v>
      </c>
      <c r="M149" s="1">
        <v>0.53074805901577127</v>
      </c>
      <c r="O149" s="1">
        <v>1.7764515282147637E-2</v>
      </c>
      <c r="P149" s="1">
        <v>0.81522435147104255</v>
      </c>
      <c r="R149" s="1">
        <v>3.1465464358999017E-2</v>
      </c>
      <c r="S149" s="2">
        <f t="shared" si="24"/>
        <v>0.27007732453675926</v>
      </c>
      <c r="T149" s="4">
        <f t="shared" si="25"/>
        <v>7.2941761228933977E-2</v>
      </c>
      <c r="U149" s="1">
        <f t="shared" si="29"/>
        <v>3.1229141836090824E-2</v>
      </c>
      <c r="V149" s="6">
        <f>2*sigma/alpha*corel*(B149/12-1/alpha*(1-EXP(-alpha*Output!B149/12)))</f>
        <v>0.26331086346425148</v>
      </c>
      <c r="W149" s="5">
        <f t="shared" si="26"/>
        <v>-4.1712619392843153E-2</v>
      </c>
      <c r="X149" s="1">
        <f t="shared" si="27"/>
        <v>1.9881131028890746</v>
      </c>
      <c r="Y149" s="3">
        <f t="shared" si="28"/>
        <v>4.9856251432289486E-2</v>
      </c>
      <c r="Z149" s="1">
        <f t="shared" si="30"/>
        <v>7.964145808556157E-2</v>
      </c>
      <c r="AA149" s="8">
        <f t="shared" si="35"/>
        <v>11.416666666666679</v>
      </c>
      <c r="AB149" s="1">
        <v>11.5</v>
      </c>
      <c r="AC149" s="1">
        <v>1.78976E-2</v>
      </c>
      <c r="AD149" s="8">
        <f t="shared" si="31"/>
        <v>1.3308471785236295</v>
      </c>
      <c r="AE149" s="3">
        <f t="shared" si="32"/>
        <v>7.4358974305137535E-3</v>
      </c>
      <c r="AF149" s="11">
        <f t="shared" si="33"/>
        <v>11.416666666666679</v>
      </c>
      <c r="AG149" s="1">
        <f t="shared" si="34"/>
        <v>7.964145808556157E-2</v>
      </c>
    </row>
    <row r="150" spans="2:33" ht="15">
      <c r="B150" s="1">
        <v>139</v>
      </c>
      <c r="C150" s="1">
        <v>1.0001269954744865</v>
      </c>
      <c r="D150" s="1">
        <v>1.1025728851049053</v>
      </c>
      <c r="E150" s="1">
        <v>0.9064516470137024</v>
      </c>
      <c r="G150" s="1">
        <v>0.99913239293063894</v>
      </c>
      <c r="H150" s="1">
        <v>2.3459175397807268</v>
      </c>
      <c r="I150" s="1">
        <v>0.3982970592543234</v>
      </c>
      <c r="K150" s="1">
        <v>1.000454319590097</v>
      </c>
      <c r="L150" s="1">
        <v>1.8311251340325747</v>
      </c>
      <c r="M150" s="1">
        <v>0.53052460629823373</v>
      </c>
      <c r="O150" s="1">
        <v>1.7867419699909352E-2</v>
      </c>
      <c r="P150" s="1">
        <v>0.81304869303926486</v>
      </c>
      <c r="R150" s="1">
        <v>3.1322874738368603E-2</v>
      </c>
      <c r="S150" s="2">
        <f t="shared" si="24"/>
        <v>0.27171194354539241</v>
      </c>
      <c r="T150" s="4">
        <f t="shared" si="25"/>
        <v>7.3827380265214515E-2</v>
      </c>
      <c r="U150" s="1">
        <f t="shared" si="29"/>
        <v>3.1852839428834941E-2</v>
      </c>
      <c r="V150" s="6">
        <f>2*sigma/alpha*corel*(B150/12-1/alpha*(1-EXP(-alpha*Output!B150/12)))</f>
        <v>0.26691553563058279</v>
      </c>
      <c r="W150" s="5">
        <f t="shared" si="26"/>
        <v>-4.1974540836379574E-2</v>
      </c>
      <c r="X150" s="1">
        <f t="shared" si="27"/>
        <v>2.0160642952465477</v>
      </c>
      <c r="Y150" s="3">
        <f t="shared" si="28"/>
        <v>4.9768327491365311E-2</v>
      </c>
      <c r="Z150" s="1">
        <f t="shared" si="30"/>
        <v>7.9834746730268677E-2</v>
      </c>
      <c r="AA150" s="8">
        <f t="shared" si="35"/>
        <v>11.500000000000012</v>
      </c>
      <c r="AB150" s="1">
        <v>11.58</v>
      </c>
      <c r="AC150" s="1">
        <v>1.8001900000000001E-2</v>
      </c>
      <c r="AD150" s="8">
        <f t="shared" si="31"/>
        <v>1.3448030009064957</v>
      </c>
      <c r="AE150" s="3">
        <f t="shared" si="32"/>
        <v>7.4703392470044589E-3</v>
      </c>
      <c r="AF150" s="11">
        <f t="shared" si="33"/>
        <v>11.500000000000012</v>
      </c>
      <c r="AG150" s="1">
        <f t="shared" si="34"/>
        <v>7.9834746730268677E-2</v>
      </c>
    </row>
    <row r="151" spans="2:33" ht="15">
      <c r="B151" s="1">
        <v>140</v>
      </c>
      <c r="C151" s="1">
        <v>1.0001284559442973</v>
      </c>
      <c r="D151" s="1">
        <v>1.1022777015308796</v>
      </c>
      <c r="E151" s="1">
        <v>0.90669210383676113</v>
      </c>
      <c r="G151" s="1">
        <v>0.99910226124897927</v>
      </c>
      <c r="H151" s="1">
        <v>2.3384925985349381</v>
      </c>
      <c r="I151" s="1">
        <v>0.39936763986372842</v>
      </c>
      <c r="K151" s="1">
        <v>1.0004590417600756</v>
      </c>
      <c r="L151" s="1">
        <v>1.8750094479293402</v>
      </c>
      <c r="M151" s="1">
        <v>0.51799982997929783</v>
      </c>
      <c r="O151" s="1">
        <v>1.7968167805655084E-2</v>
      </c>
      <c r="P151" s="1">
        <v>0.81088533308618849</v>
      </c>
      <c r="R151" s="1">
        <v>3.1227985612095853E-2</v>
      </c>
      <c r="S151" s="2">
        <f t="shared" ref="S151:S214" si="36">optim_vol_implied(P151,R151)</f>
        <v>0.27351112965957591</v>
      </c>
      <c r="T151" s="4">
        <f t="shared" ref="T151:T214" si="37">S151*S151</f>
        <v>7.4808338047657352E-2</v>
      </c>
      <c r="U151" s="1">
        <f t="shared" si="29"/>
        <v>3.2483979587856274E-2</v>
      </c>
      <c r="V151" s="6">
        <f>2*sigma/alpha*corel*(B151/12-1/alpha*(1-EXP(-alpha*Output!B151/12)))</f>
        <v>0.27054165133437391</v>
      </c>
      <c r="W151" s="5">
        <f t="shared" ref="W151:W214" si="38">U151-T151</f>
        <v>-4.2324358459801079E-2</v>
      </c>
      <c r="X151" s="1">
        <f t="shared" ref="X151:X214" si="39">V151*V151-4*W151*B151/12</f>
        <v>2.0483295132307799</v>
      </c>
      <c r="Y151" s="3">
        <f t="shared" ref="Y151:Y214" si="40">(-V151+SQRT(X151))/2/B151*12</f>
        <v>4.9742441863711559E-2</v>
      </c>
      <c r="Z151" s="1">
        <f t="shared" si="30"/>
        <v>8.0075859416104761E-2</v>
      </c>
      <c r="AA151" s="8">
        <f t="shared" si="35"/>
        <v>11.583333333333346</v>
      </c>
      <c r="AB151" s="1">
        <v>11.67</v>
      </c>
      <c r="AC151" s="1">
        <v>1.8103899999999999E-2</v>
      </c>
      <c r="AD151" s="8">
        <f t="shared" si="31"/>
        <v>1.3573219434491468</v>
      </c>
      <c r="AE151" s="3">
        <f t="shared" si="32"/>
        <v>7.4974008000991332E-3</v>
      </c>
      <c r="AF151" s="11">
        <f t="shared" si="33"/>
        <v>11.583333333333346</v>
      </c>
      <c r="AG151" s="1">
        <f t="shared" si="34"/>
        <v>8.0075859416104761E-2</v>
      </c>
    </row>
    <row r="152" spans="2:33" ht="15">
      <c r="B152" s="1">
        <v>141</v>
      </c>
      <c r="C152" s="1">
        <v>1.0001292100248911</v>
      </c>
      <c r="D152" s="1">
        <v>1.1051849241826381</v>
      </c>
      <c r="E152" s="1">
        <v>0.90430475453674553</v>
      </c>
      <c r="G152" s="1">
        <v>0.99902011315623207</v>
      </c>
      <c r="H152" s="1">
        <v>2.3905399906475902</v>
      </c>
      <c r="I152" s="1">
        <v>0.39048278987055607</v>
      </c>
      <c r="K152" s="1">
        <v>1.0004642125986047</v>
      </c>
      <c r="L152" s="1">
        <v>1.8638906384855816</v>
      </c>
      <c r="M152" s="1">
        <v>0.52098134486200076</v>
      </c>
      <c r="O152" s="1">
        <v>1.8066203899043353E-2</v>
      </c>
      <c r="P152" s="1">
        <v>0.80873992089726121</v>
      </c>
      <c r="R152" s="1">
        <v>3.1180183829740797E-2</v>
      </c>
      <c r="S152" s="2">
        <f t="shared" si="36"/>
        <v>0.27546969648120223</v>
      </c>
      <c r="T152" s="4">
        <f t="shared" si="37"/>
        <v>7.5883553679445687E-2</v>
      </c>
      <c r="U152" s="1">
        <f t="shared" si="29"/>
        <v>3.3122586255822463E-2</v>
      </c>
      <c r="V152" s="6">
        <f>2*sigma/alpha*corel*(B152/12-1/alpha*(1-EXP(-alpha*Output!B152/12)))</f>
        <v>0.2741891528864398</v>
      </c>
      <c r="W152" s="5">
        <f t="shared" si="38"/>
        <v>-4.2760967423623224E-2</v>
      </c>
      <c r="X152" s="1">
        <f t="shared" si="39"/>
        <v>2.0849451604708746</v>
      </c>
      <c r="Y152" s="3">
        <f t="shared" si="40"/>
        <v>4.9776372997112746E-2</v>
      </c>
      <c r="Z152" s="1">
        <f t="shared" si="30"/>
        <v>8.036276987031632E-2</v>
      </c>
      <c r="AA152" s="8">
        <f t="shared" si="35"/>
        <v>11.66666666666668</v>
      </c>
      <c r="AB152" s="1">
        <v>11.75</v>
      </c>
      <c r="AC152" s="1">
        <v>1.8203199999999999E-2</v>
      </c>
      <c r="AD152" s="8">
        <f t="shared" si="31"/>
        <v>1.3699610095664616</v>
      </c>
      <c r="AE152" s="3">
        <f t="shared" si="32"/>
        <v>7.5259350529932193E-3</v>
      </c>
      <c r="AF152" s="11">
        <f t="shared" si="33"/>
        <v>11.66666666666668</v>
      </c>
      <c r="AG152" s="1">
        <f t="shared" si="34"/>
        <v>8.036276987031632E-2</v>
      </c>
    </row>
    <row r="153" spans="2:33" ht="15">
      <c r="B153" s="1">
        <v>142</v>
      </c>
      <c r="C153" s="1">
        <v>1.0001289317095299</v>
      </c>
      <c r="D153" s="1">
        <v>1.1064999447041621</v>
      </c>
      <c r="E153" s="1">
        <v>0.90322777985835978</v>
      </c>
      <c r="G153" s="1">
        <v>0.9988520008704751</v>
      </c>
      <c r="H153" s="1">
        <v>2.4153037352871527</v>
      </c>
      <c r="I153" s="1">
        <v>0.38629154957494227</v>
      </c>
      <c r="K153" s="1">
        <v>1.0004963028806064</v>
      </c>
      <c r="L153" s="1">
        <v>1.8619171093771254</v>
      </c>
      <c r="M153" s="1">
        <v>0.52142491475629116</v>
      </c>
      <c r="O153" s="1">
        <v>1.8160946409952222E-2</v>
      </c>
      <c r="P153" s="1">
        <v>0.8066184423334789</v>
      </c>
      <c r="R153" s="1">
        <v>3.1148740919975514E-2</v>
      </c>
      <c r="S153" s="2">
        <f t="shared" si="36"/>
        <v>0.27746731619038234</v>
      </c>
      <c r="T153" s="4">
        <f t="shared" si="37"/>
        <v>7.6988111553893609E-2</v>
      </c>
      <c r="U153" s="1">
        <f t="shared" si="29"/>
        <v>3.3768683074751407E-2</v>
      </c>
      <c r="V153" s="6">
        <f>2*sigma/alpha*corel*(B153/12-1/alpha*(1-EXP(-alpha*Output!B153/12)))</f>
        <v>0.27785798275279694</v>
      </c>
      <c r="W153" s="5">
        <f t="shared" si="38"/>
        <v>-4.3219428479142202E-2</v>
      </c>
      <c r="X153" s="1">
        <f t="shared" si="39"/>
        <v>2.1229246732588511</v>
      </c>
      <c r="Y153" s="3">
        <f t="shared" si="40"/>
        <v>4.9823999403213685E-2</v>
      </c>
      <c r="Z153" s="1">
        <f t="shared" si="30"/>
        <v>8.0660012373565154E-2</v>
      </c>
      <c r="AA153" s="8">
        <f t="shared" si="35"/>
        <v>11.750000000000014</v>
      </c>
      <c r="AB153" s="1">
        <v>11.83</v>
      </c>
      <c r="AC153" s="1">
        <v>1.8298999999999999E-2</v>
      </c>
      <c r="AD153" s="8">
        <f t="shared" si="31"/>
        <v>1.3805359004777709</v>
      </c>
      <c r="AE153" s="3">
        <f t="shared" si="32"/>
        <v>7.5443242826262139E-3</v>
      </c>
      <c r="AF153" s="11">
        <f t="shared" si="33"/>
        <v>11.750000000000014</v>
      </c>
      <c r="AG153" s="1">
        <f t="shared" si="34"/>
        <v>8.0660012373565154E-2</v>
      </c>
    </row>
    <row r="154" spans="2:33" ht="15">
      <c r="B154" s="1">
        <v>143</v>
      </c>
      <c r="C154" s="1">
        <v>1.000130268486529</v>
      </c>
      <c r="D154" s="1">
        <v>1.1068690608645249</v>
      </c>
      <c r="E154" s="1">
        <v>0.90292433229202429</v>
      </c>
      <c r="G154" s="1">
        <v>0.99881019057320386</v>
      </c>
      <c r="H154" s="1">
        <v>2.4214469304750694</v>
      </c>
      <c r="I154" s="1">
        <v>0.38512442712007861</v>
      </c>
      <c r="K154" s="1">
        <v>1.0004294380822276</v>
      </c>
      <c r="L154" s="1">
        <v>1.8512037692739758</v>
      </c>
      <c r="M154" s="1">
        <v>0.52433327257485796</v>
      </c>
      <c r="O154" s="1">
        <v>1.8251723672336226E-2</v>
      </c>
      <c r="P154" s="1">
        <v>0.80452784056974691</v>
      </c>
      <c r="R154" s="1">
        <v>3.1063470871547962E-2</v>
      </c>
      <c r="S154" s="2">
        <f t="shared" si="36"/>
        <v>0.27922970799221558</v>
      </c>
      <c r="T154" s="4">
        <f t="shared" si="37"/>
        <v>7.7969229825417985E-2</v>
      </c>
      <c r="U154" s="1">
        <f t="shared" si="29"/>
        <v>3.4422293388083058E-2</v>
      </c>
      <c r="V154" s="6">
        <f>2*sigma/alpha*corel*(B154/12-1/alpha*(1-EXP(-alpha*Output!B154/12)))</f>
        <v>0.28154808355424205</v>
      </c>
      <c r="W154" s="5">
        <f t="shared" si="38"/>
        <v>-4.3546936437334927E-2</v>
      </c>
      <c r="X154" s="1">
        <f t="shared" si="39"/>
        <v>2.1550066268660313</v>
      </c>
      <c r="Y154" s="3">
        <f t="shared" si="40"/>
        <v>4.9780951013449079E-2</v>
      </c>
      <c r="Z154" s="1">
        <f t="shared" si="30"/>
        <v>8.0888024038804462E-2</v>
      </c>
      <c r="AA154" s="8">
        <f t="shared" si="35"/>
        <v>11.833333333333348</v>
      </c>
      <c r="AB154" s="1">
        <v>11.92</v>
      </c>
      <c r="AC154" s="1">
        <v>1.8390799999999999E-2</v>
      </c>
      <c r="AD154" s="8">
        <f t="shared" si="31"/>
        <v>1.3907632766377298</v>
      </c>
      <c r="AE154" s="3">
        <f t="shared" si="32"/>
        <v>7.5622772072869576E-3</v>
      </c>
      <c r="AF154" s="11">
        <f t="shared" si="33"/>
        <v>11.833333333333348</v>
      </c>
      <c r="AG154" s="1">
        <f t="shared" si="34"/>
        <v>8.0888024038804462E-2</v>
      </c>
    </row>
    <row r="155" spans="2:33" ht="15">
      <c r="B155" s="1">
        <v>144</v>
      </c>
      <c r="C155" s="1">
        <v>1.0001313216611458</v>
      </c>
      <c r="D155" s="1">
        <v>1.1039530912019107</v>
      </c>
      <c r="E155" s="1">
        <v>0.90530707164009316</v>
      </c>
      <c r="G155" s="1">
        <v>0.99874712761351547</v>
      </c>
      <c r="H155" s="1">
        <v>2.3648600830857487</v>
      </c>
      <c r="I155" s="1">
        <v>0.39414828389826567</v>
      </c>
      <c r="K155" s="1">
        <v>1.0004852100008974</v>
      </c>
      <c r="L155" s="1">
        <v>1.8739944600404022</v>
      </c>
      <c r="M155" s="1">
        <v>0.51784866765146054</v>
      </c>
      <c r="O155" s="1">
        <v>1.8337966422881644E-2</v>
      </c>
      <c r="P155" s="1">
        <v>0.80247418150530025</v>
      </c>
      <c r="R155" s="1">
        <v>3.0943784890212066E-2</v>
      </c>
      <c r="S155" s="2">
        <f t="shared" si="36"/>
        <v>0.28082241041713463</v>
      </c>
      <c r="T155" s="4">
        <f t="shared" si="37"/>
        <v>7.88612261924896E-2</v>
      </c>
      <c r="U155" s="1">
        <f t="shared" si="29"/>
        <v>3.5083440242753415E-2</v>
      </c>
      <c r="V155" s="6">
        <f>2*sigma/alpha*corel*(B155/12-1/alpha*(1-EXP(-alpha*Output!B155/12)))</f>
        <v>0.28525939806594081</v>
      </c>
      <c r="W155" s="5">
        <f t="shared" si="38"/>
        <v>-4.3777785949736185E-2</v>
      </c>
      <c r="X155" s="1">
        <f t="shared" si="39"/>
        <v>2.1827066497722796</v>
      </c>
      <c r="Y155" s="3">
        <f t="shared" si="40"/>
        <v>4.9672467120802075E-2</v>
      </c>
      <c r="Z155" s="1">
        <f t="shared" si="30"/>
        <v>8.1066447124406124E-2</v>
      </c>
      <c r="AA155" s="8">
        <f t="shared" si="35"/>
        <v>11.916666666666682</v>
      </c>
      <c r="AB155" s="1">
        <v>12</v>
      </c>
      <c r="AC155" s="1">
        <v>1.8477899999999998E-2</v>
      </c>
      <c r="AD155" s="8">
        <f t="shared" si="31"/>
        <v>1.3993357711835492</v>
      </c>
      <c r="AE155" s="3">
        <f t="shared" si="32"/>
        <v>7.573023834870571E-3</v>
      </c>
      <c r="AF155" s="11">
        <f t="shared" si="33"/>
        <v>11.916666666666682</v>
      </c>
      <c r="AG155" s="1">
        <f t="shared" si="34"/>
        <v>8.1066447124406124E-2</v>
      </c>
    </row>
    <row r="156" spans="2:33" ht="15">
      <c r="B156" s="1">
        <v>145</v>
      </c>
      <c r="C156" s="1">
        <v>1.0001338383794909</v>
      </c>
      <c r="D156" s="1">
        <v>1.1062787586946856</v>
      </c>
      <c r="E156" s="1">
        <v>0.90340167590430864</v>
      </c>
      <c r="G156" s="1">
        <v>0.99880552986103355</v>
      </c>
      <c r="H156" s="1">
        <v>2.3741201807447276</v>
      </c>
      <c r="I156" s="1">
        <v>0.39242030510332099</v>
      </c>
      <c r="K156" s="1">
        <v>1.0004451248573771</v>
      </c>
      <c r="L156" s="1">
        <v>1.8539332384674714</v>
      </c>
      <c r="M156" s="1">
        <v>0.52334321352514324</v>
      </c>
      <c r="O156" s="1">
        <v>1.8419234634622771E-2</v>
      </c>
      <c r="P156" s="1">
        <v>0.8004623731499666</v>
      </c>
      <c r="R156" s="1">
        <v>3.0860141971028401E-2</v>
      </c>
      <c r="S156" s="2">
        <f t="shared" si="36"/>
        <v>0.28251054564725531</v>
      </c>
      <c r="T156" s="4">
        <f t="shared" si="37"/>
        <v>7.9812208401909918E-2</v>
      </c>
      <c r="U156" s="1">
        <f t="shared" si="29"/>
        <v>3.5752146391238908E-2</v>
      </c>
      <c r="V156" s="6">
        <f>2*sigma/alpha*corel*(B156/12-1/alpha*(1-EXP(-alpha*Output!B156/12)))</f>
        <v>0.28899186921700809</v>
      </c>
      <c r="W156" s="5">
        <f t="shared" si="38"/>
        <v>-4.406006201067101E-2</v>
      </c>
      <c r="X156" s="1">
        <f t="shared" si="39"/>
        <v>2.213085964322639</v>
      </c>
      <c r="Y156" s="3">
        <f t="shared" si="40"/>
        <v>4.9599416505925961E-2</v>
      </c>
      <c r="Z156" s="1">
        <f t="shared" si="30"/>
        <v>8.1272063352282209E-2</v>
      </c>
      <c r="AA156" s="8">
        <f t="shared" si="35"/>
        <v>12.000000000000016</v>
      </c>
      <c r="AB156" s="1">
        <v>12.08</v>
      </c>
      <c r="AC156" s="1">
        <v>1.8559900000000001E-2</v>
      </c>
      <c r="AD156" s="8">
        <f t="shared" si="31"/>
        <v>1.4066536537723009</v>
      </c>
      <c r="AE156" s="3">
        <f t="shared" si="32"/>
        <v>7.5789937110237703E-3</v>
      </c>
      <c r="AF156" s="11">
        <f t="shared" si="33"/>
        <v>12.000000000000016</v>
      </c>
      <c r="AG156" s="1">
        <f t="shared" si="34"/>
        <v>8.1272063352282209E-2</v>
      </c>
    </row>
    <row r="157" spans="2:33" ht="15">
      <c r="B157" s="1">
        <v>146</v>
      </c>
      <c r="C157" s="1">
        <v>1.0001337678595912</v>
      </c>
      <c r="D157" s="1">
        <v>1.1054796229488737</v>
      </c>
      <c r="E157" s="1">
        <v>0.90405252253791879</v>
      </c>
      <c r="G157" s="1">
        <v>0.99865697370029705</v>
      </c>
      <c r="H157" s="1">
        <v>2.351290480298784</v>
      </c>
      <c r="I157" s="1">
        <v>0.39603810629321662</v>
      </c>
      <c r="K157" s="1">
        <v>1.0005200435128832</v>
      </c>
      <c r="L157" s="1">
        <v>1.8785984032683389</v>
      </c>
      <c r="M157" s="1">
        <v>0.51636436201765556</v>
      </c>
      <c r="O157" s="1">
        <v>1.8495839877069025E-2</v>
      </c>
      <c r="P157" s="1">
        <v>0.79849009293040951</v>
      </c>
      <c r="R157" s="1">
        <v>3.0910056981049153E-2</v>
      </c>
      <c r="S157" s="2">
        <f t="shared" si="36"/>
        <v>0.28467618649546722</v>
      </c>
      <c r="T157" s="4">
        <f t="shared" si="37"/>
        <v>8.1040531157602028E-2</v>
      </c>
      <c r="U157" s="1">
        <f t="shared" si="29"/>
        <v>3.6428434293606239E-2</v>
      </c>
      <c r="V157" s="6">
        <f>2*sigma/alpha*corel*(B157/12-1/alpha*(1-EXP(-alpha*Output!B157/12)))</f>
        <v>0.29274544009009656</v>
      </c>
      <c r="W157" s="5">
        <f t="shared" si="38"/>
        <v>-4.4612096863995788E-2</v>
      </c>
      <c r="X157" s="1">
        <f t="shared" si="39"/>
        <v>2.2568219400746727</v>
      </c>
      <c r="Y157" s="3">
        <f t="shared" si="40"/>
        <v>4.9706581597856847E-2</v>
      </c>
      <c r="Z157" s="1">
        <f t="shared" si="30"/>
        <v>8.1614126072619489E-2</v>
      </c>
      <c r="AA157" s="8">
        <f t="shared" si="35"/>
        <v>12.08333333333335</v>
      </c>
      <c r="AB157" s="1">
        <v>12.17</v>
      </c>
      <c r="AC157" s="1">
        <v>1.86371E-2</v>
      </c>
      <c r="AD157" s="8">
        <f t="shared" si="31"/>
        <v>1.4126012293097512</v>
      </c>
      <c r="AE157" s="3">
        <f t="shared" si="32"/>
        <v>7.5795119911882805E-3</v>
      </c>
      <c r="AF157" s="11">
        <f t="shared" si="33"/>
        <v>12.08333333333335</v>
      </c>
      <c r="AG157" s="1">
        <f t="shared" si="34"/>
        <v>8.1614126072619489E-2</v>
      </c>
    </row>
    <row r="158" spans="2:33" ht="15">
      <c r="B158" s="1">
        <v>147</v>
      </c>
      <c r="C158" s="1">
        <v>1.0001360825806398</v>
      </c>
      <c r="D158" s="1">
        <v>1.1066289886066443</v>
      </c>
      <c r="E158" s="1">
        <v>0.90311136029272565</v>
      </c>
      <c r="G158" s="1">
        <v>0.99868852152814636</v>
      </c>
      <c r="H158" s="1">
        <v>2.3751873269542827</v>
      </c>
      <c r="I158" s="1">
        <v>0.39186321138315139</v>
      </c>
      <c r="K158" s="1">
        <v>1.000539991074179</v>
      </c>
      <c r="L158" s="1">
        <v>1.8773732854724781</v>
      </c>
      <c r="M158" s="1">
        <v>0.51659369063215888</v>
      </c>
      <c r="O158" s="1">
        <v>1.8568315704616579E-2</v>
      </c>
      <c r="P158" s="1">
        <v>0.79655279556219294</v>
      </c>
      <c r="R158" s="1">
        <v>3.0858159544078438E-2</v>
      </c>
      <c r="S158" s="2">
        <f t="shared" si="36"/>
        <v>0.28641460570827082</v>
      </c>
      <c r="T158" s="4">
        <f t="shared" si="37"/>
        <v>8.2033326363024239E-2</v>
      </c>
      <c r="U158" s="1">
        <f t="shared" si="29"/>
        <v>3.7112326119534862E-2</v>
      </c>
      <c r="V158" s="6">
        <f>2*sigma/alpha*corel*(B158/12-1/alpha*(1-EXP(-alpha*Output!B158/12)))</f>
        <v>0.29652005392098202</v>
      </c>
      <c r="W158" s="5">
        <f t="shared" si="38"/>
        <v>-4.4921000243489377E-2</v>
      </c>
      <c r="X158" s="1">
        <f t="shared" si="39"/>
        <v>2.2890531543082813</v>
      </c>
      <c r="Y158" s="3">
        <f t="shared" si="40"/>
        <v>4.9650680087914692E-2</v>
      </c>
      <c r="Z158" s="1">
        <f t="shared" si="30"/>
        <v>8.1832744488077383E-2</v>
      </c>
      <c r="AA158" s="8">
        <f t="shared" si="35"/>
        <v>12.166666666666684</v>
      </c>
      <c r="AB158" s="1">
        <v>12.25</v>
      </c>
      <c r="AC158" s="1">
        <v>1.87102E-2</v>
      </c>
      <c r="AD158" s="8">
        <f t="shared" si="31"/>
        <v>1.4188429538342096</v>
      </c>
      <c r="AE158" s="3">
        <f t="shared" si="32"/>
        <v>7.5832591518754985E-3</v>
      </c>
      <c r="AF158" s="11">
        <f t="shared" si="33"/>
        <v>12.166666666666684</v>
      </c>
      <c r="AG158" s="1">
        <f t="shared" si="34"/>
        <v>8.1832744488077383E-2</v>
      </c>
    </row>
    <row r="159" spans="2:33" ht="15">
      <c r="B159" s="1">
        <v>148</v>
      </c>
      <c r="C159" s="1">
        <v>1.000137207004782</v>
      </c>
      <c r="D159" s="1">
        <v>1.1066619980088042</v>
      </c>
      <c r="E159" s="1">
        <v>0.90308223715969216</v>
      </c>
      <c r="G159" s="1">
        <v>0.99862723941830611</v>
      </c>
      <c r="H159" s="1">
        <v>2.3751631765030159</v>
      </c>
      <c r="I159" s="1">
        <v>0.39167695407163244</v>
      </c>
      <c r="K159" s="1">
        <v>1.0004954455069426</v>
      </c>
      <c r="L159" s="1">
        <v>1.8199145876615024</v>
      </c>
      <c r="M159" s="1">
        <v>0.53279267709699651</v>
      </c>
      <c r="O159" s="1">
        <v>1.8637146998588646E-2</v>
      </c>
      <c r="P159" s="1">
        <v>0.79464631801633556</v>
      </c>
      <c r="R159" s="1">
        <v>3.0773925247197503E-2</v>
      </c>
      <c r="S159" s="2">
        <f t="shared" si="36"/>
        <v>0.28799639793170351</v>
      </c>
      <c r="T159" s="4">
        <f t="shared" si="37"/>
        <v>8.2941925221636112E-2</v>
      </c>
      <c r="U159" s="1">
        <f t="shared" si="29"/>
        <v>3.7803843750338829E-2</v>
      </c>
      <c r="V159" s="6">
        <f>2*sigma/alpha*corel*(B159/12-1/alpha*(1-EXP(-alpha*Output!B159/12)))</f>
        <v>0.30031565409815381</v>
      </c>
      <c r="W159" s="5">
        <f t="shared" si="38"/>
        <v>-4.5138081471297282E-2</v>
      </c>
      <c r="X159" s="1">
        <f t="shared" si="39"/>
        <v>2.3170015113470681</v>
      </c>
      <c r="Y159" s="3">
        <f t="shared" si="40"/>
        <v>4.95346356772563E-2</v>
      </c>
      <c r="Z159" s="1">
        <f t="shared" si="30"/>
        <v>8.2006225153438445E-2</v>
      </c>
      <c r="AA159" s="8">
        <f t="shared" si="35"/>
        <v>12.250000000000018</v>
      </c>
      <c r="AB159" s="1">
        <v>12.33</v>
      </c>
      <c r="AC159" s="1">
        <v>1.8779500000000001E-2</v>
      </c>
      <c r="AD159" s="8">
        <f t="shared" si="31"/>
        <v>1.4235300141135498</v>
      </c>
      <c r="AE159" s="3">
        <f t="shared" si="32"/>
        <v>7.5802338406962362E-3</v>
      </c>
      <c r="AF159" s="11">
        <f t="shared" si="33"/>
        <v>12.250000000000018</v>
      </c>
      <c r="AG159" s="1">
        <f t="shared" si="34"/>
        <v>8.2006225153438445E-2</v>
      </c>
    </row>
    <row r="160" spans="2:33" ht="15">
      <c r="B160" s="1">
        <v>149</v>
      </c>
      <c r="C160" s="1">
        <v>1.0001391937516995</v>
      </c>
      <c r="D160" s="1">
        <v>1.1078134442592544</v>
      </c>
      <c r="E160" s="1">
        <v>0.90214141342479781</v>
      </c>
      <c r="G160" s="1">
        <v>0.99863318020553615</v>
      </c>
      <c r="H160" s="1">
        <v>2.4059340775347238</v>
      </c>
      <c r="I160" s="1">
        <v>0.38647985900129594</v>
      </c>
      <c r="K160" s="1">
        <v>1.0005093429023855</v>
      </c>
      <c r="L160" s="1">
        <v>1.8345918870341418</v>
      </c>
      <c r="M160" s="1">
        <v>0.52842007307927841</v>
      </c>
      <c r="O160" s="1">
        <v>1.8702912080234085E-2</v>
      </c>
      <c r="P160" s="1">
        <v>0.79276549093618875</v>
      </c>
      <c r="R160" s="1">
        <v>3.0792111496029888E-2</v>
      </c>
      <c r="S160" s="2">
        <f t="shared" si="36"/>
        <v>0.28995369727592402</v>
      </c>
      <c r="T160" s="4">
        <f t="shared" si="37"/>
        <v>8.4073146563978185E-2</v>
      </c>
      <c r="U160" s="1">
        <f t="shared" si="29"/>
        <v>3.8503008780965714E-2</v>
      </c>
      <c r="V160" s="6">
        <f>2*sigma/alpha*corel*(B160/12-1/alpha*(1-EXP(-alpha*Output!B160/12)))</f>
        <v>0.30413218416239929</v>
      </c>
      <c r="W160" s="5">
        <f t="shared" si="38"/>
        <v>-4.5570137783012471E-2</v>
      </c>
      <c r="X160" s="1">
        <f t="shared" si="39"/>
        <v>2.3558132286663445</v>
      </c>
      <c r="Y160" s="3">
        <f t="shared" si="40"/>
        <v>4.9559745604302666E-2</v>
      </c>
      <c r="Z160" s="1">
        <f t="shared" si="30"/>
        <v>8.2286035690037576E-2</v>
      </c>
      <c r="AA160" s="8">
        <f t="shared" si="35"/>
        <v>12.333333333333352</v>
      </c>
      <c r="AB160" s="1">
        <v>12.42</v>
      </c>
      <c r="AC160" s="1">
        <v>1.88457E-2</v>
      </c>
      <c r="AD160" s="8">
        <f t="shared" si="31"/>
        <v>1.4278791976591458</v>
      </c>
      <c r="AE160" s="3">
        <f t="shared" si="32"/>
        <v>7.5766843240587817E-3</v>
      </c>
      <c r="AF160" s="11">
        <f t="shared" si="33"/>
        <v>12.333333333333352</v>
      </c>
      <c r="AG160" s="1">
        <f t="shared" si="34"/>
        <v>8.2286035690037576E-2</v>
      </c>
    </row>
    <row r="161" spans="2:33" ht="15">
      <c r="B161" s="1">
        <v>150</v>
      </c>
      <c r="C161" s="1">
        <v>1.0001416237912675</v>
      </c>
      <c r="D161" s="1">
        <v>1.1057996892334263</v>
      </c>
      <c r="E161" s="1">
        <v>0.90378212392276103</v>
      </c>
      <c r="G161" s="1">
        <v>0.99868435186560123</v>
      </c>
      <c r="H161" s="1">
        <v>2.3673701035623926</v>
      </c>
      <c r="I161" s="1">
        <v>0.39258487133759257</v>
      </c>
      <c r="K161" s="1">
        <v>1.0005215605162496</v>
      </c>
      <c r="L161" s="1">
        <v>1.8095498708016804</v>
      </c>
      <c r="M161" s="1">
        <v>0.5356211786434546</v>
      </c>
      <c r="O161" s="1">
        <v>1.8766144865859893E-2</v>
      </c>
      <c r="P161" s="1">
        <v>0.79090548145704342</v>
      </c>
      <c r="R161" s="1">
        <v>3.0862614314796918E-2</v>
      </c>
      <c r="S161" s="2">
        <f t="shared" si="36"/>
        <v>0.29209857210438239</v>
      </c>
      <c r="T161" s="4">
        <f t="shared" si="37"/>
        <v>8.5321575825419077E-2</v>
      </c>
      <c r="U161" s="1">
        <f t="shared" si="29"/>
        <v>3.9209842521996496E-2</v>
      </c>
      <c r="V161" s="6">
        <f>2*sigma/alpha*corel*(B161/12-1/alpha*(1-EXP(-alpha*Output!B161/12)))</f>
        <v>0.30796958780639894</v>
      </c>
      <c r="W161" s="5">
        <f t="shared" si="38"/>
        <v>-4.6111733303422581E-2</v>
      </c>
      <c r="X161" s="1">
        <f t="shared" si="39"/>
        <v>2.4004319321847722</v>
      </c>
      <c r="Y161" s="3">
        <f t="shared" si="40"/>
        <v>4.9654525996722473E-2</v>
      </c>
      <c r="Z161" s="1">
        <f t="shared" si="30"/>
        <v>8.2617952443966594E-2</v>
      </c>
      <c r="AA161" s="8">
        <f t="shared" si="35"/>
        <v>12.416666666666686</v>
      </c>
      <c r="AB161" s="1">
        <v>12.5</v>
      </c>
      <c r="AC161" s="1">
        <v>1.89093E-2</v>
      </c>
      <c r="AD161" s="8">
        <f t="shared" si="31"/>
        <v>1.4315513414010772</v>
      </c>
      <c r="AE161" s="3">
        <f t="shared" si="32"/>
        <v>7.5706204957405997E-3</v>
      </c>
      <c r="AF161" s="11">
        <f t="shared" si="33"/>
        <v>12.416666666666686</v>
      </c>
      <c r="AG161" s="1">
        <f t="shared" si="34"/>
        <v>8.2617952443966594E-2</v>
      </c>
    </row>
    <row r="162" spans="2:33" ht="15">
      <c r="B162" s="1">
        <v>151</v>
      </c>
      <c r="C162" s="1">
        <v>1.0001443986009666</v>
      </c>
      <c r="D162" s="1">
        <v>1.1084270621461925</v>
      </c>
      <c r="E162" s="1">
        <v>0.90163768352396245</v>
      </c>
      <c r="G162" s="1">
        <v>0.99876000216645755</v>
      </c>
      <c r="H162" s="1">
        <v>2.4299262992978146</v>
      </c>
      <c r="I162" s="1">
        <v>0.3822924800248142</v>
      </c>
      <c r="K162" s="1">
        <v>1.0005184889874374</v>
      </c>
      <c r="L162" s="1">
        <v>1.8061968723671582</v>
      </c>
      <c r="M162" s="1">
        <v>0.53650371465879199</v>
      </c>
      <c r="O162" s="1">
        <v>1.8827315364545828E-2</v>
      </c>
      <c r="P162" s="1">
        <v>0.78906199663706234</v>
      </c>
      <c r="R162" s="1">
        <v>3.0921436665325496E-2</v>
      </c>
      <c r="S162" s="2">
        <f t="shared" si="36"/>
        <v>0.29418476719128828</v>
      </c>
      <c r="T162" s="4">
        <f t="shared" si="37"/>
        <v>8.6544677247392482E-2</v>
      </c>
      <c r="U162" s="1">
        <f t="shared" si="29"/>
        <v>3.9924366001620921E-2</v>
      </c>
      <c r="V162" s="6">
        <f>2*sigma/alpha*corel*(B162/12-1/alpha*(1-EXP(-alpha*Output!B162/12)))</f>
        <v>0.31182780887431694</v>
      </c>
      <c r="W162" s="5">
        <f t="shared" si="38"/>
        <v>-4.662031124577156E-2</v>
      </c>
      <c r="X162" s="1">
        <f t="shared" si="39"/>
        <v>2.443792248424526</v>
      </c>
      <c r="Y162" s="3">
        <f t="shared" si="40"/>
        <v>4.9725914867474949E-2</v>
      </c>
      <c r="Z162" s="1">
        <f t="shared" si="30"/>
        <v>8.2932036603215159E-2</v>
      </c>
      <c r="AA162" s="8">
        <f t="shared" si="35"/>
        <v>12.50000000000002</v>
      </c>
      <c r="AB162" s="1">
        <v>12.58</v>
      </c>
      <c r="AC162" s="1">
        <v>1.8970799999999999E-2</v>
      </c>
      <c r="AD162" s="8">
        <f t="shared" si="31"/>
        <v>1.4348463545417121</v>
      </c>
      <c r="AE162" s="3">
        <f t="shared" si="32"/>
        <v>7.5634467420546952E-3</v>
      </c>
      <c r="AF162" s="11">
        <f t="shared" si="33"/>
        <v>12.50000000000002</v>
      </c>
      <c r="AG162" s="1">
        <f t="shared" si="34"/>
        <v>8.2932036603215159E-2</v>
      </c>
    </row>
    <row r="163" spans="2:33" ht="15">
      <c r="B163" s="1">
        <v>152</v>
      </c>
      <c r="C163" s="1">
        <v>1.0001471560629667</v>
      </c>
      <c r="D163" s="1">
        <v>1.1086909852044402</v>
      </c>
      <c r="E163" s="1">
        <v>0.90142091039480565</v>
      </c>
      <c r="G163" s="1">
        <v>0.99882520560116717</v>
      </c>
      <c r="H163" s="1">
        <v>2.4373230859267352</v>
      </c>
      <c r="I163" s="1">
        <v>0.38094730220175577</v>
      </c>
      <c r="K163" s="1">
        <v>1.0005178739409393</v>
      </c>
      <c r="L163" s="1">
        <v>1.8580255074388481</v>
      </c>
      <c r="M163" s="1">
        <v>0.52142958612441781</v>
      </c>
      <c r="O163" s="1">
        <v>1.8886964289617038E-2</v>
      </c>
      <c r="P163" s="1">
        <v>0.78722995529505035</v>
      </c>
      <c r="R163" s="1">
        <v>3.0944692966997086E-2</v>
      </c>
      <c r="S163" s="2">
        <f t="shared" si="36"/>
        <v>0.29612239804101148</v>
      </c>
      <c r="T163" s="4">
        <f t="shared" si="37"/>
        <v>8.7688474621559237E-2</v>
      </c>
      <c r="U163" s="1">
        <f t="shared" si="29"/>
        <v>4.0646599967607777E-2</v>
      </c>
      <c r="V163" s="6">
        <f>2*sigma/alpha*corel*(B163/12-1/alpha*(1-EXP(-alpha*Output!B163/12)))</f>
        <v>0.31570679136138924</v>
      </c>
      <c r="W163" s="5">
        <f t="shared" si="38"/>
        <v>-4.704187465395146E-2</v>
      </c>
      <c r="X163" s="1">
        <f t="shared" si="39"/>
        <v>2.4831257605785777</v>
      </c>
      <c r="Y163" s="3">
        <f t="shared" si="40"/>
        <v>4.9740272404045022E-2</v>
      </c>
      <c r="Z163" s="1">
        <f t="shared" si="30"/>
        <v>8.3203210949027454E-2</v>
      </c>
      <c r="AA163" s="8">
        <f t="shared" si="35"/>
        <v>12.583333333333353</v>
      </c>
      <c r="AB163" s="1">
        <v>12.67</v>
      </c>
      <c r="AC163" s="1">
        <v>1.90308E-2</v>
      </c>
      <c r="AD163" s="8">
        <f t="shared" si="31"/>
        <v>1.4383571038296266</v>
      </c>
      <c r="AE163" s="3">
        <f t="shared" si="32"/>
        <v>7.558048551976935E-3</v>
      </c>
      <c r="AF163" s="11">
        <f t="shared" si="33"/>
        <v>12.583333333333353</v>
      </c>
      <c r="AG163" s="1">
        <f t="shared" si="34"/>
        <v>8.3203210949027454E-2</v>
      </c>
    </row>
    <row r="164" spans="2:33" ht="15">
      <c r="B164" s="1">
        <v>153</v>
      </c>
      <c r="C164" s="1">
        <v>1.0001486094489505</v>
      </c>
      <c r="D164" s="1">
        <v>1.1119630941431644</v>
      </c>
      <c r="E164" s="1">
        <v>0.89876622890758384</v>
      </c>
      <c r="G164" s="1">
        <v>0.99879225968634455</v>
      </c>
      <c r="H164" s="1">
        <v>2.5024921435897931</v>
      </c>
      <c r="I164" s="1">
        <v>0.3708467169055728</v>
      </c>
      <c r="K164" s="1">
        <v>1.0005528164931765</v>
      </c>
      <c r="L164" s="1">
        <v>1.843923975186448</v>
      </c>
      <c r="M164" s="1">
        <v>0.52530780325151882</v>
      </c>
      <c r="O164" s="1">
        <v>1.8945628477713618E-2</v>
      </c>
      <c r="P164" s="1">
        <v>0.78540422055253167</v>
      </c>
      <c r="R164" s="1">
        <v>3.1071324300299324E-2</v>
      </c>
      <c r="S164" s="2">
        <f t="shared" si="36"/>
        <v>0.29846690603972736</v>
      </c>
      <c r="T164" s="4">
        <f t="shared" si="37"/>
        <v>8.9082494000927437E-2</v>
      </c>
      <c r="U164" s="1">
        <f t="shared" si="29"/>
        <v>4.1376564889264875E-2</v>
      </c>
      <c r="V164" s="6">
        <f>2*sigma/alpha*corel*(B164/12-1/alpha*(1-EXP(-alpha*Output!B164/12)))</f>
        <v>0.31960647941352421</v>
      </c>
      <c r="W164" s="5">
        <f t="shared" si="38"/>
        <v>-4.7705929111662562E-2</v>
      </c>
      <c r="X164" s="1">
        <f t="shared" si="39"/>
        <v>2.5351506863778983</v>
      </c>
      <c r="Y164" s="3">
        <f t="shared" si="40"/>
        <v>4.9906242110293174E-2</v>
      </c>
      <c r="Z164" s="1">
        <f t="shared" si="30"/>
        <v>8.3587452853777902E-2</v>
      </c>
      <c r="AA164" s="8">
        <f t="shared" si="35"/>
        <v>12.666666666666687</v>
      </c>
      <c r="AB164" s="1">
        <v>12.75</v>
      </c>
      <c r="AC164" s="1">
        <v>1.9089700000000001E-2</v>
      </c>
      <c r="AD164" s="8">
        <f t="shared" si="31"/>
        <v>1.4407152228638336</v>
      </c>
      <c r="AE164" s="3">
        <f t="shared" si="32"/>
        <v>7.5470815301646099E-3</v>
      </c>
      <c r="AF164" s="11">
        <f t="shared" si="33"/>
        <v>12.666666666666687</v>
      </c>
      <c r="AG164" s="1">
        <f t="shared" si="34"/>
        <v>8.3587452853777902E-2</v>
      </c>
    </row>
    <row r="165" spans="2:33" ht="15">
      <c r="B165" s="1">
        <v>154</v>
      </c>
      <c r="C165" s="1">
        <v>1.0001518539947325</v>
      </c>
      <c r="D165" s="1">
        <v>1.1109301701553504</v>
      </c>
      <c r="E165" s="1">
        <v>0.89959977243758482</v>
      </c>
      <c r="G165" s="1">
        <v>0.99890846463434368</v>
      </c>
      <c r="H165" s="1">
        <v>2.4814122134495626</v>
      </c>
      <c r="I165" s="1">
        <v>0.37381559214106647</v>
      </c>
      <c r="K165" s="1">
        <v>1.0006041149647107</v>
      </c>
      <c r="L165" s="1">
        <v>1.8332543226697642</v>
      </c>
      <c r="M165" s="1">
        <v>0.52825506248517273</v>
      </c>
      <c r="O165" s="1">
        <v>1.9003817533739125E-2</v>
      </c>
      <c r="P165" s="1">
        <v>0.78357983658228569</v>
      </c>
      <c r="R165" s="1">
        <v>3.1202171964677904E-2</v>
      </c>
      <c r="S165" s="2">
        <f t="shared" si="36"/>
        <v>0.30083208148117957</v>
      </c>
      <c r="T165" s="4">
        <f t="shared" si="37"/>
        <v>9.0499941248299062E-2</v>
      </c>
      <c r="U165" s="1">
        <f t="shared" si="29"/>
        <v>4.2114280959381398E-2</v>
      </c>
      <c r="V165" s="6">
        <f>2*sigma/alpha*corel*(B165/12-1/alpha*(1-EXP(-alpha*Output!B165/12)))</f>
        <v>0.32352681732689098</v>
      </c>
      <c r="W165" s="5">
        <f t="shared" si="38"/>
        <v>-4.8385660288917665E-2</v>
      </c>
      <c r="X165" s="1">
        <f t="shared" si="39"/>
        <v>2.5884668296941071</v>
      </c>
      <c r="Y165" s="3">
        <f t="shared" si="40"/>
        <v>5.0078356101273598E-2</v>
      </c>
      <c r="Z165" s="1">
        <f t="shared" si="30"/>
        <v>8.3975850539863145E-2</v>
      </c>
      <c r="AA165" s="8">
        <f t="shared" si="35"/>
        <v>12.750000000000021</v>
      </c>
      <c r="AB165" s="1">
        <v>12.83</v>
      </c>
      <c r="AC165" s="1">
        <v>1.9148200000000001E-2</v>
      </c>
      <c r="AD165" s="8">
        <f t="shared" si="31"/>
        <v>1.4438246626087559</v>
      </c>
      <c r="AE165" s="3">
        <f t="shared" si="32"/>
        <v>7.5402631192945336E-3</v>
      </c>
      <c r="AF165" s="11">
        <f t="shared" si="33"/>
        <v>12.750000000000021</v>
      </c>
      <c r="AG165" s="1">
        <f t="shared" si="34"/>
        <v>8.3975850539863145E-2</v>
      </c>
    </row>
    <row r="166" spans="2:33" ht="15">
      <c r="B166" s="1">
        <v>155</v>
      </c>
      <c r="C166" s="1">
        <v>1.0001536556292938</v>
      </c>
      <c r="D166" s="1">
        <v>1.1097849324110525</v>
      </c>
      <c r="E166" s="1">
        <v>0.90052600363030699</v>
      </c>
      <c r="G166" s="1">
        <v>0.99890049353779031</v>
      </c>
      <c r="H166" s="1">
        <v>2.4592866001174443</v>
      </c>
      <c r="I166" s="1">
        <v>0.37699566764242598</v>
      </c>
      <c r="K166" s="1">
        <v>1.0005227185804209</v>
      </c>
      <c r="L166" s="1">
        <v>1.8645864645508952</v>
      </c>
      <c r="M166" s="1">
        <v>0.5192701762585813</v>
      </c>
      <c r="O166" s="1">
        <v>1.9061985985375864E-2</v>
      </c>
      <c r="P166" s="1">
        <v>0.78175231684965296</v>
      </c>
      <c r="R166" s="1">
        <v>3.1097661261513899E-2</v>
      </c>
      <c r="S166" s="2">
        <f t="shared" si="36"/>
        <v>0.3022663241200324</v>
      </c>
      <c r="T166" s="4">
        <f t="shared" si="37"/>
        <v>9.1364930697036481E-2</v>
      </c>
      <c r="U166" s="1">
        <f t="shared" si="29"/>
        <v>4.2859768096161509E-2</v>
      </c>
      <c r="V166" s="6">
        <f>2*sigma/alpha*corel*(B166/12-1/alpha*(1-EXP(-alpha*Output!B166/12)))</f>
        <v>0.32746774954751795</v>
      </c>
      <c r="W166" s="5">
        <f t="shared" si="38"/>
        <v>-4.8505162600874972E-2</v>
      </c>
      <c r="X166" s="1">
        <f t="shared" si="39"/>
        <v>2.6133351947055892</v>
      </c>
      <c r="Y166" s="3">
        <f t="shared" si="40"/>
        <v>4.9901170834686467E-2</v>
      </c>
      <c r="Z166" s="1">
        <f t="shared" si="30"/>
        <v>8.4103590823745369E-2</v>
      </c>
      <c r="AA166" s="8">
        <f t="shared" si="35"/>
        <v>12.833333333333355</v>
      </c>
      <c r="AB166" s="1">
        <v>12.92</v>
      </c>
      <c r="AC166" s="1">
        <v>1.92068E-2</v>
      </c>
      <c r="AD166" s="8">
        <f t="shared" si="31"/>
        <v>1.4481401462413528</v>
      </c>
      <c r="AE166" s="3">
        <f t="shared" si="32"/>
        <v>7.5397262752845496E-3</v>
      </c>
      <c r="AF166" s="11">
        <f t="shared" si="33"/>
        <v>12.833333333333355</v>
      </c>
      <c r="AG166" s="1">
        <f t="shared" si="34"/>
        <v>8.4103590823745369E-2</v>
      </c>
    </row>
    <row r="167" spans="2:33" ht="15">
      <c r="B167" s="1">
        <v>156</v>
      </c>
      <c r="C167" s="1">
        <v>1.000152474675815</v>
      </c>
      <c r="D167" s="1">
        <v>1.1105664535049564</v>
      </c>
      <c r="E167" s="1">
        <v>0.89989019578546781</v>
      </c>
      <c r="G167" s="1">
        <v>0.99864725241334851</v>
      </c>
      <c r="H167" s="1">
        <v>2.4732116300978997</v>
      </c>
      <c r="I167" s="1">
        <v>0.37469112569611179</v>
      </c>
      <c r="K167" s="1">
        <v>1.0004503474754944</v>
      </c>
      <c r="L167" s="1">
        <v>1.8811360737654164</v>
      </c>
      <c r="M167" s="1">
        <v>0.51459459183174272</v>
      </c>
      <c r="O167" s="1">
        <v>1.9120811739650433E-2</v>
      </c>
      <c r="P167" s="1">
        <v>0.77991483386264548</v>
      </c>
      <c r="R167" s="1">
        <v>3.1063331931928728E-2</v>
      </c>
      <c r="S167" s="2">
        <f t="shared" si="36"/>
        <v>0.30399123601613232</v>
      </c>
      <c r="T167" s="4">
        <f t="shared" si="37"/>
        <v>9.2410671574615855E-2</v>
      </c>
      <c r="U167" s="1">
        <f t="shared" si="29"/>
        <v>4.3613045945150294E-2</v>
      </c>
      <c r="V167" s="6">
        <f>2*sigma/alpha*corel*(B167/12-1/alpha*(1-EXP(-alpha*Output!B167/12)))</f>
        <v>0.3314292206708912</v>
      </c>
      <c r="W167" s="5">
        <f t="shared" si="38"/>
        <v>-4.879762562946556E-2</v>
      </c>
      <c r="X167" s="1">
        <f t="shared" si="39"/>
        <v>2.6473218610467231</v>
      </c>
      <c r="Y167" s="3">
        <f t="shared" si="40"/>
        <v>4.9831924890914925E-2</v>
      </c>
      <c r="Z167" s="1">
        <f t="shared" si="30"/>
        <v>8.431199913444927E-2</v>
      </c>
      <c r="AA167" s="8">
        <f t="shared" si="35"/>
        <v>12.916666666666689</v>
      </c>
      <c r="AB167" s="1">
        <v>13</v>
      </c>
      <c r="AC167" s="1">
        <v>1.9265999999999998E-2</v>
      </c>
      <c r="AD167" s="8">
        <f t="shared" si="31"/>
        <v>1.4518826034956578</v>
      </c>
      <c r="AE167" s="3">
        <f t="shared" si="32"/>
        <v>7.5359836161925558E-3</v>
      </c>
      <c r="AF167" s="11">
        <f t="shared" si="33"/>
        <v>12.916666666666689</v>
      </c>
      <c r="AG167" s="1">
        <f t="shared" si="34"/>
        <v>8.431199913444927E-2</v>
      </c>
    </row>
    <row r="168" spans="2:33" ht="15">
      <c r="B168" s="1">
        <v>157</v>
      </c>
      <c r="C168" s="1">
        <v>1.0001577972473683</v>
      </c>
      <c r="D168" s="1">
        <v>1.1140007627604431</v>
      </c>
      <c r="E168" s="1">
        <v>0.89711388049576113</v>
      </c>
      <c r="G168" s="1">
        <v>0.99892463775556228</v>
      </c>
      <c r="H168" s="1">
        <v>2.5423252277576003</v>
      </c>
      <c r="I168" s="1">
        <v>0.36432818784937976</v>
      </c>
      <c r="K168" s="1">
        <v>1.0004459577919962</v>
      </c>
      <c r="L168" s="1">
        <v>1.9236259318629552</v>
      </c>
      <c r="M168" s="1">
        <v>0.50312318204176387</v>
      </c>
      <c r="O168" s="1">
        <v>1.918071865718992E-2</v>
      </c>
      <c r="P168" s="1">
        <v>0.77806303536571852</v>
      </c>
      <c r="R168" s="1">
        <v>3.1066825417523165E-2</v>
      </c>
      <c r="S168" s="2">
        <f t="shared" si="36"/>
        <v>0.30588431095706659</v>
      </c>
      <c r="T168" s="4">
        <f t="shared" si="37"/>
        <v>9.3565211689679406E-2</v>
      </c>
      <c r="U168" s="1">
        <f t="shared" si="29"/>
        <v>4.4374133881139935E-2</v>
      </c>
      <c r="V168" s="6">
        <f>2*sigma/alpha*corel*(B168/12-1/alpha*(1-EXP(-alpha*Output!B168/12)))</f>
        <v>0.33541117544154891</v>
      </c>
      <c r="W168" s="5">
        <f t="shared" si="38"/>
        <v>-4.9191077808539471E-2</v>
      </c>
      <c r="X168" s="1">
        <f t="shared" si="39"/>
        <v>2.6868337285913135</v>
      </c>
      <c r="Y168" s="3">
        <f t="shared" si="40"/>
        <v>4.982465855400306E-2</v>
      </c>
      <c r="Z168" s="1">
        <f t="shared" si="30"/>
        <v>8.4566430386151165E-2</v>
      </c>
      <c r="AA168" s="8">
        <f t="shared" si="35"/>
        <v>13.000000000000023</v>
      </c>
      <c r="AB168" s="1">
        <v>13.08</v>
      </c>
      <c r="AC168" s="1">
        <v>1.9326200000000002E-2</v>
      </c>
      <c r="AD168" s="8">
        <f t="shared" si="31"/>
        <v>1.454813428100818</v>
      </c>
      <c r="AE168" s="3">
        <f t="shared" si="32"/>
        <v>7.5276744942141651E-3</v>
      </c>
      <c r="AF168" s="11">
        <f t="shared" si="33"/>
        <v>13.000000000000023</v>
      </c>
      <c r="AG168" s="1">
        <f t="shared" si="34"/>
        <v>8.4566430386151165E-2</v>
      </c>
    </row>
    <row r="169" spans="2:33" ht="15">
      <c r="B169" s="1">
        <v>158</v>
      </c>
      <c r="C169" s="1">
        <v>1.000160738096596</v>
      </c>
      <c r="D169" s="1">
        <v>1.1187505166815745</v>
      </c>
      <c r="E169" s="1">
        <v>0.8933030438863212</v>
      </c>
      <c r="G169" s="1">
        <v>0.9990147278361774</v>
      </c>
      <c r="H169" s="1">
        <v>2.6392368647648561</v>
      </c>
      <c r="I169" s="1">
        <v>0.35077991152114318</v>
      </c>
      <c r="K169" s="1">
        <v>1.0004720917393843</v>
      </c>
      <c r="L169" s="1">
        <v>1.909028371582556</v>
      </c>
      <c r="M169" s="1">
        <v>0.50686475135528963</v>
      </c>
      <c r="O169" s="1">
        <v>1.9241619584953913E-2</v>
      </c>
      <c r="P169" s="1">
        <v>0.77619772484116334</v>
      </c>
      <c r="R169" s="1">
        <v>3.1134737991474582E-2</v>
      </c>
      <c r="S169" s="2">
        <f t="shared" si="36"/>
        <v>0.30805384803010649</v>
      </c>
      <c r="T169" s="4">
        <f t="shared" si="37"/>
        <v>9.4897173286155947E-2</v>
      </c>
      <c r="U169" s="1">
        <f t="shared" si="29"/>
        <v>4.5143051010072592E-2</v>
      </c>
      <c r="V169" s="6">
        <f>2*sigma/alpha*corel*(B169/12-1/alpha*(1-EXP(-alpha*Output!B169/12)))</f>
        <v>0.33941355875268236</v>
      </c>
      <c r="W169" s="5">
        <f t="shared" si="38"/>
        <v>-4.9754122276083355E-2</v>
      </c>
      <c r="X169" s="1">
        <f t="shared" si="39"/>
        <v>2.7355853370722172</v>
      </c>
      <c r="Y169" s="3">
        <f t="shared" si="40"/>
        <v>4.9919504115356679E-2</v>
      </c>
      <c r="Z169" s="1">
        <f t="shared" si="30"/>
        <v>8.4896291141494898E-2</v>
      </c>
      <c r="AA169" s="8">
        <f t="shared" si="35"/>
        <v>13.083333333333357</v>
      </c>
      <c r="AB169" s="1">
        <v>13.17</v>
      </c>
      <c r="AC169" s="1">
        <v>1.9387600000000001E-2</v>
      </c>
      <c r="AD169" s="8">
        <f t="shared" si="31"/>
        <v>1.4598041504608819</v>
      </c>
      <c r="AE169" s="3">
        <f t="shared" si="32"/>
        <v>7.5295763810934915E-3</v>
      </c>
      <c r="AF169" s="11">
        <f t="shared" si="33"/>
        <v>13.083333333333357</v>
      </c>
      <c r="AG169" s="1">
        <f t="shared" si="34"/>
        <v>8.4896291141494898E-2</v>
      </c>
    </row>
    <row r="170" spans="2:33" ht="15">
      <c r="B170" s="1">
        <v>159</v>
      </c>
      <c r="C170" s="1">
        <v>1.0001631449847554</v>
      </c>
      <c r="D170" s="1">
        <v>1.1206905501302851</v>
      </c>
      <c r="E170" s="1">
        <v>0.89175459437435067</v>
      </c>
      <c r="G170" s="1">
        <v>0.99904791881527855</v>
      </c>
      <c r="H170" s="1">
        <v>2.6796200574755411</v>
      </c>
      <c r="I170" s="1">
        <v>0.34532583779173492</v>
      </c>
      <c r="K170" s="1">
        <v>1.0004696493728418</v>
      </c>
      <c r="L170" s="1">
        <v>1.8839768986113583</v>
      </c>
      <c r="M170" s="1">
        <v>0.51349760476368111</v>
      </c>
      <c r="O170" s="1">
        <v>1.9303651205585529E-2</v>
      </c>
      <c r="P170" s="1">
        <v>0.77431742590697894</v>
      </c>
      <c r="R170" s="1">
        <v>3.1096057575216326E-2</v>
      </c>
      <c r="S170" s="2">
        <f t="shared" si="36"/>
        <v>0.30981111780009774</v>
      </c>
      <c r="T170" s="4">
        <f t="shared" si="37"/>
        <v>9.5982928712546031E-2</v>
      </c>
      <c r="U170" s="1">
        <f t="shared" si="29"/>
        <v>4.5919816170925234E-2</v>
      </c>
      <c r="V170" s="6">
        <f>2*sigma/alpha*corel*(B170/12-1/alpha*(1-EXP(-alpha*Output!B170/12)))</f>
        <v>0.34343631564573651</v>
      </c>
      <c r="W170" s="5">
        <f t="shared" si="38"/>
        <v>-5.0063112541620797E-2</v>
      </c>
      <c r="X170" s="1">
        <f t="shared" si="39"/>
        <v>2.7712934676102199</v>
      </c>
      <c r="Y170" s="3">
        <f t="shared" si="40"/>
        <v>4.9859770618648117E-2</v>
      </c>
      <c r="Z170" s="1">
        <f t="shared" si="30"/>
        <v>8.5111659717190313E-2</v>
      </c>
      <c r="AA170" s="8">
        <f t="shared" si="35"/>
        <v>13.166666666666691</v>
      </c>
      <c r="AB170" s="1">
        <v>13.25</v>
      </c>
      <c r="AC170" s="1">
        <v>1.9450100000000001E-2</v>
      </c>
      <c r="AD170" s="8">
        <f t="shared" si="31"/>
        <v>1.4644879441447212</v>
      </c>
      <c r="AE170" s="3">
        <f t="shared" si="32"/>
        <v>7.529462286285012E-3</v>
      </c>
      <c r="AF170" s="11">
        <f t="shared" si="33"/>
        <v>13.166666666666691</v>
      </c>
      <c r="AG170" s="1">
        <f t="shared" si="34"/>
        <v>8.5111659717190313E-2</v>
      </c>
    </row>
    <row r="171" spans="2:33" ht="15">
      <c r="B171" s="1">
        <v>160</v>
      </c>
      <c r="C171" s="1">
        <v>1.0001648870412778</v>
      </c>
      <c r="D171" s="1">
        <v>1.1208337356428897</v>
      </c>
      <c r="E171" s="1">
        <v>0.89163863540144372</v>
      </c>
      <c r="G171" s="1">
        <v>0.99903761857009521</v>
      </c>
      <c r="H171" s="1">
        <v>2.6817053281508816</v>
      </c>
      <c r="I171" s="1">
        <v>0.34488988619207345</v>
      </c>
      <c r="K171" s="1">
        <v>1.0005281269989399</v>
      </c>
      <c r="L171" s="1">
        <v>1.8936356165351984</v>
      </c>
      <c r="M171" s="1">
        <v>0.51077202610187145</v>
      </c>
      <c r="O171" s="1">
        <v>1.9366897450017496E-2</v>
      </c>
      <c r="P171" s="1">
        <v>0.7724211865229309</v>
      </c>
      <c r="R171" s="1">
        <v>3.1094983094269644E-2</v>
      </c>
      <c r="S171" s="2">
        <f t="shared" si="36"/>
        <v>0.31173908848349008</v>
      </c>
      <c r="T171" s="4">
        <f t="shared" si="37"/>
        <v>9.7181259288517258E-2</v>
      </c>
      <c r="U171" s="1">
        <f t="shared" si="29"/>
        <v>4.6704447937589474E-2</v>
      </c>
      <c r="V171" s="6">
        <f>2*sigma/alpha*corel*(B171/12-1/alpha*(1-EXP(-alpha*Output!B171/12)))</f>
        <v>0.34747939131000982</v>
      </c>
      <c r="W171" s="5">
        <f t="shared" si="38"/>
        <v>-5.0476811350927783E-2</v>
      </c>
      <c r="X171" s="1">
        <f t="shared" si="39"/>
        <v>2.8128385327679903</v>
      </c>
      <c r="Y171" s="3">
        <f t="shared" si="40"/>
        <v>4.9862719490577453E-2</v>
      </c>
      <c r="Z171" s="1">
        <f t="shared" si="30"/>
        <v>8.5373265409253232E-2</v>
      </c>
      <c r="AA171" s="8">
        <f t="shared" si="35"/>
        <v>13.250000000000025</v>
      </c>
      <c r="AB171" s="1">
        <v>13.33</v>
      </c>
      <c r="AC171" s="1">
        <v>1.9513900000000001E-2</v>
      </c>
      <c r="AD171" s="8">
        <f t="shared" si="31"/>
        <v>1.4700254998250424</v>
      </c>
      <c r="AE171" s="3">
        <f t="shared" si="32"/>
        <v>7.5332224712899134E-3</v>
      </c>
      <c r="AF171" s="11">
        <f t="shared" si="33"/>
        <v>13.250000000000025</v>
      </c>
      <c r="AG171" s="1">
        <f t="shared" si="34"/>
        <v>8.5373265409253232E-2</v>
      </c>
    </row>
    <row r="172" spans="2:33" ht="15">
      <c r="B172" s="1">
        <v>161</v>
      </c>
      <c r="C172" s="1">
        <v>1.0001676640918995</v>
      </c>
      <c r="D172" s="1">
        <v>1.1195372742892187</v>
      </c>
      <c r="E172" s="1">
        <v>0.89266915117298273</v>
      </c>
      <c r="G172" s="1">
        <v>0.9991028369755095</v>
      </c>
      <c r="H172" s="1">
        <v>2.6532482338893519</v>
      </c>
      <c r="I172" s="1">
        <v>0.3484198251443385</v>
      </c>
      <c r="K172" s="1">
        <v>1.0005535626169049</v>
      </c>
      <c r="L172" s="1">
        <v>1.8889913011074153</v>
      </c>
      <c r="M172" s="1">
        <v>0.51192115994058329</v>
      </c>
      <c r="O172" s="1">
        <v>1.9431265389522355E-2</v>
      </c>
      <c r="P172" s="1">
        <v>0.77050987292603368</v>
      </c>
      <c r="R172" s="1">
        <v>3.1204640881761857E-2</v>
      </c>
      <c r="S172" s="2">
        <f t="shared" si="36"/>
        <v>0.31413707869808549</v>
      </c>
      <c r="T172" s="4">
        <f t="shared" si="37"/>
        <v>9.8682104212967164E-2</v>
      </c>
      <c r="U172" s="1">
        <f t="shared" si="29"/>
        <v>4.7496964620732246E-2</v>
      </c>
      <c r="V172" s="6">
        <f>2*sigma/alpha*corel*(B172/12-1/alpha*(1-EXP(-alpha*Output!B172/12)))</f>
        <v>0.35154273108225687</v>
      </c>
      <c r="W172" s="5">
        <f t="shared" si="38"/>
        <v>-5.1185139592234918E-2</v>
      </c>
      <c r="X172" s="1">
        <f t="shared" si="39"/>
        <v>2.8705181165600457</v>
      </c>
      <c r="Y172" s="3">
        <f t="shared" si="40"/>
        <v>5.0039165735190912E-2</v>
      </c>
      <c r="Z172" s="1">
        <f t="shared" si="30"/>
        <v>8.5762392058814016E-2</v>
      </c>
      <c r="AA172" s="8">
        <f t="shared" si="35"/>
        <v>13.333333333333359</v>
      </c>
      <c r="AB172" s="1">
        <v>13.42</v>
      </c>
      <c r="AC172" s="1">
        <v>1.95788E-2</v>
      </c>
      <c r="AD172" s="8">
        <f t="shared" si="31"/>
        <v>1.4753461047764538</v>
      </c>
      <c r="AE172" s="3">
        <f t="shared" si="32"/>
        <v>7.5354266082520568E-3</v>
      </c>
      <c r="AF172" s="11">
        <f t="shared" si="33"/>
        <v>13.333333333333359</v>
      </c>
      <c r="AG172" s="1">
        <f t="shared" si="34"/>
        <v>8.5762392058814016E-2</v>
      </c>
    </row>
    <row r="173" spans="2:33" ht="15">
      <c r="B173" s="1">
        <v>162</v>
      </c>
      <c r="C173" s="1">
        <v>1.0001695965123605</v>
      </c>
      <c r="D173" s="1">
        <v>1.1195309495142598</v>
      </c>
      <c r="E173" s="1">
        <v>0.89267217169293822</v>
      </c>
      <c r="G173" s="1">
        <v>0.99910786100420845</v>
      </c>
      <c r="H173" s="1">
        <v>2.6536654059194587</v>
      </c>
      <c r="I173" s="1">
        <v>0.3481960309544142</v>
      </c>
      <c r="K173" s="1">
        <v>1.0005710359895561</v>
      </c>
      <c r="L173" s="1">
        <v>1.9266556269063346</v>
      </c>
      <c r="M173" s="1">
        <v>0.50180902325855548</v>
      </c>
      <c r="O173" s="1">
        <v>1.9496794222336671E-2</v>
      </c>
      <c r="P173" s="1">
        <v>0.76858299787204754</v>
      </c>
      <c r="R173" s="1">
        <v>3.1256117537027207E-2</v>
      </c>
      <c r="S173" s="2">
        <f t="shared" si="36"/>
        <v>0.31631859412598162</v>
      </c>
      <c r="T173" s="4">
        <f t="shared" si="37"/>
        <v>0.10005745298983749</v>
      </c>
      <c r="U173" s="1">
        <f t="shared" si="29"/>
        <v>4.8297384269655394E-2</v>
      </c>
      <c r="V173" s="6">
        <f>2*sigma/alpha*corel*(B173/12-1/alpha*(1-EXP(-alpha*Output!B173/12)))</f>
        <v>0.35562628044629252</v>
      </c>
      <c r="W173" s="5">
        <f t="shared" si="38"/>
        <v>-5.1760068720182101E-2</v>
      </c>
      <c r="X173" s="1">
        <f t="shared" si="39"/>
        <v>2.9215137622338987</v>
      </c>
      <c r="Y173" s="3">
        <f t="shared" si="40"/>
        <v>5.0133975644370554E-2</v>
      </c>
      <c r="Z173" s="1">
        <f t="shared" si="30"/>
        <v>8.609101686257635E-2</v>
      </c>
      <c r="AA173" s="8">
        <f t="shared" si="35"/>
        <v>13.416666666666693</v>
      </c>
      <c r="AB173" s="1">
        <v>13.5</v>
      </c>
      <c r="AC173" s="1">
        <v>1.96449E-2</v>
      </c>
      <c r="AD173" s="8">
        <f t="shared" si="31"/>
        <v>1.4810577766332864</v>
      </c>
      <c r="AE173" s="3">
        <f t="shared" si="32"/>
        <v>7.5391464279954915E-3</v>
      </c>
      <c r="AF173" s="11">
        <f t="shared" si="33"/>
        <v>13.416666666666693</v>
      </c>
      <c r="AG173" s="1">
        <f t="shared" si="34"/>
        <v>8.609101686257635E-2</v>
      </c>
    </row>
    <row r="174" spans="2:33" ht="15">
      <c r="B174" s="1">
        <v>163</v>
      </c>
      <c r="C174" s="1">
        <v>1.0001718228770886</v>
      </c>
      <c r="D174" s="1">
        <v>1.1250653547530571</v>
      </c>
      <c r="E174" s="1">
        <v>0.8882789482591289</v>
      </c>
      <c r="G174" s="1">
        <v>0.9991249057843028</v>
      </c>
      <c r="H174" s="1">
        <v>2.7738493577028884</v>
      </c>
      <c r="I174" s="1">
        <v>0.33294795593589188</v>
      </c>
      <c r="K174" s="1">
        <v>1.0005426920240477</v>
      </c>
      <c r="L174" s="1">
        <v>1.9557890942322933</v>
      </c>
      <c r="M174" s="1">
        <v>0.4942310917417192</v>
      </c>
      <c r="O174" s="1">
        <v>1.9563469553782513E-2</v>
      </c>
      <c r="P174" s="1">
        <v>0.76664062928986731</v>
      </c>
      <c r="R174" s="1">
        <v>3.1158782351701581E-2</v>
      </c>
      <c r="S174" s="2">
        <f t="shared" si="36"/>
        <v>0.31790890281284856</v>
      </c>
      <c r="T174" s="4">
        <f t="shared" si="37"/>
        <v>0.10106607048766919</v>
      </c>
      <c r="U174" s="1">
        <f t="shared" si="29"/>
        <v>4.9105724674132725E-2</v>
      </c>
      <c r="V174" s="6">
        <f>2*sigma/alpha*corel*(B174/12-1/alpha*(1-EXP(-alpha*Output!B174/12)))</f>
        <v>0.35972998503259412</v>
      </c>
      <c r="W174" s="5">
        <f t="shared" si="38"/>
        <v>-5.1960345813536465E-2</v>
      </c>
      <c r="X174" s="1">
        <f t="shared" si="39"/>
        <v>2.9525844513336983</v>
      </c>
      <c r="Y174" s="3">
        <f t="shared" si="40"/>
        <v>5.000902884142544E-2</v>
      </c>
      <c r="Z174" s="1">
        <f t="shared" si="30"/>
        <v>8.6258025174865152E-2</v>
      </c>
      <c r="AA174" s="8">
        <f t="shared" si="35"/>
        <v>13.500000000000027</v>
      </c>
      <c r="AB174" s="1">
        <v>13.58</v>
      </c>
      <c r="AC174" s="1">
        <v>1.9712199999999999E-2</v>
      </c>
      <c r="AD174" s="8">
        <f t="shared" si="31"/>
        <v>1.4873044621748628</v>
      </c>
      <c r="AE174" s="3">
        <f t="shared" si="32"/>
        <v>7.5450962458521263E-3</v>
      </c>
      <c r="AF174" s="11">
        <f t="shared" si="33"/>
        <v>13.500000000000027</v>
      </c>
      <c r="AG174" s="1">
        <f t="shared" si="34"/>
        <v>8.6258025174865152E-2</v>
      </c>
    </row>
    <row r="175" spans="2:33" ht="15">
      <c r="B175" s="1">
        <v>164</v>
      </c>
      <c r="C175" s="1">
        <v>1.0001773571623536</v>
      </c>
      <c r="D175" s="1">
        <v>1.1265706709859562</v>
      </c>
      <c r="E175" s="1">
        <v>0.88709004365777144</v>
      </c>
      <c r="G175" s="1">
        <v>0.99940533697712852</v>
      </c>
      <c r="H175" s="1">
        <v>2.8051979681679371</v>
      </c>
      <c r="I175" s="1">
        <v>0.32906747807052467</v>
      </c>
      <c r="K175" s="1">
        <v>1.0005234515519321</v>
      </c>
      <c r="L175" s="1">
        <v>1.9718051240384682</v>
      </c>
      <c r="M175" s="1">
        <v>0.49011457118742302</v>
      </c>
      <c r="O175" s="1">
        <v>1.9631243057532045E-2</v>
      </c>
      <c r="P175" s="1">
        <v>0.76468319499396198</v>
      </c>
      <c r="R175" s="1">
        <v>3.1034407787702285E-2</v>
      </c>
      <c r="S175" s="2">
        <f t="shared" si="36"/>
        <v>0.31940262976072098</v>
      </c>
      <c r="T175" s="4">
        <f t="shared" si="37"/>
        <v>0.1020180398980642</v>
      </c>
      <c r="U175" s="1">
        <f t="shared" si="29"/>
        <v>4.9922003366247684E-2</v>
      </c>
      <c r="V175" s="6">
        <f>2*sigma/alpha*corel*(B175/12-1/alpha*(1-EXP(-alpha*Output!B175/12)))</f>
        <v>0.36385379061791079</v>
      </c>
      <c r="W175" s="5">
        <f t="shared" si="38"/>
        <v>-5.2096036531816513E-2</v>
      </c>
      <c r="X175" s="1">
        <f t="shared" si="39"/>
        <v>2.9803062446863251</v>
      </c>
      <c r="Y175" s="3">
        <f t="shared" si="40"/>
        <v>4.9847654585060172E-2</v>
      </c>
      <c r="Z175" s="1">
        <f t="shared" si="30"/>
        <v>8.6398695746449927E-2</v>
      </c>
      <c r="AA175" s="8">
        <f t="shared" si="35"/>
        <v>13.583333333333361</v>
      </c>
      <c r="AB175" s="1">
        <v>13.67</v>
      </c>
      <c r="AC175" s="1">
        <v>1.9780800000000001E-2</v>
      </c>
      <c r="AD175" s="8">
        <f t="shared" si="31"/>
        <v>1.4955694246795646</v>
      </c>
      <c r="AE175" s="3">
        <f t="shared" si="32"/>
        <v>7.5607125327568367E-3</v>
      </c>
      <c r="AF175" s="11">
        <f t="shared" si="33"/>
        <v>13.583333333333361</v>
      </c>
      <c r="AG175" s="1">
        <f t="shared" si="34"/>
        <v>8.6398695746449927E-2</v>
      </c>
    </row>
    <row r="176" spans="2:33" ht="15">
      <c r="B176" s="1">
        <v>165</v>
      </c>
      <c r="C176" s="1">
        <v>1.0001775399891877</v>
      </c>
      <c r="D176" s="1">
        <v>1.1272611780922208</v>
      </c>
      <c r="E176" s="1">
        <v>0.88654467175909146</v>
      </c>
      <c r="G176" s="1">
        <v>0.99925870718232213</v>
      </c>
      <c r="H176" s="1">
        <v>2.8166659493360076</v>
      </c>
      <c r="I176" s="1">
        <v>0.32756869989482018</v>
      </c>
      <c r="K176" s="1">
        <v>1.0005248289880289</v>
      </c>
      <c r="L176" s="1">
        <v>1.9550890873818838</v>
      </c>
      <c r="M176" s="1">
        <v>0.49420208779586677</v>
      </c>
      <c r="O176" s="1">
        <v>1.9700247883940716E-2</v>
      </c>
      <c r="P176" s="1">
        <v>0.7627092297995447</v>
      </c>
      <c r="R176" s="1">
        <v>3.086504098110384E-2</v>
      </c>
      <c r="S176" s="2">
        <f t="shared" si="36"/>
        <v>0.32072515130903989</v>
      </c>
      <c r="T176" s="4">
        <f t="shared" si="37"/>
        <v>0.10286462268220653</v>
      </c>
      <c r="U176" s="1">
        <f t="shared" si="29"/>
        <v>5.0746237622209041E-2</v>
      </c>
      <c r="V176" s="6">
        <f>2*sigma/alpha*corel*(B176/12-1/alpha*(1-EXP(-alpha*Output!B176/12)))</f>
        <v>0.36799764312486599</v>
      </c>
      <c r="W176" s="5">
        <f t="shared" si="38"/>
        <v>-5.2118385059997489E-2</v>
      </c>
      <c r="X176" s="1">
        <f t="shared" si="39"/>
        <v>3.001933443645318</v>
      </c>
      <c r="Y176" s="3">
        <f t="shared" si="40"/>
        <v>4.9622225878192788E-2</v>
      </c>
      <c r="Z176" s="1">
        <f t="shared" si="30"/>
        <v>8.6493141160422879E-2</v>
      </c>
      <c r="AA176" s="8">
        <f t="shared" si="35"/>
        <v>13.666666666666694</v>
      </c>
      <c r="AB176" s="1">
        <v>13.75</v>
      </c>
      <c r="AC176" s="1">
        <v>1.9850599999999999E-2</v>
      </c>
      <c r="AD176" s="8">
        <f t="shared" si="31"/>
        <v>1.5035211605928314</v>
      </c>
      <c r="AE176" s="3">
        <f t="shared" si="32"/>
        <v>7.5741849646500936E-3</v>
      </c>
      <c r="AF176" s="11">
        <f t="shared" si="33"/>
        <v>13.666666666666694</v>
      </c>
      <c r="AG176" s="1">
        <f t="shared" si="34"/>
        <v>8.6493141160422879E-2</v>
      </c>
    </row>
    <row r="177" spans="2:33" ht="15">
      <c r="B177" s="1">
        <v>166</v>
      </c>
      <c r="C177" s="1">
        <v>1.0001778459907695</v>
      </c>
      <c r="D177" s="1">
        <v>1.1269352268719635</v>
      </c>
      <c r="E177" s="1">
        <v>0.88679911848306703</v>
      </c>
      <c r="G177" s="1">
        <v>0.99913564951654732</v>
      </c>
      <c r="H177" s="1">
        <v>2.8106740952224092</v>
      </c>
      <c r="I177" s="1">
        <v>0.32810777359067239</v>
      </c>
      <c r="K177" s="1">
        <v>1.0006294985294617</v>
      </c>
      <c r="L177" s="1">
        <v>1.9630640715502694</v>
      </c>
      <c r="M177" s="1">
        <v>0.49209185279617496</v>
      </c>
      <c r="O177" s="1">
        <v>1.9770583530269052E-2</v>
      </c>
      <c r="P177" s="1">
        <v>0.76071760646083675</v>
      </c>
      <c r="R177" s="1">
        <v>3.0944175880963831E-2</v>
      </c>
      <c r="S177" s="2">
        <f t="shared" si="36"/>
        <v>0.32309902208705377</v>
      </c>
      <c r="T177" s="4">
        <f t="shared" si="37"/>
        <v>0.10439297807361046</v>
      </c>
      <c r="U177" s="1">
        <f t="shared" si="29"/>
        <v>5.1578444464163833E-2</v>
      </c>
      <c r="V177" s="6">
        <f>2*sigma/alpha*corel*(B177/12-1/alpha*(1-EXP(-alpha*Output!B177/12)))</f>
        <v>0.37216148862156589</v>
      </c>
      <c r="W177" s="5">
        <f t="shared" si="38"/>
        <v>-5.2814533609446629E-2</v>
      </c>
      <c r="X177" s="1">
        <f t="shared" si="39"/>
        <v>3.0609083666690662</v>
      </c>
      <c r="Y177" s="3">
        <f t="shared" si="40"/>
        <v>4.9784953008331523E-2</v>
      </c>
      <c r="Z177" s="1">
        <f t="shared" si="30"/>
        <v>8.6870480271900391E-2</v>
      </c>
      <c r="AA177" s="8">
        <f t="shared" si="35"/>
        <v>13.750000000000028</v>
      </c>
      <c r="AB177" s="1">
        <v>13.83</v>
      </c>
      <c r="AC177" s="1">
        <v>1.9921600000000001E-2</v>
      </c>
      <c r="AD177" s="8">
        <f t="shared" si="31"/>
        <v>1.5101646973094893</v>
      </c>
      <c r="AE177" s="3">
        <f t="shared" si="32"/>
        <v>7.5805392002122789E-3</v>
      </c>
      <c r="AF177" s="11">
        <f t="shared" si="33"/>
        <v>13.750000000000028</v>
      </c>
      <c r="AG177" s="1">
        <f t="shared" si="34"/>
        <v>8.6870480271900391E-2</v>
      </c>
    </row>
    <row r="178" spans="2:33" ht="15">
      <c r="B178" s="1">
        <v>167</v>
      </c>
      <c r="C178" s="1">
        <v>1.0001802195415264</v>
      </c>
      <c r="D178" s="1">
        <v>1.1279594097698671</v>
      </c>
      <c r="E178" s="1">
        <v>0.88599194399989589</v>
      </c>
      <c r="G178" s="1">
        <v>0.99916536257680288</v>
      </c>
      <c r="H178" s="1">
        <v>2.8334960559173163</v>
      </c>
      <c r="I178" s="1">
        <v>0.32530720100938543</v>
      </c>
      <c r="K178" s="1">
        <v>1.0005632911704763</v>
      </c>
      <c r="L178" s="1">
        <v>1.9609862091775665</v>
      </c>
      <c r="M178" s="1">
        <v>0.49251065606826089</v>
      </c>
      <c r="O178" s="1">
        <v>1.9842075420414673E-2</v>
      </c>
      <c r="P178" s="1">
        <v>0.75871008094220038</v>
      </c>
      <c r="R178" s="1">
        <v>3.0863425755592328E-2</v>
      </c>
      <c r="S178" s="2">
        <f t="shared" si="36"/>
        <v>0.32482615892566469</v>
      </c>
      <c r="T178" s="4">
        <f t="shared" si="37"/>
        <v>0.10551203352240117</v>
      </c>
      <c r="U178" s="1">
        <f t="shared" si="29"/>
        <v>5.2418640661994462E-2</v>
      </c>
      <c r="V178" s="6">
        <f>2*sigma/alpha*corel*(B178/12-1/alpha*(1-EXP(-alpha*Output!B178/12)))</f>
        <v>0.37634527332121043</v>
      </c>
      <c r="W178" s="5">
        <f t="shared" si="38"/>
        <v>-5.3093392860406707E-2</v>
      </c>
      <c r="X178" s="1">
        <f t="shared" si="39"/>
        <v>3.0971679673138568</v>
      </c>
      <c r="Y178" s="3">
        <f t="shared" si="40"/>
        <v>4.970773601821464E-2</v>
      </c>
      <c r="Z178" s="1">
        <f t="shared" si="30"/>
        <v>8.7072975185172638E-2</v>
      </c>
      <c r="AA178" s="8">
        <f t="shared" si="35"/>
        <v>13.833333333333362</v>
      </c>
      <c r="AB178" s="1">
        <v>13.92</v>
      </c>
      <c r="AC178" s="1">
        <v>1.9993899999999998E-2</v>
      </c>
      <c r="AD178" s="8">
        <f t="shared" si="31"/>
        <v>1.5182457958532596</v>
      </c>
      <c r="AE178" s="3">
        <f t="shared" si="32"/>
        <v>7.5935450104944987E-3</v>
      </c>
      <c r="AF178" s="11">
        <f t="shared" si="33"/>
        <v>13.833333333333362</v>
      </c>
      <c r="AG178" s="1">
        <f t="shared" si="34"/>
        <v>8.7072975185172638E-2</v>
      </c>
    </row>
    <row r="179" spans="2:33" ht="15">
      <c r="B179" s="1">
        <v>168</v>
      </c>
      <c r="C179" s="1">
        <v>1.0001847414687521</v>
      </c>
      <c r="D179" s="1">
        <v>1.1276287503920912</v>
      </c>
      <c r="E179" s="1">
        <v>0.88624979067101239</v>
      </c>
      <c r="G179" s="1">
        <v>0.999362858843166</v>
      </c>
      <c r="H179" s="1">
        <v>2.8243064193766556</v>
      </c>
      <c r="I179" s="1">
        <v>0.32620736553073915</v>
      </c>
      <c r="K179" s="1">
        <v>1.0005069524509109</v>
      </c>
      <c r="L179" s="1">
        <v>1.9923340206372895</v>
      </c>
      <c r="M179" s="1">
        <v>0.48466040636677082</v>
      </c>
      <c r="O179" s="1">
        <v>1.9914768196609076E-2</v>
      </c>
      <c r="P179" s="1">
        <v>0.7566861150827866</v>
      </c>
      <c r="R179" s="1">
        <v>3.0761277931585645E-2</v>
      </c>
      <c r="S179" s="2">
        <f t="shared" si="36"/>
        <v>0.32648080045552874</v>
      </c>
      <c r="T179" s="4">
        <f t="shared" si="37"/>
        <v>0.10658971306608278</v>
      </c>
      <c r="U179" s="1">
        <f t="shared" si="29"/>
        <v>5.3266842735109128E-2</v>
      </c>
      <c r="V179" s="6">
        <f>2*sigma/alpha*corel*(B179/12-1/alpha*(1-EXP(-alpha*Output!B179/12)))</f>
        <v>0.38054894358170038</v>
      </c>
      <c r="W179" s="5">
        <f t="shared" si="38"/>
        <v>-5.3322870330973653E-2</v>
      </c>
      <c r="X179" s="1">
        <f t="shared" si="39"/>
        <v>3.130898236995673</v>
      </c>
      <c r="Y179" s="3">
        <f t="shared" si="40"/>
        <v>4.9603053438843747E-2</v>
      </c>
      <c r="Z179" s="1">
        <f t="shared" si="30"/>
        <v>8.7255664190307017E-2</v>
      </c>
      <c r="AA179" s="8">
        <f t="shared" si="35"/>
        <v>13.916666666666696</v>
      </c>
      <c r="AB179" s="1">
        <v>14</v>
      </c>
      <c r="AC179" s="1">
        <v>2.0067399999999999E-2</v>
      </c>
      <c r="AD179" s="8">
        <f t="shared" si="31"/>
        <v>1.5263180339092353</v>
      </c>
      <c r="AE179" s="3">
        <f t="shared" si="32"/>
        <v>7.6059580907802474E-3</v>
      </c>
      <c r="AF179" s="11">
        <f t="shared" si="33"/>
        <v>13.916666666666696</v>
      </c>
      <c r="AG179" s="1">
        <f t="shared" si="34"/>
        <v>8.7255664190307017E-2</v>
      </c>
    </row>
    <row r="180" spans="2:33" ht="15">
      <c r="B180" s="1">
        <v>169</v>
      </c>
      <c r="C180" s="1">
        <v>1.0001888038367297</v>
      </c>
      <c r="D180" s="1">
        <v>1.1237773906640156</v>
      </c>
      <c r="E180" s="1">
        <v>0.88928515123893059</v>
      </c>
      <c r="G180" s="1">
        <v>0.99953070189411408</v>
      </c>
      <c r="H180" s="1">
        <v>2.7401881792054046</v>
      </c>
      <c r="I180" s="1">
        <v>0.336058188525242</v>
      </c>
      <c r="K180" s="1">
        <v>1.0004858202916689</v>
      </c>
      <c r="L180" s="1">
        <v>2.0129986731002893</v>
      </c>
      <c r="M180" s="1">
        <v>0.47958514962333609</v>
      </c>
      <c r="O180" s="1">
        <v>1.9988633996607455E-2</v>
      </c>
      <c r="P180" s="1">
        <v>0.75464593842763728</v>
      </c>
      <c r="R180" s="1">
        <v>3.0732803129664608E-2</v>
      </c>
      <c r="S180" s="2">
        <f t="shared" si="36"/>
        <v>0.32846311139057915</v>
      </c>
      <c r="T180" s="4">
        <f t="shared" si="37"/>
        <v>0.10788801554438</v>
      </c>
      <c r="U180" s="1">
        <f t="shared" si="29"/>
        <v>5.412306695421587E-2</v>
      </c>
      <c r="V180" s="6">
        <f>2*sigma/alpha*corel*(B180/12-1/alpha*(1-EXP(-alpha*Output!B180/12)))</f>
        <v>0.38477244590524978</v>
      </c>
      <c r="W180" s="5">
        <f t="shared" si="38"/>
        <v>-5.3764948590164133E-2</v>
      </c>
      <c r="X180" s="1">
        <f t="shared" si="39"/>
        <v>3.1768086057071545</v>
      </c>
      <c r="Y180" s="3">
        <f t="shared" si="40"/>
        <v>4.9618507347743888E-2</v>
      </c>
      <c r="Z180" s="1">
        <f t="shared" si="30"/>
        <v>8.7525353437021336E-2</v>
      </c>
      <c r="AA180" s="8">
        <f t="shared" si="35"/>
        <v>14.00000000000003</v>
      </c>
      <c r="AB180" s="1">
        <v>14.08</v>
      </c>
      <c r="AC180" s="1">
        <v>2.0142199999999999E-2</v>
      </c>
      <c r="AD180" s="8">
        <f t="shared" si="31"/>
        <v>1.53566003392544</v>
      </c>
      <c r="AE180" s="3">
        <f t="shared" si="32"/>
        <v>7.6240928693262905E-3</v>
      </c>
      <c r="AF180" s="11">
        <f t="shared" si="33"/>
        <v>14.00000000000003</v>
      </c>
      <c r="AG180" s="1">
        <f t="shared" si="34"/>
        <v>8.7525353437021336E-2</v>
      </c>
    </row>
    <row r="181" spans="2:33" ht="15">
      <c r="B181" s="1">
        <v>170</v>
      </c>
      <c r="C181" s="1">
        <v>1.0001905301594889</v>
      </c>
      <c r="D181" s="1">
        <v>1.1242234522927421</v>
      </c>
      <c r="E181" s="1">
        <v>0.88893036048309049</v>
      </c>
      <c r="G181" s="1">
        <v>0.99950008535486101</v>
      </c>
      <c r="H181" s="1">
        <v>2.7494699303204335</v>
      </c>
      <c r="I181" s="1">
        <v>0.3347612637364033</v>
      </c>
      <c r="K181" s="1">
        <v>1.0004681199091525</v>
      </c>
      <c r="L181" s="1">
        <v>2.036107669523215</v>
      </c>
      <c r="M181" s="1">
        <v>0.47404328326730277</v>
      </c>
      <c r="O181" s="1">
        <v>2.0063112456547093E-2</v>
      </c>
      <c r="P181" s="1">
        <v>0.75259546511327324</v>
      </c>
      <c r="R181" s="1">
        <v>3.0632464521708209E-2</v>
      </c>
      <c r="S181" s="2">
        <f t="shared" si="36"/>
        <v>0.33015386713950634</v>
      </c>
      <c r="T181" s="4">
        <f t="shared" si="37"/>
        <v>0.10900157598717081</v>
      </c>
      <c r="U181" s="1">
        <f t="shared" si="29"/>
        <v>5.4987329343091133E-2</v>
      </c>
      <c r="V181" s="6">
        <f>2*sigma/alpha*corel*(B181/12-1/alpha*(1-EXP(-alpha*Output!B181/12)))</f>
        <v>0.38901572693799524</v>
      </c>
      <c r="W181" s="5">
        <f t="shared" si="38"/>
        <v>-5.4014246644079673E-2</v>
      </c>
      <c r="X181" s="1">
        <f t="shared" si="39"/>
        <v>3.2121405456362786</v>
      </c>
      <c r="Y181" s="3">
        <f t="shared" si="40"/>
        <v>4.9525723350347217E-2</v>
      </c>
      <c r="Z181" s="1">
        <f t="shared" si="30"/>
        <v>8.7716753777212123E-2</v>
      </c>
      <c r="AA181" s="8">
        <f t="shared" si="35"/>
        <v>14.083333333333364</v>
      </c>
      <c r="AB181" s="1">
        <v>14.17</v>
      </c>
      <c r="AC181" s="1">
        <v>2.0217599999999999E-2</v>
      </c>
      <c r="AD181" s="8">
        <f t="shared" si="31"/>
        <v>1.5448754345290596</v>
      </c>
      <c r="AE181" s="3">
        <f t="shared" si="32"/>
        <v>7.6412404762635517E-3</v>
      </c>
      <c r="AF181" s="11">
        <f t="shared" si="33"/>
        <v>14.083333333333364</v>
      </c>
      <c r="AG181" s="1">
        <f t="shared" si="34"/>
        <v>8.7716753777212123E-2</v>
      </c>
    </row>
    <row r="182" spans="2:33" ht="15">
      <c r="B182" s="1">
        <v>171</v>
      </c>
      <c r="C182" s="1">
        <v>1.0001912120976018</v>
      </c>
      <c r="D182" s="1">
        <v>1.1250834960325788</v>
      </c>
      <c r="E182" s="1">
        <v>0.88824890172667692</v>
      </c>
      <c r="G182" s="1">
        <v>0.99939718989633242</v>
      </c>
      <c r="H182" s="1">
        <v>2.7670008643676356</v>
      </c>
      <c r="I182" s="1">
        <v>0.3324789762409876</v>
      </c>
      <c r="K182" s="1">
        <v>1.0004432380496455</v>
      </c>
      <c r="L182" s="1">
        <v>2.0162005644459304</v>
      </c>
      <c r="M182" s="1">
        <v>0.47862406082509046</v>
      </c>
      <c r="O182" s="1">
        <v>2.0137695078759729E-2</v>
      </c>
      <c r="P182" s="1">
        <v>0.75054013258673491</v>
      </c>
      <c r="R182" s="1">
        <v>3.0522515557723898E-2</v>
      </c>
      <c r="S182" s="2">
        <f t="shared" si="36"/>
        <v>0.33180863338049715</v>
      </c>
      <c r="T182" s="4">
        <f t="shared" si="37"/>
        <v>0.11009696918583317</v>
      </c>
      <c r="U182" s="1">
        <f t="shared" si="29"/>
        <v>5.5859645680336738E-2</v>
      </c>
      <c r="V182" s="6">
        <f>2*sigma/alpha*corel*(B182/12-1/alpha*(1-EXP(-alpha*Output!B182/12)))</f>
        <v>0.39327873346961101</v>
      </c>
      <c r="W182" s="5">
        <f t="shared" si="38"/>
        <v>-5.4237323505496433E-2</v>
      </c>
      <c r="X182" s="1">
        <f t="shared" si="39"/>
        <v>3.246195602012758</v>
      </c>
      <c r="Y182" s="3">
        <f t="shared" si="40"/>
        <v>4.9418998075123843E-2</v>
      </c>
      <c r="Z182" s="1">
        <f t="shared" si="30"/>
        <v>8.7898254253200178E-2</v>
      </c>
      <c r="AA182" s="8">
        <f t="shared" si="35"/>
        <v>14.166666666666698</v>
      </c>
      <c r="AB182" s="1">
        <v>14.25</v>
      </c>
      <c r="AC182" s="1">
        <v>2.0293100000000001E-2</v>
      </c>
      <c r="AD182" s="8">
        <f t="shared" si="31"/>
        <v>1.5540492124027292</v>
      </c>
      <c r="AE182" s="3">
        <f t="shared" si="32"/>
        <v>7.658017810993535E-3</v>
      </c>
      <c r="AF182" s="11">
        <f t="shared" si="33"/>
        <v>14.166666666666698</v>
      </c>
      <c r="AG182" s="1">
        <f t="shared" si="34"/>
        <v>8.7898254253200178E-2</v>
      </c>
    </row>
    <row r="183" spans="2:33" ht="15">
      <c r="B183" s="1">
        <v>172</v>
      </c>
      <c r="C183" s="1">
        <v>1.0001899954141922</v>
      </c>
      <c r="D183" s="1">
        <v>1.127656166857427</v>
      </c>
      <c r="E183" s="1">
        <v>0.88622049746738307</v>
      </c>
      <c r="G183" s="1">
        <v>0.99914598647645148</v>
      </c>
      <c r="H183" s="1">
        <v>2.8237122130180592</v>
      </c>
      <c r="I183" s="1">
        <v>0.32564346650448162</v>
      </c>
      <c r="K183" s="1">
        <v>1.0004662919168323</v>
      </c>
      <c r="L183" s="1">
        <v>2.0445414027386168</v>
      </c>
      <c r="M183" s="1">
        <v>0.4718911923961045</v>
      </c>
      <c r="O183" s="1">
        <v>2.0211985435729465E-2</v>
      </c>
      <c r="P183" s="1">
        <v>0.74848424464775465</v>
      </c>
      <c r="R183" s="1">
        <v>3.0511164343714592E-2</v>
      </c>
      <c r="S183" s="2">
        <f t="shared" si="36"/>
        <v>0.33388585629203826</v>
      </c>
      <c r="T183" s="4">
        <f t="shared" si="37"/>
        <v>0.11147976503186763</v>
      </c>
      <c r="U183" s="1">
        <f t="shared" si="29"/>
        <v>5.6740031501123805E-2</v>
      </c>
      <c r="V183" s="6">
        <f>2*sigma/alpha*corel*(B183/12-1/alpha*(1-EXP(-alpha*Output!B183/12)))</f>
        <v>0.39756141243292359</v>
      </c>
      <c r="W183" s="5">
        <f t="shared" si="38"/>
        <v>-5.4739733530743823E-2</v>
      </c>
      <c r="X183" s="1">
        <f t="shared" si="39"/>
        <v>3.2964664657516405</v>
      </c>
      <c r="Y183" s="3">
        <f t="shared" si="40"/>
        <v>4.9467068589887545E-2</v>
      </c>
      <c r="Z183" s="1">
        <f t="shared" si="30"/>
        <v>8.8191031434489628E-2</v>
      </c>
      <c r="AA183" s="8">
        <f t="shared" si="35"/>
        <v>14.250000000000032</v>
      </c>
      <c r="AB183" s="1">
        <v>14.33</v>
      </c>
      <c r="AC183" s="1">
        <v>2.0368199999999999E-2</v>
      </c>
      <c r="AD183" s="8">
        <f t="shared" si="31"/>
        <v>1.5621456427053482</v>
      </c>
      <c r="AE183" s="3">
        <f t="shared" si="32"/>
        <v>7.6695321270674301E-3</v>
      </c>
      <c r="AF183" s="11">
        <f t="shared" si="33"/>
        <v>14.250000000000032</v>
      </c>
      <c r="AG183" s="1">
        <f t="shared" si="34"/>
        <v>8.8191031434489628E-2</v>
      </c>
    </row>
    <row r="184" spans="2:33" ht="15">
      <c r="B184" s="1">
        <v>173</v>
      </c>
      <c r="C184" s="1">
        <v>1.0001903249688133</v>
      </c>
      <c r="D184" s="1">
        <v>1.1282172157207284</v>
      </c>
      <c r="E184" s="1">
        <v>0.88577787458005808</v>
      </c>
      <c r="G184" s="1">
        <v>0.999016128198986</v>
      </c>
      <c r="H184" s="1">
        <v>2.83503543156078</v>
      </c>
      <c r="I184" s="1">
        <v>0.32418553743736428</v>
      </c>
      <c r="K184" s="1">
        <v>1.0004992121729888</v>
      </c>
      <c r="L184" s="1">
        <v>2.0079052250442815</v>
      </c>
      <c r="M184" s="1">
        <v>0.48040121073209152</v>
      </c>
      <c r="O184" s="1">
        <v>2.0285347199304121E-2</v>
      </c>
      <c r="P184" s="1">
        <v>0.74643473875627997</v>
      </c>
      <c r="R184" s="1">
        <v>3.0366502707140336E-2</v>
      </c>
      <c r="S184" s="2">
        <f t="shared" si="36"/>
        <v>0.33538655360886549</v>
      </c>
      <c r="T184" s="4">
        <f t="shared" si="37"/>
        <v>0.1124841403416324</v>
      </c>
      <c r="U184" s="1">
        <f t="shared" si="29"/>
        <v>5.7628502098926143E-2</v>
      </c>
      <c r="V184" s="6">
        <f>2*sigma/alpha*corel*(B184/12-1/alpha*(1-EXP(-alpha*Output!B184/12)))</f>
        <v>0.40186371090352285</v>
      </c>
      <c r="W184" s="5">
        <f t="shared" si="38"/>
        <v>-5.4855638242706256E-2</v>
      </c>
      <c r="X184" s="1">
        <f t="shared" si="39"/>
        <v>3.324836247470544</v>
      </c>
      <c r="Y184" s="3">
        <f t="shared" si="40"/>
        <v>4.9302299645735841E-2</v>
      </c>
      <c r="Z184" s="1">
        <f t="shared" si="30"/>
        <v>8.8331014463678581E-2</v>
      </c>
      <c r="AA184" s="8">
        <f t="shared" si="35"/>
        <v>14.333333333333366</v>
      </c>
      <c r="AB184" s="1">
        <v>14.42</v>
      </c>
      <c r="AC184" s="1">
        <v>2.04423E-2</v>
      </c>
      <c r="AD184" s="8">
        <f t="shared" si="31"/>
        <v>1.5695280069587954</v>
      </c>
      <c r="AE184" s="3">
        <f t="shared" si="32"/>
        <v>7.6778445035969312E-3</v>
      </c>
      <c r="AF184" s="11">
        <f t="shared" si="33"/>
        <v>14.333333333333366</v>
      </c>
      <c r="AG184" s="1">
        <f t="shared" si="34"/>
        <v>8.8331014463678581E-2</v>
      </c>
    </row>
    <row r="185" spans="2:33" ht="15">
      <c r="B185" s="1">
        <v>174</v>
      </c>
      <c r="C185" s="1">
        <v>1.0001945139300614</v>
      </c>
      <c r="D185" s="1">
        <v>1.1268421598512282</v>
      </c>
      <c r="E185" s="1">
        <v>0.88685685525446323</v>
      </c>
      <c r="G185" s="1">
        <v>0.99918746655405632</v>
      </c>
      <c r="H185" s="1">
        <v>2.8025792917737378</v>
      </c>
      <c r="I185" s="1">
        <v>0.32778083094221694</v>
      </c>
      <c r="K185" s="1">
        <v>1.0005199214275369</v>
      </c>
      <c r="L185" s="1">
        <v>2.0552757530080918</v>
      </c>
      <c r="M185" s="1">
        <v>0.46923103230382585</v>
      </c>
      <c r="O185" s="1">
        <v>2.0357052768116092E-2</v>
      </c>
      <c r="P185" s="1">
        <v>0.74439961966853807</v>
      </c>
      <c r="R185" s="1">
        <v>3.0430052619207896E-2</v>
      </c>
      <c r="S185" s="2">
        <f t="shared" si="36"/>
        <v>0.33777028310786139</v>
      </c>
      <c r="T185" s="4">
        <f t="shared" si="37"/>
        <v>0.11408876415076484</v>
      </c>
      <c r="U185" s="1">
        <f t="shared" ref="U185:U248" si="41">sigma*sigma/alpha/alpha*(B185/12+2/alpha*EXP(-alpha*B185/12)-1/2/alpha*EXP(-2*alpha*B185/12)-3/2/alpha)</f>
        <v>5.852507252724936E-2</v>
      </c>
      <c r="V185" s="6">
        <f>2*sigma/alpha*corel*(B185/12-1/alpha*(1-EXP(-alpha*Output!B185/12)))</f>
        <v>0.40618557609938294</v>
      </c>
      <c r="W185" s="5">
        <f t="shared" si="38"/>
        <v>-5.5563691623515481E-2</v>
      </c>
      <c r="X185" s="1">
        <f t="shared" si="39"/>
        <v>3.3876808363950857</v>
      </c>
      <c r="Y185" s="3">
        <f t="shared" si="40"/>
        <v>4.9461371783357341E-2</v>
      </c>
      <c r="Z185" s="1">
        <f t="shared" si="30"/>
        <v>8.8702822001823764E-2</v>
      </c>
      <c r="AA185" s="8">
        <f t="shared" si="35"/>
        <v>14.4166666666667</v>
      </c>
      <c r="AB185" s="1">
        <v>14.5</v>
      </c>
      <c r="AC185" s="1">
        <v>2.05147E-2</v>
      </c>
      <c r="AD185" s="8">
        <f t="shared" si="31"/>
        <v>1.5764723188390826</v>
      </c>
      <c r="AE185" s="3">
        <f t="shared" si="32"/>
        <v>7.6845984530072714E-3</v>
      </c>
      <c r="AF185" s="11">
        <f t="shared" si="33"/>
        <v>14.4166666666667</v>
      </c>
      <c r="AG185" s="1">
        <f t="shared" si="34"/>
        <v>8.8702822001823764E-2</v>
      </c>
    </row>
    <row r="186" spans="2:33" ht="15">
      <c r="B186" s="1">
        <v>175</v>
      </c>
      <c r="C186" s="1">
        <v>1.0001998634544846</v>
      </c>
      <c r="D186" s="1">
        <v>1.1267722207921917</v>
      </c>
      <c r="E186" s="1">
        <v>0.8869099993730778</v>
      </c>
      <c r="G186" s="1">
        <v>0.99946223802735346</v>
      </c>
      <c r="H186" s="1">
        <v>2.8004260907150784</v>
      </c>
      <c r="I186" s="1">
        <v>0.32787377902381559</v>
      </c>
      <c r="K186" s="1">
        <v>1.0005488586089948</v>
      </c>
      <c r="L186" s="1">
        <v>2.0824456943158847</v>
      </c>
      <c r="M186" s="1">
        <v>0.46301244311053935</v>
      </c>
      <c r="O186" s="1">
        <v>2.0426490134405541E-2</v>
      </c>
      <c r="P186" s="1">
        <v>0.74238573347344861</v>
      </c>
      <c r="R186" s="1">
        <v>3.0410804977417528E-2</v>
      </c>
      <c r="S186" s="2">
        <f t="shared" si="36"/>
        <v>0.3397789361234681</v>
      </c>
      <c r="T186" s="4">
        <f t="shared" si="37"/>
        <v>0.11544972543319582</v>
      </c>
      <c r="U186" s="1">
        <f t="shared" si="41"/>
        <v>5.9429757601337924E-2</v>
      </c>
      <c r="V186" s="6">
        <f>2*sigma/alpha*corel*(B186/12-1/alpha*(1-EXP(-alpha*Output!B186/12)))</f>
        <v>0.41052695538047379</v>
      </c>
      <c r="W186" s="5">
        <f t="shared" si="38"/>
        <v>-5.6019967831857892E-2</v>
      </c>
      <c r="X186" s="1">
        <f t="shared" si="39"/>
        <v>3.4363638379523382</v>
      </c>
      <c r="Y186" s="3">
        <f t="shared" si="40"/>
        <v>4.9481699689814321E-2</v>
      </c>
      <c r="Z186" s="1">
        <f t="shared" si="30"/>
        <v>8.8975011104991869E-2</v>
      </c>
      <c r="AA186" s="8">
        <f t="shared" si="35"/>
        <v>14.500000000000034</v>
      </c>
      <c r="AB186" s="1">
        <v>14.58</v>
      </c>
      <c r="AC186" s="1">
        <v>2.0584999999999999E-2</v>
      </c>
      <c r="AD186" s="8">
        <f t="shared" si="31"/>
        <v>1.5850986559445834</v>
      </c>
      <c r="AE186" s="3">
        <f t="shared" si="32"/>
        <v>7.7002606555481353E-3</v>
      </c>
      <c r="AF186" s="11">
        <f t="shared" si="33"/>
        <v>14.500000000000034</v>
      </c>
      <c r="AG186" s="1">
        <f t="shared" si="34"/>
        <v>8.8975011104991869E-2</v>
      </c>
    </row>
    <row r="187" spans="2:33" ht="15">
      <c r="B187" s="1">
        <v>176</v>
      </c>
      <c r="C187" s="1">
        <v>1.0002028673058783</v>
      </c>
      <c r="D187" s="1">
        <v>1.1257084484167772</v>
      </c>
      <c r="E187" s="1">
        <v>0.88774621396526621</v>
      </c>
      <c r="G187" s="1">
        <v>0.9995335548027624</v>
      </c>
      <c r="H187" s="1">
        <v>2.77495374368868</v>
      </c>
      <c r="I187" s="1">
        <v>0.33072300218945344</v>
      </c>
      <c r="K187" s="1">
        <v>1.0004594385270331</v>
      </c>
      <c r="L187" s="1">
        <v>2.0999809130233662</v>
      </c>
      <c r="M187" s="1">
        <v>0.45905055991782101</v>
      </c>
      <c r="O187" s="1">
        <v>2.049303685914737E-2</v>
      </c>
      <c r="P187" s="1">
        <v>0.7404001167477372</v>
      </c>
      <c r="R187" s="1">
        <v>3.0351194430088952E-2</v>
      </c>
      <c r="S187" s="2">
        <f t="shared" si="36"/>
        <v>0.34158561332062853</v>
      </c>
      <c r="T187" s="4">
        <f t="shared" si="37"/>
        <v>0.11668073122762995</v>
      </c>
      <c r="U187" s="1">
        <f t="shared" si="41"/>
        <v>6.0342571899886191E-2</v>
      </c>
      <c r="V187" s="6">
        <f>2*sigma/alpha*corel*(B187/12-1/alpha*(1-EXP(-alpha*Output!B187/12)))</f>
        <v>0.41488779624838434</v>
      </c>
      <c r="W187" s="5">
        <f t="shared" si="38"/>
        <v>-5.6338159327743761E-2</v>
      </c>
      <c r="X187" s="1">
        <f t="shared" si="39"/>
        <v>3.4773038973701418</v>
      </c>
      <c r="Y187" s="3">
        <f t="shared" si="40"/>
        <v>4.9427224193036072E-2</v>
      </c>
      <c r="Z187" s="1">
        <f t="shared" si="30"/>
        <v>8.9193634312566619E-2</v>
      </c>
      <c r="AA187" s="8">
        <f t="shared" si="35"/>
        <v>14.583333333333368</v>
      </c>
      <c r="AB187" s="1">
        <v>14.67</v>
      </c>
      <c r="AC187" s="1">
        <v>2.0652500000000001E-2</v>
      </c>
      <c r="AD187" s="8">
        <f t="shared" si="31"/>
        <v>1.5946314085263023</v>
      </c>
      <c r="AE187" s="3">
        <f t="shared" si="32"/>
        <v>7.7212512215291225E-3</v>
      </c>
      <c r="AF187" s="11">
        <f t="shared" si="33"/>
        <v>14.583333333333368</v>
      </c>
      <c r="AG187" s="1">
        <f t="shared" si="34"/>
        <v>8.9193634312566619E-2</v>
      </c>
    </row>
    <row r="188" spans="2:33" ht="15">
      <c r="B188" s="1">
        <v>177</v>
      </c>
      <c r="C188" s="1">
        <v>1.0002051956874898</v>
      </c>
      <c r="D188" s="1">
        <v>1.1291691170260083</v>
      </c>
      <c r="E188" s="1">
        <v>0.88502357159824263</v>
      </c>
      <c r="G188" s="1">
        <v>0.99955575195694002</v>
      </c>
      <c r="H188" s="1">
        <v>2.8522336518074107</v>
      </c>
      <c r="I188" s="1">
        <v>0.32160619517277012</v>
      </c>
      <c r="K188" s="1">
        <v>1.0005266092127056</v>
      </c>
      <c r="L188" s="1">
        <v>2.1042719055474115</v>
      </c>
      <c r="M188" s="1">
        <v>0.45801904228601686</v>
      </c>
      <c r="O188" s="1">
        <v>2.0556306583715319E-2</v>
      </c>
      <c r="P188" s="1">
        <v>0.73844731352379911</v>
      </c>
      <c r="R188" s="1">
        <v>3.0377424777193834E-2</v>
      </c>
      <c r="S188" s="2">
        <f t="shared" si="36"/>
        <v>0.34373484906238716</v>
      </c>
      <c r="T188" s="4">
        <f t="shared" si="37"/>
        <v>0.11815364645994209</v>
      </c>
      <c r="U188" s="1">
        <f t="shared" si="41"/>
        <v>6.1263529766725187E-2</v>
      </c>
      <c r="V188" s="6">
        <f>2*sigma/alpha*corel*(B188/12-1/alpha*(1-EXP(-alpha*Output!B188/12)))</f>
        <v>0.4192680463459369</v>
      </c>
      <c r="W188" s="5">
        <f t="shared" si="38"/>
        <v>-5.6890116693216898E-2</v>
      </c>
      <c r="X188" s="1">
        <f t="shared" si="39"/>
        <v>3.5323025795865357</v>
      </c>
      <c r="Y188" s="3">
        <f t="shared" si="40"/>
        <v>4.9497425298099446E-2</v>
      </c>
      <c r="Z188" s="1">
        <f t="shared" si="30"/>
        <v>8.9500931331180103E-2</v>
      </c>
      <c r="AA188" s="8">
        <f t="shared" si="35"/>
        <v>14.666666666666702</v>
      </c>
      <c r="AB188" s="1">
        <v>14.75</v>
      </c>
      <c r="AC188" s="1">
        <v>2.0716600000000002E-2</v>
      </c>
      <c r="AD188" s="8">
        <f t="shared" si="31"/>
        <v>1.6029341628468265</v>
      </c>
      <c r="AE188" s="3">
        <f t="shared" si="32"/>
        <v>7.7374383964879685E-3</v>
      </c>
      <c r="AF188" s="11">
        <f t="shared" si="33"/>
        <v>14.666666666666702</v>
      </c>
      <c r="AG188" s="1">
        <f t="shared" si="34"/>
        <v>8.9500931331180103E-2</v>
      </c>
    </row>
    <row r="189" spans="2:33" ht="15">
      <c r="B189" s="1">
        <v>178</v>
      </c>
      <c r="C189" s="1">
        <v>1.0002086357954745</v>
      </c>
      <c r="D189" s="1">
        <v>1.128142783699698</v>
      </c>
      <c r="E189" s="1">
        <v>0.88582684684644297</v>
      </c>
      <c r="G189" s="1">
        <v>0.99966899872230464</v>
      </c>
      <c r="H189" s="1">
        <v>2.8276458956223718</v>
      </c>
      <c r="I189" s="1">
        <v>0.3242454172747164</v>
      </c>
      <c r="K189" s="1">
        <v>1.0006482176566656</v>
      </c>
      <c r="L189" s="1">
        <v>2.1545827608561563</v>
      </c>
      <c r="M189" s="1">
        <v>0.4472308278914458</v>
      </c>
      <c r="O189" s="1">
        <v>2.0615619515396966E-2</v>
      </c>
      <c r="P189" s="1">
        <v>0.73653512226461337</v>
      </c>
      <c r="R189" s="1">
        <v>3.052484634693509E-2</v>
      </c>
      <c r="S189" s="2">
        <f t="shared" si="36"/>
        <v>0.34637695903749532</v>
      </c>
      <c r="T189" s="4">
        <f t="shared" si="37"/>
        <v>0.11997699775206272</v>
      </c>
      <c r="U189" s="1">
        <f t="shared" si="41"/>
        <v>6.2192645312511084E-2</v>
      </c>
      <c r="V189" s="6">
        <f>2*sigma/alpha*corel*(B189/12-1/alpha*(1-EXP(-alpha*Output!B189/12)))</f>
        <v>0.42366765345681157</v>
      </c>
      <c r="W189" s="5">
        <f t="shared" si="38"/>
        <v>-5.7784352439551635E-2</v>
      </c>
      <c r="X189" s="1">
        <f t="shared" si="39"/>
        <v>3.6080325253323315</v>
      </c>
      <c r="Y189" s="3">
        <f t="shared" si="40"/>
        <v>4.9746556836649206E-2</v>
      </c>
      <c r="Z189" s="1">
        <f t="shared" si="30"/>
        <v>8.9935181809486273E-2</v>
      </c>
      <c r="AA189" s="8">
        <f t="shared" si="35"/>
        <v>14.750000000000036</v>
      </c>
      <c r="AB189" s="1">
        <v>14.83</v>
      </c>
      <c r="AC189" s="1">
        <v>2.0776800000000002E-2</v>
      </c>
      <c r="AD189" s="8">
        <f t="shared" si="31"/>
        <v>1.6118048460303513</v>
      </c>
      <c r="AE189" s="3">
        <f t="shared" si="32"/>
        <v>7.7577145952714144E-3</v>
      </c>
      <c r="AF189" s="11">
        <f t="shared" si="33"/>
        <v>14.750000000000036</v>
      </c>
      <c r="AG189" s="1">
        <f t="shared" si="34"/>
        <v>8.9935181809486273E-2</v>
      </c>
    </row>
    <row r="190" spans="2:33" ht="15">
      <c r="B190" s="1">
        <v>179</v>
      </c>
      <c r="C190" s="1">
        <v>1.0002109734257993</v>
      </c>
      <c r="D190" s="1">
        <v>1.1291826097783053</v>
      </c>
      <c r="E190" s="1">
        <v>0.88500924796324176</v>
      </c>
      <c r="G190" s="1">
        <v>0.99970307915170875</v>
      </c>
      <c r="H190" s="1">
        <v>2.8512515534166476</v>
      </c>
      <c r="I190" s="1">
        <v>0.32140505580902151</v>
      </c>
      <c r="K190" s="1">
        <v>1.0007369811750488</v>
      </c>
      <c r="L190" s="1">
        <v>2.1806585472743132</v>
      </c>
      <c r="M190" s="1">
        <v>0.44179090096654933</v>
      </c>
      <c r="O190" s="1">
        <v>2.0670505492760338E-2</v>
      </c>
      <c r="P190" s="1">
        <v>0.73466913302793824</v>
      </c>
      <c r="R190" s="1">
        <v>3.0564783830937643E-2</v>
      </c>
      <c r="S190" s="2">
        <f t="shared" si="36"/>
        <v>0.34850610264077397</v>
      </c>
      <c r="T190" s="4">
        <f t="shared" si="37"/>
        <v>0.12145650357786168</v>
      </c>
      <c r="U190" s="1">
        <f t="shared" si="41"/>
        <v>6.3129932416392892E-2</v>
      </c>
      <c r="V190" s="6">
        <f>2*sigma/alpha*corel*(B190/12-1/alpha*(1-EXP(-alpha*Output!B190/12)))</f>
        <v>0.42808656550516389</v>
      </c>
      <c r="W190" s="5">
        <f t="shared" si="38"/>
        <v>-5.832657116146879E-2</v>
      </c>
      <c r="X190" s="1">
        <f t="shared" si="39"/>
        <v>3.6634101868669782</v>
      </c>
      <c r="Y190" s="3">
        <f t="shared" si="40"/>
        <v>4.980727845483858E-2</v>
      </c>
      <c r="Z190" s="1">
        <f t="shared" si="30"/>
        <v>9.0234890343964938E-2</v>
      </c>
      <c r="AA190" s="8">
        <f t="shared" si="35"/>
        <v>14.833333333333369</v>
      </c>
      <c r="AB190" s="1">
        <v>14.92</v>
      </c>
      <c r="AC190" s="1">
        <v>2.08325E-2</v>
      </c>
      <c r="AD190" s="8">
        <f t="shared" si="31"/>
        <v>1.6199450723966211</v>
      </c>
      <c r="AE190" s="3">
        <f t="shared" si="32"/>
        <v>7.7760473893993577E-3</v>
      </c>
      <c r="AF190" s="11">
        <f t="shared" si="33"/>
        <v>14.833333333333369</v>
      </c>
      <c r="AG190" s="1">
        <f t="shared" si="34"/>
        <v>9.0234890343964938E-2</v>
      </c>
    </row>
    <row r="191" spans="2:33" ht="15">
      <c r="B191" s="1">
        <v>180</v>
      </c>
      <c r="C191" s="1">
        <v>1.0002117819900744</v>
      </c>
      <c r="D191" s="1">
        <v>1.1284525498425328</v>
      </c>
      <c r="E191" s="1">
        <v>0.88557994596956446</v>
      </c>
      <c r="G191" s="1">
        <v>0.99960465963731782</v>
      </c>
      <c r="H191" s="1">
        <v>2.8343848028920591</v>
      </c>
      <c r="I191" s="1">
        <v>0.32316089765187633</v>
      </c>
      <c r="K191" s="1">
        <v>1.0006837145651875</v>
      </c>
      <c r="L191" s="1">
        <v>2.1653102802999737</v>
      </c>
      <c r="M191" s="1">
        <v>0.4448297441483815</v>
      </c>
      <c r="O191" s="1">
        <v>2.0720381004632023E-2</v>
      </c>
      <c r="P191" s="1">
        <v>0.73285624496343349</v>
      </c>
      <c r="R191" s="1">
        <v>3.0521000464046218E-2</v>
      </c>
      <c r="S191" s="2">
        <f t="shared" si="36"/>
        <v>0.35021513656917125</v>
      </c>
      <c r="T191" s="4">
        <f t="shared" si="37"/>
        <v>0.12265064188216326</v>
      </c>
      <c r="U191" s="1">
        <f t="shared" si="41"/>
        <v>6.4075404727681112E-2</v>
      </c>
      <c r="V191" s="6">
        <f>2*sigma/alpha*corel*(B191/12-1/alpha*(1-EXP(-alpha*Output!B191/12)))</f>
        <v>0.43252473055524859</v>
      </c>
      <c r="W191" s="5">
        <f t="shared" si="38"/>
        <v>-5.8575237154482152E-2</v>
      </c>
      <c r="X191" s="1">
        <f t="shared" si="39"/>
        <v>3.7015918718108196</v>
      </c>
      <c r="Y191" s="3">
        <f t="shared" si="40"/>
        <v>4.9714247282956592E-2</v>
      </c>
      <c r="Z191" s="1">
        <f t="shared" si="30"/>
        <v>9.0425159434810415E-2</v>
      </c>
      <c r="AA191" s="8">
        <f t="shared" si="35"/>
        <v>14.916666666666703</v>
      </c>
      <c r="AB191" s="1">
        <v>15</v>
      </c>
      <c r="AC191" s="1">
        <v>2.0883100000000002E-2</v>
      </c>
      <c r="AD191" s="8">
        <f t="shared" si="31"/>
        <v>1.627189953679782</v>
      </c>
      <c r="AE191" s="3">
        <f t="shared" si="32"/>
        <v>7.7918984905487303E-3</v>
      </c>
      <c r="AF191" s="11">
        <f t="shared" si="33"/>
        <v>14.916666666666703</v>
      </c>
      <c r="AG191" s="1">
        <f t="shared" si="34"/>
        <v>9.0425159434810415E-2</v>
      </c>
    </row>
    <row r="192" spans="2:33" ht="15">
      <c r="B192" s="1">
        <v>181</v>
      </c>
      <c r="C192" s="1">
        <v>1.0002138296225105</v>
      </c>
      <c r="D192" s="1">
        <v>1.1276186332204881</v>
      </c>
      <c r="E192" s="1">
        <v>0.88623300642273017</v>
      </c>
      <c r="G192" s="1">
        <v>0.99960102401395867</v>
      </c>
      <c r="H192" s="1">
        <v>2.8149295268911336</v>
      </c>
      <c r="I192" s="1">
        <v>0.325236646665302</v>
      </c>
      <c r="K192" s="1">
        <v>1.0006994848225168</v>
      </c>
      <c r="L192" s="1">
        <v>2.1433628130578195</v>
      </c>
      <c r="M192" s="1">
        <v>0.44929107059248125</v>
      </c>
      <c r="O192" s="1">
        <v>2.076489164948727E-2</v>
      </c>
      <c r="P192" s="1">
        <v>0.7311009119038655</v>
      </c>
      <c r="R192" s="1">
        <v>3.0608009924663424E-2</v>
      </c>
      <c r="S192" s="2">
        <f t="shared" si="36"/>
        <v>0.35244388976195873</v>
      </c>
      <c r="T192" s="4">
        <f t="shared" si="37"/>
        <v>0.12421669543053972</v>
      </c>
      <c r="U192" s="1">
        <f t="shared" si="41"/>
        <v>6.5029075667495717E-2</v>
      </c>
      <c r="V192" s="6">
        <f>2*sigma/alpha*corel*(B192/12-1/alpha*(1-EXP(-alpha*Output!B192/12)))</f>
        <v>0.43698209681104139</v>
      </c>
      <c r="W192" s="5">
        <f t="shared" si="38"/>
        <v>-5.9187619763044E-2</v>
      </c>
      <c r="X192" s="1">
        <f t="shared" si="39"/>
        <v>3.7619397453036956</v>
      </c>
      <c r="Y192" s="3">
        <f t="shared" si="40"/>
        <v>4.9809611777673748E-2</v>
      </c>
      <c r="Z192" s="1">
        <f t="shared" si="30"/>
        <v>9.0748889927200801E-2</v>
      </c>
      <c r="AA192" s="8">
        <f t="shared" si="35"/>
        <v>15.000000000000037</v>
      </c>
      <c r="AB192" s="1">
        <v>15.08</v>
      </c>
      <c r="AC192" s="1">
        <v>2.09283E-2</v>
      </c>
      <c r="AD192" s="8">
        <f t="shared" si="31"/>
        <v>1.6340835051273026</v>
      </c>
      <c r="AE192" s="3">
        <f t="shared" si="32"/>
        <v>7.8080087973093964E-3</v>
      </c>
      <c r="AF192" s="11">
        <f t="shared" si="33"/>
        <v>15.000000000000037</v>
      </c>
      <c r="AG192" s="1">
        <f t="shared" si="34"/>
        <v>9.0748889927200801E-2</v>
      </c>
    </row>
    <row r="193" spans="2:33" ht="15">
      <c r="B193" s="1">
        <v>182</v>
      </c>
      <c r="C193" s="1">
        <v>1.0002160829497977</v>
      </c>
      <c r="D193" s="1">
        <v>1.1304713689660895</v>
      </c>
      <c r="E193" s="1">
        <v>0.88399475598330146</v>
      </c>
      <c r="G193" s="1">
        <v>0.9996452172001844</v>
      </c>
      <c r="H193" s="1">
        <v>2.8777837839246385</v>
      </c>
      <c r="I193" s="1">
        <v>0.31797884802531085</v>
      </c>
      <c r="K193" s="1">
        <v>1.0007091683925358</v>
      </c>
      <c r="L193" s="1">
        <v>2.1834801509452491</v>
      </c>
      <c r="M193" s="1">
        <v>0.44094432016342761</v>
      </c>
      <c r="O193" s="1">
        <v>2.0804417707257775E-2</v>
      </c>
      <c r="P193" s="1">
        <v>0.72939951279559534</v>
      </c>
      <c r="R193" s="1">
        <v>3.0695583879700977E-2</v>
      </c>
      <c r="S193" s="2">
        <f t="shared" si="36"/>
        <v>0.35462356343607682</v>
      </c>
      <c r="T193" s="4">
        <f t="shared" si="37"/>
        <v>0.12575787174410119</v>
      </c>
      <c r="U193" s="1">
        <f t="shared" si="41"/>
        <v>6.5990958430408475E-2</v>
      </c>
      <c r="V193" s="6">
        <f>2*sigma/alpha*corel*(B193/12-1/alpha*(1-EXP(-alpha*Output!B193/12)))</f>
        <v>0.44145861261586461</v>
      </c>
      <c r="W193" s="5">
        <f t="shared" si="38"/>
        <v>-5.9766913313692716E-2</v>
      </c>
      <c r="X193" s="1">
        <f t="shared" si="39"/>
        <v>3.8207451143500823</v>
      </c>
      <c r="Y193" s="3">
        <f t="shared" si="40"/>
        <v>4.9886176598647601E-2</v>
      </c>
      <c r="Z193" s="1">
        <f t="shared" si="30"/>
        <v>9.105892491844704E-2</v>
      </c>
      <c r="AA193" s="8">
        <f t="shared" si="35"/>
        <v>15.083333333333371</v>
      </c>
      <c r="AB193" s="1">
        <v>15.17</v>
      </c>
      <c r="AC193" s="1">
        <v>2.0968299999999999E-2</v>
      </c>
      <c r="AD193" s="8">
        <f t="shared" si="31"/>
        <v>1.6388229274222343</v>
      </c>
      <c r="AE193" s="3">
        <f t="shared" si="32"/>
        <v>7.8157167124766162E-3</v>
      </c>
      <c r="AF193" s="11">
        <f t="shared" si="33"/>
        <v>15.083333333333371</v>
      </c>
      <c r="AG193" s="1">
        <f t="shared" si="34"/>
        <v>9.105892491844704E-2</v>
      </c>
    </row>
    <row r="194" spans="2:33" ht="15">
      <c r="B194" s="1">
        <v>183</v>
      </c>
      <c r="C194" s="1">
        <v>1.0002174469477332</v>
      </c>
      <c r="D194" s="1">
        <v>1.1328534732448041</v>
      </c>
      <c r="E194" s="1">
        <v>0.88213410130579128</v>
      </c>
      <c r="G194" s="1">
        <v>0.99959254486865523</v>
      </c>
      <c r="H194" s="1">
        <v>2.9357433264293991</v>
      </c>
      <c r="I194" s="1">
        <v>0.31154996663929135</v>
      </c>
      <c r="K194" s="1">
        <v>1.0007527602621986</v>
      </c>
      <c r="L194" s="1">
        <v>2.162879510691218</v>
      </c>
      <c r="M194" s="1">
        <v>0.44505142547052068</v>
      </c>
      <c r="O194" s="1">
        <v>2.0839470371685861E-2</v>
      </c>
      <c r="P194" s="1">
        <v>0.72774692394420992</v>
      </c>
      <c r="R194" s="1">
        <v>3.0799219522935992E-2</v>
      </c>
      <c r="S194" s="2">
        <f t="shared" si="36"/>
        <v>0.35682802248700862</v>
      </c>
      <c r="T194" s="4">
        <f t="shared" si="37"/>
        <v>0.12732623763198914</v>
      </c>
      <c r="U194" s="1">
        <f t="shared" si="41"/>
        <v>6.6961065986083285E-2</v>
      </c>
      <c r="V194" s="6">
        <f>2*sigma/alpha*corel*(B194/12-1/alpha*(1-EXP(-alpha*Output!B194/12)))</f>
        <v>0.44595422645201266</v>
      </c>
      <c r="W194" s="5">
        <f t="shared" si="38"/>
        <v>-6.0365171645905852E-2</v>
      </c>
      <c r="X194" s="1">
        <f t="shared" si="39"/>
        <v>3.8811506424906699</v>
      </c>
      <c r="Y194" s="3">
        <f t="shared" si="40"/>
        <v>4.9970799585778658E-2</v>
      </c>
      <c r="Z194" s="1">
        <f t="shared" si="30"/>
        <v>9.1374293343723656E-2</v>
      </c>
      <c r="AA194" s="8">
        <f t="shared" si="35"/>
        <v>15.166666666666705</v>
      </c>
      <c r="AB194" s="1">
        <v>15.25</v>
      </c>
      <c r="AC194" s="1">
        <v>2.1003999999999998E-2</v>
      </c>
      <c r="AD194" s="8">
        <f t="shared" si="31"/>
        <v>1.6452962831413689</v>
      </c>
      <c r="AE194" s="3">
        <f t="shared" si="32"/>
        <v>7.8332521574051087E-3</v>
      </c>
      <c r="AF194" s="11">
        <f t="shared" si="33"/>
        <v>15.166666666666705</v>
      </c>
      <c r="AG194" s="1">
        <f t="shared" si="34"/>
        <v>9.1374293343723656E-2</v>
      </c>
    </row>
    <row r="195" spans="2:33" ht="15">
      <c r="B195" s="1">
        <v>184</v>
      </c>
      <c r="C195" s="1">
        <v>1.000216885115754</v>
      </c>
      <c r="D195" s="1">
        <v>1.1271059181020637</v>
      </c>
      <c r="E195" s="1">
        <v>0.88663060855240183</v>
      </c>
      <c r="G195" s="1">
        <v>0.99938244099189666</v>
      </c>
      <c r="H195" s="1">
        <v>2.8040981973033774</v>
      </c>
      <c r="I195" s="1">
        <v>0.32601830008488591</v>
      </c>
      <c r="K195" s="1">
        <v>1.0008272628202388</v>
      </c>
      <c r="L195" s="1">
        <v>2.0780722335812216</v>
      </c>
      <c r="M195" s="1">
        <v>0.4631177274173951</v>
      </c>
      <c r="O195" s="1">
        <v>2.0870853010119358E-2</v>
      </c>
      <c r="P195" s="1">
        <v>0.72613469856369872</v>
      </c>
      <c r="R195" s="1">
        <v>3.0885555382862237E-2</v>
      </c>
      <c r="S195" s="2">
        <f t="shared" si="36"/>
        <v>0.35891794383476294</v>
      </c>
      <c r="T195" s="4">
        <f t="shared" si="37"/>
        <v>0.12882209040657405</v>
      </c>
      <c r="U195" s="1">
        <f t="shared" si="41"/>
        <v>6.7939411080886636E-2</v>
      </c>
      <c r="V195" s="6">
        <f>2*sigma/alpha*corel*(B195/12-1/alpha*(1-EXP(-alpha*Output!B195/12)))</f>
        <v>0.45046888694037551</v>
      </c>
      <c r="W195" s="5">
        <f t="shared" si="38"/>
        <v>-6.0882679325687417E-2</v>
      </c>
      <c r="X195" s="1">
        <f t="shared" si="39"/>
        <v>3.9370598834101291</v>
      </c>
      <c r="Y195" s="3">
        <f t="shared" si="40"/>
        <v>5.0013055248988317E-2</v>
      </c>
      <c r="Z195" s="1">
        <f t="shared" si="30"/>
        <v>9.1659373108753106E-2</v>
      </c>
      <c r="AA195" s="8">
        <f t="shared" si="35"/>
        <v>15.250000000000039</v>
      </c>
      <c r="AB195" s="1">
        <v>15.33</v>
      </c>
      <c r="AC195" s="1">
        <v>2.1035700000000001E-2</v>
      </c>
      <c r="AD195" s="8">
        <f t="shared" si="31"/>
        <v>1.6484698988064248</v>
      </c>
      <c r="AE195" s="3">
        <f t="shared" si="32"/>
        <v>7.8365345522441593E-3</v>
      </c>
      <c r="AF195" s="11">
        <f t="shared" si="33"/>
        <v>15.250000000000039</v>
      </c>
      <c r="AG195" s="1">
        <f t="shared" si="34"/>
        <v>9.1659373108753106E-2</v>
      </c>
    </row>
    <row r="196" spans="2:33" ht="15">
      <c r="B196" s="1">
        <v>185</v>
      </c>
      <c r="C196" s="1">
        <v>1.0002173263073593</v>
      </c>
      <c r="D196" s="1">
        <v>1.1239073022585346</v>
      </c>
      <c r="E196" s="1">
        <v>0.88915210053484994</v>
      </c>
      <c r="G196" s="1">
        <v>0.99925963615882463</v>
      </c>
      <c r="H196" s="1">
        <v>2.7304911298149017</v>
      </c>
      <c r="I196" s="1">
        <v>0.3346446134984668</v>
      </c>
      <c r="K196" s="1">
        <v>1.0008851555319824</v>
      </c>
      <c r="L196" s="1">
        <v>2.0813511428243561</v>
      </c>
      <c r="M196" s="1">
        <v>0.46229182236681504</v>
      </c>
      <c r="O196" s="1">
        <v>2.0899147955717408E-2</v>
      </c>
      <c r="P196" s="1">
        <v>0.72455674475109644</v>
      </c>
      <c r="R196" s="1">
        <v>3.0977101380206443E-2</v>
      </c>
      <c r="S196" s="2">
        <f t="shared" si="36"/>
        <v>0.3609993845864734</v>
      </c>
      <c r="T196" s="4">
        <f t="shared" si="37"/>
        <v>0.13032055567181253</v>
      </c>
      <c r="U196" s="1">
        <f t="shared" si="41"/>
        <v>6.8926006239512602E-2</v>
      </c>
      <c r="V196" s="6">
        <f>2*sigma/alpha*corel*(B196/12-1/alpha*(1-EXP(-alpha*Output!B196/12)))</f>
        <v>0.45500254284006747</v>
      </c>
      <c r="W196" s="5">
        <f t="shared" si="38"/>
        <v>-6.1394549432299925E-2</v>
      </c>
      <c r="X196" s="1">
        <f t="shared" si="39"/>
        <v>3.9930245289827564</v>
      </c>
      <c r="Y196" s="3">
        <f t="shared" si="40"/>
        <v>5.0051443085620796E-2</v>
      </c>
      <c r="Z196" s="1">
        <f t="shared" si="30"/>
        <v>9.1941422834140529E-2</v>
      </c>
      <c r="AA196" s="8">
        <f t="shared" si="35"/>
        <v>15.333333333333373</v>
      </c>
      <c r="AB196" s="1">
        <v>15.42</v>
      </c>
      <c r="AC196" s="1">
        <v>2.1064200000000002E-2</v>
      </c>
      <c r="AD196" s="8">
        <f t="shared" si="31"/>
        <v>1.6505204428259381</v>
      </c>
      <c r="AE196" s="3">
        <f t="shared" si="32"/>
        <v>7.8356664047338036E-3</v>
      </c>
      <c r="AF196" s="11">
        <f t="shared" si="33"/>
        <v>15.333333333333373</v>
      </c>
      <c r="AG196" s="1">
        <f t="shared" si="34"/>
        <v>9.1941422834140529E-2</v>
      </c>
    </row>
    <row r="197" spans="2:33" ht="15">
      <c r="B197" s="1">
        <v>186</v>
      </c>
      <c r="C197" s="1">
        <v>1.0002196769240204</v>
      </c>
      <c r="D197" s="1">
        <v>1.1265173710413496</v>
      </c>
      <c r="E197" s="1">
        <v>0.88709016335690627</v>
      </c>
      <c r="G197" s="1">
        <v>0.99928696103289316</v>
      </c>
      <c r="H197" s="1">
        <v>2.7878390691031436</v>
      </c>
      <c r="I197" s="1">
        <v>0.32760183669973542</v>
      </c>
      <c r="K197" s="1">
        <v>1.0008813083709249</v>
      </c>
      <c r="L197" s="1">
        <v>2.1074822237168425</v>
      </c>
      <c r="M197" s="1">
        <v>0.45646466979985961</v>
      </c>
      <c r="O197" s="1">
        <v>2.0924818162273706E-2</v>
      </c>
      <c r="P197" s="1">
        <v>0.72300822439455537</v>
      </c>
      <c r="R197" s="1">
        <v>3.0962422343611729E-2</v>
      </c>
      <c r="S197" s="2">
        <f t="shared" si="36"/>
        <v>0.36257945047040241</v>
      </c>
      <c r="T197" s="4">
        <f t="shared" si="37"/>
        <v>0.131463857903419</v>
      </c>
      <c r="U197" s="1">
        <f t="shared" si="41"/>
        <v>6.9920863766578578E-2</v>
      </c>
      <c r="V197" s="6">
        <f>2*sigma/alpha*corel*(B197/12-1/alpha*(1-EXP(-alpha*Output!B197/12)))</f>
        <v>0.45955514304805778</v>
      </c>
      <c r="W197" s="5">
        <f t="shared" si="38"/>
        <v>-6.1542994136840418E-2</v>
      </c>
      <c r="X197" s="1">
        <f t="shared" si="39"/>
        <v>4.0268565659860265</v>
      </c>
      <c r="Y197" s="3">
        <f t="shared" si="40"/>
        <v>4.9907992458075826E-2</v>
      </c>
      <c r="Z197" s="1">
        <f t="shared" si="30"/>
        <v>9.2095272514800777E-2</v>
      </c>
      <c r="AA197" s="8">
        <f t="shared" si="35"/>
        <v>15.416666666666707</v>
      </c>
      <c r="AB197" s="1">
        <v>15.5</v>
      </c>
      <c r="AC197" s="1">
        <v>2.1090100000000001E-2</v>
      </c>
      <c r="AD197" s="8">
        <f t="shared" si="31"/>
        <v>1.6528183772629435</v>
      </c>
      <c r="AE197" s="3">
        <f t="shared" si="32"/>
        <v>7.8369394989257681E-3</v>
      </c>
      <c r="AF197" s="11">
        <f t="shared" si="33"/>
        <v>15.416666666666707</v>
      </c>
      <c r="AG197" s="1">
        <f t="shared" si="34"/>
        <v>9.2095272514800777E-2</v>
      </c>
    </row>
    <row r="198" spans="2:33" ht="15">
      <c r="B198" s="1">
        <v>187</v>
      </c>
      <c r="C198" s="1">
        <v>1.0002209350512377</v>
      </c>
      <c r="D198" s="1">
        <v>1.1227656062381444</v>
      </c>
      <c r="E198" s="1">
        <v>0.89005258095031181</v>
      </c>
      <c r="G198" s="1">
        <v>0.99922691658941476</v>
      </c>
      <c r="H198" s="1">
        <v>2.6851649822892556</v>
      </c>
      <c r="I198" s="1">
        <v>0.33996364647125044</v>
      </c>
      <c r="K198" s="1">
        <v>1.000981211667096</v>
      </c>
      <c r="L198" s="1">
        <v>2.0717828388789585</v>
      </c>
      <c r="M198" s="1">
        <v>0.46423339605984359</v>
      </c>
      <c r="O198" s="1">
        <v>2.0948525057908927E-2</v>
      </c>
      <c r="P198" s="1">
        <v>0.72148200020582864</v>
      </c>
      <c r="R198" s="1">
        <v>3.1054949576688379E-2</v>
      </c>
      <c r="S198" s="2">
        <f t="shared" si="36"/>
        <v>0.36461842812212608</v>
      </c>
      <c r="T198" s="4">
        <f t="shared" si="37"/>
        <v>0.13294659812625004</v>
      </c>
      <c r="U198" s="1">
        <f t="shared" si="41"/>
        <v>7.0923995748223265E-2</v>
      </c>
      <c r="V198" s="6">
        <f>2*sigma/alpha*corel*(B198/12-1/alpha*(1-EXP(-alpha*Output!B198/12)))</f>
        <v>0.46412663659879422</v>
      </c>
      <c r="W198" s="5">
        <f t="shared" si="38"/>
        <v>-6.2022602378026773E-2</v>
      </c>
      <c r="X198" s="1">
        <f t="shared" si="39"/>
        <v>4.0814890830308448</v>
      </c>
      <c r="Y198" s="3">
        <f t="shared" si="40"/>
        <v>4.9929719371875313E-2</v>
      </c>
      <c r="Z198" s="1">
        <f t="shared" si="30"/>
        <v>9.2365212607778982E-2</v>
      </c>
      <c r="AA198" s="8">
        <f t="shared" si="35"/>
        <v>15.500000000000041</v>
      </c>
      <c r="AB198" s="1">
        <v>15.58</v>
      </c>
      <c r="AC198" s="1">
        <v>2.1113900000000001E-2</v>
      </c>
      <c r="AD198" s="8">
        <f t="shared" si="31"/>
        <v>1.6537494209107466</v>
      </c>
      <c r="AE198" s="3">
        <f t="shared" si="32"/>
        <v>7.8325151720465974E-3</v>
      </c>
      <c r="AF198" s="11">
        <f t="shared" si="33"/>
        <v>15.500000000000041</v>
      </c>
      <c r="AG198" s="1">
        <f t="shared" si="34"/>
        <v>9.2365212607778982E-2</v>
      </c>
    </row>
    <row r="199" spans="2:33" ht="15">
      <c r="B199" s="1">
        <v>188</v>
      </c>
      <c r="C199" s="1">
        <v>1.0002257935593499</v>
      </c>
      <c r="D199" s="1">
        <v>1.1260166278082433</v>
      </c>
      <c r="E199" s="1">
        <v>0.88748101487092745</v>
      </c>
      <c r="G199" s="1">
        <v>0.99946827267800287</v>
      </c>
      <c r="H199" s="1">
        <v>2.7554989006944077</v>
      </c>
      <c r="I199" s="1">
        <v>0.33112551285758623</v>
      </c>
      <c r="K199" s="1">
        <v>1.0009654377035815</v>
      </c>
      <c r="L199" s="1">
        <v>2.0823204054998379</v>
      </c>
      <c r="M199" s="1">
        <v>0.46178793053752659</v>
      </c>
      <c r="O199" s="1">
        <v>2.097078847405914E-2</v>
      </c>
      <c r="P199" s="1">
        <v>0.71997243476016071</v>
      </c>
      <c r="R199" s="1">
        <v>3.1171491164562342E-2</v>
      </c>
      <c r="S199" s="2">
        <f t="shared" si="36"/>
        <v>0.36675185390395448</v>
      </c>
      <c r="T199" s="4">
        <f t="shared" si="37"/>
        <v>0.13450692234198758</v>
      </c>
      <c r="U199" s="1">
        <f t="shared" si="41"/>
        <v>7.193541405368388E-2</v>
      </c>
      <c r="V199" s="6">
        <f>2*sigma/alpha*corel*(B199/12-1/alpha*(1-EXP(-alpha*Output!B199/12)))</f>
        <v>0.46871697266383749</v>
      </c>
      <c r="W199" s="5">
        <f t="shared" si="38"/>
        <v>-6.2571508288303698E-2</v>
      </c>
      <c r="X199" s="1">
        <f t="shared" si="39"/>
        <v>4.140843453196851</v>
      </c>
      <c r="Y199" s="3">
        <f t="shared" si="40"/>
        <v>4.9984764224472941E-2</v>
      </c>
      <c r="Z199" s="1">
        <f t="shared" si="30"/>
        <v>9.2658233495976766E-2</v>
      </c>
      <c r="AA199" s="8">
        <f t="shared" si="35"/>
        <v>15.583333333333375</v>
      </c>
      <c r="AB199" s="1">
        <v>15.67</v>
      </c>
      <c r="AC199" s="1">
        <v>2.11363E-2</v>
      </c>
      <c r="AD199" s="8">
        <f t="shared" si="31"/>
        <v>1.6551152594086043</v>
      </c>
      <c r="AE199" s="3">
        <f t="shared" si="32"/>
        <v>7.8306764164428212E-3</v>
      </c>
      <c r="AF199" s="11">
        <f t="shared" si="33"/>
        <v>15.583333333333375</v>
      </c>
      <c r="AG199" s="1">
        <f t="shared" si="34"/>
        <v>9.2658233495976766E-2</v>
      </c>
    </row>
    <row r="200" spans="2:33" ht="15">
      <c r="B200" s="1">
        <v>189</v>
      </c>
      <c r="C200" s="1">
        <v>1.0002302743882967</v>
      </c>
      <c r="D200" s="1">
        <v>1.1285726807213639</v>
      </c>
      <c r="E200" s="1">
        <v>0.88546919238734145</v>
      </c>
      <c r="G200" s="1">
        <v>0.99967443896676544</v>
      </c>
      <c r="H200" s="1">
        <v>2.8267803655985047</v>
      </c>
      <c r="I200" s="1">
        <v>0.32261923625553462</v>
      </c>
      <c r="K200" s="1">
        <v>1.0009934421865947</v>
      </c>
      <c r="L200" s="1">
        <v>2.1301618410352701</v>
      </c>
      <c r="M200" s="1">
        <v>0.45132257167045942</v>
      </c>
      <c r="O200" s="1">
        <v>2.0992116207643914E-2</v>
      </c>
      <c r="P200" s="1">
        <v>0.71847394995617897</v>
      </c>
      <c r="R200" s="1">
        <v>3.1187459576636663E-2</v>
      </c>
      <c r="S200" s="2">
        <f t="shared" si="36"/>
        <v>0.36842594067729406</v>
      </c>
      <c r="T200" s="4">
        <f t="shared" si="37"/>
        <v>0.13573767376394899</v>
      </c>
      <c r="U200" s="1">
        <f t="shared" si="41"/>
        <v>7.2955130336881446E-2</v>
      </c>
      <c r="V200" s="6">
        <f>2*sigma/alpha*corel*(B200/12-1/alpha*(1-EXP(-alpha*Output!B200/12)))</f>
        <v>0.47332610055149243</v>
      </c>
      <c r="W200" s="5">
        <f t="shared" si="38"/>
        <v>-6.2782543427067544E-2</v>
      </c>
      <c r="X200" s="1">
        <f t="shared" si="39"/>
        <v>4.1793378333685363</v>
      </c>
      <c r="Y200" s="3">
        <f t="shared" si="40"/>
        <v>4.9873548727546291E-2</v>
      </c>
      <c r="Z200" s="1">
        <f t="shared" si="30"/>
        <v>9.2834611007348175E-2</v>
      </c>
      <c r="AA200" s="8">
        <f t="shared" si="35"/>
        <v>15.666666666666709</v>
      </c>
      <c r="AB200" s="1">
        <v>15.75</v>
      </c>
      <c r="AC200" s="1">
        <v>2.1157800000000001E-2</v>
      </c>
      <c r="AD200" s="8">
        <f t="shared" si="31"/>
        <v>1.6568379235608679</v>
      </c>
      <c r="AE200" s="3">
        <f t="shared" si="32"/>
        <v>7.8308610704367551E-3</v>
      </c>
      <c r="AF200" s="11">
        <f t="shared" si="33"/>
        <v>15.666666666666709</v>
      </c>
      <c r="AG200" s="1">
        <f t="shared" si="34"/>
        <v>9.2834611007348175E-2</v>
      </c>
    </row>
    <row r="201" spans="2:33" ht="15">
      <c r="B201" s="1">
        <v>190</v>
      </c>
      <c r="C201" s="1">
        <v>1.0002315650888944</v>
      </c>
      <c r="D201" s="1">
        <v>1.1326097576262695</v>
      </c>
      <c r="E201" s="1">
        <v>0.88231122898400571</v>
      </c>
      <c r="G201" s="1">
        <v>0.99961125654372995</v>
      </c>
      <c r="H201" s="1">
        <v>2.9183799504551113</v>
      </c>
      <c r="I201" s="1">
        <v>0.31234167649717859</v>
      </c>
      <c r="K201" s="1">
        <v>1.0009740961092599</v>
      </c>
      <c r="L201" s="1">
        <v>2.1410707506374305</v>
      </c>
      <c r="M201" s="1">
        <v>0.44892951406590093</v>
      </c>
      <c r="O201" s="1">
        <v>2.1013166778853547E-2</v>
      </c>
      <c r="P201" s="1">
        <v>0.71697918176556619</v>
      </c>
      <c r="R201" s="1">
        <v>3.1250794959734679E-2</v>
      </c>
      <c r="S201" s="2">
        <f t="shared" si="36"/>
        <v>0.37031249474805805</v>
      </c>
      <c r="T201" s="4">
        <f t="shared" si="37"/>
        <v>0.13713134376653052</v>
      </c>
      <c r="U201" s="1">
        <f t="shared" si="41"/>
        <v>7.3983156037975562E-2</v>
      </c>
      <c r="V201" s="6">
        <f>2*sigma/alpha*corel*(B201/12-1/alpha*(1-EXP(-alpha*Output!B201/12)))</f>
        <v>0.477953969706437</v>
      </c>
      <c r="W201" s="5">
        <f t="shared" si="38"/>
        <v>-6.3148187728554961E-2</v>
      </c>
      <c r="X201" s="1">
        <f t="shared" si="39"/>
        <v>4.2278252199666229</v>
      </c>
      <c r="Y201" s="3">
        <f t="shared" si="40"/>
        <v>4.9838325325944413E-2</v>
      </c>
      <c r="Z201" s="1">
        <f t="shared" si="30"/>
        <v>9.3064101428683252E-2</v>
      </c>
      <c r="AA201" s="8">
        <f t="shared" si="35"/>
        <v>15.750000000000043</v>
      </c>
      <c r="AB201" s="1">
        <v>15.83</v>
      </c>
      <c r="AC201" s="1">
        <v>2.1179099999999999E-2</v>
      </c>
      <c r="AD201" s="8">
        <f t="shared" si="31"/>
        <v>1.659332211464519</v>
      </c>
      <c r="AE201" s="3">
        <f t="shared" si="32"/>
        <v>7.8347626266674179E-3</v>
      </c>
      <c r="AF201" s="11">
        <f t="shared" si="33"/>
        <v>15.750000000000043</v>
      </c>
      <c r="AG201" s="1">
        <f t="shared" si="34"/>
        <v>9.3064101428683252E-2</v>
      </c>
    </row>
    <row r="202" spans="2:33" ht="15">
      <c r="B202" s="1">
        <v>191</v>
      </c>
      <c r="C202" s="1">
        <v>1.000232020574134</v>
      </c>
      <c r="D202" s="1">
        <v>1.133222267184786</v>
      </c>
      <c r="E202" s="1">
        <v>0.88183254980119008</v>
      </c>
      <c r="G202" s="1">
        <v>0.99948691028950598</v>
      </c>
      <c r="H202" s="1">
        <v>2.9319842116024706</v>
      </c>
      <c r="I202" s="1">
        <v>0.31074174094410595</v>
      </c>
      <c r="K202" s="1">
        <v>1.0009698967509084</v>
      </c>
      <c r="L202" s="1">
        <v>2.1290229627240818</v>
      </c>
      <c r="M202" s="1">
        <v>0.45137588548722707</v>
      </c>
      <c r="O202" s="1">
        <v>2.103459530562338E-2</v>
      </c>
      <c r="P202" s="1">
        <v>0.71548070897610372</v>
      </c>
      <c r="R202" s="1">
        <v>3.1365111087531553E-2</v>
      </c>
      <c r="S202" s="2">
        <f t="shared" si="36"/>
        <v>0.37243719705701916</v>
      </c>
      <c r="T202" s="4">
        <f t="shared" si="37"/>
        <v>0.13870946575168894</v>
      </c>
      <c r="U202" s="1">
        <f t="shared" si="41"/>
        <v>7.5019502384921749E-2</v>
      </c>
      <c r="V202" s="6">
        <f>2*sigma/alpha*corel*(B202/12-1/alpha*(1-EXP(-alpha*Output!B202/12)))</f>
        <v>0.48260052970935741</v>
      </c>
      <c r="W202" s="5">
        <f t="shared" si="38"/>
        <v>-6.3689963366767188E-2</v>
      </c>
      <c r="X202" s="1">
        <f t="shared" si="39"/>
        <v>4.2878309389599298</v>
      </c>
      <c r="Y202" s="3">
        <f t="shared" si="40"/>
        <v>4.9888187608562486E-2</v>
      </c>
      <c r="Z202" s="1">
        <f t="shared" si="30"/>
        <v>9.3352722684273345E-2</v>
      </c>
      <c r="AA202" s="8">
        <f t="shared" si="35"/>
        <v>15.833333333333377</v>
      </c>
      <c r="AB202" s="1">
        <v>15.92</v>
      </c>
      <c r="AC202" s="1">
        <v>2.1200799999999999E-2</v>
      </c>
      <c r="AD202" s="8">
        <f t="shared" si="31"/>
        <v>1.6620469437661836</v>
      </c>
      <c r="AE202" s="3">
        <f t="shared" si="32"/>
        <v>7.8395482423596445E-3</v>
      </c>
      <c r="AF202" s="11">
        <f t="shared" si="33"/>
        <v>15.833333333333377</v>
      </c>
      <c r="AG202" s="1">
        <f t="shared" si="34"/>
        <v>9.3352722684273345E-2</v>
      </c>
    </row>
    <row r="203" spans="2:33" ht="15">
      <c r="B203" s="1">
        <v>192</v>
      </c>
      <c r="C203" s="1">
        <v>1.0002341972509525</v>
      </c>
      <c r="D203" s="1">
        <v>1.132686960309979</v>
      </c>
      <c r="E203" s="1">
        <v>0.88224751979212979</v>
      </c>
      <c r="G203" s="1">
        <v>0.9995011609857567</v>
      </c>
      <c r="H203" s="1">
        <v>2.9202750621466183</v>
      </c>
      <c r="I203" s="1">
        <v>0.31183648041784828</v>
      </c>
      <c r="K203" s="1">
        <v>1.0009368673003403</v>
      </c>
      <c r="L203" s="1">
        <v>2.1279834394288017</v>
      </c>
      <c r="M203" s="1">
        <v>0.45150231039240712</v>
      </c>
      <c r="O203" s="1">
        <v>2.1057035919823389E-2</v>
      </c>
      <c r="P203" s="1">
        <v>0.71397125631330682</v>
      </c>
      <c r="R203" s="1">
        <v>3.1414682278500937E-2</v>
      </c>
      <c r="S203" s="2">
        <f t="shared" si="36"/>
        <v>0.37428551319901904</v>
      </c>
      <c r="T203" s="4">
        <f t="shared" si="37"/>
        <v>0.14008964539065305</v>
      </c>
      <c r="U203" s="1">
        <f t="shared" si="41"/>
        <v>7.6064180395021219E-2</v>
      </c>
      <c r="V203" s="6">
        <f>2*sigma/alpha*corel*(B203/12-1/alpha*(1-EXP(-alpha*Output!B203/12)))</f>
        <v>0.48726573027658426</v>
      </c>
      <c r="W203" s="5">
        <f t="shared" si="38"/>
        <v>-6.4025464995631831E-2</v>
      </c>
      <c r="X203" s="1">
        <f t="shared" si="39"/>
        <v>4.3350576516224102</v>
      </c>
      <c r="Y203" s="3">
        <f t="shared" si="40"/>
        <v>4.9837949870395928E-2</v>
      </c>
      <c r="Z203" s="1">
        <f t="shared" si="30"/>
        <v>9.3571378299754759E-2</v>
      </c>
      <c r="AA203" s="8">
        <f t="shared" si="35"/>
        <v>15.91666666666671</v>
      </c>
      <c r="AB203" s="1">
        <v>16</v>
      </c>
      <c r="AC203" s="1">
        <v>2.12234E-2</v>
      </c>
      <c r="AD203" s="8">
        <f t="shared" si="31"/>
        <v>1.663640801766106</v>
      </c>
      <c r="AE203" s="3">
        <f t="shared" si="32"/>
        <v>7.838710111321024E-3</v>
      </c>
      <c r="AF203" s="11">
        <f t="shared" si="33"/>
        <v>15.91666666666671</v>
      </c>
      <c r="AG203" s="1">
        <f t="shared" si="34"/>
        <v>9.3571378299754759E-2</v>
      </c>
    </row>
    <row r="204" spans="2:33" ht="15">
      <c r="B204" s="1">
        <v>193</v>
      </c>
      <c r="C204" s="1">
        <v>1.0002359303850652</v>
      </c>
      <c r="D204" s="1">
        <v>1.1291929078856597</v>
      </c>
      <c r="E204" s="1">
        <v>0.88497566789520976</v>
      </c>
      <c r="G204" s="1">
        <v>0.9994662026151796</v>
      </c>
      <c r="H204" s="1">
        <v>2.8384935209139175</v>
      </c>
      <c r="I204" s="1">
        <v>0.32066549970512787</v>
      </c>
      <c r="K204" s="1">
        <v>1.000997351966203</v>
      </c>
      <c r="L204" s="1">
        <v>2.1534618544317503</v>
      </c>
      <c r="M204" s="1">
        <v>0.44606747656825158</v>
      </c>
      <c r="O204" s="1">
        <v>2.1080826861808743E-2</v>
      </c>
      <c r="P204" s="1">
        <v>0.71244685053594448</v>
      </c>
      <c r="R204" s="1">
        <v>3.1507419163835593E-2</v>
      </c>
      <c r="S204" s="2">
        <f t="shared" si="36"/>
        <v>0.37634948407824043</v>
      </c>
      <c r="T204" s="4">
        <f t="shared" si="37"/>
        <v>0.14163893416595774</v>
      </c>
      <c r="U204" s="1">
        <f t="shared" si="41"/>
        <v>7.7117200876454683E-2</v>
      </c>
      <c r="V204" s="6">
        <f>2*sigma/alpha*corel*(B204/12-1/alpha*(1-EXP(-alpha*Output!B204/12)))</f>
        <v>0.49194952125972297</v>
      </c>
      <c r="W204" s="5">
        <f t="shared" si="38"/>
        <v>-6.4521733289503058E-2</v>
      </c>
      <c r="X204" s="1">
        <f t="shared" si="39"/>
        <v>4.3929125064257004</v>
      </c>
      <c r="Y204" s="3">
        <f t="shared" si="40"/>
        <v>4.9864603498867198E-2</v>
      </c>
      <c r="Z204" s="1">
        <f t="shared" si="30"/>
        <v>9.3843304795164811E-2</v>
      </c>
      <c r="AA204" s="8">
        <f t="shared" si="35"/>
        <v>16.000000000000043</v>
      </c>
      <c r="AB204" s="1">
        <v>16.079999999999998</v>
      </c>
      <c r="AC204" s="1">
        <v>2.1247499999999999E-2</v>
      </c>
      <c r="AD204" s="8">
        <f t="shared" si="31"/>
        <v>1.6667313819125618</v>
      </c>
      <c r="AE204" s="3">
        <f t="shared" si="32"/>
        <v>7.8443646636666038E-3</v>
      </c>
      <c r="AF204" s="11">
        <f t="shared" si="33"/>
        <v>16.000000000000043</v>
      </c>
      <c r="AG204" s="1">
        <f t="shared" si="34"/>
        <v>9.3843304795164811E-2</v>
      </c>
    </row>
    <row r="205" spans="2:33" ht="15">
      <c r="B205" s="1">
        <v>194</v>
      </c>
      <c r="C205" s="1">
        <v>1.0002366793516897</v>
      </c>
      <c r="D205" s="1">
        <v>1.1285436238519062</v>
      </c>
      <c r="E205" s="1">
        <v>0.88548304178639448</v>
      </c>
      <c r="G205" s="1">
        <v>0.9993560651582396</v>
      </c>
      <c r="H205" s="1">
        <v>2.8406353420612716</v>
      </c>
      <c r="I205" s="1">
        <v>0.32026842829507818</v>
      </c>
      <c r="K205" s="1">
        <v>1.0010424105434113</v>
      </c>
      <c r="L205" s="1">
        <v>2.1840606631257233</v>
      </c>
      <c r="M205" s="1">
        <v>0.4397264276800868</v>
      </c>
      <c r="O205" s="1">
        <v>2.1106045852790273E-2</v>
      </c>
      <c r="P205" s="1">
        <v>0.71090646786391887</v>
      </c>
      <c r="R205" s="1">
        <v>3.148513000064522E-2</v>
      </c>
      <c r="S205" s="2">
        <f t="shared" si="36"/>
        <v>0.37791233822944426</v>
      </c>
      <c r="T205" s="4">
        <f t="shared" si="37"/>
        <v>0.14281773538604586</v>
      </c>
      <c r="U205" s="1">
        <f t="shared" si="41"/>
        <v>7.8178574429807982E-2</v>
      </c>
      <c r="V205" s="6">
        <f>2*sigma/alpha*corel*(B205/12-1/alpha*(1-EXP(-alpha*Output!B205/12)))</f>
        <v>0.49665185264529405</v>
      </c>
      <c r="W205" s="5">
        <f t="shared" si="38"/>
        <v>-6.4639160956237882E-2</v>
      </c>
      <c r="X205" s="1">
        <f t="shared" si="39"/>
        <v>4.4266621379060522</v>
      </c>
      <c r="Y205" s="3">
        <f t="shared" si="40"/>
        <v>4.9710667510860694E-2</v>
      </c>
      <c r="Z205" s="1">
        <f t="shared" ref="Z205:Z268" si="42">S205/SQRT(B205/12)</f>
        <v>9.3989822453870261E-2</v>
      </c>
      <c r="AA205" s="8">
        <f t="shared" si="35"/>
        <v>16.083333333333375</v>
      </c>
      <c r="AB205" s="1">
        <v>16.170000000000002</v>
      </c>
      <c r="AC205" s="1">
        <v>2.1273E-2</v>
      </c>
      <c r="AD205" s="8">
        <f t="shared" ref="AD205:AD268" si="43">(AC205-O205)*10000</f>
        <v>1.6695414720972745</v>
      </c>
      <c r="AE205" s="3">
        <f t="shared" ref="AE205:AE268" si="44">AD205/AC205/10000</f>
        <v>7.8481712598000974E-3</v>
      </c>
      <c r="AF205" s="11">
        <f t="shared" ref="AF205:AF268" si="45">AA205</f>
        <v>16.083333333333375</v>
      </c>
      <c r="AG205" s="1">
        <f t="shared" ref="AG205:AG268" si="46">Z205</f>
        <v>9.3989822453870261E-2</v>
      </c>
    </row>
    <row r="206" spans="2:33" ht="15">
      <c r="B206" s="1">
        <v>195</v>
      </c>
      <c r="C206" s="1">
        <v>1.0002406322441704</v>
      </c>
      <c r="D206" s="1">
        <v>1.1306993770842617</v>
      </c>
      <c r="E206" s="1">
        <v>0.88379303974679901</v>
      </c>
      <c r="G206" s="1">
        <v>0.99951280243168406</v>
      </c>
      <c r="H206" s="1">
        <v>2.8664159765338515</v>
      </c>
      <c r="I206" s="1">
        <v>0.31723410823657811</v>
      </c>
      <c r="K206" s="1">
        <v>1.0011745884262579</v>
      </c>
      <c r="L206" s="1">
        <v>2.1865144843929198</v>
      </c>
      <c r="M206" s="1">
        <v>0.43914144641591418</v>
      </c>
      <c r="O206" s="1">
        <v>2.1132503144126964E-2</v>
      </c>
      <c r="P206" s="1">
        <v>0.70935216006772939</v>
      </c>
      <c r="R206" s="1">
        <v>3.1571776426675885E-2</v>
      </c>
      <c r="S206" s="2">
        <f t="shared" si="36"/>
        <v>0.37998924086693242</v>
      </c>
      <c r="T206" s="4">
        <f t="shared" si="37"/>
        <v>0.14439182317462759</v>
      </c>
      <c r="U206" s="1">
        <f t="shared" si="41"/>
        <v>7.9248311449589423E-2</v>
      </c>
      <c r="V206" s="6">
        <f>2*sigma/alpha*corel*(B206/12-1/alpha*(1-EXP(-alpha*Output!B206/12)))</f>
        <v>0.50137267455436652</v>
      </c>
      <c r="W206" s="5">
        <f t="shared" si="38"/>
        <v>-6.514351172503817E-2</v>
      </c>
      <c r="X206" s="1">
        <f t="shared" si="39"/>
        <v>4.4857028209172798</v>
      </c>
      <c r="Y206" s="3">
        <f t="shared" si="40"/>
        <v>4.9740772635858216E-2</v>
      </c>
      <c r="Z206" s="1">
        <f t="shared" si="42"/>
        <v>9.4263729275369537E-2</v>
      </c>
      <c r="AA206" s="8">
        <f t="shared" ref="AA206:AA269" si="47">AA205+1/12</f>
        <v>16.166666666666707</v>
      </c>
      <c r="AB206" s="1">
        <v>16.25</v>
      </c>
      <c r="AC206" s="1">
        <v>2.1299700000000001E-2</v>
      </c>
      <c r="AD206" s="8">
        <f t="shared" si="43"/>
        <v>1.6719685587303703</v>
      </c>
      <c r="AE206" s="3">
        <f t="shared" si="44"/>
        <v>7.8497282061736548E-3</v>
      </c>
      <c r="AF206" s="11">
        <f t="shared" si="45"/>
        <v>16.166666666666707</v>
      </c>
      <c r="AG206" s="1">
        <f t="shared" si="46"/>
        <v>9.4263729275369537E-2</v>
      </c>
    </row>
    <row r="207" spans="2:33" ht="15">
      <c r="B207" s="1">
        <v>196</v>
      </c>
      <c r="C207" s="1">
        <v>1.0002444498611258</v>
      </c>
      <c r="D207" s="1">
        <v>1.1336742483673776</v>
      </c>
      <c r="E207" s="1">
        <v>0.88147212130827857</v>
      </c>
      <c r="G207" s="1">
        <v>0.999653048440312</v>
      </c>
      <c r="H207" s="1">
        <v>2.9340355849081119</v>
      </c>
      <c r="I207" s="1">
        <v>0.30977274001430538</v>
      </c>
      <c r="K207" s="1">
        <v>1.0012572482517748</v>
      </c>
      <c r="L207" s="1">
        <v>2.2032309332590483</v>
      </c>
      <c r="M207" s="1">
        <v>0.43571878905478006</v>
      </c>
      <c r="O207" s="1">
        <v>2.11599542550947E-2</v>
      </c>
      <c r="P207" s="1">
        <v>0.70778664033329497</v>
      </c>
      <c r="R207" s="1">
        <v>3.1722177362591551E-2</v>
      </c>
      <c r="S207" s="2">
        <f t="shared" si="36"/>
        <v>0.38237418097778708</v>
      </c>
      <c r="T207" s="4">
        <f t="shared" si="37"/>
        <v>0.14621001427843347</v>
      </c>
      <c r="U207" s="1">
        <f t="shared" si="41"/>
        <v>8.0326422125744479E-2</v>
      </c>
      <c r="V207" s="6">
        <f>2*sigma/alpha*corel*(B207/12-1/alpha*(1-EXP(-alpha*Output!B207/12)))</f>
        <v>0.50611193724220027</v>
      </c>
      <c r="W207" s="5">
        <f t="shared" si="38"/>
        <v>-6.5883592152688991E-2</v>
      </c>
      <c r="X207" s="1">
        <f t="shared" si="39"/>
        <v>4.5605439803280676</v>
      </c>
      <c r="Y207" s="3">
        <f t="shared" si="40"/>
        <v>4.9880543278466374E-2</v>
      </c>
      <c r="Z207" s="1">
        <f t="shared" si="42"/>
        <v>9.4613072708009158E-2</v>
      </c>
      <c r="AA207" s="8">
        <f t="shared" si="47"/>
        <v>16.250000000000039</v>
      </c>
      <c r="AB207" s="1">
        <v>16.329999999999998</v>
      </c>
      <c r="AC207" s="1">
        <v>2.1327599999999999E-2</v>
      </c>
      <c r="AD207" s="8">
        <f t="shared" si="43"/>
        <v>1.6764574490529816</v>
      </c>
      <c r="AE207" s="3">
        <f t="shared" si="44"/>
        <v>7.8605068036393284E-3</v>
      </c>
      <c r="AF207" s="11">
        <f t="shared" si="45"/>
        <v>16.250000000000039</v>
      </c>
      <c r="AG207" s="1">
        <f t="shared" si="46"/>
        <v>9.4613072708009158E-2</v>
      </c>
    </row>
    <row r="208" spans="2:33" ht="15">
      <c r="B208" s="1">
        <v>197</v>
      </c>
      <c r="C208" s="1">
        <v>1.0002445401028179</v>
      </c>
      <c r="D208" s="1">
        <v>1.1324665376326908</v>
      </c>
      <c r="E208" s="1">
        <v>0.88241040439689578</v>
      </c>
      <c r="G208" s="1">
        <v>0.99949160283269589</v>
      </c>
      <c r="H208" s="1">
        <v>2.908042592755832</v>
      </c>
      <c r="I208" s="1">
        <v>0.31239012695597523</v>
      </c>
      <c r="K208" s="1">
        <v>1.0012708605185345</v>
      </c>
      <c r="L208" s="1">
        <v>2.1564422127144853</v>
      </c>
      <c r="M208" s="1">
        <v>0.44507992468076801</v>
      </c>
      <c r="O208" s="1">
        <v>2.1188346353324446E-2</v>
      </c>
      <c r="P208" s="1">
        <v>0.70621043502066583</v>
      </c>
      <c r="R208" s="1">
        <v>3.1661429260360377E-2</v>
      </c>
      <c r="S208" s="2">
        <f t="shared" si="36"/>
        <v>0.38381023373373435</v>
      </c>
      <c r="T208" s="4">
        <f t="shared" si="37"/>
        <v>0.14731029551874381</v>
      </c>
      <c r="U208" s="1">
        <f t="shared" si="41"/>
        <v>8.1412916445147365E-2</v>
      </c>
      <c r="V208" s="6">
        <f>2*sigma/alpha*corel*(B208/12-1/alpha*(1-EXP(-alpha*Output!B208/12)))</f>
        <v>0.51086959109788055</v>
      </c>
      <c r="W208" s="5">
        <f t="shared" si="38"/>
        <v>-6.589737907359644E-2</v>
      </c>
      <c r="X208" s="1">
        <f t="shared" si="39"/>
        <v>4.5882489649413483</v>
      </c>
      <c r="Y208" s="3">
        <f t="shared" si="40"/>
        <v>4.9679702798878698E-2</v>
      </c>
      <c r="Z208" s="1">
        <f t="shared" si="42"/>
        <v>9.4727060392925208E-2</v>
      </c>
      <c r="AA208" s="8">
        <f t="shared" si="47"/>
        <v>16.333333333333371</v>
      </c>
      <c r="AB208" s="1">
        <v>16.420000000000002</v>
      </c>
      <c r="AC208" s="1">
        <v>2.1356400000000001E-2</v>
      </c>
      <c r="AD208" s="8">
        <f t="shared" si="43"/>
        <v>1.6805364667555471</v>
      </c>
      <c r="AE208" s="3">
        <f t="shared" si="44"/>
        <v>7.8690063248279055E-3</v>
      </c>
      <c r="AF208" s="11">
        <f t="shared" si="45"/>
        <v>16.333333333333371</v>
      </c>
      <c r="AG208" s="1">
        <f t="shared" si="46"/>
        <v>9.4727060392925208E-2</v>
      </c>
    </row>
    <row r="209" spans="2:33" ht="15">
      <c r="B209" s="1">
        <v>198</v>
      </c>
      <c r="C209" s="1">
        <v>1.0002443006624846</v>
      </c>
      <c r="D209" s="1">
        <v>1.1320791307722327</v>
      </c>
      <c r="E209" s="1">
        <v>0.88271062047027415</v>
      </c>
      <c r="G209" s="1">
        <v>0.99931198337545646</v>
      </c>
      <c r="H209" s="1">
        <v>2.8963491184143733</v>
      </c>
      <c r="I209" s="1">
        <v>0.31349935234628717</v>
      </c>
      <c r="K209" s="1">
        <v>1.0012600371974203</v>
      </c>
      <c r="L209" s="1">
        <v>2.1677434785394554</v>
      </c>
      <c r="M209" s="1">
        <v>0.44266732302702555</v>
      </c>
      <c r="O209" s="1">
        <v>2.1217586679863853E-2</v>
      </c>
      <c r="P209" s="1">
        <v>0.70462454365867611</v>
      </c>
      <c r="R209" s="1">
        <v>3.1680454287177646E-2</v>
      </c>
      <c r="S209" s="2">
        <f t="shared" si="36"/>
        <v>0.38562457363577696</v>
      </c>
      <c r="T209" s="4">
        <f t="shared" si="37"/>
        <v>0.14870631179177476</v>
      </c>
      <c r="U209" s="1">
        <f t="shared" si="41"/>
        <v>8.2507804193092643E-2</v>
      </c>
      <c r="V209" s="6">
        <f>2*sigma/alpha*corel*(B209/12-1/alpha*(1-EXP(-alpha*Output!B209/12)))</f>
        <v>0.51564558664396076</v>
      </c>
      <c r="W209" s="5">
        <f t="shared" si="38"/>
        <v>-6.6198507598682121E-2</v>
      </c>
      <c r="X209" s="1">
        <f t="shared" si="39"/>
        <v>4.6349918725384143</v>
      </c>
      <c r="Y209" s="3">
        <f t="shared" si="40"/>
        <v>4.9613864847253761E-2</v>
      </c>
      <c r="Z209" s="1">
        <f t="shared" si="42"/>
        <v>9.4934207454194536E-2</v>
      </c>
      <c r="AA209" s="8">
        <f t="shared" si="47"/>
        <v>16.416666666666703</v>
      </c>
      <c r="AB209" s="1">
        <v>16.5</v>
      </c>
      <c r="AC209" s="1">
        <v>2.1385999999999999E-2</v>
      </c>
      <c r="AD209" s="8">
        <f t="shared" si="43"/>
        <v>1.6841332013614596</v>
      </c>
      <c r="AE209" s="3">
        <f t="shared" si="44"/>
        <v>7.8749331401919923E-3</v>
      </c>
      <c r="AF209" s="11">
        <f t="shared" si="45"/>
        <v>16.416666666666703</v>
      </c>
      <c r="AG209" s="1">
        <f t="shared" si="46"/>
        <v>9.4934207454194536E-2</v>
      </c>
    </row>
    <row r="210" spans="2:33" ht="15">
      <c r="B210" s="1">
        <v>199</v>
      </c>
      <c r="C210" s="1">
        <v>1.0002464356667169</v>
      </c>
      <c r="D210" s="1">
        <v>1.1333657868184126</v>
      </c>
      <c r="E210" s="1">
        <v>0.88170677628078642</v>
      </c>
      <c r="G210" s="1">
        <v>0.99931945785217013</v>
      </c>
      <c r="H210" s="1">
        <v>2.9761707671595463</v>
      </c>
      <c r="I210" s="1">
        <v>0.30494338109049135</v>
      </c>
      <c r="K210" s="1">
        <v>1.0011725607210997</v>
      </c>
      <c r="L210" s="1">
        <v>2.1309000392248043</v>
      </c>
      <c r="M210" s="1">
        <v>0.45022727058804235</v>
      </c>
      <c r="O210" s="1">
        <v>2.1247442345699197E-2</v>
      </c>
      <c r="P210" s="1">
        <v>0.70303161340598297</v>
      </c>
      <c r="R210" s="1">
        <v>3.1604912355859327E-2</v>
      </c>
      <c r="S210" s="2">
        <f t="shared" si="36"/>
        <v>0.38701428114527237</v>
      </c>
      <c r="T210" s="4">
        <f t="shared" si="37"/>
        <v>0.14978005381039192</v>
      </c>
      <c r="U210" s="1">
        <f t="shared" si="41"/>
        <v>8.3611094954781875E-2</v>
      </c>
      <c r="V210" s="6">
        <f>2*sigma/alpha*corel*(B210/12-1/alpha*(1-EXP(-alpha*Output!B210/12)))</f>
        <v>0.52043987453610274</v>
      </c>
      <c r="W210" s="5">
        <f t="shared" si="38"/>
        <v>-6.6168958855610041E-2</v>
      </c>
      <c r="X210" s="1">
        <f t="shared" si="39"/>
        <v>4.6600652670959537</v>
      </c>
      <c r="Y210" s="3">
        <f t="shared" si="40"/>
        <v>4.9395333379972955E-2</v>
      </c>
      <c r="Z210" s="1">
        <f t="shared" si="42"/>
        <v>9.5036640533231867E-2</v>
      </c>
      <c r="AA210" s="8">
        <f t="shared" si="47"/>
        <v>16.500000000000036</v>
      </c>
      <c r="AB210" s="1">
        <v>16.579999999999998</v>
      </c>
      <c r="AC210" s="1">
        <v>2.14162E-2</v>
      </c>
      <c r="AD210" s="8">
        <f t="shared" si="43"/>
        <v>1.6875765430080305</v>
      </c>
      <c r="AE210" s="3">
        <f t="shared" si="44"/>
        <v>7.8799065334094302E-3</v>
      </c>
      <c r="AF210" s="11">
        <f t="shared" si="45"/>
        <v>16.500000000000036</v>
      </c>
      <c r="AG210" s="1">
        <f t="shared" si="46"/>
        <v>9.5036640533231867E-2</v>
      </c>
    </row>
    <row r="211" spans="2:33" ht="15">
      <c r="B211" s="1">
        <v>200</v>
      </c>
      <c r="C211" s="1">
        <v>1.0002490042166636</v>
      </c>
      <c r="D211" s="1">
        <v>1.1347652522171996</v>
      </c>
      <c r="E211" s="1">
        <v>0.8806176607882068</v>
      </c>
      <c r="G211" s="1">
        <v>0.99935702038752583</v>
      </c>
      <c r="H211" s="1">
        <v>3.0000545789979558</v>
      </c>
      <c r="I211" s="1">
        <v>0.3023691008098599</v>
      </c>
      <c r="K211" s="1">
        <v>1.0011742372533254</v>
      </c>
      <c r="L211" s="1">
        <v>2.1435911639975442</v>
      </c>
      <c r="M211" s="1">
        <v>0.44746846940614876</v>
      </c>
      <c r="O211" s="1">
        <v>2.127765151765864E-2</v>
      </c>
      <c r="P211" s="1">
        <v>0.70143466122600073</v>
      </c>
      <c r="R211" s="1">
        <v>3.1660306528735478E-2</v>
      </c>
      <c r="S211" s="2">
        <f t="shared" si="36"/>
        <v>0.3890146047462566</v>
      </c>
      <c r="T211" s="4">
        <f t="shared" si="37"/>
        <v>0.15133236270588624</v>
      </c>
      <c r="U211" s="1">
        <f t="shared" si="41"/>
        <v>8.4722798116790579E-2</v>
      </c>
      <c r="V211" s="6">
        <f>2*sigma/alpha*corel*(B211/12-1/alpha*(1-EXP(-alpha*Output!B211/12)))</f>
        <v>0.52525240556271968</v>
      </c>
      <c r="W211" s="5">
        <f t="shared" si="38"/>
        <v>-6.6609564589095657E-2</v>
      </c>
      <c r="X211" s="1">
        <f t="shared" si="39"/>
        <v>4.7165277288224674</v>
      </c>
      <c r="Y211" s="3">
        <f t="shared" si="40"/>
        <v>4.9395132734298228E-2</v>
      </c>
      <c r="Z211" s="1">
        <f t="shared" si="42"/>
        <v>9.5288728411880769E-2</v>
      </c>
      <c r="AA211" s="8">
        <f t="shared" si="47"/>
        <v>16.583333333333368</v>
      </c>
      <c r="AB211" s="1">
        <v>16.670000000000002</v>
      </c>
      <c r="AC211" s="1">
        <v>2.1446900000000001E-2</v>
      </c>
      <c r="AD211" s="8">
        <f t="shared" si="43"/>
        <v>1.6924848234136161</v>
      </c>
      <c r="AE211" s="3">
        <f t="shared" si="44"/>
        <v>7.891512635456014E-3</v>
      </c>
      <c r="AF211" s="11">
        <f t="shared" si="45"/>
        <v>16.583333333333368</v>
      </c>
      <c r="AG211" s="1">
        <f t="shared" si="46"/>
        <v>9.5288728411880769E-2</v>
      </c>
    </row>
    <row r="212" spans="2:33" ht="15">
      <c r="B212" s="1">
        <v>201</v>
      </c>
      <c r="C212" s="1">
        <v>1.0002530400033112</v>
      </c>
      <c r="D212" s="1">
        <v>1.1352055348144447</v>
      </c>
      <c r="E212" s="1">
        <v>0.88027438614546794</v>
      </c>
      <c r="G212" s="1">
        <v>0.99951220545791508</v>
      </c>
      <c r="H212" s="1">
        <v>3.0180434067746926</v>
      </c>
      <c r="I212" s="1">
        <v>0.30042121248352999</v>
      </c>
      <c r="K212" s="1">
        <v>1.0011240159686516</v>
      </c>
      <c r="L212" s="1">
        <v>2.1496401038855901</v>
      </c>
      <c r="M212" s="1">
        <v>0.44611637322809156</v>
      </c>
      <c r="O212" s="1">
        <v>2.1308111254432525E-2</v>
      </c>
      <c r="P212" s="1">
        <v>0.69983487577767522</v>
      </c>
      <c r="R212" s="1">
        <v>3.1695227140678774E-2</v>
      </c>
      <c r="S212" s="2">
        <f t="shared" si="36"/>
        <v>0.39092760906249235</v>
      </c>
      <c r="T212" s="4">
        <f t="shared" si="37"/>
        <v>0.15282439552731686</v>
      </c>
      <c r="U212" s="1">
        <f t="shared" si="41"/>
        <v>8.5842922868530791E-2</v>
      </c>
      <c r="V212" s="6">
        <f>2*sigma/alpha*corel*(B212/12-1/alpha*(1-EXP(-alpha*Output!B212/12)))</f>
        <v>0.53008313064461476</v>
      </c>
      <c r="W212" s="5">
        <f t="shared" si="38"/>
        <v>-6.6981472658786068E-2</v>
      </c>
      <c r="X212" s="1">
        <f t="shared" si="39"/>
        <v>4.768746793532662</v>
      </c>
      <c r="Y212" s="3">
        <f t="shared" si="40"/>
        <v>4.9363072100926442E-2</v>
      </c>
      <c r="Z212" s="1">
        <f t="shared" si="42"/>
        <v>9.5518817565407199E-2</v>
      </c>
      <c r="AA212" s="8">
        <f t="shared" si="47"/>
        <v>16.6666666666667</v>
      </c>
      <c r="AB212" s="1">
        <v>16.75</v>
      </c>
      <c r="AC212" s="1">
        <v>2.1478000000000001E-2</v>
      </c>
      <c r="AD212" s="8">
        <f t="shared" si="43"/>
        <v>1.698887455674758</v>
      </c>
      <c r="AE212" s="3">
        <f t="shared" si="44"/>
        <v>7.9098959664529195E-3</v>
      </c>
      <c r="AF212" s="11">
        <f t="shared" si="45"/>
        <v>16.6666666666667</v>
      </c>
      <c r="AG212" s="1">
        <f t="shared" si="46"/>
        <v>9.5518817565407199E-2</v>
      </c>
    </row>
    <row r="213" spans="2:33" ht="15">
      <c r="B213" s="1">
        <v>202</v>
      </c>
      <c r="C213" s="1">
        <v>1.000256512584645</v>
      </c>
      <c r="D213" s="1">
        <v>1.1375891174467385</v>
      </c>
      <c r="E213" s="1">
        <v>0.87842822928324615</v>
      </c>
      <c r="G213" s="1">
        <v>0.99962980840282212</v>
      </c>
      <c r="H213" s="1">
        <v>3.0178608674897034</v>
      </c>
      <c r="I213" s="1">
        <v>0.30029381027636959</v>
      </c>
      <c r="K213" s="1">
        <v>1.0011286259290617</v>
      </c>
      <c r="L213" s="1">
        <v>2.1012139080952652</v>
      </c>
      <c r="M213" s="1">
        <v>0.45630284214786287</v>
      </c>
      <c r="O213" s="1">
        <v>2.1338660461493762E-2</v>
      </c>
      <c r="P213" s="1">
        <v>0.69823414272824336</v>
      </c>
      <c r="R213" s="1">
        <v>3.1677039118899672E-2</v>
      </c>
      <c r="S213" s="2">
        <f t="shared" si="36"/>
        <v>0.39259888450778735</v>
      </c>
      <c r="T213" s="4">
        <f t="shared" si="37"/>
        <v>0.15413388411675896</v>
      </c>
      <c r="U213" s="1">
        <f t="shared" si="41"/>
        <v>8.6971478203709165E-2</v>
      </c>
      <c r="V213" s="6">
        <f>2*sigma/alpha*corel*(B213/12-1/alpha*(1-EXP(-alpha*Output!B213/12)))</f>
        <v>0.53493200083463122</v>
      </c>
      <c r="W213" s="5">
        <f t="shared" si="38"/>
        <v>-6.7162405913049797E-2</v>
      </c>
      <c r="X213" s="1">
        <f t="shared" si="39"/>
        <v>4.8084209103289623</v>
      </c>
      <c r="Y213" s="3">
        <f t="shared" si="40"/>
        <v>4.9243936280279649E-2</v>
      </c>
      <c r="Z213" s="1">
        <f t="shared" si="42"/>
        <v>9.5689437052225462E-2</v>
      </c>
      <c r="AA213" s="8">
        <f t="shared" si="47"/>
        <v>16.750000000000032</v>
      </c>
      <c r="AB213" s="1">
        <v>16.829999999999998</v>
      </c>
      <c r="AC213" s="1">
        <v>2.1509199999999999E-2</v>
      </c>
      <c r="AD213" s="8">
        <f t="shared" si="43"/>
        <v>1.7053953850623693</v>
      </c>
      <c r="AE213" s="3">
        <f t="shared" si="44"/>
        <v>7.9286788214455641E-3</v>
      </c>
      <c r="AF213" s="11">
        <f t="shared" si="45"/>
        <v>16.750000000000032</v>
      </c>
      <c r="AG213" s="1">
        <f t="shared" si="46"/>
        <v>9.5689437052225462E-2</v>
      </c>
    </row>
    <row r="214" spans="2:33" ht="15">
      <c r="B214" s="1">
        <v>203</v>
      </c>
      <c r="C214" s="1">
        <v>1.0002579111956129</v>
      </c>
      <c r="D214" s="1">
        <v>1.13639715838128</v>
      </c>
      <c r="E214" s="1">
        <v>0.87934788539384756</v>
      </c>
      <c r="G214" s="1">
        <v>0.99957225906324698</v>
      </c>
      <c r="H214" s="1">
        <v>2.9866561507692495</v>
      </c>
      <c r="I214" s="1">
        <v>0.3032842740490953</v>
      </c>
      <c r="K214" s="1">
        <v>1.0011956161134854</v>
      </c>
      <c r="L214" s="1">
        <v>2.1314219210344612</v>
      </c>
      <c r="M214" s="1">
        <v>0.44974209044713503</v>
      </c>
      <c r="O214" s="1">
        <v>2.1369223668857948E-2</v>
      </c>
      <c r="P214" s="1">
        <v>0.69663335910495483</v>
      </c>
      <c r="R214" s="1">
        <v>3.1746710610966837E-2</v>
      </c>
      <c r="S214" s="2">
        <f t="shared" si="36"/>
        <v>0.39468227305031045</v>
      </c>
      <c r="T214" s="4">
        <f t="shared" si="37"/>
        <v>0.15577409666015982</v>
      </c>
      <c r="U214" s="1">
        <f t="shared" si="41"/>
        <v>8.8108472921768155E-2</v>
      </c>
      <c r="V214" s="6">
        <f>2*sigma/alpha*corel*(B214/12-1/alpha*(1-EXP(-alpha*Output!B214/12)))</f>
        <v>0.53979896731729315</v>
      </c>
      <c r="W214" s="5">
        <f t="shared" si="38"/>
        <v>-6.7665623738391661E-2</v>
      </c>
      <c r="X214" s="1">
        <f t="shared" si="39"/>
        <v>4.8700901314146527</v>
      </c>
      <c r="Y214" s="3">
        <f t="shared" si="40"/>
        <v>4.9271796144262858E-2</v>
      </c>
      <c r="Z214" s="1">
        <f t="shared" si="42"/>
        <v>9.5959996794690625E-2</v>
      </c>
      <c r="AA214" s="8">
        <f t="shared" si="47"/>
        <v>16.833333333333364</v>
      </c>
      <c r="AB214" s="1">
        <v>16.920000000000002</v>
      </c>
      <c r="AC214" s="1">
        <v>2.1540400000000001E-2</v>
      </c>
      <c r="AD214" s="8">
        <f t="shared" si="43"/>
        <v>1.7117633114205333</v>
      </c>
      <c r="AE214" s="3">
        <f t="shared" si="44"/>
        <v>7.9467573091517949E-3</v>
      </c>
      <c r="AF214" s="11">
        <f t="shared" si="45"/>
        <v>16.833333333333364</v>
      </c>
      <c r="AG214" s="1">
        <f t="shared" si="46"/>
        <v>9.5959996794690625E-2</v>
      </c>
    </row>
    <row r="215" spans="2:33" ht="15">
      <c r="B215" s="1">
        <v>204</v>
      </c>
      <c r="C215" s="1">
        <v>1.0002562034699589</v>
      </c>
      <c r="D215" s="1">
        <v>1.1390725390414906</v>
      </c>
      <c r="E215" s="1">
        <v>0.87728081674090375</v>
      </c>
      <c r="G215" s="1">
        <v>0.99927362193945224</v>
      </c>
      <c r="H215" s="1">
        <v>3.0512175134770914</v>
      </c>
      <c r="I215" s="1">
        <v>0.29672318231327133</v>
      </c>
      <c r="K215" s="1">
        <v>1.0011222486890599</v>
      </c>
      <c r="L215" s="1">
        <v>2.1443260771927233</v>
      </c>
      <c r="M215" s="1">
        <v>0.44694250341301633</v>
      </c>
      <c r="O215" s="1">
        <v>2.1399749873088601E-2</v>
      </c>
      <c r="P215" s="1">
        <v>0.69503314226471058</v>
      </c>
      <c r="R215" s="1">
        <v>3.1651182215424671E-2</v>
      </c>
      <c r="S215" s="2">
        <f t="shared" ref="S215:S278" si="48">optim_vol_implied(P215,R215)</f>
        <v>0.39599802346777191</v>
      </c>
      <c r="T215" s="4">
        <f t="shared" ref="T215:T278" si="49">S215*S215</f>
        <v>0.15681443459038202</v>
      </c>
      <c r="U215" s="1">
        <f t="shared" si="41"/>
        <v>8.9253915629326108E-2</v>
      </c>
      <c r="V215" s="6">
        <f>2*sigma/alpha*corel*(B215/12-1/alpha*(1-EXP(-alpha*Output!B215/12)))</f>
        <v>0.54468398140845087</v>
      </c>
      <c r="W215" s="5">
        <f t="shared" ref="W215:W278" si="50">U215-T215</f>
        <v>-6.7560518961055915E-2</v>
      </c>
      <c r="X215" s="1">
        <f t="shared" ref="X215:X278" si="51">V215*V215-4*W215*B215/12</f>
        <v>4.8907959289547644</v>
      </c>
      <c r="Y215" s="3">
        <f t="shared" ref="Y215:Y278" si="52">(-V215+SQRT(X215))/2/B215*12</f>
        <v>4.9024423993416145E-2</v>
      </c>
      <c r="Z215" s="1">
        <f t="shared" si="42"/>
        <v>9.6043628134908507E-2</v>
      </c>
      <c r="AA215" s="8">
        <f t="shared" si="47"/>
        <v>16.916666666666696</v>
      </c>
      <c r="AB215" s="1">
        <v>17</v>
      </c>
      <c r="AC215" s="1">
        <v>2.15715E-2</v>
      </c>
      <c r="AD215" s="8">
        <f t="shared" si="43"/>
        <v>1.7175012691139981</v>
      </c>
      <c r="AE215" s="3">
        <f t="shared" si="44"/>
        <v>7.9619000492038017E-3</v>
      </c>
      <c r="AF215" s="11">
        <f t="shared" si="45"/>
        <v>16.916666666666696</v>
      </c>
      <c r="AG215" s="1">
        <f t="shared" si="46"/>
        <v>9.6043628134908507E-2</v>
      </c>
    </row>
    <row r="216" spans="2:33" ht="15">
      <c r="B216" s="1">
        <v>205</v>
      </c>
      <c r="C216" s="1">
        <v>1.000255427133621</v>
      </c>
      <c r="D216" s="1">
        <v>1.1372138858420053</v>
      </c>
      <c r="E216" s="1">
        <v>0.87871292628608955</v>
      </c>
      <c r="G216" s="1">
        <v>0.99903672448904113</v>
      </c>
      <c r="H216" s="1">
        <v>3.0038163922021366</v>
      </c>
      <c r="I216" s="1">
        <v>0.30125953264446692</v>
      </c>
      <c r="K216" s="1">
        <v>1.0013044804532834</v>
      </c>
      <c r="L216" s="1">
        <v>2.1258620307789484</v>
      </c>
      <c r="M216" s="1">
        <v>0.45073048359533113</v>
      </c>
      <c r="O216" s="1">
        <v>2.1430165033089709E-2</v>
      </c>
      <c r="P216" s="1">
        <v>0.69343438869618723</v>
      </c>
      <c r="R216" s="1">
        <v>3.1765170402098981E-2</v>
      </c>
      <c r="S216" s="2">
        <f t="shared" si="48"/>
        <v>0.39829478838792487</v>
      </c>
      <c r="T216" s="4">
        <f t="shared" si="49"/>
        <v>0.15863873845698184</v>
      </c>
      <c r="U216" s="1">
        <f t="shared" si="41"/>
        <v>9.0407814741600784E-2</v>
      </c>
      <c r="V216" s="6">
        <f>2*sigma/alpha*corel*(B216/12-1/alpha*(1-EXP(-alpha*Output!B216/12)))</f>
        <v>0.54958699455492943</v>
      </c>
      <c r="W216" s="5">
        <f t="shared" si="50"/>
        <v>-6.8230923715381059E-2</v>
      </c>
      <c r="X216" s="1">
        <f t="shared" si="51"/>
        <v>4.9644923184682916</v>
      </c>
      <c r="Y216" s="3">
        <f t="shared" si="52"/>
        <v>4.9127621782977658E-2</v>
      </c>
      <c r="Z216" s="1">
        <f t="shared" si="42"/>
        <v>9.6364776012910699E-2</v>
      </c>
      <c r="AA216" s="8">
        <f t="shared" si="47"/>
        <v>17.000000000000028</v>
      </c>
      <c r="AB216" s="1">
        <v>17.079999999999998</v>
      </c>
      <c r="AC216" s="1">
        <v>2.1602400000000001E-2</v>
      </c>
      <c r="AD216" s="8">
        <f t="shared" si="43"/>
        <v>1.722349669102917</v>
      </c>
      <c r="AE216" s="3">
        <f t="shared" si="44"/>
        <v>7.9729551767531246E-3</v>
      </c>
      <c r="AF216" s="11">
        <f t="shared" si="45"/>
        <v>17.000000000000028</v>
      </c>
      <c r="AG216" s="1">
        <f t="shared" si="46"/>
        <v>9.6364776012910699E-2</v>
      </c>
    </row>
    <row r="217" spans="2:33" ht="15">
      <c r="B217" s="1">
        <v>206</v>
      </c>
      <c r="C217" s="1">
        <v>1.0002566707013845</v>
      </c>
      <c r="D217" s="1">
        <v>1.1394977730091651</v>
      </c>
      <c r="E217" s="1">
        <v>0.87695002518744969</v>
      </c>
      <c r="G217" s="1">
        <v>0.9989711569667834</v>
      </c>
      <c r="H217" s="1">
        <v>3.0584471961577546</v>
      </c>
      <c r="I217" s="1">
        <v>0.29573500554058257</v>
      </c>
      <c r="K217" s="1">
        <v>1.0012208620028487</v>
      </c>
      <c r="L217" s="1">
        <v>2.1166737737974683</v>
      </c>
      <c r="M217" s="1">
        <v>0.45259275709323371</v>
      </c>
      <c r="O217" s="1">
        <v>2.1460368680374334E-2</v>
      </c>
      <c r="P217" s="1">
        <v>0.69183831764889836</v>
      </c>
      <c r="R217" s="1">
        <v>3.1742730231002193E-2</v>
      </c>
      <c r="S217" s="2">
        <f t="shared" si="48"/>
        <v>0.39995365036104491</v>
      </c>
      <c r="T217" s="4">
        <f t="shared" si="49"/>
        <v>0.15996292243712495</v>
      </c>
      <c r="U217" s="1">
        <f t="shared" si="41"/>
        <v>9.1570178483833628E-2</v>
      </c>
      <c r="V217" s="6">
        <f>2*sigma/alpha*corel*(B217/12-1/alpha*(1-EXP(-alpha*Output!B217/12)))</f>
        <v>0.55450795833417754</v>
      </c>
      <c r="W217" s="5">
        <f t="shared" si="50"/>
        <v>-6.8392743953291327E-2</v>
      </c>
      <c r="X217" s="1">
        <f t="shared" si="51"/>
        <v>5.0037808273152757</v>
      </c>
      <c r="Y217" s="3">
        <f t="shared" si="52"/>
        <v>4.9002095478516097E-2</v>
      </c>
      <c r="Z217" s="1">
        <f t="shared" si="42"/>
        <v>9.6530971669630511E-2</v>
      </c>
      <c r="AA217" s="8">
        <f t="shared" si="47"/>
        <v>17.083333333333361</v>
      </c>
      <c r="AB217" s="1">
        <v>17.170000000000002</v>
      </c>
      <c r="AC217" s="1">
        <v>2.16329E-2</v>
      </c>
      <c r="AD217" s="8">
        <f t="shared" si="43"/>
        <v>1.7253131962566628</v>
      </c>
      <c r="AE217" s="3">
        <f t="shared" si="44"/>
        <v>7.9754133576943591E-3</v>
      </c>
      <c r="AF217" s="11">
        <f t="shared" si="45"/>
        <v>17.083333333333361</v>
      </c>
      <c r="AG217" s="1">
        <f t="shared" si="46"/>
        <v>9.6530971669630511E-2</v>
      </c>
    </row>
    <row r="218" spans="2:33" ht="15">
      <c r="B218" s="1">
        <v>207</v>
      </c>
      <c r="C218" s="1">
        <v>1.0002581585871235</v>
      </c>
      <c r="D218" s="1">
        <v>1.1419454838759073</v>
      </c>
      <c r="E218" s="1">
        <v>0.87506862550388242</v>
      </c>
      <c r="G218" s="1">
        <v>0.9989235677597913</v>
      </c>
      <c r="H218" s="1">
        <v>3.1170742727381859</v>
      </c>
      <c r="I218" s="1">
        <v>0.29003213241066816</v>
      </c>
      <c r="K218" s="1">
        <v>1.0012566000177001</v>
      </c>
      <c r="L218" s="1">
        <v>2.1384311684820418</v>
      </c>
      <c r="M218" s="1">
        <v>0.44789454654990357</v>
      </c>
      <c r="O218" s="1">
        <v>2.1490381259776418E-2</v>
      </c>
      <c r="P218" s="1">
        <v>0.69024472060215381</v>
      </c>
      <c r="R218" s="1">
        <v>3.185806529941871E-2</v>
      </c>
      <c r="S218" s="2">
        <f t="shared" si="48"/>
        <v>0.40226136462653106</v>
      </c>
      <c r="T218" s="4">
        <f t="shared" si="49"/>
        <v>0.16181420547119899</v>
      </c>
      <c r="U218" s="1">
        <f t="shared" si="41"/>
        <v>9.2741014892693513E-2</v>
      </c>
      <c r="V218" s="6">
        <f>2*sigma/alpha*corel*(B218/12-1/alpha*(1-EXP(-alpha*Output!B218/12)))</f>
        <v>0.55944682445391114</v>
      </c>
      <c r="W218" s="5">
        <f t="shared" si="50"/>
        <v>-6.9073190578505472E-2</v>
      </c>
      <c r="X218" s="1">
        <f t="shared" si="51"/>
        <v>5.0790308993084432</v>
      </c>
      <c r="Y218" s="3">
        <f t="shared" si="52"/>
        <v>4.9107933761080462E-2</v>
      </c>
      <c r="Z218" s="1">
        <f t="shared" si="42"/>
        <v>9.6853155088021212E-2</v>
      </c>
      <c r="AA218" s="8">
        <f t="shared" si="47"/>
        <v>17.166666666666693</v>
      </c>
      <c r="AB218" s="1">
        <v>17.25</v>
      </c>
      <c r="AC218" s="1">
        <v>2.16633E-2</v>
      </c>
      <c r="AD218" s="8">
        <f t="shared" si="43"/>
        <v>1.7291874022358142</v>
      </c>
      <c r="AE218" s="3">
        <f t="shared" si="44"/>
        <v>7.9821052297471499E-3</v>
      </c>
      <c r="AF218" s="11">
        <f t="shared" si="45"/>
        <v>17.166666666666693</v>
      </c>
      <c r="AG218" s="1">
        <f t="shared" si="46"/>
        <v>9.6853155088021212E-2</v>
      </c>
    </row>
    <row r="219" spans="2:33" ht="15">
      <c r="B219" s="1">
        <v>208</v>
      </c>
      <c r="C219" s="1">
        <v>1.0002593070905335</v>
      </c>
      <c r="D219" s="1">
        <v>1.1385655891918847</v>
      </c>
      <c r="E219" s="1">
        <v>0.8776646187571906</v>
      </c>
      <c r="G219" s="1">
        <v>0.99883389764725961</v>
      </c>
      <c r="H219" s="1">
        <v>3.0353124948991805</v>
      </c>
      <c r="I219" s="1">
        <v>0.29770039248015046</v>
      </c>
      <c r="K219" s="1">
        <v>1.001198426975739</v>
      </c>
      <c r="L219" s="1">
        <v>2.1054896929472888</v>
      </c>
      <c r="M219" s="1">
        <v>0.45480732706422711</v>
      </c>
      <c r="O219" s="1">
        <v>2.1520140043074256E-2</v>
      </c>
      <c r="P219" s="1">
        <v>0.68865437905124682</v>
      </c>
      <c r="R219" s="1">
        <v>3.1855101921323292E-2</v>
      </c>
      <c r="S219" s="2">
        <f t="shared" si="48"/>
        <v>0.4040130489625281</v>
      </c>
      <c r="T219" s="4">
        <f t="shared" si="49"/>
        <v>0.16322654373199813</v>
      </c>
      <c r="U219" s="1">
        <f t="shared" si="41"/>
        <v>9.3920331817686192E-2</v>
      </c>
      <c r="V219" s="6">
        <f>2*sigma/alpha*corel*(B219/12-1/alpha*(1-EXP(-alpha*Output!B219/12)))</f>
        <v>0.56440354475176824</v>
      </c>
      <c r="W219" s="5">
        <f t="shared" si="50"/>
        <v>-6.9306211914311938E-2</v>
      </c>
      <c r="X219" s="1">
        <f t="shared" si="51"/>
        <v>5.1237820540539891</v>
      </c>
      <c r="Y219" s="3">
        <f t="shared" si="52"/>
        <v>4.9014626669420601E-2</v>
      </c>
      <c r="Z219" s="1">
        <f t="shared" si="42"/>
        <v>9.7040795465300853E-2</v>
      </c>
      <c r="AA219" s="8">
        <f t="shared" si="47"/>
        <v>17.250000000000025</v>
      </c>
      <c r="AB219" s="1">
        <v>17.329999999999998</v>
      </c>
      <c r="AC219" s="1">
        <v>2.1693299999999999E-2</v>
      </c>
      <c r="AD219" s="8">
        <f t="shared" si="43"/>
        <v>1.7315995692574262</v>
      </c>
      <c r="AE219" s="3">
        <f t="shared" si="44"/>
        <v>7.9821860632426894E-3</v>
      </c>
      <c r="AF219" s="11">
        <f t="shared" si="45"/>
        <v>17.250000000000025</v>
      </c>
      <c r="AG219" s="1">
        <f t="shared" si="46"/>
        <v>9.7040795465300853E-2</v>
      </c>
    </row>
    <row r="220" spans="2:33" ht="15">
      <c r="B220" s="1">
        <v>209</v>
      </c>
      <c r="C220" s="1">
        <v>1.0002635750409357</v>
      </c>
      <c r="D220" s="1">
        <v>1.1398754293365161</v>
      </c>
      <c r="E220" s="1">
        <v>0.87665439720020377</v>
      </c>
      <c r="G220" s="1">
        <v>0.99900120449195617</v>
      </c>
      <c r="H220" s="1">
        <v>3.0746516230525898</v>
      </c>
      <c r="I220" s="1">
        <v>0.29374904142978903</v>
      </c>
      <c r="K220" s="1">
        <v>1.0011724927705816</v>
      </c>
      <c r="L220" s="1">
        <v>2.0851606479254499</v>
      </c>
      <c r="M220" s="1">
        <v>0.45914575605078528</v>
      </c>
      <c r="O220" s="1">
        <v>2.1549693826929259E-2</v>
      </c>
      <c r="P220" s="1">
        <v>0.68706674708358295</v>
      </c>
      <c r="R220" s="1">
        <v>3.1902980775727147E-2</v>
      </c>
      <c r="S220" s="2">
        <f t="shared" si="48"/>
        <v>0.40600557313289964</v>
      </c>
      <c r="T220" s="4">
        <f t="shared" si="49"/>
        <v>0.16484052541497432</v>
      </c>
      <c r="U220" s="1">
        <f t="shared" si="41"/>
        <v>9.5108136922539985E-2</v>
      </c>
      <c r="V220" s="6">
        <f>2*sigma/alpha*corel*(B220/12-1/alpha*(1-EXP(-alpha*Output!B220/12)))</f>
        <v>0.56937807119495698</v>
      </c>
      <c r="W220" s="5">
        <f t="shared" si="50"/>
        <v>-6.9732388492434336E-2</v>
      </c>
      <c r="X220" s="1">
        <f t="shared" si="51"/>
        <v>5.1822144529306149</v>
      </c>
      <c r="Y220" s="3">
        <f t="shared" si="52"/>
        <v>4.9006785633020224E-2</v>
      </c>
      <c r="Z220" s="1">
        <f t="shared" si="42"/>
        <v>9.7285804591535602E-2</v>
      </c>
      <c r="AA220" s="8">
        <f t="shared" si="47"/>
        <v>17.333333333333357</v>
      </c>
      <c r="AB220" s="1">
        <v>17.420000000000002</v>
      </c>
      <c r="AC220" s="1">
        <v>2.1723200000000002E-2</v>
      </c>
      <c r="AD220" s="8">
        <f t="shared" si="43"/>
        <v>1.7350617307074212</v>
      </c>
      <c r="AE220" s="3">
        <f t="shared" si="44"/>
        <v>7.9871369352002512E-3</v>
      </c>
      <c r="AF220" s="11">
        <f t="shared" si="45"/>
        <v>17.333333333333357</v>
      </c>
      <c r="AG220" s="1">
        <f t="shared" si="46"/>
        <v>9.7285804591535602E-2</v>
      </c>
    </row>
    <row r="221" spans="2:33" ht="15">
      <c r="B221" s="1">
        <v>210</v>
      </c>
      <c r="C221" s="1">
        <v>1.0002660022389385</v>
      </c>
      <c r="D221" s="1">
        <v>1.1413495183873743</v>
      </c>
      <c r="E221" s="1">
        <v>0.87552048642326907</v>
      </c>
      <c r="G221" s="1">
        <v>0.99901894860284879</v>
      </c>
      <c r="H221" s="1">
        <v>3.1508794121766082</v>
      </c>
      <c r="I221" s="1">
        <v>0.28650364484749918</v>
      </c>
      <c r="K221" s="1">
        <v>1.001297986913084</v>
      </c>
      <c r="L221" s="1">
        <v>2.0744631112434573</v>
      </c>
      <c r="M221" s="1">
        <v>0.46141732777612571</v>
      </c>
      <c r="O221" s="1">
        <v>2.1578962966972658E-2</v>
      </c>
      <c r="P221" s="1">
        <v>0.68548281339903683</v>
      </c>
      <c r="R221" s="1">
        <v>3.2026033444645011E-2</v>
      </c>
      <c r="S221" s="2">
        <f t="shared" si="48"/>
        <v>0.40835495129341026</v>
      </c>
      <c r="T221" s="4">
        <f t="shared" si="49"/>
        <v>0.16675376624584345</v>
      </c>
      <c r="U221" s="1">
        <f t="shared" si="41"/>
        <v>9.6304437686593802E-2</v>
      </c>
      <c r="V221" s="6">
        <f>2*sigma/alpha*corel*(B221/12-1/alpha*(1-EXP(-alpha*Output!B221/12)))</f>
        <v>0.57437035587990615</v>
      </c>
      <c r="W221" s="5">
        <f t="shared" si="50"/>
        <v>-7.0449328559249652E-2</v>
      </c>
      <c r="X221" s="1">
        <f t="shared" si="51"/>
        <v>5.2613543048610856</v>
      </c>
      <c r="Y221" s="3">
        <f t="shared" si="52"/>
        <v>4.9125539024116829E-2</v>
      </c>
      <c r="Z221" s="1">
        <f t="shared" si="42"/>
        <v>9.7615504109847359E-2</v>
      </c>
      <c r="AA221" s="8">
        <f t="shared" si="47"/>
        <v>17.416666666666689</v>
      </c>
      <c r="AB221" s="1">
        <v>17.5</v>
      </c>
      <c r="AC221" s="1">
        <v>2.1752799999999999E-2</v>
      </c>
      <c r="AD221" s="8">
        <f t="shared" si="43"/>
        <v>1.7383703302734088</v>
      </c>
      <c r="AE221" s="3">
        <f t="shared" si="44"/>
        <v>7.9914784775909718E-3</v>
      </c>
      <c r="AF221" s="11">
        <f t="shared" si="45"/>
        <v>17.416666666666689</v>
      </c>
      <c r="AG221" s="1">
        <f t="shared" si="46"/>
        <v>9.7615504109847359E-2</v>
      </c>
    </row>
    <row r="222" spans="2:33" ht="15">
      <c r="B222" s="1">
        <v>211</v>
      </c>
      <c r="C222" s="1">
        <v>1.0002668235688792</v>
      </c>
      <c r="D222" s="1">
        <v>1.1448462117694025</v>
      </c>
      <c r="E222" s="1">
        <v>0.87284471733213298</v>
      </c>
      <c r="G222" s="1">
        <v>0.99891144067979309</v>
      </c>
      <c r="H222" s="1">
        <v>3.2390368186434157</v>
      </c>
      <c r="I222" s="1">
        <v>0.27857081538206485</v>
      </c>
      <c r="K222" s="1">
        <v>1.0012540315092553</v>
      </c>
      <c r="L222" s="1">
        <v>2.0838819302776552</v>
      </c>
      <c r="M222" s="1">
        <v>0.45923610979980517</v>
      </c>
      <c r="O222" s="1">
        <v>2.1608004858584169E-2</v>
      </c>
      <c r="P222" s="1">
        <v>0.68390192776725833</v>
      </c>
      <c r="R222" s="1">
        <v>3.2103657188868102E-2</v>
      </c>
      <c r="S222" s="2">
        <f t="shared" si="48"/>
        <v>0.41049109324632516</v>
      </c>
      <c r="T222" s="4">
        <f t="shared" si="49"/>
        <v>0.16850293763456323</v>
      </c>
      <c r="U222" s="1">
        <f t="shared" si="41"/>
        <v>9.7509241406173564E-2</v>
      </c>
      <c r="V222" s="6">
        <f>2*sigma/alpha*corel*(B222/12-1/alpha*(1-EXP(-alpha*Output!B222/12)))</f>
        <v>0.57938035103191965</v>
      </c>
      <c r="W222" s="5">
        <f t="shared" si="50"/>
        <v>-7.0993696228389663E-2</v>
      </c>
      <c r="X222" s="1">
        <f t="shared" si="51"/>
        <v>5.3289048925586107</v>
      </c>
      <c r="Y222" s="3">
        <f t="shared" si="52"/>
        <v>4.9167632447307832E-2</v>
      </c>
      <c r="Z222" s="1">
        <f t="shared" si="42"/>
        <v>9.7893337147580445E-2</v>
      </c>
      <c r="AA222" s="8">
        <f t="shared" si="47"/>
        <v>17.500000000000021</v>
      </c>
      <c r="AB222" s="1">
        <v>17.579999999999998</v>
      </c>
      <c r="AC222" s="1">
        <v>2.1782300000000001E-2</v>
      </c>
      <c r="AD222" s="8">
        <f t="shared" si="43"/>
        <v>1.7429514141583182</v>
      </c>
      <c r="AE222" s="3">
        <f t="shared" si="44"/>
        <v>8.0016867555690544E-3</v>
      </c>
      <c r="AF222" s="11">
        <f t="shared" si="45"/>
        <v>17.500000000000021</v>
      </c>
      <c r="AG222" s="1">
        <f t="shared" si="46"/>
        <v>9.7893337147580445E-2</v>
      </c>
    </row>
    <row r="223" spans="2:33" ht="15">
      <c r="B223" s="1">
        <v>212</v>
      </c>
      <c r="C223" s="1">
        <v>1.0002684036458527</v>
      </c>
      <c r="D223" s="1">
        <v>1.1472436249670115</v>
      </c>
      <c r="E223" s="1">
        <v>0.87101905244024103</v>
      </c>
      <c r="G223" s="1">
        <v>0.99885962900896752</v>
      </c>
      <c r="H223" s="1">
        <v>3.2976212353503338</v>
      </c>
      <c r="I223" s="1">
        <v>0.27348927522990529</v>
      </c>
      <c r="K223" s="1">
        <v>1.0011295841967773</v>
      </c>
      <c r="L223" s="1">
        <v>2.1112794763786495</v>
      </c>
      <c r="M223" s="1">
        <v>0.45318229481516098</v>
      </c>
      <c r="O223" s="1">
        <v>2.1636894314927001E-2</v>
      </c>
      <c r="P223" s="1">
        <v>0.68232322288306646</v>
      </c>
      <c r="R223" s="1">
        <v>3.2150026029534276E-2</v>
      </c>
      <c r="S223" s="2">
        <f t="shared" si="48"/>
        <v>0.4124811091659325</v>
      </c>
      <c r="T223" s="4">
        <f t="shared" si="49"/>
        <v>0.17014066541875791</v>
      </c>
      <c r="U223" s="1">
        <f t="shared" si="41"/>
        <v>9.8722555195960418E-2</v>
      </c>
      <c r="V223" s="6">
        <f>2*sigma/alpha*corel*(B223/12-1/alpha*(1-EXP(-alpha*Output!B223/12)))</f>
        <v>0.58440800900483003</v>
      </c>
      <c r="W223" s="5">
        <f t="shared" si="50"/>
        <v>-7.1418110222797496E-2</v>
      </c>
      <c r="X223" s="1">
        <f t="shared" si="51"/>
        <v>5.3884125100666793</v>
      </c>
      <c r="Y223" s="3">
        <f t="shared" si="52"/>
        <v>4.9157191384138453E-2</v>
      </c>
      <c r="Z223" s="1">
        <f t="shared" si="42"/>
        <v>9.8135639310846498E-2</v>
      </c>
      <c r="AA223" s="8">
        <f t="shared" si="47"/>
        <v>17.583333333333353</v>
      </c>
      <c r="AB223" s="1">
        <v>17.670000000000002</v>
      </c>
      <c r="AC223" s="1">
        <v>2.1811500000000001E-2</v>
      </c>
      <c r="AD223" s="8">
        <f t="shared" si="43"/>
        <v>1.7460568507299961</v>
      </c>
      <c r="AE223" s="3">
        <f t="shared" si="44"/>
        <v>8.0052121620704485E-3</v>
      </c>
      <c r="AF223" s="11">
        <f t="shared" si="45"/>
        <v>17.583333333333353</v>
      </c>
      <c r="AG223" s="1">
        <f t="shared" si="46"/>
        <v>9.8135639310846498E-2</v>
      </c>
    </row>
    <row r="224" spans="2:33" ht="15">
      <c r="B224" s="1">
        <v>213</v>
      </c>
      <c r="C224" s="1">
        <v>1.0002688363531742</v>
      </c>
      <c r="D224" s="1">
        <v>1.1457891292528772</v>
      </c>
      <c r="E224" s="1">
        <v>0.87212308161422525</v>
      </c>
      <c r="G224" s="1">
        <v>0.9987122163588541</v>
      </c>
      <c r="H224" s="1">
        <v>3.2577296927254031</v>
      </c>
      <c r="I224" s="1">
        <v>0.27670410459671807</v>
      </c>
      <c r="K224" s="1">
        <v>1.0010607955346511</v>
      </c>
      <c r="L224" s="1">
        <v>2.1487867175914666</v>
      </c>
      <c r="M224" s="1">
        <v>0.44517920699880331</v>
      </c>
      <c r="O224" s="1">
        <v>2.1665674514547005E-2</v>
      </c>
      <c r="P224" s="1">
        <v>0.68074620468981606</v>
      </c>
      <c r="R224" s="1">
        <v>3.2179186950436221E-2</v>
      </c>
      <c r="S224" s="2">
        <f t="shared" si="48"/>
        <v>0.41439156382549502</v>
      </c>
      <c r="T224" s="4">
        <f t="shared" si="49"/>
        <v>0.17172036816973932</v>
      </c>
      <c r="U224" s="1">
        <f t="shared" si="41"/>
        <v>9.9944385990344137E-2</v>
      </c>
      <c r="V224" s="6">
        <f>2*sigma/alpha*corel*(B224/12-1/alpha*(1-EXP(-alpha*Output!B224/12)))</f>
        <v>0.58945328228064764</v>
      </c>
      <c r="W224" s="5">
        <f t="shared" si="50"/>
        <v>-7.1775982179395181E-2</v>
      </c>
      <c r="X224" s="1">
        <f t="shared" si="51"/>
        <v>5.4435499067284869</v>
      </c>
      <c r="Y224" s="3">
        <f t="shared" si="52"/>
        <v>4.9117981873942354E-2</v>
      </c>
      <c r="Z224" s="1">
        <f t="shared" si="42"/>
        <v>9.8358461451672999E-2</v>
      </c>
      <c r="AA224" s="8">
        <f t="shared" si="47"/>
        <v>17.666666666666686</v>
      </c>
      <c r="AB224" s="1">
        <v>17.75</v>
      </c>
      <c r="AC224" s="1">
        <v>2.1840600000000002E-2</v>
      </c>
      <c r="AD224" s="8">
        <f t="shared" si="43"/>
        <v>1.7492548545299664</v>
      </c>
      <c r="AE224" s="3">
        <f t="shared" si="44"/>
        <v>8.0091886419327591E-3</v>
      </c>
      <c r="AF224" s="11">
        <f t="shared" si="45"/>
        <v>17.666666666666686</v>
      </c>
      <c r="AG224" s="1">
        <f t="shared" si="46"/>
        <v>9.8358461451672999E-2</v>
      </c>
    </row>
    <row r="225" spans="2:33" ht="15">
      <c r="B225" s="1">
        <v>214</v>
      </c>
      <c r="C225" s="1">
        <v>1.0002717231951619</v>
      </c>
      <c r="D225" s="1">
        <v>1.1475870398732797</v>
      </c>
      <c r="E225" s="1">
        <v>0.87075507757088433</v>
      </c>
      <c r="G225" s="1">
        <v>0.9987558034852404</v>
      </c>
      <c r="H225" s="1">
        <v>3.3010708778711866</v>
      </c>
      <c r="I225" s="1">
        <v>0.27293886413563356</v>
      </c>
      <c r="K225" s="1">
        <v>1.0010177556338331</v>
      </c>
      <c r="L225" s="1">
        <v>2.1003299287152148</v>
      </c>
      <c r="M225" s="1">
        <v>0.45535507738935566</v>
      </c>
      <c r="O225" s="1">
        <v>2.1694368689144605E-2</v>
      </c>
      <c r="P225" s="1">
        <v>0.67917061551987068</v>
      </c>
      <c r="R225" s="1">
        <v>3.2256425781696005E-2</v>
      </c>
      <c r="S225" s="2">
        <f t="shared" si="48"/>
        <v>0.41653459743255006</v>
      </c>
      <c r="T225" s="4">
        <f t="shared" si="49"/>
        <v>0.17350107085829652</v>
      </c>
      <c r="U225" s="1">
        <f t="shared" si="41"/>
        <v>0.10117474054478481</v>
      </c>
      <c r="V225" s="6">
        <f>2*sigma/alpha*corel*(B225/12-1/alpha*(1-EXP(-alpha*Output!B225/12)))</f>
        <v>0.59451612346922467</v>
      </c>
      <c r="W225" s="5">
        <f t="shared" si="50"/>
        <v>-7.2326330313511711E-2</v>
      </c>
      <c r="X225" s="1">
        <f t="shared" si="51"/>
        <v>5.5127276500953766</v>
      </c>
      <c r="Y225" s="3">
        <f t="shared" si="52"/>
        <v>4.916085231332791E-2</v>
      </c>
      <c r="Z225" s="1">
        <f t="shared" si="42"/>
        <v>9.8635855604063169E-2</v>
      </c>
      <c r="AA225" s="8">
        <f t="shared" si="47"/>
        <v>17.750000000000018</v>
      </c>
      <c r="AB225" s="1">
        <v>17.829999999999998</v>
      </c>
      <c r="AC225" s="1">
        <v>2.1869599999999999E-2</v>
      </c>
      <c r="AD225" s="8">
        <f t="shared" si="43"/>
        <v>1.752313108553949</v>
      </c>
      <c r="AE225" s="3">
        <f t="shared" si="44"/>
        <v>8.0125521662670965E-3</v>
      </c>
      <c r="AF225" s="11">
        <f t="shared" si="45"/>
        <v>17.750000000000018</v>
      </c>
      <c r="AG225" s="1">
        <f t="shared" si="46"/>
        <v>9.8635855604063169E-2</v>
      </c>
    </row>
    <row r="226" spans="2:33" ht="15">
      <c r="B226" s="1">
        <v>215</v>
      </c>
      <c r="C226" s="1">
        <v>1.0002740925582816</v>
      </c>
      <c r="D226" s="1">
        <v>1.1449374265638304</v>
      </c>
      <c r="E226" s="1">
        <v>0.87276851849024628</v>
      </c>
      <c r="G226" s="1">
        <v>0.99876380220787142</v>
      </c>
      <c r="H226" s="1">
        <v>3.2309067992829608</v>
      </c>
      <c r="I226" s="1">
        <v>0.27873107197184654</v>
      </c>
      <c r="K226" s="1">
        <v>1.0008778316654772</v>
      </c>
      <c r="L226" s="1">
        <v>2.0931177344034833</v>
      </c>
      <c r="M226" s="1">
        <v>0.45682889831172446</v>
      </c>
      <c r="O226" s="1">
        <v>2.1722975896016468E-2</v>
      </c>
      <c r="P226" s="1">
        <v>0.67759648835206687</v>
      </c>
      <c r="R226" s="1">
        <v>3.2163785432089899E-2</v>
      </c>
      <c r="S226" s="2">
        <f t="shared" si="48"/>
        <v>0.41786599844073113</v>
      </c>
      <c r="T226" s="4">
        <f t="shared" si="49"/>
        <v>0.17461199265286911</v>
      </c>
      <c r="U226" s="1">
        <f t="shared" si="41"/>
        <v>0.10241362543714427</v>
      </c>
      <c r="V226" s="6">
        <f>2*sigma/alpha*corel*(B226/12-1/alpha*(1-EXP(-alpha*Output!B226/12)))</f>
        <v>0.59959648530790333</v>
      </c>
      <c r="W226" s="5">
        <f t="shared" si="50"/>
        <v>-7.219836721572484E-2</v>
      </c>
      <c r="X226" s="1">
        <f t="shared" si="51"/>
        <v>5.5337322623205383</v>
      </c>
      <c r="Y226" s="3">
        <f t="shared" si="52"/>
        <v>4.8915129594207303E-2</v>
      </c>
      <c r="Z226" s="1">
        <f t="shared" si="42"/>
        <v>9.8720745724691555E-2</v>
      </c>
      <c r="AA226" s="8">
        <f t="shared" si="47"/>
        <v>17.83333333333335</v>
      </c>
      <c r="AB226" s="1">
        <v>17.920000000000002</v>
      </c>
      <c r="AC226" s="1">
        <v>2.1898500000000001E-2</v>
      </c>
      <c r="AD226" s="8">
        <f t="shared" si="43"/>
        <v>1.755241039835334</v>
      </c>
      <c r="AE226" s="3">
        <f t="shared" si="44"/>
        <v>8.0153482651110063E-3</v>
      </c>
      <c r="AF226" s="11">
        <f t="shared" si="45"/>
        <v>17.83333333333335</v>
      </c>
      <c r="AG226" s="1">
        <f t="shared" si="46"/>
        <v>9.8720745724691555E-2</v>
      </c>
    </row>
    <row r="227" spans="2:33" ht="15">
      <c r="B227" s="1">
        <v>216</v>
      </c>
      <c r="C227" s="1">
        <v>1.0002760362570022</v>
      </c>
      <c r="D227" s="1">
        <v>1.1430122585933904</v>
      </c>
      <c r="E227" s="1">
        <v>0.87423685767386927</v>
      </c>
      <c r="G227" s="1">
        <v>0.99873602269053185</v>
      </c>
      <c r="H227" s="1">
        <v>3.1832745444782797</v>
      </c>
      <c r="I227" s="1">
        <v>0.28276477705256059</v>
      </c>
      <c r="K227" s="1">
        <v>1.0008902211722441</v>
      </c>
      <c r="L227" s="1">
        <v>2.0844664947909775</v>
      </c>
      <c r="M227" s="1">
        <v>0.45862933478401952</v>
      </c>
      <c r="O227" s="1">
        <v>2.1751512739948256E-2</v>
      </c>
      <c r="P227" s="1">
        <v>0.67602364258062142</v>
      </c>
      <c r="R227" s="1">
        <v>3.2195362807869929E-2</v>
      </c>
      <c r="S227" s="2">
        <f t="shared" si="48"/>
        <v>0.41979483940755946</v>
      </c>
      <c r="T227" s="4">
        <f t="shared" si="49"/>
        <v>0.17622770719321865</v>
      </c>
      <c r="U227" s="1">
        <f t="shared" si="41"/>
        <v>0.10366104706902747</v>
      </c>
      <c r="V227" s="6">
        <f>2*sigma/alpha*corel*(B227/12-1/alpha*(1-EXP(-alpha*Output!B227/12)))</f>
        <v>0.60469432066117446</v>
      </c>
      <c r="W227" s="5">
        <f t="shared" si="50"/>
        <v>-7.2566660124191176E-2</v>
      </c>
      <c r="X227" s="1">
        <f t="shared" si="51"/>
        <v>5.5904547503816442</v>
      </c>
      <c r="Y227" s="3">
        <f t="shared" si="52"/>
        <v>4.888110917637075E-2</v>
      </c>
      <c r="Z227" s="1">
        <f t="shared" si="42"/>
        <v>9.8946592550734347E-2</v>
      </c>
      <c r="AA227" s="8">
        <f t="shared" si="47"/>
        <v>17.916666666666682</v>
      </c>
      <c r="AB227" s="1">
        <v>18</v>
      </c>
      <c r="AC227" s="1">
        <v>2.1927200000000001E-2</v>
      </c>
      <c r="AD227" s="8">
        <f t="shared" si="43"/>
        <v>1.7568726005174478</v>
      </c>
      <c r="AE227" s="3">
        <f t="shared" si="44"/>
        <v>8.0122979701806336E-3</v>
      </c>
      <c r="AF227" s="11">
        <f t="shared" si="45"/>
        <v>17.916666666666682</v>
      </c>
      <c r="AG227" s="1">
        <f t="shared" si="46"/>
        <v>9.8946592550734347E-2</v>
      </c>
    </row>
    <row r="228" spans="2:33" ht="15">
      <c r="B228" s="1">
        <v>217</v>
      </c>
      <c r="C228" s="1">
        <v>1.0002784908133759</v>
      </c>
      <c r="D228" s="1">
        <v>1.1452625926758175</v>
      </c>
      <c r="E228" s="1">
        <v>0.87251741154766582</v>
      </c>
      <c r="G228" s="1">
        <v>0.99876385392580791</v>
      </c>
      <c r="H228" s="1">
        <v>3.226105557845345</v>
      </c>
      <c r="I228" s="1">
        <v>0.27887554300946754</v>
      </c>
      <c r="K228" s="1">
        <v>1.0007624052912107</v>
      </c>
      <c r="L228" s="1">
        <v>2.0806099761248684</v>
      </c>
      <c r="M228" s="1">
        <v>0.45938371313482251</v>
      </c>
      <c r="O228" s="1">
        <v>2.1779876673797712E-2</v>
      </c>
      <c r="P228" s="1">
        <v>0.67445334879775465</v>
      </c>
      <c r="R228" s="1">
        <v>3.22892300566738E-2</v>
      </c>
      <c r="S228" s="2">
        <f t="shared" si="48"/>
        <v>0.42202558668328793</v>
      </c>
      <c r="T228" s="4">
        <f t="shared" si="49"/>
        <v>0.17810559581537339</v>
      </c>
      <c r="U228" s="1">
        <f t="shared" si="41"/>
        <v>0.10491701166710626</v>
      </c>
      <c r="V228" s="6">
        <f>2*sigma/alpha*corel*(B228/12-1/alpha*(1-EXP(-alpha*Output!B228/12)))</f>
        <v>0.60980958252033945</v>
      </c>
      <c r="W228" s="5">
        <f t="shared" si="50"/>
        <v>-7.3188584148267122E-2</v>
      </c>
      <c r="X228" s="1">
        <f t="shared" si="51"/>
        <v>5.6658419803249522</v>
      </c>
      <c r="Y228" s="3">
        <f t="shared" si="52"/>
        <v>4.8953732771767206E-2</v>
      </c>
      <c r="Z228" s="1">
        <f t="shared" si="42"/>
        <v>9.9242921018472208E-2</v>
      </c>
      <c r="AA228" s="8">
        <f t="shared" si="47"/>
        <v>18.000000000000014</v>
      </c>
      <c r="AB228" s="1">
        <v>18.079999999999998</v>
      </c>
      <c r="AC228" s="1">
        <v>2.1955800000000001E-2</v>
      </c>
      <c r="AD228" s="8">
        <f t="shared" si="43"/>
        <v>1.7592332620228883</v>
      </c>
      <c r="AE228" s="3">
        <f t="shared" si="44"/>
        <v>8.0126128951023799E-3</v>
      </c>
      <c r="AF228" s="11">
        <f t="shared" si="45"/>
        <v>18.000000000000014</v>
      </c>
      <c r="AG228" s="1">
        <f t="shared" si="46"/>
        <v>9.9242921018472208E-2</v>
      </c>
    </row>
    <row r="229" spans="2:33" ht="15">
      <c r="B229" s="1">
        <v>218</v>
      </c>
      <c r="C229" s="1">
        <v>1.0002801895332891</v>
      </c>
      <c r="D229" s="1">
        <v>1.141530059796646</v>
      </c>
      <c r="E229" s="1">
        <v>0.87536868223345166</v>
      </c>
      <c r="G229" s="1">
        <v>0.99872635664050591</v>
      </c>
      <c r="H229" s="1">
        <v>3.1442010189087486</v>
      </c>
      <c r="I229" s="1">
        <v>0.28600149204821462</v>
      </c>
      <c r="K229" s="1">
        <v>1.0006594774582274</v>
      </c>
      <c r="L229" s="1">
        <v>2.0784217547334776</v>
      </c>
      <c r="M229" s="1">
        <v>0.45977156967442928</v>
      </c>
      <c r="O229" s="1">
        <v>2.1808331047370177E-2</v>
      </c>
      <c r="P229" s="1">
        <v>0.6728824160701864</v>
      </c>
      <c r="R229" s="1">
        <v>3.2190184440367302E-2</v>
      </c>
      <c r="S229" s="2">
        <f t="shared" si="48"/>
        <v>0.42332938165823497</v>
      </c>
      <c r="T229" s="4">
        <f t="shared" si="49"/>
        <v>0.17920776537514357</v>
      </c>
      <c r="U229" s="1">
        <f t="shared" si="41"/>
        <v>0.10618152528443993</v>
      </c>
      <c r="V229" s="6">
        <f>2*sigma/alpha*corel*(B229/12-1/alpha*(1-EXP(-alpha*Output!B229/12)))</f>
        <v>0.61494222400316667</v>
      </c>
      <c r="W229" s="5">
        <f t="shared" si="50"/>
        <v>-7.3026240090703645E-2</v>
      </c>
      <c r="X229" s="1">
        <f t="shared" si="51"/>
        <v>5.6847273854530922</v>
      </c>
      <c r="Y229" s="3">
        <f t="shared" si="52"/>
        <v>4.8697002129902238E-2</v>
      </c>
      <c r="Z229" s="1">
        <f t="shared" si="42"/>
        <v>9.9320932513388152E-2</v>
      </c>
      <c r="AA229" s="8">
        <f t="shared" si="47"/>
        <v>18.083333333333346</v>
      </c>
      <c r="AB229" s="1">
        <v>18.170000000000002</v>
      </c>
      <c r="AC229" s="1">
        <v>2.1984500000000001E-2</v>
      </c>
      <c r="AD229" s="8">
        <f t="shared" si="43"/>
        <v>1.7616895262982311</v>
      </c>
      <c r="AE229" s="3">
        <f t="shared" si="44"/>
        <v>8.013325416990293E-3</v>
      </c>
      <c r="AF229" s="11">
        <f t="shared" si="45"/>
        <v>18.083333333333346</v>
      </c>
      <c r="AG229" s="1">
        <f t="shared" si="46"/>
        <v>9.9320932513388152E-2</v>
      </c>
    </row>
    <row r="230" spans="2:33" ht="15">
      <c r="B230" s="1">
        <v>219</v>
      </c>
      <c r="C230" s="1">
        <v>1.0002804200139122</v>
      </c>
      <c r="D230" s="1">
        <v>1.1405362213772701</v>
      </c>
      <c r="E230" s="1">
        <v>0.87612980687005215</v>
      </c>
      <c r="G230" s="1">
        <v>0.99858062503341316</v>
      </c>
      <c r="H230" s="1">
        <v>3.1180508045080386</v>
      </c>
      <c r="I230" s="1">
        <v>0.28826042399078983</v>
      </c>
      <c r="K230" s="1">
        <v>1.0006625355016863</v>
      </c>
      <c r="L230" s="1">
        <v>2.0944141905283011</v>
      </c>
      <c r="M230" s="1">
        <v>0.45616582166759723</v>
      </c>
      <c r="O230" s="1">
        <v>2.1836953602712046E-2</v>
      </c>
      <c r="P230" s="1">
        <v>0.67130989824911524</v>
      </c>
      <c r="R230" s="1">
        <v>3.2288370340945713E-2</v>
      </c>
      <c r="S230" s="2">
        <f t="shared" si="48"/>
        <v>0.4255930098259918</v>
      </c>
      <c r="T230" s="4">
        <f t="shared" si="49"/>
        <v>0.18112941001274674</v>
      </c>
      <c r="U230" s="1">
        <f t="shared" si="41"/>
        <v>0.10745459380177978</v>
      </c>
      <c r="V230" s="6">
        <f>2*sigma/alpha*corel*(B230/12-1/alpha*(1-EXP(-alpha*Output!B230/12)))</f>
        <v>0.62009219835354812</v>
      </c>
      <c r="W230" s="5">
        <f t="shared" si="50"/>
        <v>-7.3674816210966956E-2</v>
      </c>
      <c r="X230" s="1">
        <f t="shared" si="51"/>
        <v>5.7627759178595239</v>
      </c>
      <c r="Y230" s="3">
        <f t="shared" si="52"/>
        <v>4.8780439676903022E-2</v>
      </c>
      <c r="Z230" s="1">
        <f t="shared" si="42"/>
        <v>9.9623788217376302E-2</v>
      </c>
      <c r="AA230" s="8">
        <f t="shared" si="47"/>
        <v>18.166666666666679</v>
      </c>
      <c r="AB230" s="1">
        <v>18.25</v>
      </c>
      <c r="AC230" s="1">
        <v>2.20132E-2</v>
      </c>
      <c r="AD230" s="8">
        <f t="shared" si="43"/>
        <v>1.7624639728795397</v>
      </c>
      <c r="AE230" s="3">
        <f t="shared" si="44"/>
        <v>8.0063960391017191E-3</v>
      </c>
      <c r="AF230" s="11">
        <f t="shared" si="45"/>
        <v>18.166666666666679</v>
      </c>
      <c r="AG230" s="1">
        <f t="shared" si="46"/>
        <v>9.9623788217376302E-2</v>
      </c>
    </row>
    <row r="231" spans="2:33" ht="15">
      <c r="B231" s="1">
        <v>220</v>
      </c>
      <c r="C231" s="1">
        <v>1.0002785022873111</v>
      </c>
      <c r="D231" s="1">
        <v>1.1390016756606245</v>
      </c>
      <c r="E231" s="1">
        <v>0.87730854116275414</v>
      </c>
      <c r="G231" s="1">
        <v>0.99826186930168792</v>
      </c>
      <c r="H231" s="1">
        <v>3.0541021353752318</v>
      </c>
      <c r="I231" s="1">
        <v>0.2941536634980787</v>
      </c>
      <c r="K231" s="1">
        <v>1.0006830624691532</v>
      </c>
      <c r="L231" s="1">
        <v>2.090780238118461</v>
      </c>
      <c r="M231" s="1">
        <v>0.45686348651080627</v>
      </c>
      <c r="O231" s="1">
        <v>2.1865836268651167E-2</v>
      </c>
      <c r="P231" s="1">
        <v>0.66973466667265491</v>
      </c>
      <c r="R231" s="1">
        <v>3.2330568564053107E-2</v>
      </c>
      <c r="S231" s="2">
        <f t="shared" si="48"/>
        <v>0.42759327166564232</v>
      </c>
      <c r="T231" s="4">
        <f t="shared" si="49"/>
        <v>0.18283600597372779</v>
      </c>
      <c r="U231" s="1">
        <f t="shared" si="41"/>
        <v>0.10873622292887543</v>
      </c>
      <c r="V231" s="6">
        <f>2*sigma/alpha*corel*(B231/12-1/alpha*(1-EXP(-alpha*Output!B231/12)))</f>
        <v>0.62525945894116475</v>
      </c>
      <c r="W231" s="5">
        <f t="shared" si="50"/>
        <v>-7.409978304485236E-2</v>
      </c>
      <c r="X231" s="1">
        <f t="shared" si="51"/>
        <v>5.8249334809512376</v>
      </c>
      <c r="Y231" s="3">
        <f t="shared" si="52"/>
        <v>4.876992102683856E-2</v>
      </c>
      <c r="Z231" s="1">
        <f t="shared" si="42"/>
        <v>9.9864273156682143E-2</v>
      </c>
      <c r="AA231" s="8">
        <f t="shared" si="47"/>
        <v>18.250000000000011</v>
      </c>
      <c r="AB231" s="1">
        <v>18.329999999999998</v>
      </c>
      <c r="AC231" s="1">
        <v>2.2042099999999998E-2</v>
      </c>
      <c r="AD231" s="8">
        <f t="shared" si="43"/>
        <v>1.762637313488316</v>
      </c>
      <c r="AE231" s="3">
        <f t="shared" si="44"/>
        <v>7.9966850412996771E-3</v>
      </c>
      <c r="AF231" s="11">
        <f t="shared" si="45"/>
        <v>18.250000000000011</v>
      </c>
      <c r="AG231" s="1">
        <f t="shared" si="46"/>
        <v>9.9864273156682143E-2</v>
      </c>
    </row>
    <row r="232" spans="2:33" ht="15">
      <c r="B232" s="1">
        <v>221</v>
      </c>
      <c r="C232" s="1">
        <v>1.0002813619144</v>
      </c>
      <c r="D232" s="1">
        <v>1.1416713016296027</v>
      </c>
      <c r="E232" s="1">
        <v>0.87525544297071134</v>
      </c>
      <c r="G232" s="1">
        <v>0.99832553942166269</v>
      </c>
      <c r="H232" s="1">
        <v>3.1414208885800576</v>
      </c>
      <c r="I232" s="1">
        <v>0.28583888271149394</v>
      </c>
      <c r="K232" s="1">
        <v>1.0007174954756868</v>
      </c>
      <c r="L232" s="1">
        <v>2.0750764651821569</v>
      </c>
      <c r="M232" s="1">
        <v>0.4602250498791976</v>
      </c>
      <c r="O232" s="1">
        <v>2.1895027989109632E-2</v>
      </c>
      <c r="P232" s="1">
        <v>0.66815611201179359</v>
      </c>
      <c r="R232" s="1">
        <v>3.2333483326594054E-2</v>
      </c>
      <c r="S232" s="2">
        <f t="shared" si="48"/>
        <v>0.42941040175568779</v>
      </c>
      <c r="T232" s="4">
        <f t="shared" si="49"/>
        <v>0.18439329313598118</v>
      </c>
      <c r="U232" s="1">
        <f t="shared" si="41"/>
        <v>0.1100264182057689</v>
      </c>
      <c r="V232" s="6">
        <f>2*sigma/alpha*corel*(B232/12-1/alpha*(1-EXP(-alpha*Output!B232/12)))</f>
        <v>0.63044395926114694</v>
      </c>
      <c r="W232" s="5">
        <f t="shared" si="50"/>
        <v>-7.4366874930212282E-2</v>
      </c>
      <c r="X232" s="1">
        <f t="shared" si="51"/>
        <v>5.875819372294508</v>
      </c>
      <c r="Y232" s="3">
        <f t="shared" si="52"/>
        <v>4.8694072049395354E-2</v>
      </c>
      <c r="Z232" s="1">
        <f t="shared" si="42"/>
        <v>0.10006150863167133</v>
      </c>
      <c r="AA232" s="8">
        <f t="shared" si="47"/>
        <v>18.333333333333343</v>
      </c>
      <c r="AB232" s="1">
        <v>18.420000000000002</v>
      </c>
      <c r="AC232" s="1">
        <v>2.2071299999999999E-2</v>
      </c>
      <c r="AD232" s="8">
        <f t="shared" si="43"/>
        <v>1.7627201089036661</v>
      </c>
      <c r="AE232" s="3">
        <f t="shared" si="44"/>
        <v>7.9864806735609872E-3</v>
      </c>
      <c r="AF232" s="11">
        <f t="shared" si="45"/>
        <v>18.333333333333343</v>
      </c>
      <c r="AG232" s="1">
        <f t="shared" si="46"/>
        <v>0.10006150863167133</v>
      </c>
    </row>
    <row r="233" spans="2:33" ht="15">
      <c r="B233" s="1">
        <v>222</v>
      </c>
      <c r="C233" s="1">
        <v>1.0002858585581174</v>
      </c>
      <c r="D233" s="1">
        <v>1.1453175848437804</v>
      </c>
      <c r="E233" s="1">
        <v>0.87246730498927327</v>
      </c>
      <c r="G233" s="1">
        <v>0.9985171754994473</v>
      </c>
      <c r="H233" s="1">
        <v>3.2321589834745734</v>
      </c>
      <c r="I233" s="1">
        <v>0.27767983150305969</v>
      </c>
      <c r="K233" s="1">
        <v>1.0007188109629526</v>
      </c>
      <c r="L233" s="1">
        <v>2.0926533205637576</v>
      </c>
      <c r="M233" s="1">
        <v>0.45626440955030595</v>
      </c>
      <c r="O233" s="1">
        <v>2.1924489764792901E-2</v>
      </c>
      <c r="P233" s="1">
        <v>0.66657470464967328</v>
      </c>
      <c r="R233" s="1">
        <v>3.2509428145487178E-2</v>
      </c>
      <c r="S233" s="2">
        <f t="shared" si="48"/>
        <v>0.4320799803500508</v>
      </c>
      <c r="T233" s="4">
        <f t="shared" si="49"/>
        <v>0.18669310941930028</v>
      </c>
      <c r="U233" s="1">
        <f t="shared" si="41"/>
        <v>0.11132518500407744</v>
      </c>
      <c r="V233" s="6">
        <f>2*sigma/alpha*corel*(B233/12-1/alpha*(1-EXP(-alpha*Output!B233/12)))</f>
        <v>0.63564565293373465</v>
      </c>
      <c r="W233" s="5">
        <f t="shared" si="50"/>
        <v>-7.5367924415222845E-2</v>
      </c>
      <c r="X233" s="1">
        <f t="shared" si="51"/>
        <v>5.9812718028200447</v>
      </c>
      <c r="Y233" s="3">
        <f t="shared" si="52"/>
        <v>4.8919411480906679E-2</v>
      </c>
      <c r="Z233" s="1">
        <f t="shared" si="42"/>
        <v>0.10045655492833848</v>
      </c>
      <c r="AA233" s="8">
        <f t="shared" si="47"/>
        <v>18.416666666666675</v>
      </c>
      <c r="AB233" s="1">
        <v>18.5</v>
      </c>
      <c r="AC233" s="1">
        <v>2.21008E-2</v>
      </c>
      <c r="AD233" s="8">
        <f t="shared" si="43"/>
        <v>1.763102352070993</v>
      </c>
      <c r="AE233" s="3">
        <f t="shared" si="44"/>
        <v>7.9775499170663174E-3</v>
      </c>
      <c r="AF233" s="11">
        <f t="shared" si="45"/>
        <v>18.416666666666675</v>
      </c>
      <c r="AG233" s="1">
        <f t="shared" si="46"/>
        <v>0.10045655492833848</v>
      </c>
    </row>
    <row r="234" spans="2:33" ht="15">
      <c r="B234" s="1">
        <v>223</v>
      </c>
      <c r="C234" s="1">
        <v>1.0002892946746709</v>
      </c>
      <c r="D234" s="1">
        <v>1.1438241403435989</v>
      </c>
      <c r="E234" s="1">
        <v>0.87360481452950955</v>
      </c>
      <c r="G234" s="1">
        <v>0.99862921759360801</v>
      </c>
      <c r="H234" s="1">
        <v>3.1910436552294708</v>
      </c>
      <c r="I234" s="1">
        <v>0.28112141478457126</v>
      </c>
      <c r="K234" s="1">
        <v>1.0007365990528052</v>
      </c>
      <c r="L234" s="1">
        <v>2.1361028716696646</v>
      </c>
      <c r="M234" s="1">
        <v>0.44689061923586543</v>
      </c>
      <c r="O234" s="1">
        <v>2.1954286806112628E-2</v>
      </c>
      <c r="P234" s="1">
        <v>0.66498963174176728</v>
      </c>
      <c r="R234" s="1">
        <v>3.2484162635875759E-2</v>
      </c>
      <c r="S234" s="2">
        <f t="shared" si="48"/>
        <v>0.43377632334147298</v>
      </c>
      <c r="T234" s="4">
        <f t="shared" si="49"/>
        <v>0.18816189869164612</v>
      </c>
      <c r="U234" s="1">
        <f t="shared" si="41"/>
        <v>0.11263252852827386</v>
      </c>
      <c r="V234" s="6">
        <f>2*sigma/alpha*corel*(B234/12-1/alpha*(1-EXP(-alpha*Output!B234/12)))</f>
        <v>0.64086449370394349</v>
      </c>
      <c r="W234" s="5">
        <f t="shared" si="50"/>
        <v>-7.5529370163372259E-2</v>
      </c>
      <c r="X234" s="1">
        <f t="shared" si="51"/>
        <v>6.0250571481010828</v>
      </c>
      <c r="Y234" s="3">
        <f t="shared" si="52"/>
        <v>4.8800036477365354E-2</v>
      </c>
      <c r="Z234" s="1">
        <f t="shared" si="42"/>
        <v>0.10062456939271713</v>
      </c>
      <c r="AA234" s="8">
        <f t="shared" si="47"/>
        <v>18.500000000000007</v>
      </c>
      <c r="AB234" s="1">
        <v>18.579999999999998</v>
      </c>
      <c r="AC234" s="1">
        <v>2.21307E-2</v>
      </c>
      <c r="AD234" s="8">
        <f t="shared" si="43"/>
        <v>1.7641319388737169</v>
      </c>
      <c r="AE234" s="3">
        <f t="shared" si="44"/>
        <v>7.971424034819128E-3</v>
      </c>
      <c r="AF234" s="11">
        <f t="shared" si="45"/>
        <v>18.500000000000007</v>
      </c>
      <c r="AG234" s="1">
        <f t="shared" si="46"/>
        <v>0.10062456939271713</v>
      </c>
    </row>
    <row r="235" spans="2:33" ht="15">
      <c r="B235" s="1">
        <v>224</v>
      </c>
      <c r="C235" s="1">
        <v>1.0002920006454208</v>
      </c>
      <c r="D235" s="1">
        <v>1.1433617760265116</v>
      </c>
      <c r="E235" s="1">
        <v>0.87395645849745096</v>
      </c>
      <c r="G235" s="1">
        <v>0.99866868178159163</v>
      </c>
      <c r="H235" s="1">
        <v>3.1858298228401334</v>
      </c>
      <c r="I235" s="1">
        <v>0.28144512461596521</v>
      </c>
      <c r="K235" s="1">
        <v>1.0007315309301468</v>
      </c>
      <c r="L235" s="1">
        <v>2.148735345983392</v>
      </c>
      <c r="M235" s="1">
        <v>0.44417079171920909</v>
      </c>
      <c r="O235" s="1">
        <v>2.1984566608380721E-2</v>
      </c>
      <c r="P235" s="1">
        <v>0.66339905517273445</v>
      </c>
      <c r="R235" s="1">
        <v>3.2467616128826045E-2</v>
      </c>
      <c r="S235" s="2">
        <f t="shared" si="48"/>
        <v>0.43552476825443676</v>
      </c>
      <c r="T235" s="4">
        <f t="shared" si="49"/>
        <v>0.18968182376308085</v>
      </c>
      <c r="U235" s="1">
        <f t="shared" si="41"/>
        <v>0.11394845381695885</v>
      </c>
      <c r="V235" s="6">
        <f>2*sigma/alpha*corel*(B235/12-1/alpha*(1-EXP(-alpha*Output!B235/12)))</f>
        <v>0.64610043544122808</v>
      </c>
      <c r="W235" s="5">
        <f t="shared" si="50"/>
        <v>-7.5733369946121995E-2</v>
      </c>
      <c r="X235" s="1">
        <f t="shared" si="51"/>
        <v>6.0722040619877866</v>
      </c>
      <c r="Y235" s="3">
        <f t="shared" si="52"/>
        <v>4.8698673843609E-2</v>
      </c>
      <c r="Z235" s="1">
        <f t="shared" si="42"/>
        <v>0.10080439609968499</v>
      </c>
      <c r="AA235" s="8">
        <f t="shared" si="47"/>
        <v>18.583333333333339</v>
      </c>
      <c r="AB235" s="1">
        <v>18.670000000000002</v>
      </c>
      <c r="AC235" s="1">
        <v>2.2161199999999999E-2</v>
      </c>
      <c r="AD235" s="8">
        <f t="shared" si="43"/>
        <v>1.7663339161927762</v>
      </c>
      <c r="AE235" s="3">
        <f t="shared" si="44"/>
        <v>7.9703893119180205E-3</v>
      </c>
      <c r="AF235" s="11">
        <f t="shared" si="45"/>
        <v>18.583333333333339</v>
      </c>
      <c r="AG235" s="1">
        <f t="shared" si="46"/>
        <v>0.10080439609968499</v>
      </c>
    </row>
    <row r="236" spans="2:33" ht="15">
      <c r="B236" s="1">
        <v>225</v>
      </c>
      <c r="C236" s="1">
        <v>1.0002931932193526</v>
      </c>
      <c r="D236" s="1">
        <v>1.1459751091199761</v>
      </c>
      <c r="E236" s="1">
        <v>0.87196182229767161</v>
      </c>
      <c r="G236" s="1">
        <v>0.99859548771802542</v>
      </c>
      <c r="H236" s="1">
        <v>3.2519371023205963</v>
      </c>
      <c r="I236" s="1">
        <v>0.27559021817671991</v>
      </c>
      <c r="K236" s="1">
        <v>1.0007505630302596</v>
      </c>
      <c r="L236" s="1">
        <v>2.1271190267187041</v>
      </c>
      <c r="M236" s="1">
        <v>0.4485911009716963</v>
      </c>
      <c r="O236" s="1">
        <v>2.201549252025807E-2</v>
      </c>
      <c r="P236" s="1">
        <v>0.66180092568663806</v>
      </c>
      <c r="R236" s="1">
        <v>3.2476492277417397E-2</v>
      </c>
      <c r="S236" s="2">
        <f t="shared" si="48"/>
        <v>0.43741041827419824</v>
      </c>
      <c r="T236" s="4">
        <f t="shared" si="49"/>
        <v>0.19132787401480905</v>
      </c>
      <c r="U236" s="1">
        <f t="shared" si="41"/>
        <v>0.11527296574411461</v>
      </c>
      <c r="V236" s="6">
        <f>2*sigma/alpha*corel*(B236/12-1/alpha*(1-EXP(-alpha*Output!B236/12)))</f>
        <v>0.65135343213914754</v>
      </c>
      <c r="W236" s="5">
        <f t="shared" si="50"/>
        <v>-7.6054908270694443E-2</v>
      </c>
      <c r="X236" s="1">
        <f t="shared" si="51"/>
        <v>6.1283794138615306</v>
      </c>
      <c r="Y236" s="3">
        <f t="shared" si="52"/>
        <v>4.8645412068464969E-2</v>
      </c>
      <c r="Z236" s="1">
        <f t="shared" si="42"/>
        <v>0.10101560909478205</v>
      </c>
      <c r="AA236" s="8">
        <f t="shared" si="47"/>
        <v>18.666666666666671</v>
      </c>
      <c r="AB236" s="1">
        <v>18.75</v>
      </c>
      <c r="AC236" s="1">
        <v>2.2192300000000002E-2</v>
      </c>
      <c r="AD236" s="8">
        <f t="shared" si="43"/>
        <v>1.7680747974193125</v>
      </c>
      <c r="AE236" s="3">
        <f t="shared" si="44"/>
        <v>7.967064240386585E-3</v>
      </c>
      <c r="AF236" s="11">
        <f t="shared" si="45"/>
        <v>18.666666666666671</v>
      </c>
      <c r="AG236" s="1">
        <f t="shared" si="46"/>
        <v>0.10101560909478205</v>
      </c>
    </row>
    <row r="237" spans="2:33" ht="15">
      <c r="B237" s="1">
        <v>226</v>
      </c>
      <c r="C237" s="1">
        <v>1.0002955715367143</v>
      </c>
      <c r="D237" s="1">
        <v>1.1451951958346853</v>
      </c>
      <c r="E237" s="1">
        <v>0.8725540300792417</v>
      </c>
      <c r="G237" s="1">
        <v>0.99860947855619508</v>
      </c>
      <c r="H237" s="1">
        <v>3.2314856281644997</v>
      </c>
      <c r="I237" s="1">
        <v>0.27720007503150357</v>
      </c>
      <c r="K237" s="1">
        <v>1.0007635315101111</v>
      </c>
      <c r="L237" s="1">
        <v>2.0916582333672711</v>
      </c>
      <c r="M237" s="1">
        <v>0.4561012303817244</v>
      </c>
      <c r="O237" s="1">
        <v>2.2047113455917429E-2</v>
      </c>
      <c r="P237" s="1">
        <v>0.66019460144119024</v>
      </c>
      <c r="R237" s="1">
        <v>3.245580702377359E-2</v>
      </c>
      <c r="S237" s="2">
        <f t="shared" si="48"/>
        <v>0.43916352403637748</v>
      </c>
      <c r="T237" s="4">
        <f t="shared" si="49"/>
        <v>0.19286460084404991</v>
      </c>
      <c r="U237" s="1">
        <f t="shared" si="41"/>
        <v>0.11660606902037102</v>
      </c>
      <c r="V237" s="6">
        <f>2*sigma/alpha*corel*(B237/12-1/alpha*(1-EXP(-alpha*Output!B237/12)))</f>
        <v>0.65662343791502953</v>
      </c>
      <c r="W237" s="5">
        <f t="shared" si="50"/>
        <v>-7.6258531823678893E-2</v>
      </c>
      <c r="X237" s="1">
        <f t="shared" si="51"/>
        <v>6.1759637366031628</v>
      </c>
      <c r="Y237" s="3">
        <f t="shared" si="52"/>
        <v>4.8544916729081691E-2</v>
      </c>
      <c r="Z237" s="1">
        <f t="shared" si="42"/>
        <v>0.1011958411937235</v>
      </c>
      <c r="AA237" s="8">
        <f t="shared" si="47"/>
        <v>18.750000000000004</v>
      </c>
      <c r="AB237" s="1">
        <v>18.829999999999998</v>
      </c>
      <c r="AC237" s="1">
        <v>2.22241E-2</v>
      </c>
      <c r="AD237" s="8">
        <f t="shared" si="43"/>
        <v>1.7698654408257117</v>
      </c>
      <c r="AE237" s="3">
        <f t="shared" si="44"/>
        <v>7.963721549244792E-3</v>
      </c>
      <c r="AF237" s="11">
        <f t="shared" si="45"/>
        <v>18.750000000000004</v>
      </c>
      <c r="AG237" s="1">
        <f t="shared" si="46"/>
        <v>0.1011958411937235</v>
      </c>
    </row>
    <row r="238" spans="2:33" ht="15">
      <c r="B238" s="1">
        <v>227</v>
      </c>
      <c r="C238" s="1">
        <v>1.0002975662487961</v>
      </c>
      <c r="D238" s="1">
        <v>1.143732554149822</v>
      </c>
      <c r="E238" s="1">
        <v>0.87366825553302829</v>
      </c>
      <c r="G238" s="1">
        <v>0.99860938467990368</v>
      </c>
      <c r="H238" s="1">
        <v>3.1796228122841521</v>
      </c>
      <c r="I238" s="1">
        <v>0.28158506013489842</v>
      </c>
      <c r="K238" s="1">
        <v>1.0008542050262434</v>
      </c>
      <c r="L238" s="1">
        <v>2.0878758608884227</v>
      </c>
      <c r="M238" s="1">
        <v>0.45683231476827635</v>
      </c>
      <c r="O238" s="1">
        <v>2.2079525353043812E-2</v>
      </c>
      <c r="P238" s="1">
        <v>0.65857885123024373</v>
      </c>
      <c r="R238" s="1">
        <v>3.2490728996609992E-2</v>
      </c>
      <c r="S238" s="2">
        <f t="shared" si="48"/>
        <v>0.44120633888667049</v>
      </c>
      <c r="T238" s="4">
        <f t="shared" si="49"/>
        <v>0.19466303347377953</v>
      </c>
      <c r="U238" s="1">
        <f t="shared" si="41"/>
        <v>0.11794776819424553</v>
      </c>
      <c r="V238" s="6">
        <f>2*sigma/alpha*corel*(B238/12-1/alpha*(1-EXP(-alpha*Output!B238/12)))</f>
        <v>0.66191040700964243</v>
      </c>
      <c r="W238" s="5">
        <f t="shared" si="50"/>
        <v>-7.6715265279533998E-2</v>
      </c>
      <c r="X238" s="1">
        <f t="shared" si="51"/>
        <v>6.2429137930590768</v>
      </c>
      <c r="Y238" s="3">
        <f t="shared" si="52"/>
        <v>4.8546395145188992E-2</v>
      </c>
      <c r="Z238" s="1">
        <f t="shared" si="42"/>
        <v>0.10144238185107003</v>
      </c>
      <c r="AA238" s="8">
        <f t="shared" si="47"/>
        <v>18.833333333333336</v>
      </c>
      <c r="AB238" s="1">
        <v>18.920000000000002</v>
      </c>
      <c r="AC238" s="1">
        <v>2.2256700000000001E-2</v>
      </c>
      <c r="AD238" s="8">
        <f t="shared" si="43"/>
        <v>1.771746469561887</v>
      </c>
      <c r="AE238" s="3">
        <f t="shared" si="44"/>
        <v>7.960508384270296E-3</v>
      </c>
      <c r="AF238" s="11">
        <f t="shared" si="45"/>
        <v>18.833333333333336</v>
      </c>
      <c r="AG238" s="1">
        <f t="shared" si="46"/>
        <v>0.10144238185107003</v>
      </c>
    </row>
    <row r="239" spans="2:33" ht="15">
      <c r="B239" s="1">
        <v>228</v>
      </c>
      <c r="C239" s="1">
        <v>1.000302819960909</v>
      </c>
      <c r="D239" s="1">
        <v>1.1470943947567276</v>
      </c>
      <c r="E239" s="1">
        <v>0.8711061399249489</v>
      </c>
      <c r="G239" s="1">
        <v>0.99885645217854457</v>
      </c>
      <c r="H239" s="1">
        <v>3.2787097741890889</v>
      </c>
      <c r="I239" s="1">
        <v>0.27294295106394106</v>
      </c>
      <c r="K239" s="1">
        <v>1.0008590426589141</v>
      </c>
      <c r="L239" s="1">
        <v>2.0809457352637879</v>
      </c>
      <c r="M239" s="1">
        <v>0.45825821257365473</v>
      </c>
      <c r="O239" s="1">
        <v>2.2112806926192205E-2</v>
      </c>
      <c r="P239" s="1">
        <v>0.65695265099348565</v>
      </c>
      <c r="R239" s="1">
        <v>3.2555690505338693E-2</v>
      </c>
      <c r="S239" s="2">
        <f t="shared" si="48"/>
        <v>0.44341534178436892</v>
      </c>
      <c r="T239" s="4">
        <f t="shared" si="49"/>
        <v>0.19661716532974871</v>
      </c>
      <c r="U239" s="1">
        <f t="shared" si="41"/>
        <v>0.11929806765338097</v>
      </c>
      <c r="V239" s="6">
        <f>2*sigma/alpha*corel*(B239/12-1/alpha*(1-EXP(-alpha*Output!B239/12)))</f>
        <v>0.66721429378685604</v>
      </c>
      <c r="W239" s="5">
        <f t="shared" si="50"/>
        <v>-7.7319097676367743E-2</v>
      </c>
      <c r="X239" s="1">
        <f t="shared" si="51"/>
        <v>6.3214263372374422</v>
      </c>
      <c r="Y239" s="3">
        <f t="shared" si="52"/>
        <v>4.8606062932872042E-2</v>
      </c>
      <c r="Z239" s="1">
        <f t="shared" si="42"/>
        <v>0.10172645604492696</v>
      </c>
      <c r="AA239" s="8">
        <f t="shared" si="47"/>
        <v>18.916666666666668</v>
      </c>
      <c r="AB239" s="1">
        <v>19</v>
      </c>
      <c r="AC239" s="1">
        <v>2.2290299999999999E-2</v>
      </c>
      <c r="AD239" s="8">
        <f t="shared" si="43"/>
        <v>1.77493073807794</v>
      </c>
      <c r="AE239" s="3">
        <f t="shared" si="44"/>
        <v>7.9627943010095875E-3</v>
      </c>
      <c r="AF239" s="11">
        <f t="shared" si="45"/>
        <v>18.916666666666668</v>
      </c>
      <c r="AG239" s="1">
        <f t="shared" si="46"/>
        <v>0.10172645604492696</v>
      </c>
    </row>
    <row r="240" spans="2:33" ht="15">
      <c r="B240" s="1">
        <v>229</v>
      </c>
      <c r="C240" s="1">
        <v>1.0003052731320523</v>
      </c>
      <c r="D240" s="1">
        <v>1.1479152792560663</v>
      </c>
      <c r="E240" s="1">
        <v>0.87048159048745499</v>
      </c>
      <c r="G240" s="1">
        <v>0.99888713076465141</v>
      </c>
      <c r="H240" s="1">
        <v>3.2855672136706895</v>
      </c>
      <c r="I240" s="1">
        <v>0.2722413886471915</v>
      </c>
      <c r="K240" s="1">
        <v>1.0008527128552034</v>
      </c>
      <c r="L240" s="1">
        <v>2.1074705325367287</v>
      </c>
      <c r="M240" s="1">
        <v>0.45239627808518457</v>
      </c>
      <c r="O240" s="1">
        <v>2.2146860673375929E-2</v>
      </c>
      <c r="P240" s="1">
        <v>0.65531717460252858</v>
      </c>
      <c r="R240" s="1">
        <v>3.254830887006336E-2</v>
      </c>
      <c r="S240" s="2">
        <f t="shared" si="48"/>
        <v>0.44528068021522704</v>
      </c>
      <c r="T240" s="4">
        <f t="shared" si="49"/>
        <v>0.19827488417293529</v>
      </c>
      <c r="U240" s="1">
        <f t="shared" si="41"/>
        <v>0.120656971625782</v>
      </c>
      <c r="V240" s="6">
        <f>2*sigma/alpha*corel*(B240/12-1/alpha*(1-EXP(-alpha*Output!B240/12)))</f>
        <v>0.67253505273331682</v>
      </c>
      <c r="W240" s="5">
        <f t="shared" si="50"/>
        <v>-7.7617912547153292E-2</v>
      </c>
      <c r="X240" s="1">
        <f t="shared" si="51"/>
        <v>6.3771373882543738</v>
      </c>
      <c r="Y240" s="3">
        <f t="shared" si="52"/>
        <v>4.8544045737931432E-2</v>
      </c>
      <c r="Z240" s="1">
        <f t="shared" si="42"/>
        <v>0.1019311054700047</v>
      </c>
      <c r="AA240" s="8">
        <f t="shared" si="47"/>
        <v>19</v>
      </c>
      <c r="AB240" s="1">
        <v>19.079999999999998</v>
      </c>
      <c r="AC240" s="1">
        <v>2.2324699999999999E-2</v>
      </c>
      <c r="AD240" s="8">
        <f t="shared" si="43"/>
        <v>1.7783932662407063</v>
      </c>
      <c r="AE240" s="3">
        <f t="shared" si="44"/>
        <v>7.9660343307668465E-3</v>
      </c>
      <c r="AF240" s="11">
        <f t="shared" si="45"/>
        <v>19</v>
      </c>
      <c r="AG240" s="1">
        <f t="shared" si="46"/>
        <v>0.1019311054700047</v>
      </c>
    </row>
    <row r="241" spans="2:33" ht="15">
      <c r="B241" s="1">
        <v>230</v>
      </c>
      <c r="C241" s="1">
        <v>1.000307520044756</v>
      </c>
      <c r="D241" s="1">
        <v>1.1452527122881435</v>
      </c>
      <c r="E241" s="1">
        <v>0.87250373483920951</v>
      </c>
      <c r="G241" s="1">
        <v>0.9988959554137633</v>
      </c>
      <c r="H241" s="1">
        <v>3.21347201164305</v>
      </c>
      <c r="I241" s="1">
        <v>0.27821442197576007</v>
      </c>
      <c r="K241" s="1">
        <v>1.0008812985292703</v>
      </c>
      <c r="L241" s="1">
        <v>2.126100702679274</v>
      </c>
      <c r="M241" s="1">
        <v>0.44833869678968558</v>
      </c>
      <c r="O241" s="1">
        <v>2.218149903621178E-2</v>
      </c>
      <c r="P241" s="1">
        <v>0.65367473509397822</v>
      </c>
      <c r="R241" s="1">
        <v>3.2595051170739388E-2</v>
      </c>
      <c r="S241" s="2">
        <f t="shared" si="48"/>
        <v>0.44742830818488277</v>
      </c>
      <c r="T241" s="4">
        <f t="shared" si="49"/>
        <v>0.20019209096518645</v>
      </c>
      <c r="U241" s="1">
        <f t="shared" si="41"/>
        <v>0.12202448418103484</v>
      </c>
      <c r="V241" s="6">
        <f>2*sigma/alpha*corel*(B241/12-1/alpha*(1-EXP(-alpha*Output!B241/12)))</f>
        <v>0.67787263845811496</v>
      </c>
      <c r="W241" s="5">
        <f t="shared" si="50"/>
        <v>-7.8167606784151605E-2</v>
      </c>
      <c r="X241" s="1">
        <f t="shared" si="51"/>
        <v>6.4523611674217891</v>
      </c>
      <c r="Y241" s="3">
        <f t="shared" si="52"/>
        <v>4.8581144171200089E-2</v>
      </c>
      <c r="Z241" s="1">
        <f t="shared" si="42"/>
        <v>0.10219982752436388</v>
      </c>
      <c r="AA241" s="8">
        <f t="shared" si="47"/>
        <v>19.083333333333332</v>
      </c>
      <c r="AB241" s="1">
        <v>19.170000000000002</v>
      </c>
      <c r="AC241" s="1">
        <v>2.23597E-2</v>
      </c>
      <c r="AD241" s="8">
        <f t="shared" si="43"/>
        <v>1.7820096378821926</v>
      </c>
      <c r="AE241" s="3">
        <f t="shared" si="44"/>
        <v>7.9697385827278214E-3</v>
      </c>
      <c r="AF241" s="11">
        <f t="shared" si="45"/>
        <v>19.083333333333332</v>
      </c>
      <c r="AG241" s="1">
        <f t="shared" si="46"/>
        <v>0.10219982752436388</v>
      </c>
    </row>
    <row r="242" spans="2:33" ht="15">
      <c r="B242" s="1">
        <v>231</v>
      </c>
      <c r="C242" s="1">
        <v>1.0003145692414548</v>
      </c>
      <c r="D242" s="1">
        <v>1.1463094225256187</v>
      </c>
      <c r="E242" s="1">
        <v>0.87169781784646572</v>
      </c>
      <c r="G242" s="1">
        <v>0.99928021291721925</v>
      </c>
      <c r="H242" s="1">
        <v>3.2540440130129693</v>
      </c>
      <c r="I242" s="1">
        <v>0.27461255910969246</v>
      </c>
      <c r="K242" s="1">
        <v>1.0008883670941255</v>
      </c>
      <c r="L242" s="1">
        <v>2.119315275518066</v>
      </c>
      <c r="M242" s="1">
        <v>0.44968045301753246</v>
      </c>
      <c r="O242" s="1">
        <v>2.2216194962971239E-2</v>
      </c>
      <c r="P242" s="1">
        <v>0.65203192532151322</v>
      </c>
      <c r="R242" s="1">
        <v>3.266154898841879E-2</v>
      </c>
      <c r="S242" s="2">
        <f t="shared" si="48"/>
        <v>0.44968066706591137</v>
      </c>
      <c r="T242" s="4">
        <f t="shared" si="49"/>
        <v>0.20221270233284303</v>
      </c>
      <c r="U242" s="1">
        <f t="shared" si="41"/>
        <v>0.12340060923152739</v>
      </c>
      <c r="V242" s="6">
        <f>2*sigma/alpha*corel*(B242/12-1/alpha*(1-EXP(-alpha*Output!B242/12)))</f>
        <v>0.68322700569245354</v>
      </c>
      <c r="W242" s="5">
        <f t="shared" si="50"/>
        <v>-7.8812093101315636E-2</v>
      </c>
      <c r="X242" s="1">
        <f t="shared" si="51"/>
        <v>6.5353303101087796</v>
      </c>
      <c r="Y242" s="3">
        <f t="shared" si="52"/>
        <v>4.8654602731474698E-2</v>
      </c>
      <c r="Z242" s="1">
        <f t="shared" si="42"/>
        <v>0.10249173608317157</v>
      </c>
      <c r="AA242" s="8">
        <f t="shared" si="47"/>
        <v>19.166666666666664</v>
      </c>
      <c r="AB242" s="1">
        <v>19.25</v>
      </c>
      <c r="AC242" s="1">
        <v>2.2394899999999999E-2</v>
      </c>
      <c r="AD242" s="8">
        <f t="shared" si="43"/>
        <v>1.7870503702875975</v>
      </c>
      <c r="AE242" s="3">
        <f t="shared" si="44"/>
        <v>7.9797202500908587E-3</v>
      </c>
      <c r="AF242" s="11">
        <f t="shared" si="45"/>
        <v>19.166666666666664</v>
      </c>
      <c r="AG242" s="1">
        <f t="shared" si="46"/>
        <v>0.10249173608317157</v>
      </c>
    </row>
    <row r="243" spans="2:33" ht="15">
      <c r="B243" s="1">
        <v>232</v>
      </c>
      <c r="C243" s="1">
        <v>1.0003192337378173</v>
      </c>
      <c r="D243" s="1">
        <v>1.1464503735125533</v>
      </c>
      <c r="E243" s="1">
        <v>0.87158903793935039</v>
      </c>
      <c r="G243" s="1">
        <v>0.99947426039715614</v>
      </c>
      <c r="H243" s="1">
        <v>3.2567219208798845</v>
      </c>
      <c r="I243" s="1">
        <v>0.27425389361673891</v>
      </c>
      <c r="K243" s="1">
        <v>1.0008735456753932</v>
      </c>
      <c r="L243" s="1">
        <v>2.1539889171899325</v>
      </c>
      <c r="M243" s="1">
        <v>0.44234959675804641</v>
      </c>
      <c r="O243" s="1">
        <v>2.2250555822189745E-2</v>
      </c>
      <c r="P243" s="1">
        <v>0.65039369647485157</v>
      </c>
      <c r="R243" s="1">
        <v>3.275154519242833E-2</v>
      </c>
      <c r="S243" s="2">
        <f t="shared" si="48"/>
        <v>0.45205144051107116</v>
      </c>
      <c r="T243" s="4">
        <f t="shared" si="49"/>
        <v>0.2043505048681345</v>
      </c>
      <c r="U243" s="1">
        <f t="shared" si="41"/>
        <v>0.124785350533654</v>
      </c>
      <c r="V243" s="6">
        <f>2*sigma/alpha*corel*(B243/12-1/alpha*(1-EXP(-alpha*Output!B243/12)))</f>
        <v>0.68859810928932275</v>
      </c>
      <c r="W243" s="5">
        <f t="shared" si="50"/>
        <v>-7.9565154334480498E-2</v>
      </c>
      <c r="X243" s="1">
        <f t="shared" si="51"/>
        <v>6.6272059579833211</v>
      </c>
      <c r="Y243" s="3">
        <f t="shared" si="52"/>
        <v>4.8769083968584745E-2</v>
      </c>
      <c r="Z243" s="1">
        <f t="shared" si="42"/>
        <v>0.10280979379454043</v>
      </c>
      <c r="AA243" s="8">
        <f t="shared" si="47"/>
        <v>19.249999999999996</v>
      </c>
      <c r="AB243" s="1">
        <v>19.329999999999998</v>
      </c>
      <c r="AC243" s="1">
        <v>2.2429999999999999E-2</v>
      </c>
      <c r="AD243" s="8">
        <f t="shared" si="43"/>
        <v>1.7944417781025346</v>
      </c>
      <c r="AE243" s="3">
        <f t="shared" si="44"/>
        <v>8.0001862599310518E-3</v>
      </c>
      <c r="AF243" s="11">
        <f t="shared" si="45"/>
        <v>19.249999999999996</v>
      </c>
      <c r="AG243" s="1">
        <f t="shared" si="46"/>
        <v>0.10280979379454043</v>
      </c>
    </row>
    <row r="244" spans="2:33" ht="15">
      <c r="B244" s="1">
        <v>233</v>
      </c>
      <c r="C244" s="1">
        <v>1.000320605606152</v>
      </c>
      <c r="D244" s="1">
        <v>1.1470868260977987</v>
      </c>
      <c r="E244" s="1">
        <v>0.87110383804689884</v>
      </c>
      <c r="G244" s="1">
        <v>0.99941941550246216</v>
      </c>
      <c r="H244" s="1">
        <v>3.2727598474590454</v>
      </c>
      <c r="I244" s="1">
        <v>0.27277779000823515</v>
      </c>
      <c r="K244" s="1">
        <v>1.000842855423296</v>
      </c>
      <c r="L244" s="1">
        <v>2.1302849737382754</v>
      </c>
      <c r="M244" s="1">
        <v>0.44717850307711804</v>
      </c>
      <c r="O244" s="1">
        <v>2.2284421839814522E-2</v>
      </c>
      <c r="P244" s="1">
        <v>0.64876210175198035</v>
      </c>
      <c r="R244" s="1">
        <v>3.2781815226203749E-2</v>
      </c>
      <c r="S244" s="2">
        <f t="shared" si="48"/>
        <v>0.45412066708833909</v>
      </c>
      <c r="T244" s="4">
        <f t="shared" si="49"/>
        <v>0.20622558027675811</v>
      </c>
      <c r="U244" s="1">
        <f t="shared" si="41"/>
        <v>0.12617871168901976</v>
      </c>
      <c r="V244" s="6">
        <f>2*sigma/alpha*corel*(B244/12-1/alpha*(1-EXP(-alpha*Output!B244/12)))</f>
        <v>0.69398590422317141</v>
      </c>
      <c r="W244" s="5">
        <f t="shared" si="50"/>
        <v>-8.0046868587738351E-2</v>
      </c>
      <c r="X244" s="1">
        <f t="shared" si="51"/>
        <v>6.6985898955747984</v>
      </c>
      <c r="Y244" s="3">
        <f t="shared" si="52"/>
        <v>4.8777103445130351E-2</v>
      </c>
      <c r="Z244" s="1">
        <f t="shared" si="42"/>
        <v>0.10305852671378882</v>
      </c>
      <c r="AA244" s="8">
        <f t="shared" si="47"/>
        <v>19.333333333333329</v>
      </c>
      <c r="AB244" s="1">
        <v>19.420000000000002</v>
      </c>
      <c r="AC244" s="1">
        <v>2.2464600000000001E-2</v>
      </c>
      <c r="AD244" s="8">
        <f t="shared" si="43"/>
        <v>1.8017816018547905</v>
      </c>
      <c r="AE244" s="3">
        <f t="shared" si="44"/>
        <v>8.0205372090079077E-3</v>
      </c>
      <c r="AF244" s="11">
        <f t="shared" si="45"/>
        <v>19.333333333333329</v>
      </c>
      <c r="AG244" s="1">
        <f t="shared" si="46"/>
        <v>0.10305852671378882</v>
      </c>
    </row>
    <row r="245" spans="2:33" ht="15">
      <c r="B245" s="1">
        <v>234</v>
      </c>
      <c r="C245" s="1">
        <v>1.0003212884846819</v>
      </c>
      <c r="D245" s="1">
        <v>1.1460893340635101</v>
      </c>
      <c r="E245" s="1">
        <v>0.87186039343461386</v>
      </c>
      <c r="G245" s="1">
        <v>0.99929847486050183</v>
      </c>
      <c r="H245" s="1">
        <v>3.2251784557201129</v>
      </c>
      <c r="I245" s="1">
        <v>0.27666808492998995</v>
      </c>
      <c r="K245" s="1">
        <v>1.0008244866927072</v>
      </c>
      <c r="L245" s="1">
        <v>2.2045171310295819</v>
      </c>
      <c r="M245" s="1">
        <v>0.43203075695973087</v>
      </c>
      <c r="O245" s="1">
        <v>2.2317393662281249E-2</v>
      </c>
      <c r="P245" s="1">
        <v>0.64714223145042604</v>
      </c>
      <c r="R245" s="1">
        <v>3.2825420993861203E-2</v>
      </c>
      <c r="S245" s="2">
        <f t="shared" si="48"/>
        <v>0.45624833970098488</v>
      </c>
      <c r="T245" s="4">
        <f t="shared" si="49"/>
        <v>0.20816254747990531</v>
      </c>
      <c r="U245" s="1">
        <f t="shared" si="41"/>
        <v>0.12758069614563272</v>
      </c>
      <c r="V245" s="6">
        <f>2*sigma/alpha*corel*(B245/12-1/alpha*(1-EXP(-alpha*Output!B245/12)))</f>
        <v>0.6993903455895778</v>
      </c>
      <c r="W245" s="5">
        <f t="shared" si="50"/>
        <v>-8.0581851334272592E-2</v>
      </c>
      <c r="X245" s="1">
        <f t="shared" si="51"/>
        <v>6.7745312595771718</v>
      </c>
      <c r="Y245" s="3">
        <f t="shared" si="52"/>
        <v>4.880519557107476E-2</v>
      </c>
      <c r="Z245" s="1">
        <f t="shared" si="42"/>
        <v>0.10331990338200543</v>
      </c>
      <c r="AA245" s="8">
        <f t="shared" si="47"/>
        <v>19.416666666666661</v>
      </c>
      <c r="AB245" s="1">
        <v>19.5</v>
      </c>
      <c r="AC245" s="1">
        <v>2.2498299999999999E-2</v>
      </c>
      <c r="AD245" s="8">
        <f t="shared" si="43"/>
        <v>1.8090633771875031</v>
      </c>
      <c r="AE245" s="3">
        <f t="shared" si="44"/>
        <v>8.0408892102403432E-3</v>
      </c>
      <c r="AF245" s="11">
        <f t="shared" si="45"/>
        <v>19.416666666666661</v>
      </c>
      <c r="AG245" s="1">
        <f t="shared" si="46"/>
        <v>0.10331990338200543</v>
      </c>
    </row>
    <row r="246" spans="2:33" ht="15">
      <c r="B246" s="1">
        <v>235</v>
      </c>
      <c r="C246" s="1">
        <v>1.0003165555999491</v>
      </c>
      <c r="D246" s="1">
        <v>1.1492458451799223</v>
      </c>
      <c r="E246" s="1">
        <v>0.86946414945881534</v>
      </c>
      <c r="G246" s="1">
        <v>0.99875879968178416</v>
      </c>
      <c r="H246" s="1">
        <v>3.2963614732882704</v>
      </c>
      <c r="I246" s="1">
        <v>0.27056253385508822</v>
      </c>
      <c r="K246" s="1">
        <v>1.0008268874923774</v>
      </c>
      <c r="L246" s="1">
        <v>2.1979030879085579</v>
      </c>
      <c r="M246" s="1">
        <v>0.43324057807702343</v>
      </c>
      <c r="O246" s="1">
        <v>2.2349213924876158E-2</v>
      </c>
      <c r="P246" s="1">
        <v>0.64553741598565473</v>
      </c>
      <c r="R246" s="1">
        <v>3.2901688920090717E-2</v>
      </c>
      <c r="S246" s="2">
        <f t="shared" si="48"/>
        <v>0.45852857966142657</v>
      </c>
      <c r="T246" s="4">
        <f t="shared" si="49"/>
        <v>0.21024845836632522</v>
      </c>
      <c r="U246" s="1">
        <f t="shared" si="41"/>
        <v>0.12899130719908991</v>
      </c>
      <c r="V246" s="6">
        <f>2*sigma/alpha*corel*(B246/12-1/alpha*(1-EXP(-alpha*Output!B246/12)))</f>
        <v>0.70481138860492776</v>
      </c>
      <c r="W246" s="5">
        <f t="shared" si="50"/>
        <v>-8.1257151167235309E-2</v>
      </c>
      <c r="X246" s="1">
        <f t="shared" si="51"/>
        <v>6.8619026016073059</v>
      </c>
      <c r="Y246" s="3">
        <f t="shared" si="52"/>
        <v>4.8886262943605527E-2</v>
      </c>
      <c r="Z246" s="1">
        <f t="shared" si="42"/>
        <v>0.10361511227155232</v>
      </c>
      <c r="AA246" s="8">
        <f t="shared" si="47"/>
        <v>19.499999999999993</v>
      </c>
      <c r="AB246" s="1">
        <v>19.579999999999998</v>
      </c>
      <c r="AC246" s="1">
        <v>2.2530700000000001E-2</v>
      </c>
      <c r="AD246" s="8">
        <f t="shared" si="43"/>
        <v>1.8148607512384272</v>
      </c>
      <c r="AE246" s="3">
        <f t="shared" si="44"/>
        <v>8.0550571053647994E-3</v>
      </c>
      <c r="AF246" s="11">
        <f t="shared" si="45"/>
        <v>19.499999999999993</v>
      </c>
      <c r="AG246" s="1">
        <f t="shared" si="46"/>
        <v>0.10361511227155232</v>
      </c>
    </row>
    <row r="247" spans="2:33" ht="15">
      <c r="B247" s="1">
        <v>236</v>
      </c>
      <c r="C247" s="1">
        <v>1.0003214740001505</v>
      </c>
      <c r="D247" s="1">
        <v>1.1546650992720577</v>
      </c>
      <c r="E247" s="1">
        <v>0.8653818561349097</v>
      </c>
      <c r="G247" s="1">
        <v>0.99898747929703624</v>
      </c>
      <c r="H247" s="1">
        <v>3.4669485745976165</v>
      </c>
      <c r="I247" s="1">
        <v>0.25712527194342749</v>
      </c>
      <c r="K247" s="1">
        <v>1.0007214325326623</v>
      </c>
      <c r="L247" s="1">
        <v>2.1841693222739802</v>
      </c>
      <c r="M247" s="1">
        <v>0.43587392060822339</v>
      </c>
      <c r="O247" s="1">
        <v>2.2379497430786873E-2</v>
      </c>
      <c r="P247" s="1">
        <v>0.64395262700237732</v>
      </c>
      <c r="R247" s="1">
        <v>3.2859436007104725E-2</v>
      </c>
      <c r="S247" s="2">
        <f t="shared" si="48"/>
        <v>0.46019087935227188</v>
      </c>
      <c r="T247" s="4">
        <f t="shared" si="49"/>
        <v>0.21177564543901725</v>
      </c>
      <c r="U247" s="1">
        <f t="shared" si="41"/>
        <v>0.13041054799375981</v>
      </c>
      <c r="V247" s="6">
        <f>2*sigma/alpha*corel*(B247/12-1/alpha*(1-EXP(-alpha*Output!B247/12)))</f>
        <v>0.71024898860608765</v>
      </c>
      <c r="W247" s="5">
        <f t="shared" si="50"/>
        <v>-8.1365097445257439E-2</v>
      </c>
      <c r="X247" s="1">
        <f t="shared" si="51"/>
        <v>6.9051746248428891</v>
      </c>
      <c r="Y247" s="3">
        <f t="shared" si="52"/>
        <v>4.8750531536748867E-2</v>
      </c>
      <c r="Z247" s="1">
        <f t="shared" si="42"/>
        <v>0.10377019397647926</v>
      </c>
      <c r="AA247" s="8">
        <f t="shared" si="47"/>
        <v>19.583333333333325</v>
      </c>
      <c r="AB247" s="1">
        <v>19.670000000000002</v>
      </c>
      <c r="AC247" s="1">
        <v>2.2561500000000002E-2</v>
      </c>
      <c r="AD247" s="8">
        <f t="shared" si="43"/>
        <v>1.8200256921312858</v>
      </c>
      <c r="AE247" s="3">
        <f t="shared" si="44"/>
        <v>8.0669534035028058E-3</v>
      </c>
      <c r="AF247" s="11">
        <f t="shared" si="45"/>
        <v>19.583333333333325</v>
      </c>
      <c r="AG247" s="1">
        <f t="shared" si="46"/>
        <v>0.10377019397647926</v>
      </c>
    </row>
    <row r="248" spans="2:33" ht="15">
      <c r="B248" s="1">
        <v>237</v>
      </c>
      <c r="C248" s="1">
        <v>1.0003217104495812</v>
      </c>
      <c r="D248" s="1">
        <v>1.1492278618162468</v>
      </c>
      <c r="E248" s="1">
        <v>0.86947456469112905</v>
      </c>
      <c r="G248" s="1">
        <v>0.99882380403474313</v>
      </c>
      <c r="H248" s="1">
        <v>3.321882431836169</v>
      </c>
      <c r="I248" s="1">
        <v>0.26822397023860661</v>
      </c>
      <c r="K248" s="1">
        <v>1.0007182041214109</v>
      </c>
      <c r="L248" s="1">
        <v>2.1660680611393954</v>
      </c>
      <c r="M248" s="1">
        <v>0.43942484804961401</v>
      </c>
      <c r="O248" s="1">
        <v>2.240783395128159E-2</v>
      </c>
      <c r="P248" s="1">
        <v>0.64239318790560185</v>
      </c>
      <c r="R248" s="1">
        <v>3.2957508577761849E-2</v>
      </c>
      <c r="S248" s="2">
        <f t="shared" si="48"/>
        <v>0.46253873773727416</v>
      </c>
      <c r="T248" s="4">
        <f t="shared" si="49"/>
        <v>0.2139420839075909</v>
      </c>
      <c r="U248" s="1">
        <f t="shared" si="41"/>
        <v>0.13183842152394984</v>
      </c>
      <c r="V248" s="6">
        <f>2*sigma/alpha*corel*(B248/12-1/alpha*(1-EXP(-alpha*Output!B248/12)))</f>
        <v>0.71570310105007884</v>
      </c>
      <c r="W248" s="5">
        <f t="shared" si="50"/>
        <v>-8.2103662383641057E-2</v>
      </c>
      <c r="X248" s="1">
        <f t="shared" si="51"/>
        <v>6.9984202571603422</v>
      </c>
      <c r="Y248" s="3">
        <f t="shared" si="52"/>
        <v>4.8854421514785779E-2</v>
      </c>
      <c r="Z248" s="1">
        <f t="shared" si="42"/>
        <v>0.1040793475075605</v>
      </c>
      <c r="AA248" s="8">
        <f t="shared" si="47"/>
        <v>19.666666666666657</v>
      </c>
      <c r="AB248" s="1">
        <v>19.75</v>
      </c>
      <c r="AC248" s="1">
        <v>2.2590200000000001E-2</v>
      </c>
      <c r="AD248" s="8">
        <f t="shared" si="43"/>
        <v>1.8236604871841102</v>
      </c>
      <c r="AE248" s="3">
        <f t="shared" si="44"/>
        <v>8.0727947835083792E-3</v>
      </c>
      <c r="AF248" s="11">
        <f t="shared" si="45"/>
        <v>19.666666666666657</v>
      </c>
      <c r="AG248" s="1">
        <f t="shared" si="46"/>
        <v>0.1040793475075605</v>
      </c>
    </row>
    <row r="249" spans="2:33" ht="15">
      <c r="B249" s="1">
        <v>238</v>
      </c>
      <c r="C249" s="1">
        <v>1.0003248670611777</v>
      </c>
      <c r="D249" s="1">
        <v>1.1485673290074447</v>
      </c>
      <c r="E249" s="1">
        <v>0.86997299995835342</v>
      </c>
      <c r="G249" s="1">
        <v>0.99891237320589121</v>
      </c>
      <c r="H249" s="1">
        <v>3.2744026098485715</v>
      </c>
      <c r="I249" s="1">
        <v>0.27198155406395336</v>
      </c>
      <c r="K249" s="1">
        <v>1.0007966644416273</v>
      </c>
      <c r="L249" s="1">
        <v>2.1663455008998072</v>
      </c>
      <c r="M249" s="1">
        <v>0.43927704606008855</v>
      </c>
      <c r="O249" s="1">
        <v>2.2433856726334425E-2</v>
      </c>
      <c r="P249" s="1">
        <v>0.64086390685266181</v>
      </c>
      <c r="R249" s="1">
        <v>3.3130820147034043E-2</v>
      </c>
      <c r="S249" s="2">
        <f t="shared" si="48"/>
        <v>0.46523946173948316</v>
      </c>
      <c r="T249" s="4">
        <f t="shared" si="49"/>
        <v>0.21644775675964401</v>
      </c>
      <c r="U249" s="1">
        <f t="shared" ref="U249:U312" si="53">sigma*sigma/alpha/alpha*(B249/12+2/alpha*EXP(-alpha*B249/12)-1/2/alpha*EXP(-2*alpha*B249/12)-3/2/alpha)</f>
        <v>0.13327493063507265</v>
      </c>
      <c r="V249" s="6">
        <f>2*sigma/alpha*corel*(B249/12-1/alpha*(1-EXP(-alpha*Output!B249/12)))</f>
        <v>0.72117368151375671</v>
      </c>
      <c r="W249" s="5">
        <f t="shared" si="50"/>
        <v>-8.3172826124571358E-2</v>
      </c>
      <c r="X249" s="1">
        <f t="shared" si="51"/>
        <v>7.1184690181240997</v>
      </c>
      <c r="Y249" s="3">
        <f t="shared" si="52"/>
        <v>4.9080812673035559E-2</v>
      </c>
      <c r="Z249" s="1">
        <f t="shared" si="42"/>
        <v>0.10446689558704948</v>
      </c>
      <c r="AA249" s="8">
        <f t="shared" si="47"/>
        <v>19.749999999999989</v>
      </c>
      <c r="AB249" s="1">
        <v>19.829999999999998</v>
      </c>
      <c r="AC249" s="1">
        <v>2.2616600000000001E-2</v>
      </c>
      <c r="AD249" s="8">
        <f t="shared" si="43"/>
        <v>1.8274327366557541</v>
      </c>
      <c r="AE249" s="3">
        <f t="shared" si="44"/>
        <v>8.0800506559595784E-3</v>
      </c>
      <c r="AF249" s="11">
        <f t="shared" si="45"/>
        <v>19.749999999999989</v>
      </c>
      <c r="AG249" s="1">
        <f t="shared" si="46"/>
        <v>0.10446689558704948</v>
      </c>
    </row>
    <row r="250" spans="2:33" ht="15">
      <c r="B250" s="1">
        <v>239</v>
      </c>
      <c r="C250" s="1">
        <v>1.0003277903352361</v>
      </c>
      <c r="D250" s="1">
        <v>1.1452767631467364</v>
      </c>
      <c r="E250" s="1">
        <v>0.87247097757205982</v>
      </c>
      <c r="G250" s="1">
        <v>0.9989635960246378</v>
      </c>
      <c r="H250" s="1">
        <v>3.2155453438146182</v>
      </c>
      <c r="I250" s="1">
        <v>0.27682580946734042</v>
      </c>
      <c r="K250" s="1">
        <v>1.000860734701738</v>
      </c>
      <c r="L250" s="1">
        <v>2.1665129637572242</v>
      </c>
      <c r="M250" s="1">
        <v>0.43915159242641949</v>
      </c>
      <c r="O250" s="1">
        <v>2.2457019915416255E-2</v>
      </c>
      <c r="P250" s="1">
        <v>0.63937190689933954</v>
      </c>
      <c r="R250" s="1">
        <v>3.3281549050505274E-2</v>
      </c>
      <c r="S250" s="2">
        <f t="shared" si="48"/>
        <v>0.4677878941076552</v>
      </c>
      <c r="T250" s="4">
        <f t="shared" si="49"/>
        <v>0.21882551387367483</v>
      </c>
      <c r="U250" s="1">
        <f t="shared" si="53"/>
        <v>0.13472007802480609</v>
      </c>
      <c r="V250" s="6">
        <f>2*sigma/alpha*corel*(B250/12-1/alpha*(1-EXP(-alpha*Output!B250/12)))</f>
        <v>0.72666068569348841</v>
      </c>
      <c r="W250" s="5">
        <f t="shared" si="50"/>
        <v>-8.4105435848868731E-2</v>
      </c>
      <c r="X250" s="1">
        <f t="shared" si="51"/>
        <v>7.2284354747590731</v>
      </c>
      <c r="Y250" s="3">
        <f t="shared" si="52"/>
        <v>4.9253078759422753E-2</v>
      </c>
      <c r="Z250" s="1">
        <f t="shared" si="42"/>
        <v>0.10481915421282326</v>
      </c>
      <c r="AA250" s="8">
        <f t="shared" si="47"/>
        <v>19.833333333333321</v>
      </c>
      <c r="AB250" s="1">
        <v>19.920000000000002</v>
      </c>
      <c r="AC250" s="1">
        <v>2.2640199999999999E-2</v>
      </c>
      <c r="AD250" s="8">
        <f t="shared" si="43"/>
        <v>1.8318008458374433</v>
      </c>
      <c r="AE250" s="3">
        <f t="shared" si="44"/>
        <v>8.0909216607514215E-3</v>
      </c>
      <c r="AF250" s="11">
        <f t="shared" si="45"/>
        <v>19.833333333333321</v>
      </c>
      <c r="AG250" s="1">
        <f t="shared" si="46"/>
        <v>0.10481915421282326</v>
      </c>
    </row>
    <row r="251" spans="2:33" ht="15">
      <c r="B251" s="1">
        <v>240</v>
      </c>
      <c r="C251" s="1">
        <v>1.0003331529000774</v>
      </c>
      <c r="D251" s="1">
        <v>1.1455510282677543</v>
      </c>
      <c r="E251" s="1">
        <v>0.8722604988091589</v>
      </c>
      <c r="G251" s="1">
        <v>0.99924053060535301</v>
      </c>
      <c r="H251" s="1">
        <v>3.2155676208957797</v>
      </c>
      <c r="I251" s="1">
        <v>0.27668987130812173</v>
      </c>
      <c r="K251" s="1">
        <v>1.0008392972245599</v>
      </c>
      <c r="L251" s="1">
        <v>2.2078298973786001</v>
      </c>
      <c r="M251" s="1">
        <v>0.43084361975296215</v>
      </c>
      <c r="O251" s="1">
        <v>2.2477081173149789E-2</v>
      </c>
      <c r="P251" s="1">
        <v>0.63792049240176862</v>
      </c>
      <c r="R251" s="1">
        <v>3.3281367271375276E-2</v>
      </c>
      <c r="S251" s="2">
        <f t="shared" si="48"/>
        <v>0.46952492782752342</v>
      </c>
      <c r="T251" s="4">
        <f t="shared" si="49"/>
        <v>0.22045365785144108</v>
      </c>
      <c r="U251" s="1">
        <f t="shared" si="53"/>
        <v>0.13617386624423822</v>
      </c>
      <c r="V251" s="6">
        <f>2*sigma/alpha*corel*(B251/12-1/alpha*(1-EXP(-alpha*Output!B251/12)))</f>
        <v>0.73216406940482859</v>
      </c>
      <c r="W251" s="5">
        <f t="shared" si="50"/>
        <v>-8.4279791607202864E-2</v>
      </c>
      <c r="X251" s="1">
        <f t="shared" si="51"/>
        <v>7.2784475531036676</v>
      </c>
      <c r="Y251" s="3">
        <f t="shared" si="52"/>
        <v>4.9142393508811652E-2</v>
      </c>
      <c r="Z251" s="1">
        <f t="shared" si="42"/>
        <v>0.1049889655753025</v>
      </c>
      <c r="AA251" s="8">
        <f t="shared" si="47"/>
        <v>19.916666666666654</v>
      </c>
      <c r="AB251" s="1">
        <v>20</v>
      </c>
      <c r="AC251" s="1">
        <v>2.2660699999999999E-2</v>
      </c>
      <c r="AD251" s="8">
        <f t="shared" si="43"/>
        <v>1.836188268502098</v>
      </c>
      <c r="AE251" s="3">
        <f t="shared" si="44"/>
        <v>8.1029635823346071E-3</v>
      </c>
      <c r="AF251" s="11">
        <f t="shared" si="45"/>
        <v>19.916666666666654</v>
      </c>
      <c r="AG251" s="1">
        <f t="shared" si="46"/>
        <v>0.1049889655753025</v>
      </c>
    </row>
    <row r="252" spans="2:33" ht="15">
      <c r="B252" s="1">
        <v>241</v>
      </c>
      <c r="C252" s="1">
        <v>1.0003373219044509</v>
      </c>
      <c r="D252" s="1">
        <v>1.1531536696638924</v>
      </c>
      <c r="E252" s="1">
        <v>0.86650817996388385</v>
      </c>
      <c r="G252" s="1">
        <v>0.99941237149887852</v>
      </c>
      <c r="H252" s="1">
        <v>3.3896625896577102</v>
      </c>
      <c r="I252" s="1">
        <v>0.2623518512590044</v>
      </c>
      <c r="K252" s="1">
        <v>1.0008293089393747</v>
      </c>
      <c r="L252" s="1">
        <v>2.2519171093169352</v>
      </c>
      <c r="M252" s="1">
        <v>0.42232072779958274</v>
      </c>
      <c r="O252" s="1">
        <v>2.2493731674377165E-2</v>
      </c>
      <c r="P252" s="1">
        <v>0.63651384393491439</v>
      </c>
      <c r="R252" s="1">
        <v>3.3264234428321826E-2</v>
      </c>
      <c r="S252" s="2">
        <f t="shared" si="48"/>
        <v>0.47112500718497485</v>
      </c>
      <c r="T252" s="4">
        <f t="shared" si="49"/>
        <v>0.22195877239504261</v>
      </c>
      <c r="U252" s="1">
        <f t="shared" si="53"/>
        <v>0.13763629769901495</v>
      </c>
      <c r="V252" s="6">
        <f>2*sigma/alpha*corel*(B252/12-1/alpha*(1-EXP(-alpha*Output!B252/12)))</f>
        <v>0.73768378858220174</v>
      </c>
      <c r="W252" s="5">
        <f t="shared" si="50"/>
        <v>-8.4322474696027661E-2</v>
      </c>
      <c r="X252" s="1">
        <f t="shared" si="51"/>
        <v>7.3180828391845463</v>
      </c>
      <c r="Y252" s="3">
        <f t="shared" si="52"/>
        <v>4.8983694731858325E-2</v>
      </c>
      <c r="Z252" s="1">
        <f t="shared" si="42"/>
        <v>0.10512796527047802</v>
      </c>
      <c r="AA252" s="8">
        <f t="shared" si="47"/>
        <v>19.999999999999986</v>
      </c>
      <c r="AB252" s="1">
        <v>20.079999999999998</v>
      </c>
      <c r="AC252" s="1">
        <v>2.2677800000000001E-2</v>
      </c>
      <c r="AD252" s="8">
        <f t="shared" si="43"/>
        <v>1.8406832562283677</v>
      </c>
      <c r="AE252" s="3">
        <f t="shared" si="44"/>
        <v>8.1166747049024497E-3</v>
      </c>
      <c r="AF252" s="11">
        <f t="shared" si="45"/>
        <v>19.999999999999986</v>
      </c>
      <c r="AG252" s="1">
        <f t="shared" si="46"/>
        <v>0.10512796527047802</v>
      </c>
    </row>
    <row r="253" spans="2:33" ht="15">
      <c r="B253" s="1">
        <v>242</v>
      </c>
      <c r="C253" s="1">
        <v>1.0003389169613055</v>
      </c>
      <c r="D253" s="1">
        <v>1.1522606392071275</v>
      </c>
      <c r="E253" s="1">
        <v>0.86717816395198766</v>
      </c>
      <c r="G253" s="1">
        <v>0.99938321499113369</v>
      </c>
      <c r="H253" s="1">
        <v>3.3638725653485295</v>
      </c>
      <c r="I253" s="1">
        <v>0.26423525811481163</v>
      </c>
      <c r="K253" s="1">
        <v>1.0008627861243264</v>
      </c>
      <c r="L253" s="1">
        <v>2.3362232416280344</v>
      </c>
      <c r="M253" s="1">
        <v>0.40699584902791391</v>
      </c>
      <c r="O253" s="1">
        <v>2.2507238722009791E-2</v>
      </c>
      <c r="P253" s="1">
        <v>0.63514879742007135</v>
      </c>
      <c r="R253" s="1">
        <v>3.3335931683236689E-2</v>
      </c>
      <c r="S253" s="2">
        <f t="shared" si="48"/>
        <v>0.47313331497169919</v>
      </c>
      <c r="T253" s="4">
        <f t="shared" si="49"/>
        <v>0.2238551337361091</v>
      </c>
      <c r="U253" s="1">
        <f t="shared" si="53"/>
        <v>0.13910737465047263</v>
      </c>
      <c r="V253" s="6">
        <f>2*sigma/alpha*corel*(B253/12-1/alpha*(1-EXP(-alpha*Output!B253/12)))</f>
        <v>0.74321979927858195</v>
      </c>
      <c r="W253" s="5">
        <f t="shared" si="50"/>
        <v>-8.4747759085636476E-2</v>
      </c>
      <c r="X253" s="1">
        <f t="shared" si="51"/>
        <v>7.3886949029477051</v>
      </c>
      <c r="Y253" s="3">
        <f t="shared" si="52"/>
        <v>4.8966832811909403E-2</v>
      </c>
      <c r="Z253" s="1">
        <f t="shared" si="42"/>
        <v>0.1053577456356527</v>
      </c>
      <c r="AA253" s="8">
        <f t="shared" si="47"/>
        <v>20.083333333333318</v>
      </c>
      <c r="AB253" s="1">
        <v>20.170000000000002</v>
      </c>
      <c r="AC253" s="1">
        <v>2.2691800000000002E-2</v>
      </c>
      <c r="AD253" s="8">
        <f t="shared" si="43"/>
        <v>1.8456127799021047</v>
      </c>
      <c r="AE253" s="3">
        <f t="shared" si="44"/>
        <v>8.1333908279735603E-3</v>
      </c>
      <c r="AF253" s="11">
        <f t="shared" si="45"/>
        <v>20.083333333333318</v>
      </c>
      <c r="AG253" s="1">
        <f t="shared" si="46"/>
        <v>0.1053577456356527</v>
      </c>
    </row>
    <row r="254" spans="2:33" ht="15">
      <c r="B254" s="1">
        <v>243</v>
      </c>
      <c r="C254" s="1">
        <v>1.0003415484387257</v>
      </c>
      <c r="D254" s="1">
        <v>1.1528276099122274</v>
      </c>
      <c r="E254" s="1">
        <v>0.86675009913061041</v>
      </c>
      <c r="G254" s="1">
        <v>0.99942941536211416</v>
      </c>
      <c r="H254" s="1">
        <v>3.3768232956517275</v>
      </c>
      <c r="I254" s="1">
        <v>0.2630944391312291</v>
      </c>
      <c r="K254" s="1">
        <v>1.0008988342336238</v>
      </c>
      <c r="L254" s="1">
        <v>2.3381195783955948</v>
      </c>
      <c r="M254" s="1">
        <v>0.40658104103031451</v>
      </c>
      <c r="O254" s="1">
        <v>2.2518075298240531E-2</v>
      </c>
      <c r="P254" s="1">
        <v>0.63381952573676503</v>
      </c>
      <c r="R254" s="1">
        <v>3.3420117618768945E-2</v>
      </c>
      <c r="S254" s="2">
        <f t="shared" si="48"/>
        <v>0.47516725184660336</v>
      </c>
      <c r="T254" s="4">
        <f t="shared" si="49"/>
        <v>0.22578391722745339</v>
      </c>
      <c r="U254" s="1">
        <f t="shared" si="53"/>
        <v>0.14058709921677037</v>
      </c>
      <c r="V254" s="6">
        <f>2*sigma/alpha*corel*(B254/12-1/alpha*(1-EXP(-alpha*Output!B254/12)))</f>
        <v>0.74877205766517074</v>
      </c>
      <c r="W254" s="5">
        <f t="shared" si="50"/>
        <v>-8.5196818010683018E-2</v>
      </c>
      <c r="X254" s="1">
        <f t="shared" si="51"/>
        <v>7.4616018532054582</v>
      </c>
      <c r="Y254" s="3">
        <f t="shared" si="52"/>
        <v>4.8958548726129647E-2</v>
      </c>
      <c r="Z254" s="1">
        <f t="shared" si="42"/>
        <v>0.10559272263257852</v>
      </c>
      <c r="AA254" s="8">
        <f t="shared" si="47"/>
        <v>20.16666666666665</v>
      </c>
      <c r="AB254" s="1">
        <v>20.25</v>
      </c>
      <c r="AC254" s="1">
        <v>2.2703000000000001E-2</v>
      </c>
      <c r="AD254" s="8">
        <f t="shared" si="43"/>
        <v>1.8492470175946949</v>
      </c>
      <c r="AE254" s="3">
        <f t="shared" si="44"/>
        <v>8.1453861498246693E-3</v>
      </c>
      <c r="AF254" s="11">
        <f t="shared" si="45"/>
        <v>20.16666666666665</v>
      </c>
      <c r="AG254" s="1">
        <f t="shared" si="46"/>
        <v>0.10559272263257852</v>
      </c>
    </row>
    <row r="255" spans="2:33" ht="15">
      <c r="B255" s="1">
        <v>244</v>
      </c>
      <c r="C255" s="1">
        <v>1.0003442977872463</v>
      </c>
      <c r="D255" s="1">
        <v>1.1525546083699043</v>
      </c>
      <c r="E255" s="1">
        <v>0.86695382536593635</v>
      </c>
      <c r="G255" s="1">
        <v>0.99948575614086876</v>
      </c>
      <c r="H255" s="1">
        <v>3.3894414001697077</v>
      </c>
      <c r="I255" s="1">
        <v>0.2619881086787747</v>
      </c>
      <c r="K255" s="1">
        <v>1.0009354138672084</v>
      </c>
      <c r="L255" s="1">
        <v>2.2897045080476066</v>
      </c>
      <c r="M255" s="1">
        <v>0.41509158065650958</v>
      </c>
      <c r="O255" s="1">
        <v>2.252662487211857E-2</v>
      </c>
      <c r="P255" s="1">
        <v>0.63252130674167106</v>
      </c>
      <c r="R255" s="1">
        <v>3.3559336088304872E-2</v>
      </c>
      <c r="S255" s="2">
        <f t="shared" si="48"/>
        <v>0.47745115881314359</v>
      </c>
      <c r="T255" s="4">
        <f t="shared" si="49"/>
        <v>0.22795960905201368</v>
      </c>
      <c r="U255" s="1">
        <f t="shared" si="53"/>
        <v>0.14207547337400875</v>
      </c>
      <c r="V255" s="6">
        <f>2*sigma/alpha*corel*(B255/12-1/alpha*(1-EXP(-alpha*Output!B255/12)))</f>
        <v>0.75434052003108398</v>
      </c>
      <c r="W255" s="5">
        <f t="shared" si="50"/>
        <v>-8.588413567800493E-2</v>
      </c>
      <c r="X255" s="1">
        <f t="shared" si="51"/>
        <v>7.5542726553051667</v>
      </c>
      <c r="Y255" s="3">
        <f t="shared" si="52"/>
        <v>4.9036799804426184E-2</v>
      </c>
      <c r="Z255" s="1">
        <f t="shared" si="42"/>
        <v>0.10588261573097568</v>
      </c>
      <c r="AA255" s="8">
        <f t="shared" si="47"/>
        <v>20.249999999999982</v>
      </c>
      <c r="AB255" s="1">
        <v>20.329999999999998</v>
      </c>
      <c r="AC255" s="1">
        <v>2.2711800000000001E-2</v>
      </c>
      <c r="AD255" s="8">
        <f t="shared" si="43"/>
        <v>1.8517512788143038</v>
      </c>
      <c r="AE255" s="3">
        <f t="shared" si="44"/>
        <v>8.1532563637153541E-3</v>
      </c>
      <c r="AF255" s="11">
        <f t="shared" si="45"/>
        <v>20.249999999999982</v>
      </c>
      <c r="AG255" s="1">
        <f t="shared" si="46"/>
        <v>0.10588261573097568</v>
      </c>
    </row>
    <row r="256" spans="2:33" ht="15">
      <c r="B256" s="1">
        <v>245</v>
      </c>
      <c r="C256" s="1">
        <v>1.0003456307955412</v>
      </c>
      <c r="D256" s="1">
        <v>1.1549463795899693</v>
      </c>
      <c r="E256" s="1">
        <v>0.86515688292159476</v>
      </c>
      <c r="G256" s="1">
        <v>0.99942879349141656</v>
      </c>
      <c r="H256" s="1">
        <v>3.4517807931951454</v>
      </c>
      <c r="I256" s="1">
        <v>0.25713204891674085</v>
      </c>
      <c r="K256" s="1">
        <v>1.0010186119685172</v>
      </c>
      <c r="L256" s="1">
        <v>2.3224083304248144</v>
      </c>
      <c r="M256" s="1">
        <v>0.40916106965807564</v>
      </c>
      <c r="O256" s="1">
        <v>2.253321096290959E-2</v>
      </c>
      <c r="P256" s="1">
        <v>0.63125015227845271</v>
      </c>
      <c r="R256" s="1">
        <v>3.369517075926403E-2</v>
      </c>
      <c r="S256" s="2">
        <f t="shared" si="48"/>
        <v>0.47969008745529118</v>
      </c>
      <c r="T256" s="4">
        <f t="shared" si="49"/>
        <v>0.2301025800028649</v>
      </c>
      <c r="U256" s="1">
        <f t="shared" si="53"/>
        <v>0.14357249895734525</v>
      </c>
      <c r="V256" s="6">
        <f>2*sigma/alpha*corel*(B256/12-1/alpha*(1-EXP(-alpha*Output!B256/12)))</f>
        <v>0.7599251427830318</v>
      </c>
      <c r="W256" s="5">
        <f t="shared" si="50"/>
        <v>-8.6530081045519652E-2</v>
      </c>
      <c r="X256" s="1">
        <f t="shared" si="51"/>
        <v>7.644109508017916</v>
      </c>
      <c r="Y256" s="3">
        <f t="shared" si="52"/>
        <v>4.9098933879330939E-2</v>
      </c>
      <c r="Z256" s="1">
        <f t="shared" si="42"/>
        <v>0.10616181257457841</v>
      </c>
      <c r="AA256" s="8">
        <f t="shared" si="47"/>
        <v>20.333333333333314</v>
      </c>
      <c r="AB256" s="1">
        <v>20.420000000000002</v>
      </c>
      <c r="AC256" s="1">
        <v>2.2718599999999999E-2</v>
      </c>
      <c r="AD256" s="8">
        <f t="shared" si="43"/>
        <v>1.8538903709040822</v>
      </c>
      <c r="AE256" s="3">
        <f t="shared" si="44"/>
        <v>8.1602315763474962E-3</v>
      </c>
      <c r="AF256" s="11">
        <f t="shared" si="45"/>
        <v>20.333333333333314</v>
      </c>
      <c r="AG256" s="1">
        <f t="shared" si="46"/>
        <v>0.10616181257457841</v>
      </c>
    </row>
    <row r="257" spans="2:33" ht="15">
      <c r="B257" s="1">
        <v>246</v>
      </c>
      <c r="C257" s="1">
        <v>1.0003467447341357</v>
      </c>
      <c r="D257" s="1">
        <v>1.1549796989505239</v>
      </c>
      <c r="E257" s="1">
        <v>0.86513035274228522</v>
      </c>
      <c r="G257" s="1">
        <v>0.99933802697800933</v>
      </c>
      <c r="H257" s="1">
        <v>3.4641092042020896</v>
      </c>
      <c r="I257" s="1">
        <v>0.25609291051560662</v>
      </c>
      <c r="K257" s="1">
        <v>1.0009012462607134</v>
      </c>
      <c r="L257" s="1">
        <v>2.337902578201009</v>
      </c>
      <c r="M257" s="1">
        <v>0.40636472186283157</v>
      </c>
      <c r="O257" s="1">
        <v>2.2538164339971762E-2</v>
      </c>
      <c r="P257" s="1">
        <v>0.63000194709810553</v>
      </c>
      <c r="R257" s="1">
        <v>3.3840757151179152E-2</v>
      </c>
      <c r="S257" s="2">
        <f t="shared" si="48"/>
        <v>0.48195635898422384</v>
      </c>
      <c r="T257" s="4">
        <f t="shared" si="49"/>
        <v>0.23228193196533004</v>
      </c>
      <c r="U257" s="1">
        <f t="shared" si="53"/>
        <v>0.14507817766210307</v>
      </c>
      <c r="V257" s="6">
        <f>2*sigma/alpha*corel*(B257/12-1/alpha*(1-EXP(-alpha*Output!B257/12)))</f>
        <v>0.76552588244500042</v>
      </c>
      <c r="W257" s="5">
        <f t="shared" si="50"/>
        <v>-8.7203754303226966E-2</v>
      </c>
      <c r="X257" s="1">
        <f t="shared" si="51"/>
        <v>7.7367377295578077</v>
      </c>
      <c r="Y257" s="3">
        <f t="shared" si="52"/>
        <v>4.9170080608881894E-2</v>
      </c>
      <c r="Z257" s="1">
        <f t="shared" si="42"/>
        <v>0.10644635244820883</v>
      </c>
      <c r="AA257" s="8">
        <f t="shared" si="47"/>
        <v>20.416666666666647</v>
      </c>
      <c r="AB257" s="1">
        <v>20.5</v>
      </c>
      <c r="AC257" s="1">
        <v>2.2723799999999999E-2</v>
      </c>
      <c r="AD257" s="8">
        <f t="shared" si="43"/>
        <v>1.856356600282369</v>
      </c>
      <c r="AE257" s="3">
        <f t="shared" si="44"/>
        <v>8.1692172976455049E-3</v>
      </c>
      <c r="AF257" s="11">
        <f t="shared" si="45"/>
        <v>20.416666666666647</v>
      </c>
      <c r="AG257" s="1">
        <f t="shared" si="46"/>
        <v>0.10644635244820883</v>
      </c>
    </row>
    <row r="258" spans="2:33" ht="15">
      <c r="B258" s="1">
        <v>247</v>
      </c>
      <c r="C258" s="1">
        <v>1.0003457963193987</v>
      </c>
      <c r="D258" s="1">
        <v>1.1572761547056667</v>
      </c>
      <c r="E258" s="1">
        <v>0.86341205288781542</v>
      </c>
      <c r="G258" s="1">
        <v>0.9991059155634664</v>
      </c>
      <c r="H258" s="1">
        <v>3.5246173509483589</v>
      </c>
      <c r="I258" s="1">
        <v>0.25157464644567784</v>
      </c>
      <c r="K258" s="1">
        <v>1.0009814576766154</v>
      </c>
      <c r="L258" s="1">
        <v>2.3819708348771065</v>
      </c>
      <c r="M258" s="1">
        <v>0.39876358352670815</v>
      </c>
      <c r="O258" s="1">
        <v>2.2541982864373002E-2</v>
      </c>
      <c r="P258" s="1">
        <v>0.62877037829158722</v>
      </c>
      <c r="R258" s="1">
        <v>3.3926489376535106E-2</v>
      </c>
      <c r="S258" s="2">
        <f t="shared" si="48"/>
        <v>0.48389891480056202</v>
      </c>
      <c r="T258" s="4">
        <f t="shared" si="49"/>
        <v>0.23415815974516158</v>
      </c>
      <c r="U258" s="1">
        <f t="shared" si="53"/>
        <v>0.14659251104487397</v>
      </c>
      <c r="V258" s="6">
        <f>2*sigma/alpha*corel*(B258/12-1/alpha*(1-EXP(-alpha*Output!B258/12)))</f>
        <v>0.77114269565794169</v>
      </c>
      <c r="W258" s="5">
        <f t="shared" si="50"/>
        <v>-8.7565648700287602E-2</v>
      </c>
      <c r="X258" s="1">
        <f t="shared" si="51"/>
        <v>7.8042328000569432</v>
      </c>
      <c r="Y258" s="3">
        <f t="shared" si="52"/>
        <v>4.9128655945418986E-2</v>
      </c>
      <c r="Z258" s="1">
        <f t="shared" si="42"/>
        <v>0.10665882488988168</v>
      </c>
      <c r="AA258" s="8">
        <f t="shared" si="47"/>
        <v>20.499999999999979</v>
      </c>
      <c r="AB258" s="1">
        <v>20.58</v>
      </c>
      <c r="AC258" s="1">
        <v>2.2727600000000001E-2</v>
      </c>
      <c r="AD258" s="8">
        <f t="shared" si="43"/>
        <v>1.8561713562699824</v>
      </c>
      <c r="AE258" s="3">
        <f t="shared" si="44"/>
        <v>8.1670363622643044E-3</v>
      </c>
      <c r="AF258" s="11">
        <f t="shared" si="45"/>
        <v>20.499999999999979</v>
      </c>
      <c r="AG258" s="1">
        <f t="shared" si="46"/>
        <v>0.10665882488988168</v>
      </c>
    </row>
    <row r="259" spans="2:33" ht="15">
      <c r="B259" s="1">
        <v>248</v>
      </c>
      <c r="C259" s="1">
        <v>1.0003466558565506</v>
      </c>
      <c r="D259" s="1">
        <v>1.1566271814901634</v>
      </c>
      <c r="E259" s="1">
        <v>0.86389493867569245</v>
      </c>
      <c r="G259" s="1">
        <v>0.9990026292891685</v>
      </c>
      <c r="H259" s="1">
        <v>3.4955386939798077</v>
      </c>
      <c r="I259" s="1">
        <v>0.25354464978531627</v>
      </c>
      <c r="K259" s="1">
        <v>1.0010944494475844</v>
      </c>
      <c r="L259" s="1">
        <v>2.3715078485312091</v>
      </c>
      <c r="M259" s="1">
        <v>0.40043947704855964</v>
      </c>
      <c r="O259" s="1">
        <v>2.25449852320809E-2</v>
      </c>
      <c r="P259" s="1">
        <v>0.62755140262560938</v>
      </c>
      <c r="R259" s="1">
        <v>3.4040097657810589E-2</v>
      </c>
      <c r="S259" s="2">
        <f t="shared" si="48"/>
        <v>0.48597418768427314</v>
      </c>
      <c r="T259" s="4">
        <f t="shared" si="49"/>
        <v>0.23617091109538912</v>
      </c>
      <c r="U259" s="1">
        <f t="shared" si="53"/>
        <v>0.14811550052460784</v>
      </c>
      <c r="V259" s="6">
        <f>2*sigma/alpha*corel*(B259/12-1/alpha*(1-EXP(-alpha*Output!B259/12)))</f>
        <v>0.77677553917945497</v>
      </c>
      <c r="W259" s="5">
        <f t="shared" si="50"/>
        <v>-8.8055410570781284E-2</v>
      </c>
      <c r="X259" s="1">
        <f t="shared" si="51"/>
        <v>7.8826275121187868</v>
      </c>
      <c r="Y259" s="3">
        <f t="shared" si="52"/>
        <v>4.9132891876349859E-2</v>
      </c>
      <c r="Z259" s="1">
        <f t="shared" si="42"/>
        <v>0.10690006889811651</v>
      </c>
      <c r="AA259" s="8">
        <f t="shared" si="47"/>
        <v>20.583333333333311</v>
      </c>
      <c r="AB259" s="1">
        <v>20.67</v>
      </c>
      <c r="AC259" s="1">
        <v>2.27306E-2</v>
      </c>
      <c r="AD259" s="8">
        <f t="shared" si="43"/>
        <v>1.8561476791910045</v>
      </c>
      <c r="AE259" s="3">
        <f t="shared" si="44"/>
        <v>8.1658543073698207E-3</v>
      </c>
      <c r="AF259" s="11">
        <f t="shared" si="45"/>
        <v>20.583333333333311</v>
      </c>
      <c r="AG259" s="1">
        <f t="shared" si="46"/>
        <v>0.10690006889811651</v>
      </c>
    </row>
    <row r="260" spans="2:33" ht="15">
      <c r="B260" s="1">
        <v>249</v>
      </c>
      <c r="C260" s="1">
        <v>1.00034920972573</v>
      </c>
      <c r="D260" s="1">
        <v>1.1618249719209419</v>
      </c>
      <c r="E260" s="1">
        <v>0.86002847324488207</v>
      </c>
      <c r="G260" s="1">
        <v>0.99903533443112158</v>
      </c>
      <c r="H260" s="1">
        <v>3.6359973276237798</v>
      </c>
      <c r="I260" s="1">
        <v>0.24363222474254043</v>
      </c>
      <c r="K260" s="1">
        <v>1.0011107495296052</v>
      </c>
      <c r="L260" s="1">
        <v>2.3457282408739824</v>
      </c>
      <c r="M260" s="1">
        <v>0.40475598315136002</v>
      </c>
      <c r="O260" s="1">
        <v>2.2547407787551432E-2</v>
      </c>
      <c r="P260" s="1">
        <v>0.62634201227217123</v>
      </c>
      <c r="R260" s="1">
        <v>3.4154628721940035E-2</v>
      </c>
      <c r="S260" s="2">
        <f t="shared" si="48"/>
        <v>0.48804702555985702</v>
      </c>
      <c r="T260" s="4">
        <f t="shared" si="49"/>
        <v>0.23818989915782374</v>
      </c>
      <c r="U260" s="1">
        <f t="shared" si="53"/>
        <v>0.14964714738370405</v>
      </c>
      <c r="V260" s="6">
        <f>2*sigma/alpha*corel*(B260/12-1/alpha*(1-EXP(-alpha*Output!B260/12)))</f>
        <v>0.78242436988347186</v>
      </c>
      <c r="W260" s="5">
        <f t="shared" si="50"/>
        <v>-8.8542751774119688E-2</v>
      </c>
      <c r="X260" s="1">
        <f t="shared" si="51"/>
        <v>7.9612362918394819</v>
      </c>
      <c r="Y260" s="3">
        <f t="shared" si="52"/>
        <v>4.9135949724228349E-2</v>
      </c>
      <c r="Z260" s="1">
        <f t="shared" si="42"/>
        <v>0.10714024120149439</v>
      </c>
      <c r="AA260" s="8">
        <f t="shared" si="47"/>
        <v>20.666666666666643</v>
      </c>
      <c r="AB260" s="1">
        <v>20.75</v>
      </c>
      <c r="AC260" s="1">
        <v>2.2733099999999999E-2</v>
      </c>
      <c r="AD260" s="8">
        <f t="shared" si="43"/>
        <v>1.8569221244856688</v>
      </c>
      <c r="AE260" s="3">
        <f t="shared" si="44"/>
        <v>8.1683629794690078E-3</v>
      </c>
      <c r="AF260" s="11">
        <f t="shared" si="45"/>
        <v>20.666666666666643</v>
      </c>
      <c r="AG260" s="1">
        <f t="shared" si="46"/>
        <v>0.10714024120149439</v>
      </c>
    </row>
    <row r="261" spans="2:33" ht="15">
      <c r="B261" s="1">
        <v>250</v>
      </c>
      <c r="C261" s="1">
        <v>1.0003489083130341</v>
      </c>
      <c r="D261" s="1">
        <v>1.1608177210238606</v>
      </c>
      <c r="E261" s="1">
        <v>0.86077316765746492</v>
      </c>
      <c r="G261" s="1">
        <v>0.99884166788795847</v>
      </c>
      <c r="H261" s="1">
        <v>3.6086268477490933</v>
      </c>
      <c r="I261" s="1">
        <v>0.24536128383996075</v>
      </c>
      <c r="K261" s="1">
        <v>1.0009701166395228</v>
      </c>
      <c r="L261" s="1">
        <v>2.337015397114425</v>
      </c>
      <c r="M261" s="1">
        <v>0.40618036190202567</v>
      </c>
      <c r="O261" s="1">
        <v>2.254977601290778E-2</v>
      </c>
      <c r="P261" s="1">
        <v>0.62513540777660914</v>
      </c>
      <c r="R261" s="1">
        <v>3.4187909295835386E-2</v>
      </c>
      <c r="S261" s="2">
        <f t="shared" si="48"/>
        <v>0.48970059195293791</v>
      </c>
      <c r="T261" s="4">
        <f t="shared" si="49"/>
        <v>0.23980666975905779</v>
      </c>
      <c r="U261" s="1">
        <f t="shared" si="53"/>
        <v>0.15118745276908957</v>
      </c>
      <c r="V261" s="6">
        <f>2*sigma/alpha*corel*(B261/12-1/alpha*(1-EXP(-alpha*Output!B261/12)))</f>
        <v>0.78808914475994762</v>
      </c>
      <c r="W261" s="5">
        <f t="shared" si="50"/>
        <v>-8.8619216989968219E-2</v>
      </c>
      <c r="X261" s="1">
        <f t="shared" si="51"/>
        <v>8.0060192492524838</v>
      </c>
      <c r="Y261" s="3">
        <f t="shared" si="52"/>
        <v>4.8993644229615343E-2</v>
      </c>
      <c r="Z261" s="1">
        <f t="shared" si="42"/>
        <v>0.10728802425450278</v>
      </c>
      <c r="AA261" s="8">
        <f t="shared" si="47"/>
        <v>20.749999999999975</v>
      </c>
      <c r="AB261" s="1">
        <v>20.83</v>
      </c>
      <c r="AC261" s="1">
        <v>2.2735499999999999E-2</v>
      </c>
      <c r="AD261" s="8">
        <f t="shared" si="43"/>
        <v>1.857239870922192</v>
      </c>
      <c r="AE261" s="3">
        <f t="shared" si="44"/>
        <v>8.1688982908763481E-3</v>
      </c>
      <c r="AF261" s="11">
        <f t="shared" si="45"/>
        <v>20.749999999999975</v>
      </c>
      <c r="AG261" s="1">
        <f t="shared" si="46"/>
        <v>0.10728802425450278</v>
      </c>
    </row>
    <row r="262" spans="2:33" ht="15">
      <c r="B262" s="1">
        <v>251</v>
      </c>
      <c r="C262" s="1">
        <v>1.0003543054034407</v>
      </c>
      <c r="D262" s="1">
        <v>1.1585929501901593</v>
      </c>
      <c r="E262" s="1">
        <v>0.86242449337826999</v>
      </c>
      <c r="G262" s="1">
        <v>0.99910873190883853</v>
      </c>
      <c r="H262" s="1">
        <v>3.518998976829387</v>
      </c>
      <c r="I262" s="1">
        <v>0.25148877114022905</v>
      </c>
      <c r="K262" s="1">
        <v>1.0008478717160258</v>
      </c>
      <c r="L262" s="1">
        <v>2.3006988930597121</v>
      </c>
      <c r="M262" s="1">
        <v>0.41250596620173868</v>
      </c>
      <c r="O262" s="1">
        <v>2.255233114971256E-2</v>
      </c>
      <c r="P262" s="1">
        <v>0.62392844215958043</v>
      </c>
      <c r="R262" s="1">
        <v>3.4224456119831402E-2</v>
      </c>
      <c r="S262" s="2">
        <f t="shared" si="48"/>
        <v>0.49137482996697801</v>
      </c>
      <c r="T262" s="4">
        <f t="shared" si="49"/>
        <v>0.24144922352507656</v>
      </c>
      <c r="U262" s="1">
        <f t="shared" si="53"/>
        <v>0.1527364176932943</v>
      </c>
      <c r="V262" s="6">
        <f>2*sigma/alpha*corel*(B262/12-1/alpha*(1-EXP(-alpha*Output!B262/12)))</f>
        <v>0.79376982091454562</v>
      </c>
      <c r="W262" s="5">
        <f t="shared" si="50"/>
        <v>-8.871280583178226E-2</v>
      </c>
      <c r="X262" s="1">
        <f t="shared" si="51"/>
        <v>8.0523752831871587</v>
      </c>
      <c r="Y262" s="3">
        <f t="shared" si="52"/>
        <v>4.8858189530547491E-2</v>
      </c>
      <c r="Z262" s="1">
        <f t="shared" si="42"/>
        <v>0.10744016554582192</v>
      </c>
      <c r="AA262" s="8">
        <f t="shared" si="47"/>
        <v>20.833333333333307</v>
      </c>
      <c r="AB262" s="1">
        <v>20.92</v>
      </c>
      <c r="AC262" s="1">
        <v>2.2738000000000001E-2</v>
      </c>
      <c r="AD262" s="8">
        <f t="shared" si="43"/>
        <v>1.8566885028744109</v>
      </c>
      <c r="AE262" s="3">
        <f t="shared" si="44"/>
        <v>8.1655752611241566E-3</v>
      </c>
      <c r="AF262" s="11">
        <f t="shared" si="45"/>
        <v>20.833333333333307</v>
      </c>
      <c r="AG262" s="1">
        <f t="shared" si="46"/>
        <v>0.10744016554582192</v>
      </c>
    </row>
    <row r="263" spans="2:33" ht="15">
      <c r="B263" s="1">
        <v>252</v>
      </c>
      <c r="C263" s="1">
        <v>1.0003525547598699</v>
      </c>
      <c r="D263" s="1">
        <v>1.1604622620223866</v>
      </c>
      <c r="E263" s="1">
        <v>0.86103371325788181</v>
      </c>
      <c r="G263" s="1">
        <v>0.99879628041800839</v>
      </c>
      <c r="H263" s="1">
        <v>3.5699583321247177</v>
      </c>
      <c r="I263" s="1">
        <v>0.24777890156072491</v>
      </c>
      <c r="K263" s="1">
        <v>1.0008945679681862</v>
      </c>
      <c r="L263" s="1">
        <v>2.2899971132316024</v>
      </c>
      <c r="M263" s="1">
        <v>0.41434738749450639</v>
      </c>
      <c r="O263" s="1">
        <v>2.2555477924484091E-2</v>
      </c>
      <c r="P263" s="1">
        <v>0.622715804755959</v>
      </c>
      <c r="R263" s="1">
        <v>3.440844090198289E-2</v>
      </c>
      <c r="S263" s="2">
        <f t="shared" si="48"/>
        <v>0.49382479131031476</v>
      </c>
      <c r="T263" s="4">
        <f t="shared" si="49"/>
        <v>0.24386292451267591</v>
      </c>
      <c r="U263" s="1">
        <f t="shared" si="53"/>
        <v>0.15429404303551825</v>
      </c>
      <c r="V263" s="6">
        <f>2*sigma/alpha*corel*(B263/12-1/alpha*(1-EXP(-alpha*Output!B263/12)))</f>
        <v>0.79946635556832757</v>
      </c>
      <c r="W263" s="5">
        <f t="shared" si="50"/>
        <v>-8.9568881477157664E-2</v>
      </c>
      <c r="X263" s="1">
        <f t="shared" si="51"/>
        <v>8.1629324977669473</v>
      </c>
      <c r="Y263" s="3">
        <f t="shared" si="52"/>
        <v>4.8990910940921256E-2</v>
      </c>
      <c r="Z263" s="1">
        <f t="shared" si="42"/>
        <v>0.10776140410596612</v>
      </c>
      <c r="AA263" s="8">
        <f t="shared" si="47"/>
        <v>20.916666666666639</v>
      </c>
      <c r="AB263" s="1">
        <v>21</v>
      </c>
      <c r="AC263" s="1">
        <v>2.27412E-2</v>
      </c>
      <c r="AD263" s="8">
        <f t="shared" si="43"/>
        <v>1.8572207551590878</v>
      </c>
      <c r="AE263" s="3">
        <f t="shared" si="44"/>
        <v>8.1667667280490384E-3</v>
      </c>
      <c r="AF263" s="11">
        <f t="shared" si="45"/>
        <v>20.916666666666639</v>
      </c>
      <c r="AG263" s="1">
        <f t="shared" si="46"/>
        <v>0.10776140410596612</v>
      </c>
    </row>
    <row r="264" spans="2:33" ht="15">
      <c r="B264" s="1">
        <v>253</v>
      </c>
      <c r="C264" s="1">
        <v>1.0003553257628526</v>
      </c>
      <c r="D264" s="1">
        <v>1.1623937962313169</v>
      </c>
      <c r="E264" s="1">
        <v>0.85960139088344234</v>
      </c>
      <c r="G264" s="1">
        <v>0.99885267058033367</v>
      </c>
      <c r="H264" s="1">
        <v>3.6205038348412044</v>
      </c>
      <c r="I264" s="1">
        <v>0.24420142435903056</v>
      </c>
      <c r="K264" s="1">
        <v>1.0009059134363496</v>
      </c>
      <c r="L264" s="1">
        <v>2.2835966611802268</v>
      </c>
      <c r="M264" s="1">
        <v>0.41542216261559495</v>
      </c>
      <c r="O264" s="1">
        <v>2.2559598948043345E-2</v>
      </c>
      <c r="P264" s="1">
        <v>0.62149243237833229</v>
      </c>
      <c r="R264" s="1">
        <v>3.4538310090481875E-2</v>
      </c>
      <c r="S264" s="2">
        <f t="shared" si="48"/>
        <v>0.49601230298401999</v>
      </c>
      <c r="T264" s="4">
        <f t="shared" si="49"/>
        <v>0.24602820471151124</v>
      </c>
      <c r="U264" s="1">
        <f t="shared" si="53"/>
        <v>0.15586032954269219</v>
      </c>
      <c r="V264" s="6">
        <f>2*sigma/alpha*corel*(B264/12-1/alpha*(1-EXP(-alpha*Output!B264/12)))</f>
        <v>0.8051787060574418</v>
      </c>
      <c r="W264" s="5">
        <f t="shared" si="50"/>
        <v>-9.0167875168819051E-2</v>
      </c>
      <c r="X264" s="1">
        <f t="shared" si="51"/>
        <v>8.2524702212587435</v>
      </c>
      <c r="Y264" s="3">
        <f t="shared" si="52"/>
        <v>4.9032393565714621E-2</v>
      </c>
      <c r="Z264" s="1">
        <f t="shared" si="42"/>
        <v>0.10802463590589566</v>
      </c>
      <c r="AA264" s="8">
        <f t="shared" si="47"/>
        <v>20.999999999999972</v>
      </c>
      <c r="AB264" s="1">
        <v>21.08</v>
      </c>
      <c r="AC264" s="1">
        <v>2.27453E-2</v>
      </c>
      <c r="AD264" s="8">
        <f t="shared" si="43"/>
        <v>1.8570105195665418</v>
      </c>
      <c r="AE264" s="3">
        <f t="shared" si="44"/>
        <v>8.1643703075648232E-3</v>
      </c>
      <c r="AF264" s="11">
        <f t="shared" si="45"/>
        <v>20.999999999999972</v>
      </c>
      <c r="AG264" s="1">
        <f t="shared" si="46"/>
        <v>0.10802463590589566</v>
      </c>
    </row>
    <row r="265" spans="2:33" ht="15">
      <c r="B265" s="1">
        <v>254</v>
      </c>
      <c r="C265" s="1">
        <v>1.0003635387551817</v>
      </c>
      <c r="D265" s="1">
        <v>1.160791993239418</v>
      </c>
      <c r="E265" s="1">
        <v>0.86078601884163131</v>
      </c>
      <c r="G265" s="1">
        <v>0.99934252785950195</v>
      </c>
      <c r="H265" s="1">
        <v>3.573672459046457</v>
      </c>
      <c r="I265" s="1">
        <v>0.24728182454039233</v>
      </c>
      <c r="K265" s="1">
        <v>1.0008412753093638</v>
      </c>
      <c r="L265" s="1">
        <v>2.2719791210490565</v>
      </c>
      <c r="M265" s="1">
        <v>0.41745940294652989</v>
      </c>
      <c r="O265" s="1">
        <v>2.2564454973634931E-2</v>
      </c>
      <c r="P265" s="1">
        <v>0.6202613875647397</v>
      </c>
      <c r="R265" s="1">
        <v>3.4655223364493962E-2</v>
      </c>
      <c r="S265" s="2">
        <f t="shared" si="48"/>
        <v>0.49814686752626447</v>
      </c>
      <c r="T265" s="4">
        <f t="shared" si="49"/>
        <v>0.24815030162622967</v>
      </c>
      <c r="U265" s="1">
        <f t="shared" si="53"/>
        <v>0.15743527783052821</v>
      </c>
      <c r="V265" s="6">
        <f>2*sigma/alpha*corel*(B265/12-1/alpha*(1-EXP(-alpha*Output!B265/12)))</f>
        <v>0.81090682983281603</v>
      </c>
      <c r="W265" s="5">
        <f t="shared" si="50"/>
        <v>-9.0715023795701455E-2</v>
      </c>
      <c r="X265" s="1">
        <f t="shared" si="51"/>
        <v>8.3381085680388978</v>
      </c>
      <c r="Y265" s="3">
        <f t="shared" si="52"/>
        <v>4.9055232108068253E-2</v>
      </c>
      <c r="Z265" s="1">
        <f t="shared" si="42"/>
        <v>0.10827574196144854</v>
      </c>
      <c r="AA265" s="8">
        <f t="shared" si="47"/>
        <v>21.083333333333304</v>
      </c>
      <c r="AB265" s="1">
        <v>21.17</v>
      </c>
      <c r="AC265" s="1">
        <v>2.2750200000000002E-2</v>
      </c>
      <c r="AD265" s="8">
        <f t="shared" si="43"/>
        <v>1.8574502636507089</v>
      </c>
      <c r="AE265" s="3">
        <f t="shared" si="44"/>
        <v>8.1645447673018637E-3</v>
      </c>
      <c r="AF265" s="11">
        <f t="shared" si="45"/>
        <v>21.083333333333304</v>
      </c>
      <c r="AG265" s="1">
        <f t="shared" si="46"/>
        <v>0.10827574196144854</v>
      </c>
    </row>
    <row r="266" spans="2:33" ht="15">
      <c r="B266" s="1">
        <v>255</v>
      </c>
      <c r="C266" s="1">
        <v>1.000368601659638</v>
      </c>
      <c r="D266" s="1">
        <v>1.1601537490283322</v>
      </c>
      <c r="E266" s="1">
        <v>0.86125801395923862</v>
      </c>
      <c r="G266" s="1">
        <v>0.99956255163766106</v>
      </c>
      <c r="H266" s="1">
        <v>3.5581093636754861</v>
      </c>
      <c r="I266" s="1">
        <v>0.2482432160345853</v>
      </c>
      <c r="K266" s="1">
        <v>1.0008627716223486</v>
      </c>
      <c r="L266" s="1">
        <v>2.2748020316370212</v>
      </c>
      <c r="M266" s="1">
        <v>0.41685450402968294</v>
      </c>
      <c r="O266" s="1">
        <v>2.2569936186806035E-2</v>
      </c>
      <c r="P266" s="1">
        <v>0.61902405624841583</v>
      </c>
      <c r="R266" s="1">
        <v>3.4770352227976281E-2</v>
      </c>
      <c r="S266" s="2">
        <f t="shared" si="48"/>
        <v>0.50028477657913806</v>
      </c>
      <c r="T266" s="4">
        <f t="shared" si="49"/>
        <v>0.25028485767683806</v>
      </c>
      <c r="U266" s="1">
        <f t="shared" si="53"/>
        <v>0.15901888838457279</v>
      </c>
      <c r="V266" s="6">
        <f>2*sigma/alpha*corel*(B266/12-1/alpha*(1-EXP(-alpha*Output!B266/12)))</f>
        <v>0.81665068445984534</v>
      </c>
      <c r="W266" s="5">
        <f t="shared" si="50"/>
        <v>-9.126596929226527E-2</v>
      </c>
      <c r="X266" s="1">
        <f t="shared" si="51"/>
        <v>8.4245257302712808</v>
      </c>
      <c r="Y266" s="3">
        <f t="shared" si="52"/>
        <v>4.9078886383829824E-2</v>
      </c>
      <c r="Z266" s="1">
        <f t="shared" si="42"/>
        <v>0.10852700562301654</v>
      </c>
      <c r="AA266" s="8">
        <f t="shared" si="47"/>
        <v>21.166666666666636</v>
      </c>
      <c r="AB266" s="1">
        <v>21.25</v>
      </c>
      <c r="AC266" s="1">
        <v>2.2755999999999998E-2</v>
      </c>
      <c r="AD266" s="8">
        <f t="shared" si="43"/>
        <v>1.8606381319396377</v>
      </c>
      <c r="AE266" s="3">
        <f t="shared" si="44"/>
        <v>8.1764727190175683E-3</v>
      </c>
      <c r="AF266" s="11">
        <f t="shared" si="45"/>
        <v>21.166666666666636</v>
      </c>
      <c r="AG266" s="1">
        <f t="shared" si="46"/>
        <v>0.10852700562301654</v>
      </c>
    </row>
    <row r="267" spans="2:33" ht="15">
      <c r="B267" s="1">
        <v>256</v>
      </c>
      <c r="C267" s="1">
        <v>1.0003732839823225</v>
      </c>
      <c r="D267" s="1">
        <v>1.1588041571067211</v>
      </c>
      <c r="E267" s="1">
        <v>0.86225951472260398</v>
      </c>
      <c r="G267" s="1">
        <v>0.99976860800085654</v>
      </c>
      <c r="H267" s="1">
        <v>3.5197403501900779</v>
      </c>
      <c r="I267" s="1">
        <v>0.25082787428182513</v>
      </c>
      <c r="K267" s="1">
        <v>1.0009187260643704</v>
      </c>
      <c r="L267" s="1">
        <v>2.3129567292511442</v>
      </c>
      <c r="M267" s="1">
        <v>0.40989263929756692</v>
      </c>
      <c r="O267" s="1">
        <v>2.2575958469102035E-2</v>
      </c>
      <c r="P267" s="1">
        <v>0.61778149788173853</v>
      </c>
      <c r="R267" s="1">
        <v>3.4956704840547782E-2</v>
      </c>
      <c r="S267" s="2">
        <f t="shared" si="48"/>
        <v>0.50280507533284524</v>
      </c>
      <c r="T267" s="4">
        <f t="shared" si="49"/>
        <v>0.2528129437804682</v>
      </c>
      <c r="U267" s="1">
        <f t="shared" si="53"/>
        <v>0.16061116156124253</v>
      </c>
      <c r="V267" s="6">
        <f>2*sigma/alpha*corel*(B267/12-1/alpha*(1-EXP(-alpha*Output!B267/12)))</f>
        <v>0.82241022761808646</v>
      </c>
      <c r="W267" s="5">
        <f t="shared" si="50"/>
        <v>-9.2201782219225675E-2</v>
      </c>
      <c r="X267" s="1">
        <f t="shared" si="51"/>
        <v>8.5442439985314227</v>
      </c>
      <c r="Y267" s="3">
        <f t="shared" si="52"/>
        <v>4.9233835655413935E-2</v>
      </c>
      <c r="Z267" s="1">
        <f t="shared" si="42"/>
        <v>0.10886049209749811</v>
      </c>
      <c r="AA267" s="8">
        <f t="shared" si="47"/>
        <v>21.249999999999968</v>
      </c>
      <c r="AB267" s="1">
        <v>21.33</v>
      </c>
      <c r="AC267" s="1">
        <v>2.2762399999999999E-2</v>
      </c>
      <c r="AD267" s="8">
        <f t="shared" si="43"/>
        <v>1.8644153089796347</v>
      </c>
      <c r="AE267" s="3">
        <f t="shared" si="44"/>
        <v>8.1907677089394573E-3</v>
      </c>
      <c r="AF267" s="11">
        <f t="shared" si="45"/>
        <v>21.249999999999968</v>
      </c>
      <c r="AG267" s="1">
        <f t="shared" si="46"/>
        <v>0.10886049209749811</v>
      </c>
    </row>
    <row r="268" spans="2:33" ht="15">
      <c r="B268" s="1">
        <v>257</v>
      </c>
      <c r="C268" s="1">
        <v>1.0003751788307178</v>
      </c>
      <c r="D268" s="1">
        <v>1.1597009730469621</v>
      </c>
      <c r="E268" s="1">
        <v>0.86159116025945381</v>
      </c>
      <c r="G268" s="1">
        <v>0.99973190054935435</v>
      </c>
      <c r="H268" s="1">
        <v>3.5655713562248175</v>
      </c>
      <c r="I268" s="1">
        <v>0.24748394941691229</v>
      </c>
      <c r="K268" s="1">
        <v>1.0010551436717383</v>
      </c>
      <c r="L268" s="1">
        <v>2.3683955457249506</v>
      </c>
      <c r="M268" s="1">
        <v>0.4002145872788429</v>
      </c>
      <c r="O268" s="1">
        <v>2.2582475488503537E-2</v>
      </c>
      <c r="P268" s="1">
        <v>0.61653428225700158</v>
      </c>
      <c r="R268" s="1">
        <v>3.5056300072641045E-2</v>
      </c>
      <c r="S268" s="2">
        <f t="shared" si="48"/>
        <v>0.50488454207377043</v>
      </c>
      <c r="T268" s="4">
        <f t="shared" si="49"/>
        <v>0.25490840082504085</v>
      </c>
      <c r="U268" s="1">
        <f t="shared" si="53"/>
        <v>0.16221209758886182</v>
      </c>
      <c r="V268" s="6">
        <f>2*sigma/alpha*corel*(B268/12-1/alpha*(1-EXP(-alpha*Output!B268/12)))</f>
        <v>0.82818541710095195</v>
      </c>
      <c r="W268" s="5">
        <f t="shared" si="50"/>
        <v>-9.2696303236179028E-2</v>
      </c>
      <c r="X268" s="1">
        <f t="shared" si="51"/>
        <v>8.6268743956646805</v>
      </c>
      <c r="Y268" s="3">
        <f t="shared" si="52"/>
        <v>4.9236623696287354E-2</v>
      </c>
      <c r="Z268" s="1">
        <f t="shared" si="42"/>
        <v>0.10909783582507018</v>
      </c>
      <c r="AA268" s="8">
        <f t="shared" si="47"/>
        <v>21.3333333333333</v>
      </c>
      <c r="AB268" s="1">
        <v>21.42</v>
      </c>
      <c r="AC268" s="1">
        <v>2.2769399999999999E-2</v>
      </c>
      <c r="AD268" s="8">
        <f t="shared" si="43"/>
        <v>1.8692451149646128</v>
      </c>
      <c r="AE268" s="3">
        <f t="shared" si="44"/>
        <v>8.2094614481040915E-3</v>
      </c>
      <c r="AF268" s="11">
        <f t="shared" si="45"/>
        <v>21.3333333333333</v>
      </c>
      <c r="AG268" s="1">
        <f t="shared" si="46"/>
        <v>0.10909783582507018</v>
      </c>
    </row>
    <row r="269" spans="2:33" ht="15">
      <c r="B269" s="1">
        <v>258</v>
      </c>
      <c r="C269" s="1">
        <v>1.0003769974172609</v>
      </c>
      <c r="D269" s="1">
        <v>1.1577842868448456</v>
      </c>
      <c r="E269" s="1">
        <v>0.86301594865539077</v>
      </c>
      <c r="G269" s="1">
        <v>0.99969170912523475</v>
      </c>
      <c r="H269" s="1">
        <v>3.4931642195175705</v>
      </c>
      <c r="I269" s="1">
        <v>0.2524915890636279</v>
      </c>
      <c r="K269" s="1">
        <v>1.0012195877215828</v>
      </c>
      <c r="L269" s="1">
        <v>2.3878729665569094</v>
      </c>
      <c r="M269" s="1">
        <v>0.39686742441890116</v>
      </c>
      <c r="O269" s="1">
        <v>2.25894357593866E-2</v>
      </c>
      <c r="P269" s="1">
        <v>0.61528305266178052</v>
      </c>
      <c r="R269" s="1">
        <v>3.5173740018891571E-2</v>
      </c>
      <c r="S269" s="2">
        <f t="shared" si="48"/>
        <v>0.5070669748687795</v>
      </c>
      <c r="T269" s="4">
        <f t="shared" si="49"/>
        <v>0.25711691700257544</v>
      </c>
      <c r="U269" s="1">
        <f t="shared" si="53"/>
        <v>0.16382169656868548</v>
      </c>
      <c r="V269" s="6">
        <f>2*sigma/alpha*corel*(B269/12-1/alpha*(1-EXP(-alpha*Output!B269/12)))</f>
        <v>0.83397621081539786</v>
      </c>
      <c r="W269" s="5">
        <f t="shared" si="50"/>
        <v>-9.3295220433889964E-2</v>
      </c>
      <c r="X269" s="1">
        <f t="shared" si="51"/>
        <v>8.7189052775205447</v>
      </c>
      <c r="Y269" s="3">
        <f t="shared" si="52"/>
        <v>4.9274489197869795E-2</v>
      </c>
      <c r="Z269" s="1">
        <f t="shared" ref="Z269:Z332" si="54">S269/SQRT(B269/12)</f>
        <v>0.1093568761999574</v>
      </c>
      <c r="AA269" s="8">
        <f t="shared" si="47"/>
        <v>21.416666666666632</v>
      </c>
      <c r="AB269" s="1">
        <v>21.5</v>
      </c>
      <c r="AC269" s="1">
        <v>2.27768E-2</v>
      </c>
      <c r="AD269" s="8">
        <f t="shared" ref="AD269:AD332" si="55">(AC269-O269)*10000</f>
        <v>1.8736424061339962</v>
      </c>
      <c r="AE269" s="3">
        <f t="shared" ref="AE269:AE332" si="56">AD269/AC269/10000</f>
        <v>8.2261002692827628E-3</v>
      </c>
      <c r="AF269" s="11">
        <f t="shared" ref="AF269:AF332" si="57">AA269</f>
        <v>21.416666666666632</v>
      </c>
      <c r="AG269" s="1">
        <f t="shared" ref="AG269:AG332" si="58">Z269</f>
        <v>0.1093568761999574</v>
      </c>
    </row>
    <row r="270" spans="2:33" ht="15">
      <c r="B270" s="1">
        <v>259</v>
      </c>
      <c r="C270" s="1">
        <v>1.0003764256215513</v>
      </c>
      <c r="D270" s="1">
        <v>1.1558268736651802</v>
      </c>
      <c r="E270" s="1">
        <v>0.86447592268022899</v>
      </c>
      <c r="G270" s="1">
        <v>0.99946847835523167</v>
      </c>
      <c r="H270" s="1">
        <v>3.4404642333690791</v>
      </c>
      <c r="I270" s="1">
        <v>0.2562351010878135</v>
      </c>
      <c r="K270" s="1">
        <v>1.0011667582712065</v>
      </c>
      <c r="L270" s="1">
        <v>2.3890625261016698</v>
      </c>
      <c r="M270" s="1">
        <v>0.39658718581958641</v>
      </c>
      <c r="O270" s="1">
        <v>2.2596870219484297E-2</v>
      </c>
      <c r="P270" s="1">
        <v>0.61402736572886574</v>
      </c>
      <c r="R270" s="1">
        <v>3.5105615995392303E-2</v>
      </c>
      <c r="S270" s="2">
        <f t="shared" si="48"/>
        <v>0.50828936457136198</v>
      </c>
      <c r="T270" s="4">
        <f t="shared" si="49"/>
        <v>0.25835807813635892</v>
      </c>
      <c r="U270" s="1">
        <f t="shared" si="53"/>
        <v>0.16543995847592821</v>
      </c>
      <c r="V270" s="6">
        <f>2*sigma/alpha*corel*(B270/12-1/alpha*(1-EXP(-alpha*Output!B270/12)))</f>
        <v>0.83978256678162733</v>
      </c>
      <c r="W270" s="5">
        <f t="shared" si="50"/>
        <v>-9.2918119660430704E-2</v>
      </c>
      <c r="X270" s="1">
        <f t="shared" si="51"/>
        <v>8.727165756820856</v>
      </c>
      <c r="Y270" s="3">
        <f t="shared" si="52"/>
        <v>4.8982126142833531E-2</v>
      </c>
      <c r="Z270" s="1">
        <f t="shared" si="54"/>
        <v>0.10940867628516593</v>
      </c>
      <c r="AA270" s="8">
        <f t="shared" ref="AA270:AA333" si="59">AA269+1/12</f>
        <v>21.499999999999964</v>
      </c>
      <c r="AB270" s="1">
        <v>21.58</v>
      </c>
      <c r="AC270" s="1">
        <v>2.2784700000000001E-2</v>
      </c>
      <c r="AD270" s="8">
        <f t="shared" si="55"/>
        <v>1.8782978051570463</v>
      </c>
      <c r="AE270" s="3">
        <f t="shared" si="56"/>
        <v>8.2436802115325031E-3</v>
      </c>
      <c r="AF270" s="11">
        <f t="shared" si="57"/>
        <v>21.499999999999964</v>
      </c>
      <c r="AG270" s="1">
        <f t="shared" si="58"/>
        <v>0.10940867628516593</v>
      </c>
    </row>
    <row r="271" spans="2:33" ht="15">
      <c r="B271" s="1">
        <v>260</v>
      </c>
      <c r="C271" s="1">
        <v>1.0003763480890282</v>
      </c>
      <c r="D271" s="1">
        <v>1.1551709648138648</v>
      </c>
      <c r="E271" s="1">
        <v>0.86496521512443347</v>
      </c>
      <c r="G271" s="1">
        <v>0.9992782679126907</v>
      </c>
      <c r="H271" s="1">
        <v>3.438135004334872</v>
      </c>
      <c r="I271" s="1">
        <v>0.25628459257014874</v>
      </c>
      <c r="K271" s="1">
        <v>1.0010605638498955</v>
      </c>
      <c r="L271" s="1">
        <v>2.4466313608355388</v>
      </c>
      <c r="M271" s="1">
        <v>0.38717488448274551</v>
      </c>
      <c r="O271" s="1">
        <v>2.260464638018336E-2</v>
      </c>
      <c r="P271" s="1">
        <v>0.61276894550363736</v>
      </c>
      <c r="R271" s="1">
        <v>3.525687931039314E-2</v>
      </c>
      <c r="S271" s="2">
        <f t="shared" si="48"/>
        <v>0.51066710361312162</v>
      </c>
      <c r="T271" s="4">
        <f t="shared" si="49"/>
        <v>0.26078089071261468</v>
      </c>
      <c r="U271" s="1">
        <f t="shared" si="53"/>
        <v>0.16706688316077239</v>
      </c>
      <c r="V271" s="6">
        <f>2*sigma/alpha*corel*(B271/12-1/alpha*(1-EXP(-alpha*Output!B271/12)))</f>
        <v>0.84560444313277661</v>
      </c>
      <c r="W271" s="5">
        <f t="shared" si="50"/>
        <v>-9.3714007551842282E-2</v>
      </c>
      <c r="X271" s="1">
        <f t="shared" si="51"/>
        <v>8.8369275287388902</v>
      </c>
      <c r="Y271" s="3">
        <f t="shared" si="52"/>
        <v>4.9086751603159354E-2</v>
      </c>
      <c r="Z271" s="1">
        <f t="shared" si="54"/>
        <v>0.10970889257399778</v>
      </c>
      <c r="AA271" s="8">
        <f t="shared" si="59"/>
        <v>21.583333333333297</v>
      </c>
      <c r="AB271" s="1">
        <v>21.67</v>
      </c>
      <c r="AC271" s="1">
        <v>2.2792799999999998E-2</v>
      </c>
      <c r="AD271" s="8">
        <f t="shared" si="55"/>
        <v>1.8815361981663892</v>
      </c>
      <c r="AE271" s="3">
        <f t="shared" si="56"/>
        <v>8.2549585753676127E-3</v>
      </c>
      <c r="AF271" s="11">
        <f t="shared" si="57"/>
        <v>21.583333333333297</v>
      </c>
      <c r="AG271" s="1">
        <f t="shared" si="58"/>
        <v>0.10970889257399778</v>
      </c>
    </row>
    <row r="272" spans="2:33" ht="15">
      <c r="B272" s="1">
        <v>261</v>
      </c>
      <c r="C272" s="1">
        <v>1.0003781095332895</v>
      </c>
      <c r="D272" s="1">
        <v>1.1562369491545479</v>
      </c>
      <c r="E272" s="1">
        <v>0.86416620920035481</v>
      </c>
      <c r="G272" s="1">
        <v>0.99926217571626075</v>
      </c>
      <c r="H272" s="1">
        <v>3.452655230757931</v>
      </c>
      <c r="I272" s="1">
        <v>0.25508326478452531</v>
      </c>
      <c r="K272" s="1">
        <v>1.0010696847631622</v>
      </c>
      <c r="L272" s="1">
        <v>2.4335575510601433</v>
      </c>
      <c r="M272" s="1">
        <v>0.3891738190564043</v>
      </c>
      <c r="O272" s="1">
        <v>2.2612709581272733E-2</v>
      </c>
      <c r="P272" s="1">
        <v>0.61150849407664565</v>
      </c>
      <c r="R272" s="1">
        <v>3.5368775653055663E-2</v>
      </c>
      <c r="S272" s="2">
        <f t="shared" si="48"/>
        <v>0.51284641522071217</v>
      </c>
      <c r="T272" s="4">
        <f t="shared" si="49"/>
        <v>0.26301144560473511</v>
      </c>
      <c r="U272" s="1">
        <f t="shared" si="53"/>
        <v>0.16870247034937988</v>
      </c>
      <c r="V272" s="6">
        <f>2*sigma/alpha*corel*(B272/12-1/alpha*(1-EXP(-alpha*Output!B272/12)))</f>
        <v>0.85144179811461929</v>
      </c>
      <c r="W272" s="5">
        <f t="shared" si="50"/>
        <v>-9.4308975255355226E-2</v>
      </c>
      <c r="X272" s="1">
        <f t="shared" si="51"/>
        <v>8.9298339827925624</v>
      </c>
      <c r="Y272" s="3">
        <f t="shared" si="52"/>
        <v>4.9122781229493317E-2</v>
      </c>
      <c r="Z272" s="1">
        <f t="shared" si="54"/>
        <v>0.10996581404095079</v>
      </c>
      <c r="AA272" s="8">
        <f t="shared" si="59"/>
        <v>21.666666666666629</v>
      </c>
      <c r="AB272" s="1">
        <v>21.75</v>
      </c>
      <c r="AC272" s="1">
        <v>2.2801200000000001E-2</v>
      </c>
      <c r="AD272" s="8">
        <f t="shared" si="55"/>
        <v>1.8849041872726762</v>
      </c>
      <c r="AE272" s="3">
        <f t="shared" si="56"/>
        <v>8.2666885395184294E-3</v>
      </c>
      <c r="AF272" s="11">
        <f t="shared" si="57"/>
        <v>21.666666666666629</v>
      </c>
      <c r="AG272" s="1">
        <f t="shared" si="58"/>
        <v>0.10996581404095079</v>
      </c>
    </row>
    <row r="273" spans="2:33" ht="15">
      <c r="B273" s="1">
        <v>262</v>
      </c>
      <c r="C273" s="1">
        <v>1.0003812316534404</v>
      </c>
      <c r="D273" s="1">
        <v>1.1559464677007085</v>
      </c>
      <c r="E273" s="1">
        <v>0.86438181114113199</v>
      </c>
      <c r="G273" s="1">
        <v>0.99932906355235851</v>
      </c>
      <c r="H273" s="1">
        <v>3.4448499395109886</v>
      </c>
      <c r="I273" s="1">
        <v>0.25553749381356405</v>
      </c>
      <c r="K273" s="1">
        <v>1.0010651357808509</v>
      </c>
      <c r="L273" s="1">
        <v>2.5213647919733839</v>
      </c>
      <c r="M273" s="1">
        <v>0.37554248475479468</v>
      </c>
      <c r="O273" s="1">
        <v>2.2620842134578198E-2</v>
      </c>
      <c r="P273" s="1">
        <v>0.61024889124029058</v>
      </c>
      <c r="R273" s="1">
        <v>3.5488634916701463E-2</v>
      </c>
      <c r="S273" s="2">
        <f t="shared" si="48"/>
        <v>0.51507158508697182</v>
      </c>
      <c r="T273" s="4">
        <f t="shared" si="49"/>
        <v>0.26529873776400564</v>
      </c>
      <c r="U273" s="1">
        <f t="shared" si="53"/>
        <v>0.17034671964489179</v>
      </c>
      <c r="V273" s="6">
        <f>2*sigma/alpha*corel*(B273/12-1/alpha*(1-EXP(-alpha*Output!B273/12)))</f>
        <v>0.85729459008525721</v>
      </c>
      <c r="W273" s="5">
        <f t="shared" si="50"/>
        <v>-9.4952018119113857E-2</v>
      </c>
      <c r="X273" s="1">
        <f t="shared" si="51"/>
        <v>9.0274302632587258</v>
      </c>
      <c r="Y273" s="3">
        <f t="shared" si="52"/>
        <v>4.9174205549617378E-2</v>
      </c>
      <c r="Z273" s="1">
        <f t="shared" si="54"/>
        <v>0.11023197007144671</v>
      </c>
      <c r="AA273" s="8">
        <f t="shared" si="59"/>
        <v>21.749999999999961</v>
      </c>
      <c r="AB273" s="1">
        <v>21.83</v>
      </c>
      <c r="AC273" s="1">
        <v>2.2809599999999999E-2</v>
      </c>
      <c r="AD273" s="8">
        <f t="shared" si="55"/>
        <v>1.887578654218014</v>
      </c>
      <c r="AE273" s="3">
        <f t="shared" si="56"/>
        <v>8.2753693805152836E-3</v>
      </c>
      <c r="AF273" s="11">
        <f t="shared" si="57"/>
        <v>21.749999999999961</v>
      </c>
      <c r="AG273" s="1">
        <f t="shared" si="58"/>
        <v>0.11023197007144671</v>
      </c>
    </row>
    <row r="274" spans="2:33" ht="15">
      <c r="B274" s="1">
        <v>263</v>
      </c>
      <c r="C274" s="1">
        <v>1.0003834444137918</v>
      </c>
      <c r="D274" s="1">
        <v>1.1589720507984329</v>
      </c>
      <c r="E274" s="1">
        <v>0.86212372493382095</v>
      </c>
      <c r="G274" s="1">
        <v>0.9993390130362193</v>
      </c>
      <c r="H274" s="1">
        <v>3.5309513701195887</v>
      </c>
      <c r="I274" s="1">
        <v>0.24918561345957918</v>
      </c>
      <c r="K274" s="1">
        <v>1.0011052612515496</v>
      </c>
      <c r="L274" s="1">
        <v>2.5625871933004993</v>
      </c>
      <c r="M274" s="1">
        <v>0.36942444555891252</v>
      </c>
      <c r="O274" s="1">
        <v>2.2628926131101682E-2</v>
      </c>
      <c r="P274" s="1">
        <v>0.60899170561793114</v>
      </c>
      <c r="R274" s="1">
        <v>3.5509747586276702E-2</v>
      </c>
      <c r="S274" s="2">
        <f t="shared" si="48"/>
        <v>0.51677937347581215</v>
      </c>
      <c r="T274" s="4">
        <f t="shared" si="49"/>
        <v>0.26706092085005295</v>
      </c>
      <c r="U274" s="1">
        <f t="shared" si="53"/>
        <v>0.1719996305284292</v>
      </c>
      <c r="V274" s="6">
        <f>2*sigma/alpha*corel*(B274/12-1/alpha*(1-EXP(-alpha*Output!B274/12)))</f>
        <v>0.86316277751482196</v>
      </c>
      <c r="W274" s="5">
        <f t="shared" si="50"/>
        <v>-9.5061290321623748E-2</v>
      </c>
      <c r="X274" s="1">
        <f t="shared" si="51"/>
        <v>9.0787564320161174</v>
      </c>
      <c r="Y274" s="3">
        <f t="shared" si="52"/>
        <v>4.9047940011064314E-2</v>
      </c>
      <c r="Z274" s="1">
        <f t="shared" si="54"/>
        <v>0.11038699726082313</v>
      </c>
      <c r="AA274" s="8">
        <f t="shared" si="59"/>
        <v>21.833333333333293</v>
      </c>
      <c r="AB274" s="1">
        <v>21.92</v>
      </c>
      <c r="AC274" s="1">
        <v>2.2818000000000001E-2</v>
      </c>
      <c r="AD274" s="8">
        <f t="shared" si="55"/>
        <v>1.890738688983193</v>
      </c>
      <c r="AE274" s="3">
        <f t="shared" si="56"/>
        <v>8.2861718335664504E-3</v>
      </c>
      <c r="AF274" s="11">
        <f t="shared" si="57"/>
        <v>21.833333333333293</v>
      </c>
      <c r="AG274" s="1">
        <f t="shared" si="58"/>
        <v>0.11038699726082313</v>
      </c>
    </row>
    <row r="275" spans="2:33" ht="15">
      <c r="B275" s="1">
        <v>264</v>
      </c>
      <c r="C275" s="1">
        <v>1.0003861031784622</v>
      </c>
      <c r="D275" s="1">
        <v>1.163566857687397</v>
      </c>
      <c r="E275" s="1">
        <v>0.85871773974443844</v>
      </c>
      <c r="G275" s="1">
        <v>0.99937690103818422</v>
      </c>
      <c r="H275" s="1">
        <v>3.6596053551298229</v>
      </c>
      <c r="I275" s="1">
        <v>0.24030909684696486</v>
      </c>
      <c r="K275" s="1">
        <v>1.0011994840274065</v>
      </c>
      <c r="L275" s="1">
        <v>2.5307142783859993</v>
      </c>
      <c r="M275" s="1">
        <v>0.37399921279947368</v>
      </c>
      <c r="O275" s="1">
        <v>2.263690375847921E-2</v>
      </c>
      <c r="P275" s="1">
        <v>0.60773771330283699</v>
      </c>
      <c r="R275" s="1">
        <v>3.5648900786538512E-2</v>
      </c>
      <c r="S275" s="2">
        <f t="shared" si="48"/>
        <v>0.51910890927515174</v>
      </c>
      <c r="T275" s="4">
        <f t="shared" si="49"/>
        <v>0.2694740596888377</v>
      </c>
      <c r="U275" s="1">
        <f t="shared" si="53"/>
        <v>0.17366120236007759</v>
      </c>
      <c r="V275" s="6">
        <f>2*sigma/alpha*corel*(B275/12-1/alpha*(1-EXP(-alpha*Output!B275/12)))</f>
        <v>0.86904631898517148</v>
      </c>
      <c r="W275" s="5">
        <f t="shared" si="50"/>
        <v>-9.5812857328760104E-2</v>
      </c>
      <c r="X275" s="1">
        <f t="shared" si="51"/>
        <v>9.1867729494725641</v>
      </c>
      <c r="Y275" s="3">
        <f t="shared" si="52"/>
        <v>4.9134605901225703E-2</v>
      </c>
      <c r="Z275" s="1">
        <f t="shared" si="54"/>
        <v>0.11067439132404193</v>
      </c>
      <c r="AA275" s="8">
        <f t="shared" si="59"/>
        <v>21.916666666666625</v>
      </c>
      <c r="AB275" s="1">
        <v>22</v>
      </c>
      <c r="AC275" s="1">
        <v>2.2826300000000001E-2</v>
      </c>
      <c r="AD275" s="8">
        <f t="shared" si="55"/>
        <v>1.8939624152079086</v>
      </c>
      <c r="AE275" s="3">
        <f t="shared" si="56"/>
        <v>8.2972817110434395E-3</v>
      </c>
      <c r="AF275" s="11">
        <f t="shared" si="57"/>
        <v>21.916666666666625</v>
      </c>
      <c r="AG275" s="1">
        <f t="shared" si="58"/>
        <v>0.11067439132404193</v>
      </c>
    </row>
    <row r="276" spans="2:33" ht="15">
      <c r="B276" s="1">
        <v>265</v>
      </c>
      <c r="C276" s="1">
        <v>1.0003887166640202</v>
      </c>
      <c r="D276" s="1">
        <v>1.156560627342496</v>
      </c>
      <c r="E276" s="1">
        <v>0.863918137543632</v>
      </c>
      <c r="G276" s="1">
        <v>0.99941440418238248</v>
      </c>
      <c r="H276" s="1">
        <v>3.4669965959640603</v>
      </c>
      <c r="I276" s="1">
        <v>0.25353669066895312</v>
      </c>
      <c r="K276" s="1">
        <v>1.001221169687516</v>
      </c>
      <c r="L276" s="1">
        <v>2.4849466195395697</v>
      </c>
      <c r="M276" s="1">
        <v>0.38080817359521679</v>
      </c>
      <c r="O276" s="1">
        <v>2.2644745783476656E-2</v>
      </c>
      <c r="P276" s="1">
        <v>0.60648731288833757</v>
      </c>
      <c r="R276" s="1">
        <v>3.5837530863778701E-2</v>
      </c>
      <c r="S276" s="2">
        <f t="shared" si="48"/>
        <v>0.52170020499182623</v>
      </c>
      <c r="T276" s="4">
        <f t="shared" si="49"/>
        <v>0.27217110388851351</v>
      </c>
      <c r="U276" s="1">
        <f t="shared" si="53"/>
        <v>0.1753314343798722</v>
      </c>
      <c r="V276" s="6">
        <f>2*sigma/alpha*corel*(B276/12-1/alpha*(1-EXP(-alpha*Output!B276/12)))</f>
        <v>0.87494517318959086</v>
      </c>
      <c r="W276" s="5">
        <f t="shared" si="50"/>
        <v>-9.6839669508641313E-2</v>
      </c>
      <c r="X276" s="1">
        <f t="shared" si="51"/>
        <v>9.3196998626844128</v>
      </c>
      <c r="Y276" s="3">
        <f t="shared" si="52"/>
        <v>4.9310336021572837E-2</v>
      </c>
      <c r="Z276" s="1">
        <f t="shared" si="54"/>
        <v>0.11101679707453015</v>
      </c>
      <c r="AA276" s="8">
        <f t="shared" si="59"/>
        <v>21.999999999999957</v>
      </c>
      <c r="AB276" s="1">
        <v>22.08</v>
      </c>
      <c r="AC276" s="1">
        <v>2.2834400000000001E-2</v>
      </c>
      <c r="AD276" s="8">
        <f t="shared" si="55"/>
        <v>1.8965421652334529</v>
      </c>
      <c r="AE276" s="3">
        <f t="shared" si="56"/>
        <v>8.3056360807967477E-3</v>
      </c>
      <c r="AF276" s="11">
        <f t="shared" si="57"/>
        <v>21.999999999999957</v>
      </c>
      <c r="AG276" s="1">
        <f t="shared" si="58"/>
        <v>0.11101679707453015</v>
      </c>
    </row>
    <row r="277" spans="2:33" ht="15">
      <c r="B277" s="1">
        <v>266</v>
      </c>
      <c r="C277" s="1">
        <v>1.0003895023838976</v>
      </c>
      <c r="D277" s="1">
        <v>1.1551215880843286</v>
      </c>
      <c r="E277" s="1">
        <v>0.86499284100597673</v>
      </c>
      <c r="G277" s="1">
        <v>0.99929012677295503</v>
      </c>
      <c r="H277" s="1">
        <v>3.4263523524673154</v>
      </c>
      <c r="I277" s="1">
        <v>0.25642004958002246</v>
      </c>
      <c r="K277" s="1">
        <v>1.0012026376672332</v>
      </c>
      <c r="L277" s="1">
        <v>2.5154542984636024</v>
      </c>
      <c r="M277" s="1">
        <v>0.37611132996176311</v>
      </c>
      <c r="O277" s="1">
        <v>2.2652384620010124E-2</v>
      </c>
      <c r="P277" s="1">
        <v>0.6052414200895182</v>
      </c>
      <c r="R277" s="1">
        <v>3.5901638259911092E-2</v>
      </c>
      <c r="S277" s="2">
        <f t="shared" si="48"/>
        <v>0.52363438575505961</v>
      </c>
      <c r="T277" s="4">
        <f t="shared" si="49"/>
        <v>0.27419296994507858</v>
      </c>
      <c r="U277" s="1">
        <f t="shared" si="53"/>
        <v>0.17701032570877806</v>
      </c>
      <c r="V277" s="6">
        <f>2*sigma/alpha*corel*(B277/12-1/alpha*(1-EXP(-alpha*Output!B277/12)))</f>
        <v>0.88085929893249171</v>
      </c>
      <c r="W277" s="5">
        <f t="shared" si="50"/>
        <v>-9.7182644236300519E-2</v>
      </c>
      <c r="X277" s="1">
        <f t="shared" si="51"/>
        <v>9.3927742268011531</v>
      </c>
      <c r="Y277" s="3">
        <f t="shared" si="52"/>
        <v>4.9260993027005262E-2</v>
      </c>
      <c r="Z277" s="1">
        <f t="shared" si="54"/>
        <v>0.11121873792978984</v>
      </c>
      <c r="AA277" s="8">
        <f t="shared" si="59"/>
        <v>22.08333333333329</v>
      </c>
      <c r="AB277" s="1">
        <v>22.17</v>
      </c>
      <c r="AC277" s="1">
        <v>2.2842399999999999E-2</v>
      </c>
      <c r="AD277" s="8">
        <f t="shared" si="55"/>
        <v>1.9001537998987461</v>
      </c>
      <c r="AE277" s="3">
        <f t="shared" si="56"/>
        <v>8.3185383317810127E-3</v>
      </c>
      <c r="AF277" s="11">
        <f t="shared" si="57"/>
        <v>22.08333333333329</v>
      </c>
      <c r="AG277" s="1">
        <f t="shared" si="58"/>
        <v>0.11121873792978984</v>
      </c>
    </row>
    <row r="278" spans="2:33" ht="15">
      <c r="B278" s="1">
        <v>267</v>
      </c>
      <c r="C278" s="1">
        <v>1.0003930475272078</v>
      </c>
      <c r="D278" s="1">
        <v>1.1543112361035242</v>
      </c>
      <c r="E278" s="1">
        <v>0.8655985266777162</v>
      </c>
      <c r="G278" s="1">
        <v>0.99939939695400171</v>
      </c>
      <c r="H278" s="1">
        <v>3.4029604429149454</v>
      </c>
      <c r="I278" s="1">
        <v>0.25805773006470362</v>
      </c>
      <c r="K278" s="1">
        <v>1.0011923653985659</v>
      </c>
      <c r="L278" s="1">
        <v>2.5572707699419728</v>
      </c>
      <c r="M278" s="1">
        <v>0.36988409312815829</v>
      </c>
      <c r="O278" s="1">
        <v>2.2659911833884334E-2</v>
      </c>
      <c r="P278" s="1">
        <v>0.60399881781816789</v>
      </c>
      <c r="R278" s="1">
        <v>3.6053292650668756E-2</v>
      </c>
      <c r="S278" s="2">
        <f t="shared" si="48"/>
        <v>0.52603162820519467</v>
      </c>
      <c r="T278" s="4">
        <f t="shared" si="49"/>
        <v>0.27670927387220817</v>
      </c>
      <c r="U278" s="1">
        <f t="shared" si="53"/>
        <v>0.17869787534965625</v>
      </c>
      <c r="V278" s="6">
        <f>2*sigma/alpha*corel*(B278/12-1/alpha*(1-EXP(-alpha*Output!B278/12)))</f>
        <v>0.88678865512911309</v>
      </c>
      <c r="W278" s="5">
        <f t="shared" si="50"/>
        <v>-9.8011398522551918E-2</v>
      </c>
      <c r="X278" s="1">
        <f t="shared" si="51"/>
        <v>9.5094085873728211</v>
      </c>
      <c r="Y278" s="3">
        <f t="shared" si="52"/>
        <v>4.9369533551906437E-2</v>
      </c>
      <c r="Z278" s="1">
        <f t="shared" si="54"/>
        <v>0.11151848214276003</v>
      </c>
      <c r="AA278" s="8">
        <f t="shared" si="59"/>
        <v>22.166666666666622</v>
      </c>
      <c r="AB278" s="1">
        <v>22.25</v>
      </c>
      <c r="AC278" s="1">
        <v>2.2850100000000002E-2</v>
      </c>
      <c r="AD278" s="8">
        <f t="shared" si="55"/>
        <v>1.9018816611566722</v>
      </c>
      <c r="AE278" s="3">
        <f t="shared" si="56"/>
        <v>8.3232968834126425E-3</v>
      </c>
      <c r="AF278" s="11">
        <f t="shared" si="57"/>
        <v>22.166666666666622</v>
      </c>
      <c r="AG278" s="1">
        <f t="shared" si="58"/>
        <v>0.11151848214276003</v>
      </c>
    </row>
    <row r="279" spans="2:33" ht="15">
      <c r="B279" s="1">
        <v>268</v>
      </c>
      <c r="C279" s="1">
        <v>1.000398852644889</v>
      </c>
      <c r="D279" s="1">
        <v>1.1537044557239882</v>
      </c>
      <c r="E279" s="1">
        <v>0.86605222127359371</v>
      </c>
      <c r="G279" s="1">
        <v>0.99967154831268379</v>
      </c>
      <c r="H279" s="1">
        <v>3.3742472522868954</v>
      </c>
      <c r="I279" s="1">
        <v>0.26012772621147479</v>
      </c>
      <c r="K279" s="1">
        <v>1.0012273899178237</v>
      </c>
      <c r="L279" s="1">
        <v>2.5617647032065918</v>
      </c>
      <c r="M279" s="1">
        <v>0.36915831409130984</v>
      </c>
      <c r="O279" s="1">
        <v>2.2667205746738223E-2</v>
      </c>
      <c r="P279" s="1">
        <v>0.60276115112504092</v>
      </c>
      <c r="R279" s="1">
        <v>3.6153466444601552E-2</v>
      </c>
      <c r="S279" s="2">
        <f t="shared" ref="S279:S342" si="60">optim_vol_implied(P279,R279)</f>
        <v>0.52815568676425628</v>
      </c>
      <c r="T279" s="4">
        <f t="shared" ref="T279:T342" si="61">S279*S279</f>
        <v>0.27894842946142318</v>
      </c>
      <c r="U279" s="1">
        <f t="shared" si="53"/>
        <v>0.18039408218823116</v>
      </c>
      <c r="V279" s="6">
        <f>2*sigma/alpha*corel*(B279/12-1/alpha*(1-EXP(-alpha*Output!B279/12)))</f>
        <v>0.89273320080522378</v>
      </c>
      <c r="W279" s="5">
        <f t="shared" ref="W279:W342" si="62">U279-T279</f>
        <v>-9.8554347273192011E-2</v>
      </c>
      <c r="X279" s="1">
        <f t="shared" ref="X279:X342" si="63">V279*V279-4*W279*B279/12</f>
        <v>9.6011609242250948</v>
      </c>
      <c r="Y279" s="3">
        <f t="shared" ref="Y279:Y342" si="64">(-V279+SQRT(X279))/2/B279*12</f>
        <v>4.9384495832204389E-2</v>
      </c>
      <c r="Z279" s="1">
        <f t="shared" si="54"/>
        <v>0.1117596894449866</v>
      </c>
      <c r="AA279" s="8">
        <f t="shared" si="59"/>
        <v>22.249999999999954</v>
      </c>
      <c r="AB279" s="1">
        <v>22.33</v>
      </c>
      <c r="AC279" s="1">
        <v>2.2857700000000002E-2</v>
      </c>
      <c r="AD279" s="8">
        <f t="shared" si="55"/>
        <v>1.90494253261779</v>
      </c>
      <c r="AE279" s="3">
        <f t="shared" si="56"/>
        <v>8.3339204408920831E-3</v>
      </c>
      <c r="AF279" s="11">
        <f t="shared" si="57"/>
        <v>22.249999999999954</v>
      </c>
      <c r="AG279" s="1">
        <f t="shared" si="58"/>
        <v>0.1117596894449866</v>
      </c>
    </row>
    <row r="280" spans="2:33" ht="15">
      <c r="B280" s="1">
        <v>269</v>
      </c>
      <c r="C280" s="1">
        <v>1.0004014828968748</v>
      </c>
      <c r="D280" s="1">
        <v>1.1526345662867776</v>
      </c>
      <c r="E280" s="1">
        <v>0.86685454093034064</v>
      </c>
      <c r="G280" s="1">
        <v>0.99971133458078043</v>
      </c>
      <c r="H280" s="1">
        <v>3.3470772259580515</v>
      </c>
      <c r="I280" s="1">
        <v>0.26211241465561735</v>
      </c>
      <c r="K280" s="1">
        <v>1.0012576111523408</v>
      </c>
      <c r="L280" s="1">
        <v>2.5906573610678918</v>
      </c>
      <c r="M280" s="1">
        <v>0.36496518344309614</v>
      </c>
      <c r="O280" s="1">
        <v>2.2674239909743807E-2</v>
      </c>
      <c r="P280" s="1">
        <v>0.60152879184183761</v>
      </c>
      <c r="R280" s="1">
        <v>3.6329839507477167E-2</v>
      </c>
      <c r="S280" s="2">
        <f t="shared" si="60"/>
        <v>0.53068152952775383</v>
      </c>
      <c r="T280" s="4">
        <f t="shared" si="61"/>
        <v>0.28162288578191624</v>
      </c>
      <c r="U280" s="1">
        <f t="shared" si="53"/>
        <v>0.18209894499405305</v>
      </c>
      <c r="V280" s="6">
        <f>2*sigma/alpha*corel*(B280/12-1/alpha*(1-EXP(-alpha*Output!B280/12)))</f>
        <v>0.8986928950968267</v>
      </c>
      <c r="W280" s="5">
        <f t="shared" si="62"/>
        <v>-9.9523940787863197E-2</v>
      </c>
      <c r="X280" s="1">
        <f t="shared" si="63"/>
        <v>9.7316289436759167</v>
      </c>
      <c r="Y280" s="3">
        <f t="shared" si="64"/>
        <v>4.953597755589436E-2</v>
      </c>
      <c r="Z280" s="1">
        <f t="shared" si="54"/>
        <v>0.11208524751929197</v>
      </c>
      <c r="AA280" s="8">
        <f t="shared" si="59"/>
        <v>22.333333333333286</v>
      </c>
      <c r="AB280" s="1">
        <v>22.42</v>
      </c>
      <c r="AC280" s="1">
        <v>2.2865199999999999E-2</v>
      </c>
      <c r="AD280" s="8">
        <f t="shared" si="55"/>
        <v>1.9096009025619185</v>
      </c>
      <c r="AE280" s="3">
        <f t="shared" si="56"/>
        <v>8.3515600238000046E-3</v>
      </c>
      <c r="AF280" s="11">
        <f t="shared" si="57"/>
        <v>22.333333333333286</v>
      </c>
      <c r="AG280" s="1">
        <f t="shared" si="58"/>
        <v>0.11208524751929197</v>
      </c>
    </row>
    <row r="281" spans="2:33" ht="15">
      <c r="B281" s="1">
        <v>270</v>
      </c>
      <c r="C281" s="1">
        <v>1.0004024851506619</v>
      </c>
      <c r="D281" s="1">
        <v>1.1529049280632173</v>
      </c>
      <c r="E281" s="1">
        <v>0.86664969916193491</v>
      </c>
      <c r="G281" s="1">
        <v>0.99961376985411665</v>
      </c>
      <c r="H281" s="1">
        <v>3.3634864908591804</v>
      </c>
      <c r="I281" s="1">
        <v>0.26070743401275243</v>
      </c>
      <c r="K281" s="1">
        <v>1.0013417311862884</v>
      </c>
      <c r="L281" s="1">
        <v>2.6329998621472344</v>
      </c>
      <c r="M281" s="1">
        <v>0.35902120394560677</v>
      </c>
      <c r="O281" s="1">
        <v>2.2681214594442542E-2</v>
      </c>
      <c r="P281" s="1">
        <v>0.60029905173648324</v>
      </c>
      <c r="R281" s="1">
        <v>3.6394797485728082E-2</v>
      </c>
      <c r="S281" s="2">
        <f t="shared" si="60"/>
        <v>0.53261899755843345</v>
      </c>
      <c r="T281" s="4">
        <f t="shared" si="61"/>
        <v>0.28368299656015056</v>
      </c>
      <c r="U281" s="1">
        <f t="shared" si="53"/>
        <v>0.1838124624214422</v>
      </c>
      <c r="V281" s="6">
        <f>2*sigma/alpha*corel*(B281/12-1/alpha*(1-EXP(-alpha*Output!B281/12)))</f>
        <v>0.90466769724985618</v>
      </c>
      <c r="W281" s="5">
        <f t="shared" si="62"/>
        <v>-9.9870534138708361E-2</v>
      </c>
      <c r="X281" s="1">
        <f t="shared" si="63"/>
        <v>9.8067717149311093</v>
      </c>
      <c r="Y281" s="3">
        <f t="shared" si="64"/>
        <v>4.948686348819243E-2</v>
      </c>
      <c r="Z281" s="1">
        <f t="shared" si="54"/>
        <v>0.11228594382402071</v>
      </c>
      <c r="AA281" s="8">
        <f t="shared" si="59"/>
        <v>22.416666666666618</v>
      </c>
      <c r="AB281" s="1">
        <v>22.5</v>
      </c>
      <c r="AC281" s="1">
        <v>2.28726E-2</v>
      </c>
      <c r="AD281" s="8">
        <f t="shared" si="55"/>
        <v>1.9138540555745793</v>
      </c>
      <c r="AE281" s="3">
        <f t="shared" si="56"/>
        <v>8.367453003045474E-3</v>
      </c>
      <c r="AF281" s="11">
        <f t="shared" si="57"/>
        <v>22.416666666666618</v>
      </c>
      <c r="AG281" s="1">
        <f t="shared" si="58"/>
        <v>0.11228594382402071</v>
      </c>
    </row>
    <row r="282" spans="2:33" ht="15">
      <c r="B282" s="1">
        <v>271</v>
      </c>
      <c r="C282" s="1">
        <v>1.0004022727228208</v>
      </c>
      <c r="D282" s="1">
        <v>1.1545459311125852</v>
      </c>
      <c r="E282" s="1">
        <v>0.86541633651456817</v>
      </c>
      <c r="G282" s="1">
        <v>0.99941699489569313</v>
      </c>
      <c r="H282" s="1">
        <v>3.4063161128582418</v>
      </c>
      <c r="I282" s="1">
        <v>0.25730482776542923</v>
      </c>
      <c r="K282" s="1">
        <v>1.0012279529392807</v>
      </c>
      <c r="L282" s="1">
        <v>2.6174039303197687</v>
      </c>
      <c r="M282" s="1">
        <v>0.36108521590903681</v>
      </c>
      <c r="O282" s="1">
        <v>2.2688128630310937E-2</v>
      </c>
      <c r="P282" s="1">
        <v>0.59907194979083356</v>
      </c>
      <c r="R282" s="1">
        <v>3.6462294884061448E-2</v>
      </c>
      <c r="S282" s="2">
        <f t="shared" si="60"/>
        <v>0.53457093446291126</v>
      </c>
      <c r="T282" s="4">
        <f t="shared" si="61"/>
        <v>0.28576608397255016</v>
      </c>
      <c r="U282" s="1">
        <f t="shared" si="53"/>
        <v>0.18553463301044762</v>
      </c>
      <c r="V282" s="6">
        <f>2*sigma/alpha*corel*(B282/12-1/alpha*(1-EXP(-alpha*Output!B282/12)))</f>
        <v>0.9106575666198915</v>
      </c>
      <c r="W282" s="5">
        <f t="shared" si="62"/>
        <v>-0.10023145096210254</v>
      </c>
      <c r="X282" s="1">
        <f t="shared" si="63"/>
        <v>9.8835382738853248</v>
      </c>
      <c r="Y282" s="3">
        <f t="shared" si="64"/>
        <v>4.9442478587558639E-2</v>
      </c>
      <c r="Z282" s="1">
        <f t="shared" si="54"/>
        <v>0.11248932721281558</v>
      </c>
      <c r="AA282" s="8">
        <f t="shared" si="59"/>
        <v>22.49999999999995</v>
      </c>
      <c r="AB282" s="1">
        <v>22.58</v>
      </c>
      <c r="AC282" s="1">
        <v>2.2879900000000002E-2</v>
      </c>
      <c r="AD282" s="8">
        <f t="shared" si="55"/>
        <v>1.9177136968906439</v>
      </c>
      <c r="AE282" s="3">
        <f t="shared" si="56"/>
        <v>8.3816524411848125E-3</v>
      </c>
      <c r="AF282" s="11">
        <f t="shared" si="57"/>
        <v>22.49999999999995</v>
      </c>
      <c r="AG282" s="1">
        <f t="shared" si="58"/>
        <v>0.11248932721281558</v>
      </c>
    </row>
    <row r="283" spans="2:33" ht="15">
      <c r="B283" s="1">
        <v>272</v>
      </c>
      <c r="C283" s="1">
        <v>1.000406843347738</v>
      </c>
      <c r="D283" s="1">
        <v>1.1565523363064212</v>
      </c>
      <c r="E283" s="1">
        <v>0.86391344311431151</v>
      </c>
      <c r="G283" s="1">
        <v>0.99959498408106229</v>
      </c>
      <c r="H283" s="1">
        <v>3.4467192654772139</v>
      </c>
      <c r="I283" s="1">
        <v>0.25416559103049524</v>
      </c>
      <c r="K283" s="1">
        <v>1.0012263166391859</v>
      </c>
      <c r="L283" s="1">
        <v>2.6376579622395848</v>
      </c>
      <c r="M283" s="1">
        <v>0.35823787622244435</v>
      </c>
      <c r="O283" s="1">
        <v>2.269498812895291E-2</v>
      </c>
      <c r="P283" s="1">
        <v>0.59784740634915401</v>
      </c>
      <c r="R283" s="1">
        <v>3.6614612584992136E-2</v>
      </c>
      <c r="S283" s="2">
        <f t="shared" si="60"/>
        <v>0.53697521358380684</v>
      </c>
      <c r="T283" s="4">
        <f t="shared" si="61"/>
        <v>0.28834238000337498</v>
      </c>
      <c r="U283" s="1">
        <f t="shared" si="53"/>
        <v>0.1872654551877749</v>
      </c>
      <c r="V283" s="6">
        <f>2*sigma/alpha*corel*(B283/12-1/alpha*(1-EXP(-alpha*Output!B283/12)))</f>
        <v>0.91666246267185325</v>
      </c>
      <c r="W283" s="5">
        <f t="shared" si="62"/>
        <v>-0.10107692481560007</v>
      </c>
      <c r="X283" s="1">
        <f t="shared" si="63"/>
        <v>10.004577920419367</v>
      </c>
      <c r="Y283" s="3">
        <f t="shared" si="64"/>
        <v>4.9551594428997162E-2</v>
      </c>
      <c r="Z283" s="1">
        <f t="shared" si="54"/>
        <v>0.11278735457971373</v>
      </c>
      <c r="AA283" s="8">
        <f t="shared" si="59"/>
        <v>22.583333333333282</v>
      </c>
      <c r="AB283" s="1">
        <v>22.67</v>
      </c>
      <c r="AC283" s="1">
        <v>2.28871E-2</v>
      </c>
      <c r="AD283" s="8">
        <f t="shared" si="55"/>
        <v>1.9211187104709038</v>
      </c>
      <c r="AE283" s="3">
        <f t="shared" si="56"/>
        <v>8.3938931121500908E-3</v>
      </c>
      <c r="AF283" s="11">
        <f t="shared" si="57"/>
        <v>22.583333333333282</v>
      </c>
      <c r="AG283" s="1">
        <f t="shared" si="58"/>
        <v>0.11278735457971373</v>
      </c>
    </row>
    <row r="284" spans="2:33" ht="15">
      <c r="B284" s="1">
        <v>273</v>
      </c>
      <c r="C284" s="1">
        <v>1.0004102653506652</v>
      </c>
      <c r="D284" s="1">
        <v>1.1540606818067431</v>
      </c>
      <c r="E284" s="1">
        <v>0.86577710133292884</v>
      </c>
      <c r="G284" s="1">
        <v>0.99968139813011059</v>
      </c>
      <c r="H284" s="1">
        <v>3.3922388615846883</v>
      </c>
      <c r="I284" s="1">
        <v>0.2581225978232764</v>
      </c>
      <c r="K284" s="1">
        <v>1.0012192039642058</v>
      </c>
      <c r="L284" s="1">
        <v>2.5943434417867737</v>
      </c>
      <c r="M284" s="1">
        <v>0.36414305672410596</v>
      </c>
      <c r="O284" s="1">
        <v>2.2701806649454603E-2</v>
      </c>
      <c r="P284" s="1">
        <v>0.59662524007060302</v>
      </c>
      <c r="R284" s="1">
        <v>3.6707218676431556E-2</v>
      </c>
      <c r="S284" s="2">
        <f t="shared" si="60"/>
        <v>0.53906406965878007</v>
      </c>
      <c r="T284" s="4">
        <f t="shared" si="61"/>
        <v>0.29059007119708608</v>
      </c>
      <c r="U284" s="1">
        <f t="shared" si="53"/>
        <v>0.18900492726773319</v>
      </c>
      <c r="V284" s="6">
        <f>2*sigma/alpha*corel*(B284/12-1/alpha*(1-EXP(-alpha*Output!B284/12)))</f>
        <v>0.92268234497971502</v>
      </c>
      <c r="W284" s="5">
        <f t="shared" si="62"/>
        <v>-0.10158514392935289</v>
      </c>
      <c r="X284" s="1">
        <f t="shared" si="63"/>
        <v>10.095590807308378</v>
      </c>
      <c r="Y284" s="3">
        <f t="shared" si="64"/>
        <v>4.9553265955544983E-2</v>
      </c>
      <c r="Z284" s="1">
        <f t="shared" si="54"/>
        <v>0.11301853804898142</v>
      </c>
      <c r="AA284" s="8">
        <f t="shared" si="59"/>
        <v>22.666666666666615</v>
      </c>
      <c r="AB284" s="1">
        <v>22.75</v>
      </c>
      <c r="AC284" s="1">
        <v>2.2894299999999999E-2</v>
      </c>
      <c r="AD284" s="8">
        <f t="shared" si="55"/>
        <v>1.9249335054539671</v>
      </c>
      <c r="AE284" s="3">
        <f t="shared" si="56"/>
        <v>8.4079159679656817E-3</v>
      </c>
      <c r="AF284" s="11">
        <f t="shared" si="57"/>
        <v>22.666666666666615</v>
      </c>
      <c r="AG284" s="1">
        <f t="shared" si="58"/>
        <v>0.11301853804898142</v>
      </c>
    </row>
    <row r="285" spans="2:33" ht="15">
      <c r="B285" s="1">
        <v>274</v>
      </c>
      <c r="C285" s="1">
        <v>1.0004137038430347</v>
      </c>
      <c r="D285" s="1">
        <v>1.1524867105334906</v>
      </c>
      <c r="E285" s="1">
        <v>0.86695794678094651</v>
      </c>
      <c r="G285" s="1">
        <v>0.99978167533029449</v>
      </c>
      <c r="H285" s="1">
        <v>3.3465175324402363</v>
      </c>
      <c r="I285" s="1">
        <v>0.26152254591476681</v>
      </c>
      <c r="K285" s="1">
        <v>1.0012747692380071</v>
      </c>
      <c r="L285" s="1">
        <v>2.586984694047453</v>
      </c>
      <c r="M285" s="1">
        <v>0.36510280046282556</v>
      </c>
      <c r="O285" s="1">
        <v>2.2708574497098739E-2</v>
      </c>
      <c r="P285" s="1">
        <v>0.59540558451104997</v>
      </c>
      <c r="R285" s="1">
        <v>3.6940516233416029E-2</v>
      </c>
      <c r="S285" s="2">
        <f t="shared" si="60"/>
        <v>0.54190431335040423</v>
      </c>
      <c r="T285" s="4">
        <f t="shared" si="61"/>
        <v>0.29366028482777312</v>
      </c>
      <c r="U285" s="1">
        <f t="shared" si="53"/>
        <v>0.19075304745315602</v>
      </c>
      <c r="V285" s="6">
        <f>2*sigma/alpha*corel*(B285/12-1/alpha*(1-EXP(-alpha*Output!B285/12)))</f>
        <v>0.9287171732262065</v>
      </c>
      <c r="W285" s="5">
        <f t="shared" si="62"/>
        <v>-0.1029072373746171</v>
      </c>
      <c r="X285" s="1">
        <f t="shared" si="63"/>
        <v>10.261376601393636</v>
      </c>
      <c r="Y285" s="3">
        <f t="shared" si="64"/>
        <v>4.9809222906527152E-2</v>
      </c>
      <c r="Z285" s="1">
        <f t="shared" si="54"/>
        <v>0.11340650057214208</v>
      </c>
      <c r="AA285" s="8">
        <f t="shared" si="59"/>
        <v>22.749999999999947</v>
      </c>
      <c r="AB285" s="1">
        <v>22.83</v>
      </c>
      <c r="AC285" s="1">
        <v>2.2901399999999999E-2</v>
      </c>
      <c r="AD285" s="8">
        <f t="shared" si="55"/>
        <v>1.9282550290125946</v>
      </c>
      <c r="AE285" s="3">
        <f t="shared" si="56"/>
        <v>8.419812889223343E-3</v>
      </c>
      <c r="AF285" s="11">
        <f t="shared" si="57"/>
        <v>22.749999999999947</v>
      </c>
      <c r="AG285" s="1">
        <f t="shared" si="58"/>
        <v>0.11340650057214208</v>
      </c>
    </row>
    <row r="286" spans="2:33" ht="15">
      <c r="B286" s="1">
        <v>275</v>
      </c>
      <c r="C286" s="1">
        <v>1.0004178522749327</v>
      </c>
      <c r="D286" s="1">
        <v>1.152020891804832</v>
      </c>
      <c r="E286" s="1">
        <v>0.86730693806325454</v>
      </c>
      <c r="G286" s="1">
        <v>0.99994222944540812</v>
      </c>
      <c r="H286" s="1">
        <v>3.3375144793570724</v>
      </c>
      <c r="I286" s="1">
        <v>0.26210111660871943</v>
      </c>
      <c r="K286" s="1">
        <v>1.0013786818280812</v>
      </c>
      <c r="L286" s="1">
        <v>2.557094296644578</v>
      </c>
      <c r="M286" s="1">
        <v>0.36929361739711147</v>
      </c>
      <c r="O286" s="1">
        <v>2.2715235091001769E-2</v>
      </c>
      <c r="P286" s="1">
        <v>0.59418921246714163</v>
      </c>
      <c r="R286" s="1">
        <v>3.7121795984930497E-2</v>
      </c>
      <c r="S286" s="2">
        <f t="shared" si="60"/>
        <v>0.54446913136468078</v>
      </c>
      <c r="T286" s="4">
        <f t="shared" si="61"/>
        <v>0.29644663500901003</v>
      </c>
      <c r="U286" s="1">
        <f t="shared" si="53"/>
        <v>0.19250981383632909</v>
      </c>
      <c r="V286" s="6">
        <f>2*sigma/alpha*corel*(B286/12-1/alpha*(1-EXP(-alpha*Output!B286/12)))</f>
        <v>0.93476690720252242</v>
      </c>
      <c r="W286" s="5">
        <f t="shared" si="62"/>
        <v>-0.10393682117268094</v>
      </c>
      <c r="X286" s="1">
        <f t="shared" si="63"/>
        <v>10.401331111630055</v>
      </c>
      <c r="Y286" s="3">
        <f t="shared" si="64"/>
        <v>4.9971110522416873E-2</v>
      </c>
      <c r="Z286" s="1">
        <f t="shared" si="54"/>
        <v>0.11373589215383827</v>
      </c>
      <c r="AA286" s="8">
        <f t="shared" si="59"/>
        <v>22.833333333333279</v>
      </c>
      <c r="AB286" s="1">
        <v>22.92</v>
      </c>
      <c r="AC286" s="1">
        <v>2.2908499999999998E-2</v>
      </c>
      <c r="AD286" s="8">
        <f t="shared" si="55"/>
        <v>1.9326490899822941</v>
      </c>
      <c r="AE286" s="3">
        <f t="shared" si="56"/>
        <v>8.4363842677708904E-3</v>
      </c>
      <c r="AF286" s="11">
        <f t="shared" si="57"/>
        <v>22.833333333333279</v>
      </c>
      <c r="AG286" s="1">
        <f t="shared" si="58"/>
        <v>0.11373589215383827</v>
      </c>
    </row>
    <row r="287" spans="2:33" ht="15">
      <c r="B287" s="1">
        <v>276</v>
      </c>
      <c r="C287" s="1">
        <v>1.0004185960058534</v>
      </c>
      <c r="D287" s="1">
        <v>1.1497243510891868</v>
      </c>
      <c r="E287" s="1">
        <v>0.86903779230489409</v>
      </c>
      <c r="G287" s="1">
        <v>0.99982535101482406</v>
      </c>
      <c r="H287" s="1">
        <v>3.2716872587966783</v>
      </c>
      <c r="I287" s="1">
        <v>0.26724527699762279</v>
      </c>
      <c r="K287" s="1">
        <v>1.0013183086158122</v>
      </c>
      <c r="L287" s="1">
        <v>2.6011604848490846</v>
      </c>
      <c r="M287" s="1">
        <v>0.3629617995161219</v>
      </c>
      <c r="O287" s="1">
        <v>2.27219530414191E-2</v>
      </c>
      <c r="P287" s="1">
        <v>0.5929738848738999</v>
      </c>
      <c r="R287" s="1">
        <v>3.7195891514482965E-2</v>
      </c>
      <c r="S287" s="2">
        <f t="shared" si="60"/>
        <v>0.54646651697504578</v>
      </c>
      <c r="T287" s="4">
        <f t="shared" si="61"/>
        <v>0.298625654174838</v>
      </c>
      <c r="U287" s="1">
        <f t="shared" si="53"/>
        <v>0.19427522439990511</v>
      </c>
      <c r="V287" s="6">
        <f>2*sigma/alpha*corel*(B287/12-1/alpha*(1-EXP(-alpha*Output!B287/12)))</f>
        <v>0.94083150680803218</v>
      </c>
      <c r="W287" s="5">
        <f t="shared" si="62"/>
        <v>-0.10435042977493289</v>
      </c>
      <c r="X287" s="1">
        <f t="shared" si="63"/>
        <v>10.485403463496498</v>
      </c>
      <c r="Y287" s="3">
        <f t="shared" si="64"/>
        <v>4.994099488296283E-2</v>
      </c>
      <c r="Z287" s="1">
        <f t="shared" si="54"/>
        <v>0.11394614558886218</v>
      </c>
      <c r="AA287" s="8">
        <f t="shared" si="59"/>
        <v>22.916666666666611</v>
      </c>
      <c r="AB287" s="1">
        <v>23</v>
      </c>
      <c r="AC287" s="1">
        <v>2.2915600000000001E-2</v>
      </c>
      <c r="AD287" s="8">
        <f t="shared" si="55"/>
        <v>1.9364695858090086</v>
      </c>
      <c r="AE287" s="3">
        <f t="shared" si="56"/>
        <v>8.4504424313961175E-3</v>
      </c>
      <c r="AF287" s="11">
        <f t="shared" si="57"/>
        <v>22.916666666666611</v>
      </c>
      <c r="AG287" s="1">
        <f t="shared" si="58"/>
        <v>0.11394614558886218</v>
      </c>
    </row>
    <row r="288" spans="2:33" ht="15">
      <c r="B288" s="1">
        <v>277</v>
      </c>
      <c r="C288" s="1">
        <v>1.0004206022924709</v>
      </c>
      <c r="D288" s="1">
        <v>1.1500094525473274</v>
      </c>
      <c r="E288" s="1">
        <v>0.86882078133610074</v>
      </c>
      <c r="G288" s="1">
        <v>0.99980870412982037</v>
      </c>
      <c r="H288" s="1">
        <v>3.2840258122694954</v>
      </c>
      <c r="I288" s="1">
        <v>0.26611236408282318</v>
      </c>
      <c r="K288" s="1">
        <v>1.0012766981131078</v>
      </c>
      <c r="L288" s="1">
        <v>2.5980424030498956</v>
      </c>
      <c r="M288" s="1">
        <v>0.36332171400216673</v>
      </c>
      <c r="O288" s="1">
        <v>2.2728665931106576E-2</v>
      </c>
      <c r="P288" s="1">
        <v>0.59176044961516683</v>
      </c>
      <c r="R288" s="1">
        <v>3.744055607349011E-2</v>
      </c>
      <c r="S288" s="2">
        <f t="shared" si="60"/>
        <v>0.54937727515387502</v>
      </c>
      <c r="T288" s="4">
        <f t="shared" si="61"/>
        <v>0.30181539045549649</v>
      </c>
      <c r="U288" s="1">
        <f t="shared" si="53"/>
        <v>0.19604927701781669</v>
      </c>
      <c r="V288" s="6">
        <f>2*sigma/alpha*corel*(B288/12-1/alpha*(1-EXP(-alpha*Output!B288/12)))</f>
        <v>0.94691093204998467</v>
      </c>
      <c r="W288" s="5">
        <f t="shared" si="62"/>
        <v>-0.1057661134376798</v>
      </c>
      <c r="X288" s="1">
        <f t="shared" si="63"/>
        <v>10.662378120648206</v>
      </c>
      <c r="Y288" s="3">
        <f t="shared" si="64"/>
        <v>5.0218457302820818E-2</v>
      </c>
      <c r="Z288" s="1">
        <f t="shared" si="54"/>
        <v>0.11434611915400135</v>
      </c>
      <c r="AA288" s="8">
        <f t="shared" si="59"/>
        <v>22.999999999999943</v>
      </c>
      <c r="AB288" s="1">
        <v>23.08</v>
      </c>
      <c r="AC288" s="1">
        <v>2.29228E-2</v>
      </c>
      <c r="AD288" s="8">
        <f t="shared" si="55"/>
        <v>1.9413406889342428</v>
      </c>
      <c r="AE288" s="3">
        <f t="shared" si="56"/>
        <v>8.4690382018524912E-3</v>
      </c>
      <c r="AF288" s="11">
        <f t="shared" si="57"/>
        <v>22.999999999999943</v>
      </c>
      <c r="AG288" s="1">
        <f t="shared" si="58"/>
        <v>0.11434611915400135</v>
      </c>
    </row>
    <row r="289" spans="2:33" ht="15">
      <c r="B289" s="1">
        <v>278</v>
      </c>
      <c r="C289" s="1">
        <v>1.0004237103638602</v>
      </c>
      <c r="D289" s="1">
        <v>1.1455634912004526</v>
      </c>
      <c r="E289" s="1">
        <v>0.8721911248723152</v>
      </c>
      <c r="G289" s="1">
        <v>0.99987901430486215</v>
      </c>
      <c r="H289" s="1">
        <v>3.1580092094448227</v>
      </c>
      <c r="I289" s="1">
        <v>0.27659735247421813</v>
      </c>
      <c r="K289" s="1">
        <v>1.0013161368050365</v>
      </c>
      <c r="L289" s="1">
        <v>2.6019845042755745</v>
      </c>
      <c r="M289" s="1">
        <v>0.36269569882670866</v>
      </c>
      <c r="O289" s="1">
        <v>2.2735392941257853E-2</v>
      </c>
      <c r="P289" s="1">
        <v>0.59054864357817249</v>
      </c>
      <c r="R289" s="1">
        <v>3.7550657562488828E-2</v>
      </c>
      <c r="S289" s="2">
        <f t="shared" si="60"/>
        <v>0.55157312325321484</v>
      </c>
      <c r="T289" s="4">
        <f t="shared" si="61"/>
        <v>0.30423291029530614</v>
      </c>
      <c r="U289" s="1">
        <f t="shared" si="53"/>
        <v>0.19783196945618292</v>
      </c>
      <c r="V289" s="6">
        <f>2*sigma/alpha*corel*(B289/12-1/alpha*(1-EXP(-alpha*Output!B289/12)))</f>
        <v>0.95300514304322415</v>
      </c>
      <c r="W289" s="5">
        <f t="shared" si="62"/>
        <v>-0.10640094083912321</v>
      </c>
      <c r="X289" s="1">
        <f t="shared" si="63"/>
        <v>10.768039320425586</v>
      </c>
      <c r="Y289" s="3">
        <f t="shared" si="64"/>
        <v>5.0254617335937696E-2</v>
      </c>
      <c r="Z289" s="1">
        <f t="shared" si="54"/>
        <v>0.11459649139517822</v>
      </c>
      <c r="AA289" s="8">
        <f t="shared" si="59"/>
        <v>23.083333333333275</v>
      </c>
      <c r="AB289" s="1">
        <v>23.17</v>
      </c>
      <c r="AC289" s="1">
        <v>2.2929999999999999E-2</v>
      </c>
      <c r="AD289" s="8">
        <f t="shared" si="55"/>
        <v>1.9460705874214599</v>
      </c>
      <c r="AE289" s="3">
        <f t="shared" si="56"/>
        <v>8.4870064867922368E-3</v>
      </c>
      <c r="AF289" s="11">
        <f t="shared" si="57"/>
        <v>23.083333333333275</v>
      </c>
      <c r="AG289" s="1">
        <f t="shared" si="58"/>
        <v>0.11459649139517822</v>
      </c>
    </row>
    <row r="290" spans="2:33" ht="15">
      <c r="B290" s="1">
        <v>279</v>
      </c>
      <c r="C290" s="1">
        <v>1.0004218684882316</v>
      </c>
      <c r="D290" s="1">
        <v>1.1471706423964554</v>
      </c>
      <c r="E290" s="1">
        <v>0.87096764084925993</v>
      </c>
      <c r="G290" s="1">
        <v>0.99954558160728924</v>
      </c>
      <c r="H290" s="1">
        <v>3.1986339222101199</v>
      </c>
      <c r="I290" s="1">
        <v>0.27295224461209705</v>
      </c>
      <c r="K290" s="1">
        <v>1.0012774753450491</v>
      </c>
      <c r="L290" s="1">
        <v>2.5406959026206732</v>
      </c>
      <c r="M290" s="1">
        <v>0.37136754449047638</v>
      </c>
      <c r="O290" s="1">
        <v>2.2742240200372438E-2</v>
      </c>
      <c r="P290" s="1">
        <v>0.58933701066340283</v>
      </c>
      <c r="R290" s="1">
        <v>3.7654475821257347E-2</v>
      </c>
      <c r="S290" s="2">
        <f t="shared" si="60"/>
        <v>0.55374028478721593</v>
      </c>
      <c r="T290" s="4">
        <f t="shared" si="61"/>
        <v>0.30662830299622701</v>
      </c>
      <c r="U290" s="1">
        <f t="shared" si="53"/>
        <v>0.19962329937420653</v>
      </c>
      <c r="V290" s="6">
        <f>2*sigma/alpha*corel*(B290/12-1/alpha*(1-EXP(-alpha*Output!B290/12)))</f>
        <v>0.95911410000989228</v>
      </c>
      <c r="W290" s="5">
        <f t="shared" si="62"/>
        <v>-0.10700500362202048</v>
      </c>
      <c r="X290" s="1">
        <f t="shared" si="63"/>
        <v>10.871365193685691</v>
      </c>
      <c r="Y290" s="3">
        <f t="shared" si="64"/>
        <v>5.0280886786873327E-2</v>
      </c>
      <c r="Z290" s="1">
        <f t="shared" si="54"/>
        <v>0.11484038535012238</v>
      </c>
      <c r="AA290" s="8">
        <f t="shared" si="59"/>
        <v>23.166666666666607</v>
      </c>
      <c r="AB290" s="1">
        <v>23.25</v>
      </c>
      <c r="AC290" s="1">
        <v>2.2937300000000001E-2</v>
      </c>
      <c r="AD290" s="8">
        <f t="shared" si="55"/>
        <v>1.9505979962756297</v>
      </c>
      <c r="AE290" s="3">
        <f t="shared" si="56"/>
        <v>8.504043615750894E-3</v>
      </c>
      <c r="AF290" s="11">
        <f t="shared" si="57"/>
        <v>23.166666666666607</v>
      </c>
      <c r="AG290" s="1">
        <f t="shared" si="58"/>
        <v>0.11484038535012238</v>
      </c>
    </row>
    <row r="291" spans="2:33" ht="15">
      <c r="B291" s="1">
        <v>280</v>
      </c>
      <c r="C291" s="1">
        <v>1.0004234272605368</v>
      </c>
      <c r="D291" s="1">
        <v>1.1482516917894978</v>
      </c>
      <c r="E291" s="1">
        <v>0.87014607749790784</v>
      </c>
      <c r="G291" s="1">
        <v>0.9995069608010968</v>
      </c>
      <c r="H291" s="1">
        <v>3.230477550561186</v>
      </c>
      <c r="I291" s="1">
        <v>0.27013090968938813</v>
      </c>
      <c r="K291" s="1">
        <v>1.0013366576533826</v>
      </c>
      <c r="L291" s="1">
        <v>2.5666838417040139</v>
      </c>
      <c r="M291" s="1">
        <v>0.36753083289314714</v>
      </c>
      <c r="O291" s="1">
        <v>2.274920061204589E-2</v>
      </c>
      <c r="P291" s="1">
        <v>0.58812563970082599</v>
      </c>
      <c r="R291" s="1">
        <v>3.7702419116151603E-2</v>
      </c>
      <c r="S291" s="2">
        <f t="shared" si="60"/>
        <v>0.55561268631213578</v>
      </c>
      <c r="T291" s="4">
        <f t="shared" si="61"/>
        <v>0.3087054571909878</v>
      </c>
      <c r="U291" s="1">
        <f t="shared" si="53"/>
        <v>0.20142326432507104</v>
      </c>
      <c r="V291" s="6">
        <f>2*sigma/alpha*corel*(B291/12-1/alpha*(1-EXP(-alpha*Output!B291/12)))</f>
        <v>0.96523776327914779</v>
      </c>
      <c r="W291" s="5">
        <f t="shared" si="62"/>
        <v>-0.10728219286591675</v>
      </c>
      <c r="X291" s="1">
        <f t="shared" si="63"/>
        <v>10.944688607145697</v>
      </c>
      <c r="Y291" s="3">
        <f t="shared" si="64"/>
        <v>5.0207957405981274E-2</v>
      </c>
      <c r="Z291" s="1">
        <f t="shared" si="54"/>
        <v>0.1150227537473076</v>
      </c>
      <c r="AA291" s="8">
        <f t="shared" si="59"/>
        <v>23.24999999999994</v>
      </c>
      <c r="AB291" s="1">
        <v>23.33</v>
      </c>
      <c r="AC291" s="1">
        <v>2.2944599999999999E-2</v>
      </c>
      <c r="AD291" s="8">
        <f t="shared" si="55"/>
        <v>1.9539938795410869</v>
      </c>
      <c r="AE291" s="3">
        <f t="shared" si="56"/>
        <v>8.5161383486357881E-3</v>
      </c>
      <c r="AF291" s="11">
        <f t="shared" si="57"/>
        <v>23.24999999999994</v>
      </c>
      <c r="AG291" s="1">
        <f t="shared" si="58"/>
        <v>0.1150227537473076</v>
      </c>
    </row>
    <row r="292" spans="2:33" ht="15">
      <c r="B292" s="1">
        <v>281</v>
      </c>
      <c r="C292" s="1">
        <v>1.0004272384579951</v>
      </c>
      <c r="D292" s="1">
        <v>1.1418973151017329</v>
      </c>
      <c r="E292" s="1">
        <v>0.87498664646064528</v>
      </c>
      <c r="G292" s="1">
        <v>0.99961704963656262</v>
      </c>
      <c r="H292" s="1">
        <v>3.0713718012038207</v>
      </c>
      <c r="I292" s="1">
        <v>0.28398697219266733</v>
      </c>
      <c r="K292" s="1">
        <v>1.0013460337979123</v>
      </c>
      <c r="L292" s="1">
        <v>2.5817171489113373</v>
      </c>
      <c r="M292" s="1">
        <v>0.36531459014932161</v>
      </c>
      <c r="O292" s="1">
        <v>2.2756296141955814E-2</v>
      </c>
      <c r="P292" s="1">
        <v>0.58691422081428724</v>
      </c>
      <c r="R292" s="1">
        <v>3.7746762321374562E-2</v>
      </c>
      <c r="S292" s="2">
        <f t="shared" si="60"/>
        <v>0.55747003382039484</v>
      </c>
      <c r="T292" s="4">
        <f t="shared" si="61"/>
        <v>0.31077283860771215</v>
      </c>
      <c r="U292" s="1">
        <f t="shared" si="53"/>
        <v>0.20323186175683022</v>
      </c>
      <c r="V292" s="6">
        <f>2*sigma/alpha*corel*(B292/12-1/alpha*(1-EXP(-alpha*Output!B292/12)))</f>
        <v>0.97137609328687657</v>
      </c>
      <c r="W292" s="5">
        <f t="shared" si="62"/>
        <v>-0.10754097685088193</v>
      </c>
      <c r="X292" s="1">
        <f t="shared" si="63"/>
        <v>11.016576346308549</v>
      </c>
      <c r="Y292" s="3">
        <f t="shared" si="64"/>
        <v>5.0129823513653991E-2</v>
      </c>
      <c r="Z292" s="1">
        <f t="shared" si="54"/>
        <v>0.11520172719043889</v>
      </c>
      <c r="AA292" s="8">
        <f t="shared" si="59"/>
        <v>23.333333333333272</v>
      </c>
      <c r="AB292" s="1">
        <v>23.42</v>
      </c>
      <c r="AC292" s="1">
        <v>2.29521E-2</v>
      </c>
      <c r="AD292" s="8">
        <f t="shared" si="55"/>
        <v>1.9580385804418565</v>
      </c>
      <c r="AE292" s="3">
        <f t="shared" si="56"/>
        <v>8.5309779080862177E-3</v>
      </c>
      <c r="AF292" s="11">
        <f t="shared" si="57"/>
        <v>23.333333333333272</v>
      </c>
      <c r="AG292" s="1">
        <f t="shared" si="58"/>
        <v>0.11520172719043889</v>
      </c>
    </row>
    <row r="293" spans="2:33" ht="15">
      <c r="B293" s="1">
        <v>282</v>
      </c>
      <c r="C293" s="1">
        <v>1.0004275387844757</v>
      </c>
      <c r="D293" s="1">
        <v>1.1442921823668886</v>
      </c>
      <c r="E293" s="1">
        <v>0.87315382721227519</v>
      </c>
      <c r="G293" s="1">
        <v>0.99947166952147615</v>
      </c>
      <c r="H293" s="1">
        <v>3.1230928257566819</v>
      </c>
      <c r="I293" s="1">
        <v>0.27914877137054039</v>
      </c>
      <c r="K293" s="1">
        <v>1.0013955621648722</v>
      </c>
      <c r="L293" s="1">
        <v>2.6298882616151631</v>
      </c>
      <c r="M293" s="1">
        <v>0.35854849404856554</v>
      </c>
      <c r="O293" s="1">
        <v>2.2763563704178261E-2</v>
      </c>
      <c r="P293" s="1">
        <v>0.58570223669781118</v>
      </c>
      <c r="R293" s="1">
        <v>3.7927100072580905E-2</v>
      </c>
      <c r="S293" s="2">
        <f t="shared" si="60"/>
        <v>0.56006369106513931</v>
      </c>
      <c r="T293" s="4">
        <f t="shared" si="61"/>
        <v>0.31367133804950781</v>
      </c>
      <c r="U293" s="1">
        <f t="shared" si="53"/>
        <v>0.205049089013286</v>
      </c>
      <c r="V293" s="6">
        <f>2*sigma/alpha*corel*(B293/12-1/alpha*(1-EXP(-alpha*Output!B293/12)))</f>
        <v>0.97752905057539852</v>
      </c>
      <c r="W293" s="5">
        <f t="shared" si="62"/>
        <v>-0.10862224903622181</v>
      </c>
      <c r="X293" s="1">
        <f t="shared" si="63"/>
        <v>11.166054454123691</v>
      </c>
      <c r="Y293" s="3">
        <f t="shared" si="64"/>
        <v>5.029863023341502E-2</v>
      </c>
      <c r="Z293" s="1">
        <f t="shared" si="54"/>
        <v>0.11553231804454116</v>
      </c>
      <c r="AA293" s="8">
        <f t="shared" si="59"/>
        <v>23.416666666666604</v>
      </c>
      <c r="AB293" s="1">
        <v>23.5</v>
      </c>
      <c r="AC293" s="1">
        <v>2.29597E-2</v>
      </c>
      <c r="AD293" s="8">
        <f t="shared" si="55"/>
        <v>1.9613629582173817</v>
      </c>
      <c r="AE293" s="3">
        <f t="shared" si="56"/>
        <v>8.5426332147954098E-3</v>
      </c>
      <c r="AF293" s="11">
        <f t="shared" si="57"/>
        <v>23.416666666666604</v>
      </c>
      <c r="AG293" s="1">
        <f t="shared" si="58"/>
        <v>0.11553231804454116</v>
      </c>
    </row>
    <row r="294" spans="2:33" ht="15">
      <c r="B294" s="1">
        <v>283</v>
      </c>
      <c r="C294" s="1">
        <v>1.0004326638924737</v>
      </c>
      <c r="D294" s="1">
        <v>1.1459940852353285</v>
      </c>
      <c r="E294" s="1">
        <v>0.87185554146865318</v>
      </c>
      <c r="G294" s="1">
        <v>0.99970581332301423</v>
      </c>
      <c r="H294" s="1">
        <v>3.1627993936984637</v>
      </c>
      <c r="I294" s="1">
        <v>0.27551089129961526</v>
      </c>
      <c r="K294" s="1">
        <v>1.001504005886944</v>
      </c>
      <c r="L294" s="1">
        <v>2.6244458180324308</v>
      </c>
      <c r="M294" s="1">
        <v>0.35921718897710891</v>
      </c>
      <c r="O294" s="1">
        <v>2.2770965346349599E-2</v>
      </c>
      <c r="P294" s="1">
        <v>0.58449019917756029</v>
      </c>
      <c r="R294" s="1">
        <v>3.8062875032679494E-2</v>
      </c>
      <c r="S294" s="2">
        <f t="shared" si="60"/>
        <v>0.56242369712334606</v>
      </c>
      <c r="T294" s="4">
        <f t="shared" si="61"/>
        <v>0.31632041508589331</v>
      </c>
      <c r="U294" s="1">
        <f t="shared" si="53"/>
        <v>0.2068749433348748</v>
      </c>
      <c r="V294" s="6">
        <f>2*sigma/alpha*corel*(B294/12-1/alpha*(1-EXP(-alpha*Output!B294/12)))</f>
        <v>0.98369659579319024</v>
      </c>
      <c r="W294" s="5">
        <f t="shared" si="62"/>
        <v>-0.10944547175101851</v>
      </c>
      <c r="X294" s="1">
        <f t="shared" si="63"/>
        <v>11.292015161087857</v>
      </c>
      <c r="Y294" s="3">
        <f t="shared" si="64"/>
        <v>5.038861026061274E-2</v>
      </c>
      <c r="Z294" s="1">
        <f t="shared" si="54"/>
        <v>0.11581398789277564</v>
      </c>
      <c r="AA294" s="8">
        <f t="shared" si="59"/>
        <v>23.499999999999936</v>
      </c>
      <c r="AB294" s="1">
        <v>23.58</v>
      </c>
      <c r="AC294" s="1">
        <v>2.2967399999999999E-2</v>
      </c>
      <c r="AD294" s="8">
        <f t="shared" si="55"/>
        <v>1.9643465365039998</v>
      </c>
      <c r="AE294" s="3">
        <f t="shared" si="56"/>
        <v>8.5527597224936223E-3</v>
      </c>
      <c r="AF294" s="11">
        <f t="shared" si="57"/>
        <v>23.499999999999936</v>
      </c>
      <c r="AG294" s="1">
        <f t="shared" si="58"/>
        <v>0.11581398789277564</v>
      </c>
    </row>
    <row r="295" spans="2:33" ht="15">
      <c r="B295" s="1">
        <v>284</v>
      </c>
      <c r="C295" s="1">
        <v>1.0004365229014254</v>
      </c>
      <c r="D295" s="1">
        <v>1.1455399877113011</v>
      </c>
      <c r="E295" s="1">
        <v>0.87219957295625727</v>
      </c>
      <c r="G295" s="1">
        <v>0.99984296657279281</v>
      </c>
      <c r="H295" s="1">
        <v>3.1505687272015592</v>
      </c>
      <c r="I295" s="1">
        <v>0.27644660943810218</v>
      </c>
      <c r="K295" s="1">
        <v>1.0015086217333955</v>
      </c>
      <c r="L295" s="1">
        <v>2.6799994563197935</v>
      </c>
      <c r="M295" s="1">
        <v>0.35169770735038169</v>
      </c>
      <c r="O295" s="1">
        <v>2.2778426289577464E-2</v>
      </c>
      <c r="P295" s="1">
        <v>0.5832791316701329</v>
      </c>
      <c r="R295" s="1">
        <v>3.8179065694161012E-2</v>
      </c>
      <c r="S295" s="2">
        <f t="shared" si="60"/>
        <v>0.56468252019574128</v>
      </c>
      <c r="T295" s="4">
        <f t="shared" si="61"/>
        <v>0.31886634861461377</v>
      </c>
      <c r="U295" s="1">
        <f t="shared" si="53"/>
        <v>0.20870942185952948</v>
      </c>
      <c r="V295" s="6">
        <f>2*sigma/alpha*corel*(B295/12-1/alpha*(1-EXP(-alpha*Output!B295/12)))</f>
        <v>0.98987868969459303</v>
      </c>
      <c r="W295" s="5">
        <f t="shared" si="62"/>
        <v>-0.11015692675508429</v>
      </c>
      <c r="X295" s="1">
        <f t="shared" si="63"/>
        <v>11.408048886459463</v>
      </c>
      <c r="Y295" s="3">
        <f t="shared" si="64"/>
        <v>5.0444400854201557E-2</v>
      </c>
      <c r="Z295" s="1">
        <f t="shared" si="54"/>
        <v>0.11607422624252371</v>
      </c>
      <c r="AA295" s="8">
        <f t="shared" si="59"/>
        <v>23.583333333333268</v>
      </c>
      <c r="AB295" s="1">
        <v>23.67</v>
      </c>
      <c r="AC295" s="1">
        <v>2.2975300000000001E-2</v>
      </c>
      <c r="AD295" s="8">
        <f t="shared" si="55"/>
        <v>1.9687371042253696</v>
      </c>
      <c r="AE295" s="3">
        <f t="shared" si="56"/>
        <v>8.5689288245436174E-3</v>
      </c>
      <c r="AF295" s="11">
        <f t="shared" si="57"/>
        <v>23.583333333333268</v>
      </c>
      <c r="AG295" s="1">
        <f t="shared" si="58"/>
        <v>0.11607422624252371</v>
      </c>
    </row>
    <row r="296" spans="2:33" ht="15">
      <c r="B296" s="1">
        <v>285</v>
      </c>
      <c r="C296" s="1">
        <v>1.0004423449550981</v>
      </c>
      <c r="D296" s="1">
        <v>1.1454110479752533</v>
      </c>
      <c r="E296" s="1">
        <v>0.87229617988368535</v>
      </c>
      <c r="G296" s="1">
        <v>1.0001030870120713</v>
      </c>
      <c r="H296" s="1">
        <v>3.1568045978482502</v>
      </c>
      <c r="I296" s="1">
        <v>0.27576702498752553</v>
      </c>
      <c r="K296" s="1">
        <v>1.0015025232432451</v>
      </c>
      <c r="L296" s="1">
        <v>2.6042364698598264</v>
      </c>
      <c r="M296" s="1">
        <v>0.36185397578684353</v>
      </c>
      <c r="O296" s="1">
        <v>2.2785936681379175E-2</v>
      </c>
      <c r="P296" s="1">
        <v>0.58206916611914217</v>
      </c>
      <c r="R296" s="1">
        <v>3.821864737820159E-2</v>
      </c>
      <c r="S296" s="2">
        <f t="shared" si="60"/>
        <v>0.56653191271749082</v>
      </c>
      <c r="T296" s="4">
        <f t="shared" si="61"/>
        <v>0.32095840812733861</v>
      </c>
      <c r="U296" s="1">
        <f t="shared" si="53"/>
        <v>0.21055252162355295</v>
      </c>
      <c r="V296" s="6">
        <f>2*sigma/alpha*corel*(B296/12-1/alpha*(1-EXP(-alpha*Output!B296/12)))</f>
        <v>0.99607529313952969</v>
      </c>
      <c r="W296" s="5">
        <f t="shared" si="62"/>
        <v>-0.11040588650378566</v>
      </c>
      <c r="X296" s="1">
        <f t="shared" si="63"/>
        <v>11.480725207462639</v>
      </c>
      <c r="Y296" s="3">
        <f t="shared" si="64"/>
        <v>5.0363086178892E-2</v>
      </c>
      <c r="Z296" s="1">
        <f t="shared" si="54"/>
        <v>0.11624989564270832</v>
      </c>
      <c r="AA296" s="8">
        <f t="shared" si="59"/>
        <v>23.6666666666666</v>
      </c>
      <c r="AB296" s="1">
        <v>23.75</v>
      </c>
      <c r="AC296" s="1">
        <v>2.2983400000000001E-2</v>
      </c>
      <c r="AD296" s="8">
        <f t="shared" si="55"/>
        <v>1.9746331862082607</v>
      </c>
      <c r="AE296" s="3">
        <f t="shared" si="56"/>
        <v>8.5915625460474109E-3</v>
      </c>
      <c r="AF296" s="11">
        <f t="shared" si="57"/>
        <v>23.6666666666666</v>
      </c>
      <c r="AG296" s="1">
        <f t="shared" si="58"/>
        <v>0.11624989564270832</v>
      </c>
    </row>
    <row r="297" spans="2:33" ht="15">
      <c r="B297" s="1">
        <v>286</v>
      </c>
      <c r="C297" s="1">
        <v>1.0004427756407237</v>
      </c>
      <c r="D297" s="1">
        <v>1.1483315198517901</v>
      </c>
      <c r="E297" s="1">
        <v>0.87007615557851115</v>
      </c>
      <c r="G297" s="1">
        <v>0.99996405741190442</v>
      </c>
      <c r="H297" s="1">
        <v>3.2159914589640026</v>
      </c>
      <c r="I297" s="1">
        <v>0.27056085221081383</v>
      </c>
      <c r="K297" s="1">
        <v>1.0015668288319008</v>
      </c>
      <c r="L297" s="1">
        <v>2.5907318504059074</v>
      </c>
      <c r="M297" s="1">
        <v>0.36366442842482594</v>
      </c>
      <c r="O297" s="1">
        <v>2.2793613661814646E-2</v>
      </c>
      <c r="P297" s="1">
        <v>0.58085867723740481</v>
      </c>
      <c r="R297" s="1">
        <v>3.827506538890383E-2</v>
      </c>
      <c r="S297" s="2">
        <f t="shared" si="60"/>
        <v>0.56847720762412646</v>
      </c>
      <c r="T297" s="4">
        <f t="shared" si="61"/>
        <v>0.32316633558812419</v>
      </c>
      <c r="U297" s="1">
        <f t="shared" si="53"/>
        <v>0.21240423956247748</v>
      </c>
      <c r="V297" s="6">
        <f>2*sigma/alpha*corel*(B297/12-1/alpha*(1-EXP(-alpha*Output!B297/12)))</f>
        <v>1.0022863670932221</v>
      </c>
      <c r="W297" s="5">
        <f t="shared" si="62"/>
        <v>-0.11076209602564671</v>
      </c>
      <c r="X297" s="1">
        <f t="shared" si="63"/>
        <v>11.563897782772584</v>
      </c>
      <c r="Y297" s="3">
        <f t="shared" si="64"/>
        <v>5.0313708838025439E-2</v>
      </c>
      <c r="Z297" s="1">
        <f t="shared" si="54"/>
        <v>0.11644495123462066</v>
      </c>
      <c r="AA297" s="8">
        <f t="shared" si="59"/>
        <v>23.749999999999932</v>
      </c>
      <c r="AB297" s="1">
        <v>23.83</v>
      </c>
      <c r="AC297" s="1">
        <v>2.2991600000000001E-2</v>
      </c>
      <c r="AD297" s="8">
        <f t="shared" si="55"/>
        <v>1.979863381853554</v>
      </c>
      <c r="AE297" s="3">
        <f t="shared" si="56"/>
        <v>8.6112466372655835E-3</v>
      </c>
      <c r="AF297" s="11">
        <f t="shared" si="57"/>
        <v>23.749999999999932</v>
      </c>
      <c r="AG297" s="1">
        <f t="shared" si="58"/>
        <v>0.11644495123462066</v>
      </c>
    </row>
    <row r="298" spans="2:33" ht="15">
      <c r="B298" s="1">
        <v>287</v>
      </c>
      <c r="C298" s="1">
        <v>1.0004445401123483</v>
      </c>
      <c r="D298" s="1">
        <v>1.149911950398993</v>
      </c>
      <c r="E298" s="1">
        <v>0.86887875665575975</v>
      </c>
      <c r="G298" s="1">
        <v>0.99993133394867639</v>
      </c>
      <c r="H298" s="1">
        <v>3.2536009754380424</v>
      </c>
      <c r="I298" s="1">
        <v>0.26730394446924283</v>
      </c>
      <c r="K298" s="1">
        <v>1.0016243705704049</v>
      </c>
      <c r="L298" s="1">
        <v>2.6404817235681075</v>
      </c>
      <c r="M298" s="1">
        <v>0.35673822199994182</v>
      </c>
      <c r="O298" s="1">
        <v>2.280165618795707E-2</v>
      </c>
      <c r="P298" s="1">
        <v>0.57964489641893158</v>
      </c>
      <c r="R298" s="1">
        <v>3.8362946300071615E-2</v>
      </c>
      <c r="S298" s="2">
        <f t="shared" si="60"/>
        <v>0.57060185605349623</v>
      </c>
      <c r="T298" s="4">
        <f t="shared" si="61"/>
        <v>0.32558647813169483</v>
      </c>
      <c r="U298" s="1">
        <f t="shared" si="53"/>
        <v>0.21426457251191638</v>
      </c>
      <c r="V298" s="6">
        <f>2*sigma/alpha*corel*(B298/12-1/alpha*(1-EXP(-alpha*Output!B298/12)))</f>
        <v>1.0085118726259072</v>
      </c>
      <c r="W298" s="5">
        <f t="shared" si="62"/>
        <v>-0.11132190561977845</v>
      </c>
      <c r="X298" s="1">
        <f t="shared" si="63"/>
        <v>11.666891834852885</v>
      </c>
      <c r="Y298" s="3">
        <f t="shared" si="64"/>
        <v>5.0324139591268108E-2</v>
      </c>
      <c r="Z298" s="1">
        <f t="shared" si="54"/>
        <v>0.11667635539365045</v>
      </c>
      <c r="AA298" s="8">
        <f t="shared" si="59"/>
        <v>23.833333333333265</v>
      </c>
      <c r="AB298" s="1">
        <v>23.92</v>
      </c>
      <c r="AC298" s="1">
        <v>2.3000099999999999E-2</v>
      </c>
      <c r="AD298" s="8">
        <f t="shared" si="55"/>
        <v>1.9844381204292896</v>
      </c>
      <c r="AE298" s="3">
        <f t="shared" si="56"/>
        <v>8.6279543151085852E-3</v>
      </c>
      <c r="AF298" s="11">
        <f t="shared" si="57"/>
        <v>23.833333333333265</v>
      </c>
      <c r="AG298" s="1">
        <f t="shared" si="58"/>
        <v>0.11667635539365045</v>
      </c>
    </row>
    <row r="299" spans="2:33" ht="15">
      <c r="B299" s="1">
        <v>288</v>
      </c>
      <c r="C299" s="1">
        <v>1.0004459054050632</v>
      </c>
      <c r="D299" s="1">
        <v>1.1518573318121368</v>
      </c>
      <c r="E299" s="1">
        <v>0.86740972905717917</v>
      </c>
      <c r="G299" s="1">
        <v>0.99985900471026712</v>
      </c>
      <c r="H299" s="1">
        <v>3.302049764662748</v>
      </c>
      <c r="I299" s="1">
        <v>0.26325453215532651</v>
      </c>
      <c r="K299" s="1">
        <v>1.0015602710802121</v>
      </c>
      <c r="L299" s="1">
        <v>2.6780537470815031</v>
      </c>
      <c r="M299" s="1">
        <v>0.35166005700595965</v>
      </c>
      <c r="O299" s="1">
        <v>2.2809928182600917E-2</v>
      </c>
      <c r="P299" s="1">
        <v>0.57842969104922493</v>
      </c>
      <c r="R299" s="1">
        <v>3.8355123101672932E-2</v>
      </c>
      <c r="S299" s="2">
        <f t="shared" si="60"/>
        <v>0.57221443556367646</v>
      </c>
      <c r="T299" s="4">
        <f t="shared" si="61"/>
        <v>0.32742936026745684</v>
      </c>
      <c r="U299" s="1">
        <f t="shared" si="53"/>
        <v>0.21613351720842108</v>
      </c>
      <c r="V299" s="6">
        <f>2*sigma/alpha*corel*(B299/12-1/alpha*(1-EXP(-alpha*Output!B299/12)))</f>
        <v>1.0147517709125522</v>
      </c>
      <c r="W299" s="5">
        <f t="shared" si="62"/>
        <v>-0.11129584305903575</v>
      </c>
      <c r="X299" s="1">
        <f t="shared" si="63"/>
        <v>11.714122090237595</v>
      </c>
      <c r="Y299" s="3">
        <f t="shared" si="64"/>
        <v>5.0163295776256708E-2</v>
      </c>
      <c r="Z299" s="1">
        <f t="shared" si="54"/>
        <v>0.11680278254880762</v>
      </c>
      <c r="AA299" s="8">
        <f t="shared" si="59"/>
        <v>23.916666666666597</v>
      </c>
      <c r="AB299" s="1">
        <v>24</v>
      </c>
      <c r="AC299" s="1">
        <v>2.3008899999999999E-2</v>
      </c>
      <c r="AD299" s="8">
        <f t="shared" si="55"/>
        <v>1.9897181739908163</v>
      </c>
      <c r="AE299" s="3">
        <f t="shared" si="56"/>
        <v>8.6476023364472718E-3</v>
      </c>
      <c r="AF299" s="11">
        <f t="shared" si="57"/>
        <v>23.916666666666597</v>
      </c>
      <c r="AG299" s="1">
        <f t="shared" si="58"/>
        <v>0.11680278254880762</v>
      </c>
    </row>
    <row r="300" spans="2:33" ht="15">
      <c r="B300" s="1">
        <v>289</v>
      </c>
      <c r="C300" s="1">
        <v>1.0004485973977777</v>
      </c>
      <c r="D300" s="1">
        <v>1.1512529804469509</v>
      </c>
      <c r="E300" s="1">
        <v>0.86786350387452327</v>
      </c>
      <c r="G300" s="1">
        <v>0.99990212993859573</v>
      </c>
      <c r="H300" s="1">
        <v>3.2832573299024483</v>
      </c>
      <c r="I300" s="1">
        <v>0.26463322153927044</v>
      </c>
      <c r="K300" s="1">
        <v>1.0015819653676239</v>
      </c>
      <c r="L300" s="1">
        <v>2.6998761729815928</v>
      </c>
      <c r="M300" s="1">
        <v>0.34874501385542123</v>
      </c>
      <c r="O300" s="1">
        <v>2.281843724574649E-2</v>
      </c>
      <c r="P300" s="1">
        <v>0.57721294197766648</v>
      </c>
      <c r="R300" s="1">
        <v>3.8383738619549808E-2</v>
      </c>
      <c r="S300" s="2">
        <f t="shared" si="60"/>
        <v>0.57403047698669307</v>
      </c>
      <c r="T300" s="4">
        <f t="shared" si="61"/>
        <v>0.32951098850957039</v>
      </c>
      <c r="U300" s="1">
        <f t="shared" si="53"/>
        <v>0.2180110702903163</v>
      </c>
      <c r="V300" s="6">
        <f>2*sigma/alpha*corel*(B300/12-1/alpha*(1-EXP(-alpha*Output!B300/12)))</f>
        <v>1.0210060232325746</v>
      </c>
      <c r="W300" s="5">
        <f t="shared" si="62"/>
        <v>-0.11149991821925409</v>
      </c>
      <c r="X300" s="1">
        <f t="shared" si="63"/>
        <v>11.783612087932008</v>
      </c>
      <c r="Y300" s="3">
        <f t="shared" si="64"/>
        <v>5.0070323930113694E-2</v>
      </c>
      <c r="Z300" s="1">
        <f t="shared" si="54"/>
        <v>0.11697058249811172</v>
      </c>
      <c r="AA300" s="8">
        <f t="shared" si="59"/>
        <v>23.999999999999929</v>
      </c>
      <c r="AB300" s="1">
        <v>24.08</v>
      </c>
      <c r="AC300" s="1">
        <v>2.3017900000000001E-2</v>
      </c>
      <c r="AD300" s="8">
        <f t="shared" si="55"/>
        <v>1.9946275425351128</v>
      </c>
      <c r="AE300" s="3">
        <f t="shared" si="56"/>
        <v>8.6655496050252745E-3</v>
      </c>
      <c r="AF300" s="11">
        <f t="shared" si="57"/>
        <v>23.999999999999929</v>
      </c>
      <c r="AG300" s="1">
        <f t="shared" si="58"/>
        <v>0.11697058249811172</v>
      </c>
    </row>
    <row r="301" spans="2:33" ht="15">
      <c r="B301" s="1">
        <v>290</v>
      </c>
      <c r="C301" s="1">
        <v>1.0004497235822836</v>
      </c>
      <c r="D301" s="1">
        <v>1.1493904409882314</v>
      </c>
      <c r="E301" s="1">
        <v>0.86926826439224691</v>
      </c>
      <c r="G301" s="1">
        <v>0.99980142011835793</v>
      </c>
      <c r="H301" s="1">
        <v>3.2379684219153471</v>
      </c>
      <c r="I301" s="1">
        <v>0.26820476797830217</v>
      </c>
      <c r="K301" s="1">
        <v>1.0015977281693678</v>
      </c>
      <c r="L301" s="1">
        <v>2.7285332372596738</v>
      </c>
      <c r="M301" s="1">
        <v>0.34501035232525451</v>
      </c>
      <c r="O301" s="1">
        <v>2.2827086737090361E-2</v>
      </c>
      <c r="P301" s="1">
        <v>0.57599598076660263</v>
      </c>
      <c r="R301" s="1">
        <v>3.8540622909039736E-2</v>
      </c>
      <c r="S301" s="2">
        <f t="shared" si="60"/>
        <v>0.57654921751635246</v>
      </c>
      <c r="T301" s="4">
        <f t="shared" si="61"/>
        <v>0.33240900021871833</v>
      </c>
      <c r="U301" s="1">
        <f t="shared" si="53"/>
        <v>0.21989722829855013</v>
      </c>
      <c r="V301" s="6">
        <f>2*sigma/alpha*corel*(B301/12-1/alpha*(1-EXP(-alpha*Output!B301/12)))</f>
        <v>1.0272745909695642</v>
      </c>
      <c r="W301" s="5">
        <f t="shared" si="62"/>
        <v>-0.1125117719201682</v>
      </c>
      <c r="X301" s="1">
        <f t="shared" si="63"/>
        <v>11.931431037534612</v>
      </c>
      <c r="Y301" s="3">
        <f t="shared" si="64"/>
        <v>5.0212050377014886E-2</v>
      </c>
      <c r="Z301" s="1">
        <f t="shared" si="54"/>
        <v>0.11728109473169239</v>
      </c>
      <c r="AA301" s="8">
        <f t="shared" si="59"/>
        <v>24.083333333333261</v>
      </c>
      <c r="AB301" s="1">
        <v>24.17</v>
      </c>
      <c r="AC301" s="1">
        <v>2.3026999999999999E-2</v>
      </c>
      <c r="AD301" s="8">
        <f t="shared" si="55"/>
        <v>1.9991326290963798</v>
      </c>
      <c r="AE301" s="3">
        <f t="shared" si="56"/>
        <v>8.6816894475892636E-3</v>
      </c>
      <c r="AF301" s="11">
        <f t="shared" si="57"/>
        <v>24.083333333333261</v>
      </c>
      <c r="AG301" s="1">
        <f t="shared" si="58"/>
        <v>0.11728109473169239</v>
      </c>
    </row>
    <row r="302" spans="2:33" ht="15">
      <c r="B302" s="1">
        <v>291</v>
      </c>
      <c r="C302" s="1">
        <v>1.0004524763791249</v>
      </c>
      <c r="D302" s="1">
        <v>1.1517650135050805</v>
      </c>
      <c r="E302" s="1">
        <v>0.86747453612549486</v>
      </c>
      <c r="G302" s="1">
        <v>0.99984311935400816</v>
      </c>
      <c r="H302" s="1">
        <v>3.3178744376773581</v>
      </c>
      <c r="I302" s="1">
        <v>0.26161881569657852</v>
      </c>
      <c r="K302" s="1">
        <v>1.0015155795472221</v>
      </c>
      <c r="L302" s="1">
        <v>2.7295290475121021</v>
      </c>
      <c r="M302" s="1">
        <v>0.34481263911346305</v>
      </c>
      <c r="O302" s="1">
        <v>2.2835824773577065E-2</v>
      </c>
      <c r="P302" s="1">
        <v>0.5747795225503266</v>
      </c>
      <c r="R302" s="1">
        <v>3.865169217897986E-2</v>
      </c>
      <c r="S302" s="2">
        <f t="shared" si="60"/>
        <v>0.57882377349977743</v>
      </c>
      <c r="T302" s="4">
        <f t="shared" si="61"/>
        <v>0.33503696076852163</v>
      </c>
      <c r="U302" s="1">
        <f t="shared" si="53"/>
        <v>0.22179198767751815</v>
      </c>
      <c r="V302" s="6">
        <f>2*sigma/alpha*corel*(B302/12-1/alpha*(1-EXP(-alpha*Output!B302/12)))</f>
        <v>1.0335574356109962</v>
      </c>
      <c r="W302" s="5">
        <f t="shared" si="62"/>
        <v>-0.11324497309100348</v>
      </c>
      <c r="X302" s="1">
        <f t="shared" si="63"/>
        <v>12.053003362534117</v>
      </c>
      <c r="Y302" s="3">
        <f t="shared" si="64"/>
        <v>5.0271878901287106E-2</v>
      </c>
      <c r="Z302" s="1">
        <f t="shared" si="54"/>
        <v>0.11754129974223392</v>
      </c>
      <c r="AA302" s="8">
        <f t="shared" si="59"/>
        <v>24.166666666666593</v>
      </c>
      <c r="AB302" s="1">
        <v>24.25</v>
      </c>
      <c r="AC302" s="1">
        <v>2.30362E-2</v>
      </c>
      <c r="AD302" s="8">
        <f t="shared" si="55"/>
        <v>2.0037522642293513</v>
      </c>
      <c r="AE302" s="3">
        <f t="shared" si="56"/>
        <v>8.6982760361055695E-3</v>
      </c>
      <c r="AF302" s="11">
        <f t="shared" si="57"/>
        <v>24.166666666666593</v>
      </c>
      <c r="AG302" s="1">
        <f t="shared" si="58"/>
        <v>0.11754129974223392</v>
      </c>
    </row>
    <row r="303" spans="2:33" ht="15">
      <c r="B303" s="1">
        <v>292</v>
      </c>
      <c r="C303" s="1">
        <v>1.0004546872310134</v>
      </c>
      <c r="D303" s="1">
        <v>1.159332720262418</v>
      </c>
      <c r="E303" s="1">
        <v>0.86181040953720889</v>
      </c>
      <c r="G303" s="1">
        <v>0.99985545332225811</v>
      </c>
      <c r="H303" s="1">
        <v>3.4965419438519794</v>
      </c>
      <c r="I303" s="1">
        <v>0.24813041367930239</v>
      </c>
      <c r="K303" s="1">
        <v>1.0015198953233133</v>
      </c>
      <c r="L303" s="1">
        <v>2.7006304000085506</v>
      </c>
      <c r="M303" s="1">
        <v>0.3484297803233008</v>
      </c>
      <c r="O303" s="1">
        <v>2.2844521635347802E-2</v>
      </c>
      <c r="P303" s="1">
        <v>0.57356537275774733</v>
      </c>
      <c r="R303" s="1">
        <v>3.876943318139963E-2</v>
      </c>
      <c r="S303" s="2">
        <f t="shared" si="60"/>
        <v>0.58113710772369509</v>
      </c>
      <c r="T303" s="4">
        <f t="shared" si="61"/>
        <v>0.33772033797346157</v>
      </c>
      <c r="U303" s="1">
        <f t="shared" si="53"/>
        <v>0.22369534477589656</v>
      </c>
      <c r="V303" s="6">
        <f>2*sigma/alpha*corel*(B303/12-1/alpha*(1-EXP(-alpha*Output!B303/12)))</f>
        <v>1.0398545187479573</v>
      </c>
      <c r="W303" s="5">
        <f t="shared" si="62"/>
        <v>-0.11402499319756501</v>
      </c>
      <c r="X303" s="1">
        <f t="shared" si="63"/>
        <v>12.179730091390207</v>
      </c>
      <c r="Y303" s="3">
        <f t="shared" si="64"/>
        <v>5.0344366137263702E-2</v>
      </c>
      <c r="Z303" s="1">
        <f t="shared" si="54"/>
        <v>0.11780881969916082</v>
      </c>
      <c r="AA303" s="8">
        <f t="shared" si="59"/>
        <v>24.249999999999925</v>
      </c>
      <c r="AB303" s="1">
        <v>24.33</v>
      </c>
      <c r="AC303" s="1">
        <v>2.3045400000000001E-2</v>
      </c>
      <c r="AD303" s="8">
        <f t="shared" si="55"/>
        <v>2.008783646521989</v>
      </c>
      <c r="AE303" s="3">
        <f t="shared" si="56"/>
        <v>8.7166360597862869E-3</v>
      </c>
      <c r="AF303" s="11">
        <f t="shared" si="57"/>
        <v>24.249999999999925</v>
      </c>
      <c r="AG303" s="1">
        <f t="shared" si="58"/>
        <v>0.11780881969916082</v>
      </c>
    </row>
    <row r="304" spans="2:33" ht="15">
      <c r="B304" s="1">
        <v>293</v>
      </c>
      <c r="C304" s="1">
        <v>1.000458698012989</v>
      </c>
      <c r="D304" s="1">
        <v>1.1606643929312284</v>
      </c>
      <c r="E304" s="1">
        <v>0.86082005853618571</v>
      </c>
      <c r="G304" s="1">
        <v>1.0000119007533488</v>
      </c>
      <c r="H304" s="1">
        <v>3.5314296978553052</v>
      </c>
      <c r="I304" s="1">
        <v>0.24556021132506223</v>
      </c>
      <c r="K304" s="1">
        <v>1.0014533763962401</v>
      </c>
      <c r="L304" s="1">
        <v>2.6711302076821815</v>
      </c>
      <c r="M304" s="1">
        <v>0.35220448519328257</v>
      </c>
      <c r="O304" s="1">
        <v>2.2853054248245103E-2</v>
      </c>
      <c r="P304" s="1">
        <v>0.57235525346621929</v>
      </c>
      <c r="R304" s="1">
        <v>3.8765201030236923E-2</v>
      </c>
      <c r="S304" s="2">
        <f t="shared" si="60"/>
        <v>0.58278400473692438</v>
      </c>
      <c r="T304" s="4">
        <f t="shared" si="61"/>
        <v>0.3396371961772075</v>
      </c>
      <c r="U304" s="1">
        <f t="shared" si="53"/>
        <v>0.225607295847469</v>
      </c>
      <c r="V304" s="6">
        <f>2*sigma/alpha*corel*(B304/12-1/alpha*(1-EXP(-alpha*Output!B304/12)))</f>
        <v>1.0461658020748659</v>
      </c>
      <c r="W304" s="5">
        <f t="shared" si="62"/>
        <v>-0.1140299003297385</v>
      </c>
      <c r="X304" s="1">
        <f t="shared" si="63"/>
        <v>12.231383150968743</v>
      </c>
      <c r="Y304" s="3">
        <f t="shared" si="64"/>
        <v>5.0194681983011344E-2</v>
      </c>
      <c r="Z304" s="1">
        <f t="shared" si="54"/>
        <v>0.11794089967492771</v>
      </c>
      <c r="AA304" s="8">
        <f t="shared" si="59"/>
        <v>24.333333333333258</v>
      </c>
      <c r="AB304" s="1">
        <v>24.42</v>
      </c>
      <c r="AC304" s="1">
        <v>2.3054499999999999E-2</v>
      </c>
      <c r="AD304" s="8">
        <f t="shared" si="55"/>
        <v>2.0144575175489594</v>
      </c>
      <c r="AE304" s="3">
        <f t="shared" si="56"/>
        <v>8.7378061443490838E-3</v>
      </c>
      <c r="AF304" s="11">
        <f t="shared" si="57"/>
        <v>24.333333333333258</v>
      </c>
      <c r="AG304" s="1">
        <f t="shared" si="58"/>
        <v>0.11794089967492771</v>
      </c>
    </row>
    <row r="305" spans="2:33" ht="15">
      <c r="B305" s="1">
        <v>294</v>
      </c>
      <c r="C305" s="1">
        <v>1.0004614132532887</v>
      </c>
      <c r="D305" s="1">
        <v>1.1559008147965764</v>
      </c>
      <c r="E305" s="1">
        <v>0.86436600879006931</v>
      </c>
      <c r="G305" s="1">
        <v>1.0000498682071171</v>
      </c>
      <c r="H305" s="1">
        <v>3.4022063300778131</v>
      </c>
      <c r="I305" s="1">
        <v>0.25476381176657914</v>
      </c>
      <c r="K305" s="1">
        <v>1.0014989967284809</v>
      </c>
      <c r="L305" s="1">
        <v>2.7033521926394761</v>
      </c>
      <c r="M305" s="1">
        <v>0.34793397083272121</v>
      </c>
      <c r="O305" s="1">
        <v>2.2861389563879914E-2</v>
      </c>
      <c r="P305" s="1">
        <v>0.57114963588463641</v>
      </c>
      <c r="R305" s="1">
        <v>3.8838629657508436E-2</v>
      </c>
      <c r="S305" s="2">
        <f t="shared" si="60"/>
        <v>0.58485343647488919</v>
      </c>
      <c r="T305" s="4">
        <f t="shared" si="61"/>
        <v>0.34205354215648726</v>
      </c>
      <c r="U305" s="1">
        <f t="shared" si="53"/>
        <v>0.22752783705193438</v>
      </c>
      <c r="V305" s="6">
        <f>2*sigma/alpha*corel*(B305/12-1/alpha*(1-EXP(-alpha*Output!B305/12)))</f>
        <v>1.0524912473891908</v>
      </c>
      <c r="W305" s="5">
        <f t="shared" si="62"/>
        <v>-0.11452570510455287</v>
      </c>
      <c r="X305" s="1">
        <f t="shared" si="63"/>
        <v>12.331256926077035</v>
      </c>
      <c r="Y305" s="3">
        <f t="shared" si="64"/>
        <v>5.018566731977249E-2</v>
      </c>
      <c r="Z305" s="1">
        <f t="shared" si="54"/>
        <v>0.11815823740904281</v>
      </c>
      <c r="AA305" s="8">
        <f t="shared" si="59"/>
        <v>24.41666666666659</v>
      </c>
      <c r="AB305" s="1">
        <v>24.5</v>
      </c>
      <c r="AC305" s="1">
        <v>2.3063299999999998E-2</v>
      </c>
      <c r="AD305" s="8">
        <f t="shared" si="55"/>
        <v>2.0191043612008408</v>
      </c>
      <c r="AE305" s="3">
        <f t="shared" si="56"/>
        <v>8.7546203760990003E-3</v>
      </c>
      <c r="AF305" s="11">
        <f t="shared" si="57"/>
        <v>24.41666666666659</v>
      </c>
      <c r="AG305" s="1">
        <f t="shared" si="58"/>
        <v>0.11815823740904281</v>
      </c>
    </row>
    <row r="306" spans="2:33" ht="15">
      <c r="B306" s="1">
        <v>295</v>
      </c>
      <c r="C306" s="1">
        <v>1.0004633316539677</v>
      </c>
      <c r="D306" s="1">
        <v>1.1611641484115762</v>
      </c>
      <c r="E306" s="1">
        <v>0.86044643806647614</v>
      </c>
      <c r="G306" s="1">
        <v>1.0000178596702793</v>
      </c>
      <c r="H306" s="1">
        <v>3.5424089173418518</v>
      </c>
      <c r="I306" s="1">
        <v>0.2445623046925284</v>
      </c>
      <c r="K306" s="1">
        <v>1.0015541729155961</v>
      </c>
      <c r="L306" s="1">
        <v>2.6965808605742154</v>
      </c>
      <c r="M306" s="1">
        <v>0.34873500064997626</v>
      </c>
      <c r="O306" s="1">
        <v>2.2869354282599619E-2</v>
      </c>
      <c r="P306" s="1">
        <v>0.56995095857241551</v>
      </c>
      <c r="R306" s="1">
        <v>3.9056576130619587E-2</v>
      </c>
      <c r="S306" s="2">
        <f t="shared" si="60"/>
        <v>0.58771033097100323</v>
      </c>
      <c r="T306" s="4">
        <f t="shared" si="61"/>
        <v>0.34540343313004618</v>
      </c>
      <c r="U306" s="1">
        <f t="shared" si="53"/>
        <v>0.22945696445573008</v>
      </c>
      <c r="V306" s="6">
        <f>2*sigma/alpha*corel*(B306/12-1/alpha*(1-EXP(-alpha*Output!B306/12)))</f>
        <v>1.0588308165911784</v>
      </c>
      <c r="W306" s="5">
        <f t="shared" si="62"/>
        <v>-0.1159464686743161</v>
      </c>
      <c r="X306" s="1">
        <f t="shared" si="63"/>
        <v>12.522525451137559</v>
      </c>
      <c r="Y306" s="3">
        <f t="shared" si="64"/>
        <v>5.0438384447805781E-2</v>
      </c>
      <c r="Z306" s="1">
        <f t="shared" si="54"/>
        <v>0.11853399995053346</v>
      </c>
      <c r="AA306" s="8">
        <f t="shared" si="59"/>
        <v>24.499999999999922</v>
      </c>
      <c r="AB306" s="1">
        <v>24.58</v>
      </c>
      <c r="AC306" s="1">
        <v>2.30718E-2</v>
      </c>
      <c r="AD306" s="8">
        <f t="shared" si="55"/>
        <v>2.0244571740038118</v>
      </c>
      <c r="AE306" s="3">
        <f t="shared" si="56"/>
        <v>8.7745957142650859E-3</v>
      </c>
      <c r="AF306" s="11">
        <f t="shared" si="57"/>
        <v>24.499999999999922</v>
      </c>
      <c r="AG306" s="1">
        <f t="shared" si="58"/>
        <v>0.11853399995053346</v>
      </c>
    </row>
    <row r="307" spans="2:33" ht="15">
      <c r="B307" s="1">
        <v>296</v>
      </c>
      <c r="C307" s="1">
        <v>1.000467871620264</v>
      </c>
      <c r="D307" s="1">
        <v>1.157566540881158</v>
      </c>
      <c r="E307" s="1">
        <v>0.86311905215885176</v>
      </c>
      <c r="G307" s="1">
        <v>1.0002122652781553</v>
      </c>
      <c r="H307" s="1">
        <v>3.4455302584104213</v>
      </c>
      <c r="I307" s="1">
        <v>0.25131705877036342</v>
      </c>
      <c r="K307" s="1">
        <v>1.0015208590613243</v>
      </c>
      <c r="L307" s="1">
        <v>2.7000746569987188</v>
      </c>
      <c r="M307" s="1">
        <v>0.34821119885706431</v>
      </c>
      <c r="O307" s="1">
        <v>2.2876881677957019E-2</v>
      </c>
      <c r="P307" s="1">
        <v>0.56876017730016459</v>
      </c>
      <c r="R307" s="1">
        <v>3.9203851261829521E-2</v>
      </c>
      <c r="S307" s="2">
        <f t="shared" si="60"/>
        <v>0.59017532747518242</v>
      </c>
      <c r="T307" s="4">
        <f t="shared" si="61"/>
        <v>0.34830691716043882</v>
      </c>
      <c r="U307" s="1">
        <f t="shared" si="53"/>
        <v>0.23139467403283351</v>
      </c>
      <c r="V307" s="6">
        <f>2*sigma/alpha*corel*(B307/12-1/alpha*(1-EXP(-alpha*Output!B307/12)))</f>
        <v>1.0651844716835739</v>
      </c>
      <c r="W307" s="5">
        <f t="shared" si="62"/>
        <v>-0.11691224312760531</v>
      </c>
      <c r="X307" s="1">
        <f t="shared" si="63"/>
        <v>12.669959280639539</v>
      </c>
      <c r="Y307" s="3">
        <f t="shared" si="64"/>
        <v>5.0560219349992636E-2</v>
      </c>
      <c r="Z307" s="1">
        <f t="shared" si="54"/>
        <v>0.11882992340186653</v>
      </c>
      <c r="AA307" s="8">
        <f t="shared" si="59"/>
        <v>24.583333333333254</v>
      </c>
      <c r="AB307" s="1">
        <v>24.67</v>
      </c>
      <c r="AC307" s="1">
        <v>2.3079800000000001E-2</v>
      </c>
      <c r="AD307" s="8">
        <f t="shared" si="55"/>
        <v>2.0291832204298239</v>
      </c>
      <c r="AE307" s="3">
        <f t="shared" si="56"/>
        <v>8.7920312153043946E-3</v>
      </c>
      <c r="AF307" s="11">
        <f t="shared" si="57"/>
        <v>24.583333333333254</v>
      </c>
      <c r="AG307" s="1">
        <f t="shared" si="58"/>
        <v>0.11882992340186653</v>
      </c>
    </row>
    <row r="308" spans="2:33" ht="15">
      <c r="B308" s="1">
        <v>297</v>
      </c>
      <c r="C308" s="1">
        <v>1.0004702475427809</v>
      </c>
      <c r="D308" s="1">
        <v>1.1542825917413448</v>
      </c>
      <c r="E308" s="1">
        <v>0.86557305916301552</v>
      </c>
      <c r="G308" s="1">
        <v>1.0002354707648129</v>
      </c>
      <c r="H308" s="1">
        <v>3.3553231748783485</v>
      </c>
      <c r="I308" s="1">
        <v>0.2579487972532889</v>
      </c>
      <c r="K308" s="1">
        <v>1.0015110050582772</v>
      </c>
      <c r="L308" s="1">
        <v>2.6889065602329318</v>
      </c>
      <c r="M308" s="1">
        <v>0.34958462055912348</v>
      </c>
      <c r="O308" s="1">
        <v>2.2883796955523783E-2</v>
      </c>
      <c r="P308" s="1">
        <v>0.56757977055559805</v>
      </c>
      <c r="R308" s="1">
        <v>3.9351672086106425E-2</v>
      </c>
      <c r="S308" s="2">
        <f t="shared" si="60"/>
        <v>0.59263475406004784</v>
      </c>
      <c r="T308" s="4">
        <f t="shared" si="61"/>
        <v>0.3512159517198134</v>
      </c>
      <c r="U308" s="1">
        <f t="shared" si="53"/>
        <v>0.23334096166556517</v>
      </c>
      <c r="V308" s="6">
        <f>2*sigma/alpha*corel*(B308/12-1/alpha*(1-EXP(-alpha*Output!B308/12)))</f>
        <v>1.0715521747713437</v>
      </c>
      <c r="W308" s="5">
        <f t="shared" si="62"/>
        <v>-0.11787499005424823</v>
      </c>
      <c r="X308" s="1">
        <f t="shared" si="63"/>
        <v>12.817848078627771</v>
      </c>
      <c r="Y308" s="3">
        <f t="shared" si="64"/>
        <v>5.0679799295649142E-2</v>
      </c>
      <c r="Z308" s="1">
        <f t="shared" si="54"/>
        <v>0.1191240676934382</v>
      </c>
      <c r="AA308" s="8">
        <f t="shared" si="59"/>
        <v>24.666666666666586</v>
      </c>
      <c r="AB308" s="1">
        <v>24.75</v>
      </c>
      <c r="AC308" s="1">
        <v>2.3087400000000001E-2</v>
      </c>
      <c r="AD308" s="8">
        <f t="shared" si="55"/>
        <v>2.0360304447621798</v>
      </c>
      <c r="AE308" s="3">
        <f t="shared" si="56"/>
        <v>8.8187948611025049E-3</v>
      </c>
      <c r="AF308" s="11">
        <f t="shared" si="57"/>
        <v>24.666666666666586</v>
      </c>
      <c r="AG308" s="1">
        <f t="shared" si="58"/>
        <v>0.1191240676934382</v>
      </c>
    </row>
    <row r="309" spans="2:33" ht="15">
      <c r="B309" s="1">
        <v>298</v>
      </c>
      <c r="C309" s="1">
        <v>1.0004757854137745</v>
      </c>
      <c r="D309" s="1">
        <v>1.1554434567105052</v>
      </c>
      <c r="E309" s="1">
        <v>0.86470184704689601</v>
      </c>
      <c r="G309" s="1">
        <v>1.000508667406717</v>
      </c>
      <c r="H309" s="1">
        <v>3.3829503818871194</v>
      </c>
      <c r="I309" s="1">
        <v>0.2557184504911843</v>
      </c>
      <c r="K309" s="1">
        <v>1.0012278244459145</v>
      </c>
      <c r="L309" s="1">
        <v>2.6819270368108277</v>
      </c>
      <c r="M309" s="1">
        <v>0.35042137750018731</v>
      </c>
      <c r="O309" s="1">
        <v>2.289001334324104E-2</v>
      </c>
      <c r="P309" s="1">
        <v>0.56641099123768024</v>
      </c>
      <c r="R309" s="1">
        <v>3.9348348647168428E-2</v>
      </c>
      <c r="S309" s="2">
        <f t="shared" si="60"/>
        <v>0.59425290727839108</v>
      </c>
      <c r="T309" s="4">
        <f t="shared" si="61"/>
        <v>0.35313651780882005</v>
      </c>
      <c r="U309" s="1">
        <f t="shared" si="53"/>
        <v>0.23529582314539074</v>
      </c>
      <c r="V309" s="6">
        <f>2*sigma/alpha*corel*(B309/12-1/alpha*(1-EXP(-alpha*Output!B309/12)))</f>
        <v>1.0779338880614069</v>
      </c>
      <c r="W309" s="5">
        <f t="shared" si="62"/>
        <v>-0.11784069466342931</v>
      </c>
      <c r="X309" s="1">
        <f t="shared" si="63"/>
        <v>12.86745047026516</v>
      </c>
      <c r="Y309" s="3">
        <f t="shared" si="64"/>
        <v>5.0520583489079909E-2</v>
      </c>
      <c r="Z309" s="1">
        <f t="shared" si="54"/>
        <v>0.11924874197281973</v>
      </c>
      <c r="AA309" s="8">
        <f t="shared" si="59"/>
        <v>24.749999999999918</v>
      </c>
      <c r="AB309" s="1">
        <v>24.83</v>
      </c>
      <c r="AC309" s="1">
        <v>2.3094300000000002E-2</v>
      </c>
      <c r="AD309" s="8">
        <f t="shared" si="55"/>
        <v>2.0428665675896114</v>
      </c>
      <c r="AE309" s="3">
        <f t="shared" si="56"/>
        <v>8.8457609349043322E-3</v>
      </c>
      <c r="AF309" s="11">
        <f t="shared" si="57"/>
        <v>24.749999999999918</v>
      </c>
      <c r="AG309" s="1">
        <f t="shared" si="58"/>
        <v>0.11924874197281973</v>
      </c>
    </row>
    <row r="310" spans="2:33" ht="15">
      <c r="B310" s="1">
        <v>299</v>
      </c>
      <c r="C310" s="1">
        <v>1.0004740891197348</v>
      </c>
      <c r="D310" s="1">
        <v>1.1555814377304687</v>
      </c>
      <c r="E310" s="1">
        <v>0.86459701924445798</v>
      </c>
      <c r="G310" s="1">
        <v>1.0002087145598193</v>
      </c>
      <c r="H310" s="1">
        <v>3.38813451679041</v>
      </c>
      <c r="I310" s="1">
        <v>0.25520364758273822</v>
      </c>
      <c r="K310" s="1">
        <v>1.001201329298651</v>
      </c>
      <c r="L310" s="1">
        <v>2.6792187683634734</v>
      </c>
      <c r="M310" s="1">
        <v>0.35070252774500438</v>
      </c>
      <c r="O310" s="1">
        <v>2.2895520278501467E-2</v>
      </c>
      <c r="P310" s="1">
        <v>0.56525402509442446</v>
      </c>
      <c r="R310" s="1">
        <v>3.9401035451004311E-2</v>
      </c>
      <c r="S310" s="2">
        <f t="shared" si="60"/>
        <v>0.59616640401508025</v>
      </c>
      <c r="T310" s="4">
        <f t="shared" si="61"/>
        <v>0.3554143812762719</v>
      </c>
      <c r="U310" s="1">
        <f t="shared" si="53"/>
        <v>0.23725925417370591</v>
      </c>
      <c r="V310" s="6">
        <f>2*sigma/alpha*corel*(B310/12-1/alpha*(1-EXP(-alpha*Output!B310/12)))</f>
        <v>1.0843295738623531</v>
      </c>
      <c r="W310" s="5">
        <f t="shared" si="62"/>
        <v>-0.11815512710256598</v>
      </c>
      <c r="X310" s="1">
        <f t="shared" si="63"/>
        <v>12.951898292641589</v>
      </c>
      <c r="Y310" s="3">
        <f t="shared" si="64"/>
        <v>5.0459097252726112E-2</v>
      </c>
      <c r="Z310" s="1">
        <f t="shared" si="54"/>
        <v>0.11943250112707639</v>
      </c>
      <c r="AA310" s="8">
        <f t="shared" si="59"/>
        <v>24.83333333333325</v>
      </c>
      <c r="AB310" s="1">
        <v>24.92</v>
      </c>
      <c r="AC310" s="1">
        <v>2.31004E-2</v>
      </c>
      <c r="AD310" s="8">
        <f t="shared" si="55"/>
        <v>2.048797214985326</v>
      </c>
      <c r="AE310" s="3">
        <f t="shared" si="56"/>
        <v>8.8690984354614037E-3</v>
      </c>
      <c r="AF310" s="11">
        <f t="shared" si="57"/>
        <v>24.83333333333325</v>
      </c>
      <c r="AG310" s="1">
        <f t="shared" si="58"/>
        <v>0.11943250112707639</v>
      </c>
    </row>
    <row r="311" spans="2:33" ht="15">
      <c r="B311" s="1">
        <v>300</v>
      </c>
      <c r="C311" s="1">
        <v>1.0004743468596176</v>
      </c>
      <c r="D311" s="1">
        <v>1.1549766132927715</v>
      </c>
      <c r="E311" s="1">
        <v>0.8650482000902957</v>
      </c>
      <c r="G311" s="1">
        <v>1.0000486908656756</v>
      </c>
      <c r="H311" s="1">
        <v>3.3711231428968471</v>
      </c>
      <c r="I311" s="1">
        <v>0.25636736279136646</v>
      </c>
      <c r="K311" s="1">
        <v>1.0011470830003646</v>
      </c>
      <c r="L311" s="1">
        <v>2.6783230484099922</v>
      </c>
      <c r="M311" s="1">
        <v>0.35074673441403331</v>
      </c>
      <c r="O311" s="1">
        <v>2.2900360849553263E-2</v>
      </c>
      <c r="P311" s="1">
        <v>0.56410830191930883</v>
      </c>
      <c r="R311" s="1">
        <v>3.9442678933286887E-2</v>
      </c>
      <c r="S311" s="2">
        <f t="shared" si="60"/>
        <v>0.59800751551518028</v>
      </c>
      <c r="T311" s="4">
        <f t="shared" si="61"/>
        <v>0.35761298861263857</v>
      </c>
      <c r="U311" s="1">
        <f t="shared" si="53"/>
        <v>0.23923125036262827</v>
      </c>
      <c r="V311" s="6">
        <f>2*sigma/alpha*corel*(B311/12-1/alpha*(1-EXP(-alpha*Output!B311/12)))</f>
        <v>1.0907391945841725</v>
      </c>
      <c r="W311" s="5">
        <f t="shared" si="62"/>
        <v>-0.1183817382500103</v>
      </c>
      <c r="X311" s="1">
        <f t="shared" si="63"/>
        <v>13.02788581560316</v>
      </c>
      <c r="Y311" s="3">
        <f t="shared" si="64"/>
        <v>5.037354152345043E-2</v>
      </c>
      <c r="Z311" s="1">
        <f t="shared" si="54"/>
        <v>0.11960150310303605</v>
      </c>
      <c r="AA311" s="8">
        <f t="shared" si="59"/>
        <v>24.916666666666583</v>
      </c>
      <c r="AB311" s="1">
        <v>25</v>
      </c>
      <c r="AC311" s="1">
        <v>2.3105799999999999E-2</v>
      </c>
      <c r="AD311" s="8">
        <f t="shared" si="55"/>
        <v>2.0543915044673664</v>
      </c>
      <c r="AE311" s="3">
        <f t="shared" si="56"/>
        <v>8.8912372844366632E-3</v>
      </c>
      <c r="AF311" s="11">
        <f t="shared" si="57"/>
        <v>24.916666666666583</v>
      </c>
      <c r="AG311" s="1">
        <f t="shared" si="58"/>
        <v>0.11960150310303605</v>
      </c>
    </row>
    <row r="312" spans="2:33" ht="15">
      <c r="B312" s="1">
        <v>301</v>
      </c>
      <c r="C312" s="1">
        <v>1.0004775156201084</v>
      </c>
      <c r="D312" s="1">
        <v>1.1519918861604246</v>
      </c>
      <c r="E312" s="1">
        <v>0.86728789026269415</v>
      </c>
      <c r="G312" s="1">
        <v>1.0001339923154227</v>
      </c>
      <c r="H312" s="1">
        <v>3.2937406238575924</v>
      </c>
      <c r="I312" s="1">
        <v>0.26226346144302459</v>
      </c>
      <c r="K312" s="1">
        <v>1.0011617024389889</v>
      </c>
      <c r="L312" s="1">
        <v>2.6317436721794305</v>
      </c>
      <c r="M312" s="1">
        <v>0.35688026237091403</v>
      </c>
      <c r="O312" s="1">
        <v>2.2904351284639156E-2</v>
      </c>
      <c r="P312" s="1">
        <v>0.56297645177104549</v>
      </c>
      <c r="R312" s="1">
        <v>3.9529608623368212E-2</v>
      </c>
      <c r="S312" s="2">
        <f t="shared" si="60"/>
        <v>0.60008348596058991</v>
      </c>
      <c r="T312" s="4">
        <f t="shared" si="61"/>
        <v>0.36010019012261352</v>
      </c>
      <c r="U312" s="1">
        <f t="shared" si="53"/>
        <v>0.24121180723577706</v>
      </c>
      <c r="V312" s="6">
        <f>2*sigma/alpha*corel*(B312/12-1/alpha*(1-EXP(-alpha*Output!B312/12)))</f>
        <v>1.0971627127379862</v>
      </c>
      <c r="W312" s="5">
        <f t="shared" si="62"/>
        <v>-0.11888838288683645</v>
      </c>
      <c r="X312" s="1">
        <f t="shared" si="63"/>
        <v>13.132233767868501</v>
      </c>
      <c r="Y312" s="3">
        <f t="shared" si="64"/>
        <v>5.0365708128278334E-2</v>
      </c>
      <c r="Z312" s="1">
        <f t="shared" si="54"/>
        <v>0.11981716804799332</v>
      </c>
      <c r="AA312" s="8">
        <f t="shared" si="59"/>
        <v>24.999999999999915</v>
      </c>
      <c r="AB312" s="1">
        <v>25.08</v>
      </c>
      <c r="AC312" s="1">
        <v>2.31103E-2</v>
      </c>
      <c r="AD312" s="8">
        <f t="shared" si="55"/>
        <v>2.059487153608444</v>
      </c>
      <c r="AE312" s="3">
        <f t="shared" si="56"/>
        <v>8.9115552528891626E-3</v>
      </c>
      <c r="AF312" s="11">
        <f t="shared" si="57"/>
        <v>24.999999999999915</v>
      </c>
      <c r="AG312" s="1">
        <f t="shared" si="58"/>
        <v>0.11981716804799332</v>
      </c>
    </row>
    <row r="313" spans="2:33" ht="15">
      <c r="B313" s="1">
        <v>302</v>
      </c>
      <c r="C313" s="1">
        <v>1.0004795783221523</v>
      </c>
      <c r="D313" s="1">
        <v>1.1510405265854968</v>
      </c>
      <c r="E313" s="1">
        <v>0.8680031327565626</v>
      </c>
      <c r="G313" s="1">
        <v>1.0001037582971881</v>
      </c>
      <c r="H313" s="1">
        <v>3.2869133791054836</v>
      </c>
      <c r="I313" s="1">
        <v>0.26268105962512739</v>
      </c>
      <c r="K313" s="1">
        <v>1.0011740808483658</v>
      </c>
      <c r="L313" s="1">
        <v>2.7044702969611847</v>
      </c>
      <c r="M313" s="1">
        <v>0.34721095777130695</v>
      </c>
      <c r="O313" s="1">
        <v>2.2907519275392689E-2</v>
      </c>
      <c r="P313" s="1">
        <v>0.56185812826643255</v>
      </c>
      <c r="R313" s="1">
        <v>3.9613743249566236E-2</v>
      </c>
      <c r="S313" s="2">
        <f t="shared" si="60"/>
        <v>0.60212966814231583</v>
      </c>
      <c r="T313" s="4">
        <f t="shared" si="61"/>
        <v>0.3625601372571754</v>
      </c>
      <c r="U313" s="1">
        <f t="shared" ref="U313:U376" si="65">sigma*sigma/alpha/alpha*(B313/12+2/alpha*EXP(-alpha*B313/12)-1/2/alpha*EXP(-2*alpha*B313/12)-3/2/alpha)</f>
        <v>0.24320092022905301</v>
      </c>
      <c r="V313" s="6">
        <f>2*sigma/alpha*corel*(B313/12-1/alpha*(1-EXP(-alpha*Output!B313/12)))</f>
        <v>1.1036000909357673</v>
      </c>
      <c r="W313" s="5">
        <f t="shared" si="62"/>
        <v>-0.11935921702812238</v>
      </c>
      <c r="X313" s="1">
        <f t="shared" si="63"/>
        <v>13.233427674877753</v>
      </c>
      <c r="Y313" s="3">
        <f t="shared" si="64"/>
        <v>5.0347902467727912E-2</v>
      </c>
      <c r="Z313" s="1">
        <f t="shared" si="54"/>
        <v>0.120026509862703</v>
      </c>
      <c r="AA313" s="8">
        <f t="shared" si="59"/>
        <v>25.083333333333247</v>
      </c>
      <c r="AB313" s="1">
        <v>25.17</v>
      </c>
      <c r="AC313" s="1">
        <v>2.31139E-2</v>
      </c>
      <c r="AD313" s="8">
        <f t="shared" si="55"/>
        <v>2.0638072460731074</v>
      </c>
      <c r="AE313" s="3">
        <f t="shared" si="56"/>
        <v>8.9288577266195112E-3</v>
      </c>
      <c r="AF313" s="11">
        <f t="shared" si="57"/>
        <v>25.083333333333247</v>
      </c>
      <c r="AG313" s="1">
        <f t="shared" si="58"/>
        <v>0.120026509862703</v>
      </c>
    </row>
    <row r="314" spans="2:33" ht="15">
      <c r="B314" s="1">
        <v>303</v>
      </c>
      <c r="C314" s="1">
        <v>1.0004847760053797</v>
      </c>
      <c r="D314" s="1">
        <v>1.1536160704773364</v>
      </c>
      <c r="E314" s="1">
        <v>0.86606365571704735</v>
      </c>
      <c r="G314" s="1">
        <v>1.0003523132909438</v>
      </c>
      <c r="H314" s="1">
        <v>3.3380651999495621</v>
      </c>
      <c r="I314" s="1">
        <v>0.25853064992009178</v>
      </c>
      <c r="K314" s="1">
        <v>1.0011896993269376</v>
      </c>
      <c r="L314" s="1">
        <v>2.7221037830168413</v>
      </c>
      <c r="M314" s="1">
        <v>0.34488990435453282</v>
      </c>
      <c r="O314" s="1">
        <v>2.2909849952692019E-2</v>
      </c>
      <c r="P314" s="1">
        <v>0.56075358560192456</v>
      </c>
      <c r="R314" s="1">
        <v>3.9815537988837829E-2</v>
      </c>
      <c r="S314" s="2">
        <f t="shared" si="60"/>
        <v>0.6048126740759221</v>
      </c>
      <c r="T314" s="4">
        <f t="shared" si="61"/>
        <v>0.36579837072286758</v>
      </c>
      <c r="U314" s="1">
        <f t="shared" si="65"/>
        <v>0.24519858469140876</v>
      </c>
      <c r="V314" s="6">
        <f>2*sigma/alpha*corel*(B314/12-1/alpha*(1-EXP(-alpha*Output!B314/12)))</f>
        <v>1.1100512918900753</v>
      </c>
      <c r="W314" s="5">
        <f t="shared" si="62"/>
        <v>-0.12059978603145882</v>
      </c>
      <c r="X314" s="1">
        <f t="shared" si="63"/>
        <v>13.412792259804167</v>
      </c>
      <c r="Y314" s="3">
        <f t="shared" si="64"/>
        <v>5.0540527215435824E-2</v>
      </c>
      <c r="Z314" s="1">
        <f t="shared" si="54"/>
        <v>0.1203622207631791</v>
      </c>
      <c r="AA314" s="8">
        <f t="shared" si="59"/>
        <v>25.166666666666579</v>
      </c>
      <c r="AB314" s="1">
        <v>25.25</v>
      </c>
      <c r="AC314" s="1">
        <v>2.31168E-2</v>
      </c>
      <c r="AD314" s="8">
        <f t="shared" si="55"/>
        <v>2.0695004730798132</v>
      </c>
      <c r="AE314" s="3">
        <f t="shared" si="56"/>
        <v>8.9523656954241648E-3</v>
      </c>
      <c r="AF314" s="11">
        <f t="shared" si="57"/>
        <v>25.166666666666579</v>
      </c>
      <c r="AG314" s="1">
        <f t="shared" si="58"/>
        <v>0.1203622207631791</v>
      </c>
    </row>
    <row r="315" spans="2:33" ht="15">
      <c r="B315" s="1">
        <v>304</v>
      </c>
      <c r="C315" s="1">
        <v>1.0004864855899385</v>
      </c>
      <c r="D315" s="1">
        <v>1.1568540510163661</v>
      </c>
      <c r="E315" s="1">
        <v>0.86363799929531981</v>
      </c>
      <c r="G315" s="1">
        <v>1.000301805072944</v>
      </c>
      <c r="H315" s="1">
        <v>3.423485196216864</v>
      </c>
      <c r="I315" s="1">
        <v>0.2519580477586959</v>
      </c>
      <c r="K315" s="1">
        <v>1.0012713794881407</v>
      </c>
      <c r="L315" s="1">
        <v>2.6916327387535026</v>
      </c>
      <c r="M315" s="1">
        <v>0.34872162581236393</v>
      </c>
      <c r="O315" s="1">
        <v>2.2911558802087933E-2</v>
      </c>
      <c r="P315" s="1">
        <v>0.55965981317230662</v>
      </c>
      <c r="R315" s="1">
        <v>3.9937459785299174E-2</v>
      </c>
      <c r="S315" s="2">
        <f t="shared" si="60"/>
        <v>0.60704360911492827</v>
      </c>
      <c r="T315" s="4">
        <f t="shared" si="61"/>
        <v>0.36850194336727782</v>
      </c>
      <c r="U315" s="1">
        <f t="shared" si="65"/>
        <v>0.24720479588561339</v>
      </c>
      <c r="V315" s="6">
        <f>2*sigma/alpha*corel*(B315/12-1/alpha*(1-EXP(-alpha*Output!B315/12)))</f>
        <v>1.116516278413783</v>
      </c>
      <c r="W315" s="5">
        <f t="shared" si="62"/>
        <v>-0.12129714748166442</v>
      </c>
      <c r="X315" s="1">
        <f t="shared" si="63"/>
        <v>13.53805287810496</v>
      </c>
      <c r="Y315" s="3">
        <f t="shared" si="64"/>
        <v>5.0583415117454039E-2</v>
      </c>
      <c r="Z315" s="1">
        <f t="shared" si="54"/>
        <v>0.12060733536334006</v>
      </c>
      <c r="AA315" s="8">
        <f t="shared" si="59"/>
        <v>25.249999999999911</v>
      </c>
      <c r="AB315" s="1">
        <v>25.33</v>
      </c>
      <c r="AC315" s="1">
        <v>2.31191E-2</v>
      </c>
      <c r="AD315" s="8">
        <f t="shared" si="55"/>
        <v>2.0754119791206724</v>
      </c>
      <c r="AE315" s="3">
        <f t="shared" si="56"/>
        <v>8.9770448638600651E-3</v>
      </c>
      <c r="AF315" s="11">
        <f t="shared" si="57"/>
        <v>25.249999999999911</v>
      </c>
      <c r="AG315" s="1">
        <f t="shared" si="58"/>
        <v>0.12060733536334006</v>
      </c>
    </row>
    <row r="316" spans="2:33" ht="15">
      <c r="B316" s="1">
        <v>305</v>
      </c>
      <c r="C316" s="1">
        <v>1.0004867930547585</v>
      </c>
      <c r="D316" s="1">
        <v>1.1572677169188723</v>
      </c>
      <c r="E316" s="1">
        <v>0.86332770568778228</v>
      </c>
      <c r="G316" s="1">
        <v>1.0001286131373499</v>
      </c>
      <c r="H316" s="1">
        <v>3.4348398461798939</v>
      </c>
      <c r="I316" s="1">
        <v>0.25100364798196761</v>
      </c>
      <c r="K316" s="1">
        <v>1.0010956546432572</v>
      </c>
      <c r="L316" s="1">
        <v>2.6687206089366309</v>
      </c>
      <c r="M316" s="1">
        <v>0.35164228652712853</v>
      </c>
      <c r="O316" s="1">
        <v>2.2912897664234634E-2</v>
      </c>
      <c r="P316" s="1">
        <v>0.55857326781541106</v>
      </c>
      <c r="R316" s="1">
        <v>3.9986606928672334E-2</v>
      </c>
      <c r="S316" s="2">
        <f t="shared" si="60"/>
        <v>0.60886546307548328</v>
      </c>
      <c r="T316" s="4">
        <f t="shared" si="61"/>
        <v>0.37071715212612272</v>
      </c>
      <c r="U316" s="1">
        <f t="shared" si="65"/>
        <v>0.24921954898902016</v>
      </c>
      <c r="V316" s="6">
        <f>2*sigma/alpha*corel*(B316/12-1/alpha*(1-EXP(-alpha*Output!B316/12)))</f>
        <v>1.1229950134198079</v>
      </c>
      <c r="W316" s="5">
        <f t="shared" si="62"/>
        <v>-0.12149760313710256</v>
      </c>
      <c r="X316" s="1">
        <f t="shared" si="63"/>
        <v>13.613374119104513</v>
      </c>
      <c r="Y316" s="3">
        <f t="shared" si="64"/>
        <v>5.0491192279422767E-2</v>
      </c>
      <c r="Z316" s="1">
        <f t="shared" si="54"/>
        <v>0.12077082789538197</v>
      </c>
      <c r="AA316" s="8">
        <f t="shared" si="59"/>
        <v>25.333333333333243</v>
      </c>
      <c r="AB316" s="1">
        <v>25.42</v>
      </c>
      <c r="AC316" s="1">
        <v>2.31209E-2</v>
      </c>
      <c r="AD316" s="8">
        <f t="shared" si="55"/>
        <v>2.0800233576536571</v>
      </c>
      <c r="AE316" s="3">
        <f t="shared" si="56"/>
        <v>8.9962906186768551E-3</v>
      </c>
      <c r="AF316" s="11">
        <f t="shared" si="57"/>
        <v>25.333333333333243</v>
      </c>
      <c r="AG316" s="1">
        <f t="shared" si="58"/>
        <v>0.12077082789538197</v>
      </c>
    </row>
    <row r="317" spans="2:33" ht="15">
      <c r="B317" s="1">
        <v>306</v>
      </c>
      <c r="C317" s="1">
        <v>1.0004874978670062</v>
      </c>
      <c r="D317" s="1">
        <v>1.1576895657622612</v>
      </c>
      <c r="E317" s="1">
        <v>0.86301153199111724</v>
      </c>
      <c r="G317" s="1">
        <v>1.0000134364502118</v>
      </c>
      <c r="H317" s="1">
        <v>3.4452175209185154</v>
      </c>
      <c r="I317" s="1">
        <v>0.25012650592010466</v>
      </c>
      <c r="K317" s="1">
        <v>1.0011235504793472</v>
      </c>
      <c r="L317" s="1">
        <v>2.6727957524475694</v>
      </c>
      <c r="M317" s="1">
        <v>0.35103300685487798</v>
      </c>
      <c r="O317" s="1">
        <v>2.2913868627598147E-2</v>
      </c>
      <c r="P317" s="1">
        <v>0.55749393757955412</v>
      </c>
      <c r="R317" s="1">
        <v>4.0109088305449486E-2</v>
      </c>
      <c r="S317" s="2">
        <f t="shared" si="60"/>
        <v>0.6110885457728874</v>
      </c>
      <c r="T317" s="4">
        <f t="shared" si="61"/>
        <v>0.37342921077482233</v>
      </c>
      <c r="U317" s="1">
        <f t="shared" si="65"/>
        <v>0.25124283909431705</v>
      </c>
      <c r="V317" s="6">
        <f>2*sigma/alpha*corel*(B317/12-1/alpha*(1-EXP(-alpha*Output!B317/12)))</f>
        <v>1.1294874599208402</v>
      </c>
      <c r="W317" s="5">
        <f t="shared" si="62"/>
        <v>-0.12218637168050528</v>
      </c>
      <c r="X317" s="1">
        <f t="shared" si="63"/>
        <v>13.738751833529971</v>
      </c>
      <c r="Y317" s="3">
        <f t="shared" si="64"/>
        <v>5.0531270016835508E-2</v>
      </c>
      <c r="Z317" s="1">
        <f t="shared" si="54"/>
        <v>0.12101356442764269</v>
      </c>
      <c r="AA317" s="8">
        <f t="shared" si="59"/>
        <v>25.416666666666575</v>
      </c>
      <c r="AB317" s="1">
        <v>25.5</v>
      </c>
      <c r="AC317" s="1">
        <v>2.3122199999999999E-2</v>
      </c>
      <c r="AD317" s="8">
        <f t="shared" si="55"/>
        <v>2.0833137240185149</v>
      </c>
      <c r="AE317" s="3">
        <f t="shared" si="56"/>
        <v>9.0100151543474009E-3</v>
      </c>
      <c r="AF317" s="11">
        <f t="shared" si="57"/>
        <v>25.416666666666575</v>
      </c>
      <c r="AG317" s="1">
        <f t="shared" si="58"/>
        <v>0.12101356442764269</v>
      </c>
    </row>
    <row r="318" spans="2:33" ht="15">
      <c r="B318" s="1">
        <v>307</v>
      </c>
      <c r="C318" s="1">
        <v>1.0004887794461348</v>
      </c>
      <c r="D318" s="1">
        <v>1.159131540947266</v>
      </c>
      <c r="E318" s="1">
        <v>0.86193634749658599</v>
      </c>
      <c r="G318" s="1">
        <v>0.99993710566328742</v>
      </c>
      <c r="H318" s="1">
        <v>3.4823404387970056</v>
      </c>
      <c r="I318" s="1">
        <v>0.24734035306738797</v>
      </c>
      <c r="K318" s="1">
        <v>1.0011320996447726</v>
      </c>
      <c r="L318" s="1">
        <v>2.68704254471962</v>
      </c>
      <c r="M318" s="1">
        <v>0.34909908134946821</v>
      </c>
      <c r="O318" s="1">
        <v>2.2914484153159293E-2</v>
      </c>
      <c r="P318" s="1">
        <v>0.55642166256550263</v>
      </c>
      <c r="R318" s="1">
        <v>4.0259002566720554E-2</v>
      </c>
      <c r="S318" s="2">
        <f t="shared" si="60"/>
        <v>0.61345906230952818</v>
      </c>
      <c r="T318" s="4">
        <f t="shared" si="61"/>
        <v>0.37633202112968556</v>
      </c>
      <c r="U318" s="1">
        <f t="shared" si="65"/>
        <v>0.25327466121028669</v>
      </c>
      <c r="V318" s="6">
        <f>2*sigma/alpha*corel*(B318/12-1/alpha*(1-EXP(-alpha*Output!B318/12)))</f>
        <v>1.1359935810290787</v>
      </c>
      <c r="W318" s="5">
        <f t="shared" si="62"/>
        <v>-0.12305735991939887</v>
      </c>
      <c r="X318" s="1">
        <f t="shared" si="63"/>
        <v>13.883351247891088</v>
      </c>
      <c r="Y318" s="3">
        <f t="shared" si="64"/>
        <v>5.061973983513543E-2</v>
      </c>
      <c r="Z318" s="1">
        <f t="shared" si="54"/>
        <v>0.12128498022641514</v>
      </c>
      <c r="AA318" s="8">
        <f t="shared" si="59"/>
        <v>25.499999999999908</v>
      </c>
      <c r="AB318" s="1">
        <v>25.58</v>
      </c>
      <c r="AC318" s="1">
        <v>2.3123299999999999E-2</v>
      </c>
      <c r="AD318" s="8">
        <f t="shared" si="55"/>
        <v>2.0881584684070629</v>
      </c>
      <c r="AE318" s="3">
        <f t="shared" si="56"/>
        <v>9.0305383245776472E-3</v>
      </c>
      <c r="AF318" s="11">
        <f t="shared" si="57"/>
        <v>25.499999999999908</v>
      </c>
      <c r="AG318" s="1">
        <f t="shared" si="58"/>
        <v>0.12128498022641514</v>
      </c>
    </row>
    <row r="319" spans="2:33" ht="15">
      <c r="B319" s="1">
        <v>308</v>
      </c>
      <c r="C319" s="1">
        <v>1.0004934660326463</v>
      </c>
      <c r="D319" s="1">
        <v>1.1585840119875745</v>
      </c>
      <c r="E319" s="1">
        <v>0.86234209614312329</v>
      </c>
      <c r="G319" s="1">
        <v>1.0001446727640695</v>
      </c>
      <c r="H319" s="1">
        <v>3.4674504595561597</v>
      </c>
      <c r="I319" s="1">
        <v>0.24828231008381771</v>
      </c>
      <c r="K319" s="1">
        <v>1.0010534367143533</v>
      </c>
      <c r="L319" s="1">
        <v>2.6844725483738228</v>
      </c>
      <c r="M319" s="1">
        <v>0.34936050256245682</v>
      </c>
      <c r="O319" s="1">
        <v>2.2914921880730153E-2</v>
      </c>
      <c r="P319" s="1">
        <v>0.5553539273178022</v>
      </c>
      <c r="R319" s="1">
        <v>4.0348001321846121E-2</v>
      </c>
      <c r="S319" s="2">
        <f t="shared" si="60"/>
        <v>0.61548922301489917</v>
      </c>
      <c r="T319" s="4">
        <f t="shared" si="61"/>
        <v>0.37882698364748429</v>
      </c>
      <c r="U319" s="1">
        <f t="shared" si="65"/>
        <v>0.25531501026254833</v>
      </c>
      <c r="V319" s="6">
        <f>2*sigma/alpha*corel*(B319/12-1/alpha*(1-EXP(-alpha*Output!B319/12)))</f>
        <v>1.1425133399559599</v>
      </c>
      <c r="W319" s="5">
        <f t="shared" si="62"/>
        <v>-0.12351197338493597</v>
      </c>
      <c r="X319" s="1">
        <f t="shared" si="63"/>
        <v>13.985899332830748</v>
      </c>
      <c r="Y319" s="3">
        <f t="shared" si="64"/>
        <v>5.0595960218409911E-2</v>
      </c>
      <c r="Z319" s="1">
        <f t="shared" si="54"/>
        <v>0.12148865325363724</v>
      </c>
      <c r="AA319" s="8">
        <f t="shared" si="59"/>
        <v>25.58333333333324</v>
      </c>
      <c r="AB319" s="1">
        <v>25.67</v>
      </c>
      <c r="AC319" s="1">
        <v>2.3124100000000002E-2</v>
      </c>
      <c r="AD319" s="8">
        <f t="shared" si="55"/>
        <v>2.0917811926984831</v>
      </c>
      <c r="AE319" s="3">
        <f t="shared" si="56"/>
        <v>9.0458923491010812E-3</v>
      </c>
      <c r="AF319" s="11">
        <f t="shared" si="57"/>
        <v>25.58333333333324</v>
      </c>
      <c r="AG319" s="1">
        <f t="shared" si="58"/>
        <v>0.12148865325363724</v>
      </c>
    </row>
    <row r="320" spans="2:33" ht="15">
      <c r="B320" s="1">
        <v>309</v>
      </c>
      <c r="C320" s="1">
        <v>1.0004928022897752</v>
      </c>
      <c r="D320" s="1">
        <v>1.1565463505525577</v>
      </c>
      <c r="E320" s="1">
        <v>0.86385982002440143</v>
      </c>
      <c r="G320" s="1">
        <v>0.99991181823411424</v>
      </c>
      <c r="H320" s="1">
        <v>3.411783146416222</v>
      </c>
      <c r="I320" s="1">
        <v>0.252211255361037</v>
      </c>
      <c r="K320" s="1">
        <v>1.0010810169383118</v>
      </c>
      <c r="L320" s="1">
        <v>2.667743132298348</v>
      </c>
      <c r="M320" s="1">
        <v>0.35147810976393379</v>
      </c>
      <c r="O320" s="1">
        <v>2.291522097002523E-2</v>
      </c>
      <c r="P320" s="1">
        <v>0.55429017932011082</v>
      </c>
      <c r="R320" s="1">
        <v>4.0478054867643928E-2</v>
      </c>
      <c r="S320" s="2">
        <f t="shared" si="60"/>
        <v>0.61774699017842649</v>
      </c>
      <c r="T320" s="4">
        <f t="shared" si="61"/>
        <v>0.38161134387450496</v>
      </c>
      <c r="U320" s="1">
        <f t="shared" si="65"/>
        <v>0.25736388109430086</v>
      </c>
      <c r="V320" s="6">
        <f>2*sigma/alpha*corel*(B320/12-1/alpha*(1-EXP(-alpha*Output!B320/12)))</f>
        <v>1.1490467000118907</v>
      </c>
      <c r="W320" s="5">
        <f t="shared" si="62"/>
        <v>-0.1242474627802041</v>
      </c>
      <c r="X320" s="1">
        <f t="shared" si="63"/>
        <v>14.117796985169237</v>
      </c>
      <c r="Y320" s="3">
        <f t="shared" si="64"/>
        <v>5.0646970826095983E-2</v>
      </c>
      <c r="Z320" s="1">
        <f t="shared" si="54"/>
        <v>0.12173683918413473</v>
      </c>
      <c r="AA320" s="8">
        <f t="shared" si="59"/>
        <v>25.666666666666572</v>
      </c>
      <c r="AB320" s="1">
        <v>25.75</v>
      </c>
      <c r="AC320" s="1">
        <v>2.3124700000000002E-2</v>
      </c>
      <c r="AD320" s="8">
        <f t="shared" si="55"/>
        <v>2.0947902997477117</v>
      </c>
      <c r="AE320" s="3">
        <f t="shared" si="56"/>
        <v>9.0586701654408984E-3</v>
      </c>
      <c r="AF320" s="11">
        <f t="shared" si="57"/>
        <v>25.666666666666572</v>
      </c>
      <c r="AG320" s="1">
        <f t="shared" si="58"/>
        <v>0.12173683918413473</v>
      </c>
    </row>
    <row r="321" spans="2:33" ht="15">
      <c r="B321" s="1">
        <v>310</v>
      </c>
      <c r="C321" s="1">
        <v>1.0004934492558808</v>
      </c>
      <c r="D321" s="1">
        <v>1.1556261602087015</v>
      </c>
      <c r="E321" s="1">
        <v>0.8645460887895019</v>
      </c>
      <c r="G321" s="1">
        <v>0.99979165615713883</v>
      </c>
      <c r="H321" s="1">
        <v>3.3863253692973516</v>
      </c>
      <c r="I321" s="1">
        <v>0.25398439905997994</v>
      </c>
      <c r="K321" s="1">
        <v>1.0011491155619454</v>
      </c>
      <c r="L321" s="1">
        <v>2.672850624028611</v>
      </c>
      <c r="M321" s="1">
        <v>0.35073340088386518</v>
      </c>
      <c r="O321" s="1">
        <v>2.2915569385843937E-2</v>
      </c>
      <c r="P321" s="1">
        <v>0.55322773633095945</v>
      </c>
      <c r="R321" s="1">
        <v>4.0477979427513987E-2</v>
      </c>
      <c r="S321" s="2">
        <f t="shared" si="60"/>
        <v>0.61928171295565826</v>
      </c>
      <c r="T321" s="4">
        <f t="shared" si="61"/>
        <v>0.38350984000129429</v>
      </c>
      <c r="U321" s="1">
        <f t="shared" si="65"/>
        <v>0.25942126846706448</v>
      </c>
      <c r="V321" s="6">
        <f>2*sigma/alpha*corel*(B321/12-1/alpha*(1-EXP(-alpha*Output!B321/12)))</f>
        <v>1.1555936246059855</v>
      </c>
      <c r="W321" s="5">
        <f t="shared" si="62"/>
        <v>-0.12408857153422981</v>
      </c>
      <c r="X321" s="1">
        <f t="shared" si="63"/>
        <v>14.157882350433745</v>
      </c>
      <c r="Y321" s="3">
        <f t="shared" si="64"/>
        <v>5.0460048964005091E-2</v>
      </c>
      <c r="Z321" s="1">
        <f t="shared" si="54"/>
        <v>0.1218422840954588</v>
      </c>
      <c r="AA321" s="8">
        <f t="shared" si="59"/>
        <v>25.749999999999904</v>
      </c>
      <c r="AB321" s="1">
        <v>25.83</v>
      </c>
      <c r="AC321" s="1">
        <v>2.3125400000000001E-2</v>
      </c>
      <c r="AD321" s="8">
        <f t="shared" si="55"/>
        <v>2.0983061415606392</v>
      </c>
      <c r="AE321" s="3">
        <f t="shared" si="56"/>
        <v>9.0735993390844653E-3</v>
      </c>
      <c r="AF321" s="11">
        <f t="shared" si="57"/>
        <v>25.749999999999904</v>
      </c>
      <c r="AG321" s="1">
        <f t="shared" si="58"/>
        <v>0.1218422840954588</v>
      </c>
    </row>
    <row r="322" spans="2:33" ht="15">
      <c r="B322" s="1">
        <v>311</v>
      </c>
      <c r="C322" s="1">
        <v>1.0004981266021229</v>
      </c>
      <c r="D322" s="1">
        <v>1.1541318222812518</v>
      </c>
      <c r="E322" s="1">
        <v>0.86566387840580061</v>
      </c>
      <c r="G322" s="1">
        <v>0.99997921890247032</v>
      </c>
      <c r="H322" s="1">
        <v>3.3465026194836427</v>
      </c>
      <c r="I322" s="1">
        <v>0.25688242877155643</v>
      </c>
      <c r="K322" s="1">
        <v>1.0012333272509975</v>
      </c>
      <c r="L322" s="1">
        <v>2.6047231546255958</v>
      </c>
      <c r="M322" s="1">
        <v>0.35983198620714901</v>
      </c>
      <c r="O322" s="1">
        <v>2.2915994141112978E-2</v>
      </c>
      <c r="P322" s="1">
        <v>0.5521662052873173</v>
      </c>
      <c r="R322" s="1">
        <v>4.0623309765255168E-2</v>
      </c>
      <c r="S322" s="2">
        <f t="shared" si="60"/>
        <v>0.62163103439276557</v>
      </c>
      <c r="T322" s="4">
        <f t="shared" si="61"/>
        <v>0.38642514292021968</v>
      </c>
      <c r="U322" s="1">
        <f t="shared" si="65"/>
        <v>0.26148716706140895</v>
      </c>
      <c r="V322" s="6">
        <f>2*sigma/alpha*corel*(B322/12-1/alpha*(1-EXP(-alpha*Output!B322/12)))</f>
        <v>1.1621540772457983</v>
      </c>
      <c r="W322" s="5">
        <f t="shared" si="62"/>
        <v>-0.12493797585881072</v>
      </c>
      <c r="X322" s="1">
        <f t="shared" si="63"/>
        <v>14.30250559662241</v>
      </c>
      <c r="Y322" s="3">
        <f t="shared" si="64"/>
        <v>5.0541053674982107E-2</v>
      </c>
      <c r="Z322" s="1">
        <f t="shared" si="54"/>
        <v>0.12210771844430668</v>
      </c>
      <c r="AA322" s="8">
        <f t="shared" si="59"/>
        <v>25.833333333333236</v>
      </c>
      <c r="AB322" s="1">
        <v>25.92</v>
      </c>
      <c r="AC322" s="1">
        <v>2.31261E-2</v>
      </c>
      <c r="AD322" s="8">
        <f t="shared" si="55"/>
        <v>2.1010585888702265</v>
      </c>
      <c r="AE322" s="3">
        <f t="shared" si="56"/>
        <v>9.0852266005518722E-3</v>
      </c>
      <c r="AF322" s="11">
        <f t="shared" si="57"/>
        <v>25.833333333333236</v>
      </c>
      <c r="AG322" s="1">
        <f t="shared" si="58"/>
        <v>0.12210771844430668</v>
      </c>
    </row>
    <row r="323" spans="2:33" ht="15">
      <c r="B323" s="1">
        <v>312</v>
      </c>
      <c r="C323" s="1">
        <v>1.0004989724102398</v>
      </c>
      <c r="D323" s="1">
        <v>1.1546958994544274</v>
      </c>
      <c r="E323" s="1">
        <v>0.8652393937258388</v>
      </c>
      <c r="G323" s="1">
        <v>0.99986929087000476</v>
      </c>
      <c r="H323" s="1">
        <v>3.3596322295222238</v>
      </c>
      <c r="I323" s="1">
        <v>0.25575472912786484</v>
      </c>
      <c r="K323" s="1">
        <v>1.0012718809738939</v>
      </c>
      <c r="L323" s="1">
        <v>2.6427031482973606</v>
      </c>
      <c r="M323" s="1">
        <v>0.35458672837334188</v>
      </c>
      <c r="O323" s="1">
        <v>2.291669103007335E-2</v>
      </c>
      <c r="P323" s="1">
        <v>0.55110277276248965</v>
      </c>
      <c r="R323" s="1">
        <v>4.0783891019480448E-2</v>
      </c>
      <c r="S323" s="2">
        <f t="shared" si="60"/>
        <v>0.62407361961676489</v>
      </c>
      <c r="T323" s="4">
        <f t="shared" si="61"/>
        <v>0.38946788270157057</v>
      </c>
      <c r="U323" s="1">
        <f t="shared" si="65"/>
        <v>0.263561571477687</v>
      </c>
      <c r="V323" s="6">
        <f>2*sigma/alpha*corel*(B323/12-1/alpha*(1-EXP(-alpha*Output!B323/12)))</f>
        <v>1.1687280215370561</v>
      </c>
      <c r="W323" s="5">
        <f t="shared" si="62"/>
        <v>-0.12590631122388357</v>
      </c>
      <c r="X323" s="1">
        <f t="shared" si="63"/>
        <v>14.460181555609813</v>
      </c>
      <c r="Y323" s="3">
        <f t="shared" si="64"/>
        <v>5.065243306007608E-2</v>
      </c>
      <c r="Z323" s="1">
        <f t="shared" si="54"/>
        <v>0.12239090632093713</v>
      </c>
      <c r="AA323" s="8">
        <f t="shared" si="59"/>
        <v>25.916666666666568</v>
      </c>
      <c r="AB323" s="1">
        <v>26</v>
      </c>
      <c r="AC323" s="1">
        <v>2.3127100000000001E-2</v>
      </c>
      <c r="AD323" s="8">
        <f t="shared" si="55"/>
        <v>2.1040896992665163</v>
      </c>
      <c r="AE323" s="3">
        <f t="shared" si="56"/>
        <v>9.0979400757834582E-3</v>
      </c>
      <c r="AF323" s="11">
        <f t="shared" si="57"/>
        <v>25.916666666666568</v>
      </c>
      <c r="AG323" s="1">
        <f t="shared" si="58"/>
        <v>0.12239090632093713</v>
      </c>
    </row>
    <row r="324" spans="2:33" ht="15">
      <c r="B324" s="1">
        <v>313</v>
      </c>
      <c r="C324" s="1">
        <v>1.0005015015991265</v>
      </c>
      <c r="D324" s="1">
        <v>1.1566456422915214</v>
      </c>
      <c r="E324" s="1">
        <v>0.86377926925259951</v>
      </c>
      <c r="G324" s="1">
        <v>0.99989364160658989</v>
      </c>
      <c r="H324" s="1">
        <v>3.4265199954914416</v>
      </c>
      <c r="I324" s="1">
        <v>0.25064092561303075</v>
      </c>
      <c r="K324" s="1">
        <v>1.0014011099217708</v>
      </c>
      <c r="L324" s="1">
        <v>2.5919304735544997</v>
      </c>
      <c r="M324" s="1">
        <v>0.36145732729188929</v>
      </c>
      <c r="O324" s="1">
        <v>2.2917629256120821E-2</v>
      </c>
      <c r="P324" s="1">
        <v>0.55003786201530924</v>
      </c>
      <c r="R324" s="1">
        <v>4.093172828696659E-2</v>
      </c>
      <c r="S324" s="2">
        <f t="shared" si="60"/>
        <v>0.62645243282406127</v>
      </c>
      <c r="T324" s="4">
        <f t="shared" si="61"/>
        <v>0.39244265059118499</v>
      </c>
      <c r="U324" s="1">
        <f t="shared" si="65"/>
        <v>0.26564447623675569</v>
      </c>
      <c r="V324" s="6">
        <f>2*sigma/alpha*corel*(B324/12-1/alpha*(1-EXP(-alpha*Output!B324/12)))</f>
        <v>1.1753154211833994</v>
      </c>
      <c r="W324" s="5">
        <f t="shared" si="62"/>
        <v>-0.1267981743544293</v>
      </c>
      <c r="X324" s="1">
        <f t="shared" si="63"/>
        <v>14.610642530250304</v>
      </c>
      <c r="Y324" s="3">
        <f t="shared" si="64"/>
        <v>5.0742586557746133E-2</v>
      </c>
      <c r="Z324" s="1">
        <f t="shared" si="54"/>
        <v>0.12266101509161016</v>
      </c>
      <c r="AA324" s="8">
        <f t="shared" si="59"/>
        <v>25.999999999999901</v>
      </c>
      <c r="AB324" s="1">
        <v>26.08</v>
      </c>
      <c r="AC324" s="1">
        <v>2.3128200000000002E-2</v>
      </c>
      <c r="AD324" s="8">
        <f t="shared" si="55"/>
        <v>2.1057074387918067</v>
      </c>
      <c r="AE324" s="3">
        <f t="shared" si="56"/>
        <v>9.1045020312510543E-3</v>
      </c>
      <c r="AF324" s="11">
        <f t="shared" si="57"/>
        <v>25.999999999999901</v>
      </c>
      <c r="AG324" s="1">
        <f t="shared" si="58"/>
        <v>0.12266101509161016</v>
      </c>
    </row>
    <row r="325" spans="2:33" ht="15">
      <c r="B325" s="1">
        <v>314</v>
      </c>
      <c r="C325" s="1">
        <v>1.0005003728437845</v>
      </c>
      <c r="D325" s="1">
        <v>1.1603467809336785</v>
      </c>
      <c r="E325" s="1">
        <v>0.8610224891474374</v>
      </c>
      <c r="G325" s="1">
        <v>0.99962864160516696</v>
      </c>
      <c r="H325" s="1">
        <v>3.5266654968536786</v>
      </c>
      <c r="I325" s="1">
        <v>0.24340574963260203</v>
      </c>
      <c r="K325" s="1">
        <v>1.0014335498292382</v>
      </c>
      <c r="L325" s="1">
        <v>2.4806114381455262</v>
      </c>
      <c r="M325" s="1">
        <v>0.37759928283024113</v>
      </c>
      <c r="O325" s="1">
        <v>2.2918899349411746E-2</v>
      </c>
      <c r="P325" s="1">
        <v>0.54897015597968668</v>
      </c>
      <c r="R325" s="1">
        <v>4.1041403232606979E-2</v>
      </c>
      <c r="S325" s="2">
        <f t="shared" si="60"/>
        <v>0.62862687327857447</v>
      </c>
      <c r="T325" s="4">
        <f t="shared" si="61"/>
        <v>0.39517174580799691</v>
      </c>
      <c r="U325" s="1">
        <f t="shared" si="65"/>
        <v>0.26773587578069297</v>
      </c>
      <c r="V325" s="6">
        <f>2*sigma/alpha*corel*(B325/12-1/alpha*(1-EXP(-alpha*Output!B325/12)))</f>
        <v>1.1819162399861132</v>
      </c>
      <c r="W325" s="5">
        <f t="shared" si="62"/>
        <v>-0.12743587002730394</v>
      </c>
      <c r="X325" s="1">
        <f t="shared" si="63"/>
        <v>14.735213727867391</v>
      </c>
      <c r="Y325" s="3">
        <f t="shared" si="64"/>
        <v>5.0765563234474981E-2</v>
      </c>
      <c r="Z325" s="1">
        <f t="shared" si="54"/>
        <v>0.12289062183640159</v>
      </c>
      <c r="AA325" s="8">
        <f t="shared" si="59"/>
        <v>26.083333333333233</v>
      </c>
      <c r="AB325" s="1">
        <v>26.17</v>
      </c>
      <c r="AC325" s="1">
        <v>2.31297E-2</v>
      </c>
      <c r="AD325" s="8">
        <f t="shared" si="55"/>
        <v>2.1080065058825399</v>
      </c>
      <c r="AE325" s="3">
        <f t="shared" si="56"/>
        <v>9.1138514804884625E-3</v>
      </c>
      <c r="AF325" s="11">
        <f t="shared" si="57"/>
        <v>26.083333333333233</v>
      </c>
      <c r="AG325" s="1">
        <f t="shared" si="58"/>
        <v>0.12289062183640159</v>
      </c>
    </row>
    <row r="326" spans="2:33" ht="15">
      <c r="B326" s="1">
        <v>315</v>
      </c>
      <c r="C326" s="1">
        <v>1.0005020077605955</v>
      </c>
      <c r="D326" s="1">
        <v>1.163116560141763</v>
      </c>
      <c r="E326" s="1">
        <v>0.85897050357093307</v>
      </c>
      <c r="G326" s="1">
        <v>0.9995856080244987</v>
      </c>
      <c r="H326" s="1">
        <v>3.6033179315320676</v>
      </c>
      <c r="I326" s="1">
        <v>0.23811259336707194</v>
      </c>
      <c r="K326" s="1">
        <v>1.0014104933978236</v>
      </c>
      <c r="L326" s="1">
        <v>2.4542896441181621</v>
      </c>
      <c r="M326" s="1">
        <v>0.38156946209725728</v>
      </c>
      <c r="O326" s="1">
        <v>2.2920474368060263E-2</v>
      </c>
      <c r="P326" s="1">
        <v>0.54790002097152224</v>
      </c>
      <c r="R326" s="1">
        <v>4.1195414150767218E-2</v>
      </c>
      <c r="S326" s="2">
        <f t="shared" si="60"/>
        <v>0.63105846902074614</v>
      </c>
      <c r="T326" s="4">
        <f t="shared" si="61"/>
        <v>0.39823479132280803</v>
      </c>
      <c r="U326" s="1">
        <f t="shared" si="65"/>
        <v>0.26983576447351737</v>
      </c>
      <c r="V326" s="6">
        <f>2*sigma/alpha*corel*(B326/12-1/alpha*(1-EXP(-alpha*Output!B326/12)))</f>
        <v>1.1885304418438707</v>
      </c>
      <c r="W326" s="5">
        <f t="shared" si="62"/>
        <v>-0.12839902684929067</v>
      </c>
      <c r="X326" s="1">
        <f t="shared" si="63"/>
        <v>14.894502430365106</v>
      </c>
      <c r="Y326" s="3">
        <f t="shared" si="64"/>
        <v>5.087255608993476E-2</v>
      </c>
      <c r="Z326" s="1">
        <f t="shared" si="54"/>
        <v>0.12317000119042718</v>
      </c>
      <c r="AA326" s="8">
        <f t="shared" si="59"/>
        <v>26.166666666666565</v>
      </c>
      <c r="AB326" s="1">
        <v>26.25</v>
      </c>
      <c r="AC326" s="1">
        <v>2.31313E-2</v>
      </c>
      <c r="AD326" s="8">
        <f t="shared" si="55"/>
        <v>2.1082563193973796</v>
      </c>
      <c r="AE326" s="3">
        <f t="shared" si="56"/>
        <v>9.1143010526748575E-3</v>
      </c>
      <c r="AF326" s="11">
        <f t="shared" si="57"/>
        <v>26.166666666666565</v>
      </c>
      <c r="AG326" s="1">
        <f t="shared" si="58"/>
        <v>0.12317000119042718</v>
      </c>
    </row>
    <row r="327" spans="2:33" ht="15">
      <c r="B327" s="1">
        <v>316</v>
      </c>
      <c r="C327" s="1">
        <v>1.0005037141958739</v>
      </c>
      <c r="D327" s="1">
        <v>1.1650787592353515</v>
      </c>
      <c r="E327" s="1">
        <v>0.85752224960669865</v>
      </c>
      <c r="G327" s="1">
        <v>0.99955869764345806</v>
      </c>
      <c r="H327" s="1">
        <v>3.6567190495642157</v>
      </c>
      <c r="I327" s="1">
        <v>0.23452179029805045</v>
      </c>
      <c r="K327" s="1">
        <v>1.0013896073392023</v>
      </c>
      <c r="L327" s="1">
        <v>2.4591401426299271</v>
      </c>
      <c r="M327" s="1">
        <v>0.38073751180928134</v>
      </c>
      <c r="O327" s="1">
        <v>2.2922208873181794E-2</v>
      </c>
      <c r="P327" s="1">
        <v>0.54682953190082162</v>
      </c>
      <c r="R327" s="1">
        <v>4.129721482717981E-2</v>
      </c>
      <c r="S327" s="2">
        <f t="shared" si="60"/>
        <v>0.63320301658238898</v>
      </c>
      <c r="T327" s="4">
        <f t="shared" si="61"/>
        <v>0.40094606020903717</v>
      </c>
      <c r="U327" s="1">
        <f t="shared" si="65"/>
        <v>0.27194413660189398</v>
      </c>
      <c r="V327" s="6">
        <f>2*sigma/alpha*corel*(B327/12-1/alpha*(1-EXP(-alpha*Output!B327/12)))</f>
        <v>1.195157990752465</v>
      </c>
      <c r="W327" s="5">
        <f t="shared" si="62"/>
        <v>-0.12900192360714319</v>
      </c>
      <c r="X327" s="1">
        <f t="shared" si="63"/>
        <v>15.016605242811886</v>
      </c>
      <c r="Y327" s="3">
        <f t="shared" si="64"/>
        <v>5.0885477660635857E-2</v>
      </c>
      <c r="Z327" s="1">
        <f t="shared" si="54"/>
        <v>0.12339286751985937</v>
      </c>
      <c r="AA327" s="8">
        <f t="shared" si="59"/>
        <v>26.249999999999897</v>
      </c>
      <c r="AB327" s="1">
        <v>26.33</v>
      </c>
      <c r="AC327" s="1">
        <v>2.31331E-2</v>
      </c>
      <c r="AD327" s="8">
        <f t="shared" si="55"/>
        <v>2.108911268182065</v>
      </c>
      <c r="AE327" s="3">
        <f t="shared" si="56"/>
        <v>9.1164230828642296E-3</v>
      </c>
      <c r="AF327" s="11">
        <f t="shared" si="57"/>
        <v>26.249999999999897</v>
      </c>
      <c r="AG327" s="1">
        <f t="shared" si="58"/>
        <v>0.12339286751985937</v>
      </c>
    </row>
    <row r="328" spans="2:33" ht="15">
      <c r="B328" s="1">
        <v>317</v>
      </c>
      <c r="C328" s="1">
        <v>1.0005090592819943</v>
      </c>
      <c r="D328" s="1">
        <v>1.1671927049707842</v>
      </c>
      <c r="E328" s="1">
        <v>0.85596756478493385</v>
      </c>
      <c r="G328" s="1">
        <v>0.9998381775575419</v>
      </c>
      <c r="H328" s="1">
        <v>3.7157335665930469</v>
      </c>
      <c r="I328" s="1">
        <v>0.23068538303445496</v>
      </c>
      <c r="K328" s="1">
        <v>1.0014369911766019</v>
      </c>
      <c r="L328" s="1">
        <v>2.4853025479304129</v>
      </c>
      <c r="M328" s="1">
        <v>0.37665106839056678</v>
      </c>
      <c r="O328" s="1">
        <v>2.2924011915328116E-2</v>
      </c>
      <c r="P328" s="1">
        <v>0.54575998847457696</v>
      </c>
      <c r="R328" s="1">
        <v>4.1483897568167963E-2</v>
      </c>
      <c r="S328" s="2">
        <f t="shared" si="60"/>
        <v>0.6358280227266544</v>
      </c>
      <c r="T328" s="4">
        <f t="shared" si="61"/>
        <v>0.40427727448448691</v>
      </c>
      <c r="U328" s="1">
        <f t="shared" si="65"/>
        <v>0.2740609863758412</v>
      </c>
      <c r="V328" s="6">
        <f>2*sigma/alpha*corel*(B328/12-1/alpha*(1-EXP(-alpha*Output!B328/12)))</f>
        <v>1.2017988508045532</v>
      </c>
      <c r="W328" s="5">
        <f t="shared" si="62"/>
        <v>-0.13021628810864572</v>
      </c>
      <c r="X328" s="1">
        <f t="shared" si="63"/>
        <v>15.203841587942042</v>
      </c>
      <c r="Y328" s="3">
        <f t="shared" si="64"/>
        <v>5.1055107809189211E-2</v>
      </c>
      <c r="Z328" s="1">
        <f t="shared" si="54"/>
        <v>0.1237088177508706</v>
      </c>
      <c r="AA328" s="8">
        <f t="shared" si="59"/>
        <v>26.333333333333229</v>
      </c>
      <c r="AB328" s="1">
        <v>26.42</v>
      </c>
      <c r="AC328" s="1">
        <v>2.3135099999999999E-2</v>
      </c>
      <c r="AD328" s="8">
        <f t="shared" si="55"/>
        <v>2.1108808467188225</v>
      </c>
      <c r="AE328" s="3">
        <f t="shared" si="56"/>
        <v>9.1241483577716217E-3</v>
      </c>
      <c r="AF328" s="11">
        <f t="shared" si="57"/>
        <v>26.333333333333229</v>
      </c>
      <c r="AG328" s="1">
        <f t="shared" si="58"/>
        <v>0.1237088177508706</v>
      </c>
    </row>
    <row r="329" spans="2:33" ht="15">
      <c r="B329" s="1">
        <v>318</v>
      </c>
      <c r="C329" s="1">
        <v>1.0005073820469765</v>
      </c>
      <c r="D329" s="1">
        <v>1.163938603876304</v>
      </c>
      <c r="E329" s="1">
        <v>0.85835904934151741</v>
      </c>
      <c r="G329" s="1">
        <v>0.99952492912944779</v>
      </c>
      <c r="H329" s="1">
        <v>3.6214135376043597</v>
      </c>
      <c r="I329" s="1">
        <v>0.23657909741625993</v>
      </c>
      <c r="K329" s="1">
        <v>1.0013668589261231</v>
      </c>
      <c r="L329" s="1">
        <v>2.5170546943244143</v>
      </c>
      <c r="M329" s="1">
        <v>0.37182221862768428</v>
      </c>
      <c r="O329" s="1">
        <v>2.2925925936881811E-2</v>
      </c>
      <c r="P329" s="1">
        <v>0.54469077137050126</v>
      </c>
      <c r="R329" s="1">
        <v>4.1612336439546843E-2</v>
      </c>
      <c r="S329" s="2">
        <f t="shared" si="60"/>
        <v>0.63813090853182008</v>
      </c>
      <c r="T329" s="4">
        <f t="shared" si="61"/>
        <v>0.40721105642364613</v>
      </c>
      <c r="U329" s="1">
        <f t="shared" si="65"/>
        <v>0.27618630792942944</v>
      </c>
      <c r="V329" s="6">
        <f>2*sigma/alpha*corel*(B329/12-1/alpha*(1-EXP(-alpha*Output!B329/12)))</f>
        <v>1.2084529861893905</v>
      </c>
      <c r="W329" s="5">
        <f t="shared" si="62"/>
        <v>-0.13102474849421669</v>
      </c>
      <c r="X329" s="1">
        <f t="shared" si="63"/>
        <v>15.348981960217024</v>
      </c>
      <c r="Y329" s="3">
        <f t="shared" si="64"/>
        <v>5.1119333870311576E-2</v>
      </c>
      <c r="Z329" s="1">
        <f t="shared" si="54"/>
        <v>0.12396150595803067</v>
      </c>
      <c r="AA329" s="8">
        <f t="shared" si="59"/>
        <v>26.416666666666561</v>
      </c>
      <c r="AB329" s="1">
        <v>26.5</v>
      </c>
      <c r="AC329" s="1">
        <v>2.31373E-2</v>
      </c>
      <c r="AD329" s="8">
        <f t="shared" si="55"/>
        <v>2.1137406311818805</v>
      </c>
      <c r="AE329" s="3">
        <f t="shared" si="56"/>
        <v>9.1356408534352777E-3</v>
      </c>
      <c r="AF329" s="11">
        <f t="shared" si="57"/>
        <v>26.416666666666561</v>
      </c>
      <c r="AG329" s="1">
        <f t="shared" si="58"/>
        <v>0.12396150595803067</v>
      </c>
    </row>
    <row r="330" spans="2:33" ht="15">
      <c r="B330" s="1">
        <v>319</v>
      </c>
      <c r="C330" s="1">
        <v>1.00051145699224</v>
      </c>
      <c r="D330" s="1">
        <v>1.1674418968841984</v>
      </c>
      <c r="E330" s="1">
        <v>0.85578166237470632</v>
      </c>
      <c r="G330" s="1">
        <v>0.99970003583664979</v>
      </c>
      <c r="H330" s="1">
        <v>3.7209108720454123</v>
      </c>
      <c r="I330" s="1">
        <v>0.23014157086312312</v>
      </c>
      <c r="K330" s="1">
        <v>1.0013576091202758</v>
      </c>
      <c r="L330" s="1">
        <v>2.5022934756098429</v>
      </c>
      <c r="M330" s="1">
        <v>0.37393771433375383</v>
      </c>
      <c r="O330" s="1">
        <v>2.2927933385899272E-2</v>
      </c>
      <c r="P330" s="1">
        <v>0.54362212543956323</v>
      </c>
      <c r="R330" s="1">
        <v>4.1780705745272866E-2</v>
      </c>
      <c r="S330" s="2">
        <f t="shared" si="60"/>
        <v>0.64066294652653855</v>
      </c>
      <c r="T330" s="4">
        <f t="shared" si="61"/>
        <v>0.41044901105206638</v>
      </c>
      <c r="U330" s="1">
        <f t="shared" si="65"/>
        <v>0.27832009532148039</v>
      </c>
      <c r="V330" s="6">
        <f>2*sigma/alpha*corel*(B330/12-1/alpha*(1-EXP(-alpha*Output!B330/12)))</f>
        <v>1.2151203611925756</v>
      </c>
      <c r="W330" s="5">
        <f t="shared" si="62"/>
        <v>-0.13212891573058599</v>
      </c>
      <c r="X330" s="1">
        <f t="shared" si="63"/>
        <v>15.526225531537087</v>
      </c>
      <c r="Y330" s="3">
        <f t="shared" si="64"/>
        <v>5.1257921266490813E-2</v>
      </c>
      <c r="Z330" s="1">
        <f t="shared" si="54"/>
        <v>0.124258151402821</v>
      </c>
      <c r="AA330" s="8">
        <f t="shared" si="59"/>
        <v>26.499999999999893</v>
      </c>
      <c r="AB330" s="1">
        <v>26.58</v>
      </c>
      <c r="AC330" s="1">
        <v>2.31395E-2</v>
      </c>
      <c r="AD330" s="8">
        <f t="shared" si="55"/>
        <v>2.1156661410072846</v>
      </c>
      <c r="AE330" s="3">
        <f t="shared" si="56"/>
        <v>9.1430935889162887E-3</v>
      </c>
      <c r="AF330" s="11">
        <f t="shared" si="57"/>
        <v>26.499999999999893</v>
      </c>
      <c r="AG330" s="1">
        <f t="shared" si="58"/>
        <v>0.124258151402821</v>
      </c>
    </row>
    <row r="331" spans="2:33" ht="15">
      <c r="B331" s="1">
        <v>320</v>
      </c>
      <c r="C331" s="1">
        <v>1.0005147147457643</v>
      </c>
      <c r="D331" s="1">
        <v>1.1667730896451614</v>
      </c>
      <c r="E331" s="1">
        <v>0.85627060447281378</v>
      </c>
      <c r="G331" s="1">
        <v>0.99978997677901371</v>
      </c>
      <c r="H331" s="1">
        <v>3.7018726501409587</v>
      </c>
      <c r="I331" s="1">
        <v>0.23121324885439037</v>
      </c>
      <c r="K331" s="1">
        <v>1.0012635608810978</v>
      </c>
      <c r="L331" s="1">
        <v>2.4866401326733674</v>
      </c>
      <c r="M331" s="1">
        <v>0.37621325768811575</v>
      </c>
      <c r="O331" s="1">
        <v>2.2929973944766112E-2</v>
      </c>
      <c r="P331" s="1">
        <v>0.54255491555537405</v>
      </c>
      <c r="R331" s="1">
        <v>4.1899345507218945E-2</v>
      </c>
      <c r="S331" s="2">
        <f t="shared" si="60"/>
        <v>0.64291847694077497</v>
      </c>
      <c r="T331" s="4">
        <f t="shared" si="61"/>
        <v>0.41334416799184581</v>
      </c>
      <c r="U331" s="1">
        <f t="shared" si="65"/>
        <v>0.28046234253625885</v>
      </c>
      <c r="V331" s="6">
        <f>2*sigma/alpha*corel*(B331/12-1/alpha*(1-EXP(-alpha*Output!B331/12)))</f>
        <v>1.2218009401957879</v>
      </c>
      <c r="W331" s="5">
        <f t="shared" si="62"/>
        <v>-0.13288182545558697</v>
      </c>
      <c r="X331" s="1">
        <f t="shared" si="63"/>
        <v>15.666858919392588</v>
      </c>
      <c r="Y331" s="3">
        <f t="shared" si="64"/>
        <v>5.1306325774550916E-2</v>
      </c>
      <c r="Z331" s="1">
        <f t="shared" si="54"/>
        <v>0.12450062770803294</v>
      </c>
      <c r="AA331" s="8">
        <f t="shared" si="59"/>
        <v>26.583333333333226</v>
      </c>
      <c r="AB331" s="1">
        <v>26.67</v>
      </c>
      <c r="AC331" s="1">
        <v>2.3141800000000001E-2</v>
      </c>
      <c r="AD331" s="8">
        <f t="shared" si="55"/>
        <v>2.1182605523388869</v>
      </c>
      <c r="AE331" s="3">
        <f t="shared" si="56"/>
        <v>9.1533958133718507E-3</v>
      </c>
      <c r="AF331" s="11">
        <f t="shared" si="57"/>
        <v>26.583333333333226</v>
      </c>
      <c r="AG331" s="1">
        <f t="shared" si="58"/>
        <v>0.12450062770803294</v>
      </c>
    </row>
    <row r="332" spans="2:33" ht="15">
      <c r="B332" s="1">
        <v>321</v>
      </c>
      <c r="C332" s="1">
        <v>1.0005182063601925</v>
      </c>
      <c r="D332" s="1">
        <v>1.1677889354266111</v>
      </c>
      <c r="E332" s="1">
        <v>0.85552414229255325</v>
      </c>
      <c r="G332" s="1">
        <v>0.99988870449874634</v>
      </c>
      <c r="H332" s="1">
        <v>3.7324473514830272</v>
      </c>
      <c r="I332" s="1">
        <v>0.22920830550772006</v>
      </c>
      <c r="K332" s="1">
        <v>1.0013129463057382</v>
      </c>
      <c r="L332" s="1">
        <v>2.4683365900560954</v>
      </c>
      <c r="M332" s="1">
        <v>0.37892405420849717</v>
      </c>
      <c r="O332" s="1">
        <v>2.2931972894750369E-2</v>
      </c>
      <c r="P332" s="1">
        <v>0.54149021930226193</v>
      </c>
      <c r="R332" s="1">
        <v>4.2052186055804852E-2</v>
      </c>
      <c r="S332" s="2">
        <f t="shared" si="60"/>
        <v>0.64536829467921253</v>
      </c>
      <c r="T332" s="4">
        <f t="shared" si="61"/>
        <v>0.41650023577715489</v>
      </c>
      <c r="U332" s="1">
        <f t="shared" si="65"/>
        <v>0.2826130434841525</v>
      </c>
      <c r="V332" s="6">
        <f>2*sigma/alpha*corel*(B332/12-1/alpha*(1-EXP(-alpha*Output!B332/12)))</f>
        <v>1.2284946876765295</v>
      </c>
      <c r="W332" s="5">
        <f t="shared" si="62"/>
        <v>-0.13388719229300239</v>
      </c>
      <c r="X332" s="1">
        <f t="shared" si="63"/>
        <v>15.835128773000708</v>
      </c>
      <c r="Y332" s="3">
        <f t="shared" si="64"/>
        <v>5.1417626967770108E-2</v>
      </c>
      <c r="Z332" s="1">
        <f t="shared" si="54"/>
        <v>0.12478021586791381</v>
      </c>
      <c r="AA332" s="8">
        <f t="shared" si="59"/>
        <v>26.666666666666558</v>
      </c>
      <c r="AB332" s="1">
        <v>26.75</v>
      </c>
      <c r="AC332" s="1">
        <v>2.31442E-2</v>
      </c>
      <c r="AD332" s="8">
        <f t="shared" si="55"/>
        <v>2.1222710524963078</v>
      </c>
      <c r="AE332" s="3">
        <f t="shared" si="56"/>
        <v>9.1697749435984289E-3</v>
      </c>
      <c r="AF332" s="11">
        <f t="shared" si="57"/>
        <v>26.666666666666558</v>
      </c>
      <c r="AG332" s="1">
        <f t="shared" si="58"/>
        <v>0.12478021586791381</v>
      </c>
    </row>
    <row r="333" spans="2:33" ht="15">
      <c r="B333" s="1">
        <v>322</v>
      </c>
      <c r="C333" s="1">
        <v>1.000521927677664</v>
      </c>
      <c r="D333" s="1">
        <v>1.1699294345157156</v>
      </c>
      <c r="E333" s="1">
        <v>0.85395727652231135</v>
      </c>
      <c r="G333" s="1">
        <v>1.0000404223596591</v>
      </c>
      <c r="H333" s="1">
        <v>3.7942518462559254</v>
      </c>
      <c r="I333" s="1">
        <v>0.22536565831482724</v>
      </c>
      <c r="K333" s="1">
        <v>1.001232044815914</v>
      </c>
      <c r="L333" s="1">
        <v>2.4781548180843167</v>
      </c>
      <c r="M333" s="1">
        <v>0.37734416939474053</v>
      </c>
      <c r="O333" s="1">
        <v>2.2934016871591991E-2</v>
      </c>
      <c r="P333" s="1">
        <v>0.5404267793794264</v>
      </c>
      <c r="R333" s="1">
        <v>4.2143281466295771E-2</v>
      </c>
      <c r="S333" s="2">
        <f t="shared" si="60"/>
        <v>0.64747335591909017</v>
      </c>
      <c r="T333" s="4">
        <f t="shared" si="61"/>
        <v>0.41922174662512879</v>
      </c>
      <c r="U333" s="1">
        <f t="shared" si="65"/>
        <v>0.2847721920023642</v>
      </c>
      <c r="V333" s="6">
        <f>2*sigma/alpha*corel*(B333/12-1/alpha*(1-EXP(-alpha*Output!B333/12)))</f>
        <v>1.2352015682078703</v>
      </c>
      <c r="W333" s="5">
        <f t="shared" si="62"/>
        <v>-0.13444955462276459</v>
      </c>
      <c r="X333" s="1">
        <f t="shared" si="63"/>
        <v>15.956641776946581</v>
      </c>
      <c r="Y333" s="3">
        <f t="shared" si="64"/>
        <v>5.1416925040583067E-2</v>
      </c>
      <c r="Z333" s="1">
        <f t="shared" ref="Z333:Z396" si="66">S333/SQRT(B333/12)</f>
        <v>0.12499268251254478</v>
      </c>
      <c r="AA333" s="8">
        <f t="shared" si="59"/>
        <v>26.74999999999989</v>
      </c>
      <c r="AB333" s="1">
        <v>26.83</v>
      </c>
      <c r="AC333" s="1">
        <v>2.31465E-2</v>
      </c>
      <c r="AD333" s="8">
        <f t="shared" ref="AD333:AD396" si="67">(AC333-O333)*10000</f>
        <v>2.1248312840800936</v>
      </c>
      <c r="AE333" s="3">
        <f t="shared" ref="AE333:AE396" si="68">AD333/AC333/10000</f>
        <v>9.1799247578687633E-3</v>
      </c>
      <c r="AF333" s="11">
        <f t="shared" ref="AF333:AF396" si="69">AA333</f>
        <v>26.74999999999989</v>
      </c>
      <c r="AG333" s="1">
        <f t="shared" ref="AG333:AG396" si="70">Z333</f>
        <v>0.12499268251254478</v>
      </c>
    </row>
    <row r="334" spans="2:33" ht="15">
      <c r="B334" s="1">
        <v>323</v>
      </c>
      <c r="C334" s="1">
        <v>1.0005260833615026</v>
      </c>
      <c r="D334" s="1">
        <v>1.1689559967974328</v>
      </c>
      <c r="E334" s="1">
        <v>0.85466679614641705</v>
      </c>
      <c r="G334" s="1">
        <v>1.000192082818478</v>
      </c>
      <c r="H334" s="1">
        <v>3.7654790362680242</v>
      </c>
      <c r="I334" s="1">
        <v>0.22697786658071911</v>
      </c>
      <c r="K334" s="1">
        <v>1.0012444455185743</v>
      </c>
      <c r="L334" s="1">
        <v>2.4405227249373906</v>
      </c>
      <c r="M334" s="1">
        <v>0.38308288068602758</v>
      </c>
      <c r="O334" s="1">
        <v>2.293590890217493E-2</v>
      </c>
      <c r="P334" s="1">
        <v>0.53936745016614718</v>
      </c>
      <c r="R334" s="1">
        <v>4.2264246820105149E-2</v>
      </c>
      <c r="S334" s="2">
        <f t="shared" si="60"/>
        <v>0.64974591030422468</v>
      </c>
      <c r="T334" s="4">
        <f t="shared" si="61"/>
        <v>0.42216974795706558</v>
      </c>
      <c r="U334" s="1">
        <f t="shared" si="65"/>
        <v>0.28693978185558605</v>
      </c>
      <c r="V334" s="6">
        <f>2*sigma/alpha*corel*(B334/12-1/alpha*(1-EXP(-alpha*Output!B334/12)))</f>
        <v>1.2419215464581874</v>
      </c>
      <c r="W334" s="5">
        <f t="shared" si="62"/>
        <v>-0.13522996610147953</v>
      </c>
      <c r="X334" s="1">
        <f t="shared" si="63"/>
        <v>16.102128811149726</v>
      </c>
      <c r="Y334" s="3">
        <f t="shared" si="64"/>
        <v>5.1470419467973372E-2</v>
      </c>
      <c r="Z334" s="1">
        <f t="shared" si="66"/>
        <v>0.12523707518742558</v>
      </c>
      <c r="AA334" s="8">
        <f t="shared" ref="AA334:AA397" si="71">AA333+1/12</f>
        <v>26.833333333333222</v>
      </c>
      <c r="AB334" s="1">
        <v>26.92</v>
      </c>
      <c r="AC334" s="1">
        <v>2.31489E-2</v>
      </c>
      <c r="AD334" s="8">
        <f t="shared" si="67"/>
        <v>2.1299109782507015</v>
      </c>
      <c r="AE334" s="3">
        <f t="shared" si="68"/>
        <v>9.2009165802725036E-3</v>
      </c>
      <c r="AF334" s="11">
        <f t="shared" si="69"/>
        <v>26.833333333333222</v>
      </c>
      <c r="AG334" s="1">
        <f t="shared" si="70"/>
        <v>0.12523707518742558</v>
      </c>
    </row>
    <row r="335" spans="2:33" ht="15">
      <c r="B335" s="1">
        <v>324</v>
      </c>
      <c r="C335" s="1">
        <v>1.000526736430732</v>
      </c>
      <c r="D335" s="1">
        <v>1.170031749927523</v>
      </c>
      <c r="E335" s="1">
        <v>0.85387939077987673</v>
      </c>
      <c r="G335" s="1">
        <v>1.0000448878114589</v>
      </c>
      <c r="H335" s="1">
        <v>3.7928157194448269</v>
      </c>
      <c r="I335" s="1">
        <v>0.22523291313461402</v>
      </c>
      <c r="K335" s="1">
        <v>1.0012250471061144</v>
      </c>
      <c r="L335" s="1">
        <v>2.4421076377721511</v>
      </c>
      <c r="M335" s="1">
        <v>0.38275451337156696</v>
      </c>
      <c r="O335" s="1">
        <v>2.2937729637208592E-2</v>
      </c>
      <c r="P335" s="1">
        <v>0.53831106390696148</v>
      </c>
      <c r="R335" s="1">
        <v>4.2411838267122422E-2</v>
      </c>
      <c r="S335" s="2">
        <f t="shared" si="60"/>
        <v>0.65216988169784229</v>
      </c>
      <c r="T335" s="4">
        <f t="shared" si="61"/>
        <v>0.42532555459377763</v>
      </c>
      <c r="U335" s="1">
        <f t="shared" si="65"/>
        <v>0.28911580673666976</v>
      </c>
      <c r="V335" s="6">
        <f>2*sigma/alpha*corel*(B335/12-1/alpha*(1-EXP(-alpha*Output!B335/12)))</f>
        <v>1.2486545871909078</v>
      </c>
      <c r="W335" s="5">
        <f t="shared" si="62"/>
        <v>-0.13620974785710788</v>
      </c>
      <c r="X335" s="1">
        <f t="shared" si="63"/>
        <v>16.269791046680545</v>
      </c>
      <c r="Y335" s="3">
        <f t="shared" si="64"/>
        <v>5.1572746615012127E-2</v>
      </c>
      <c r="Z335" s="1">
        <f t="shared" si="66"/>
        <v>0.12551015225187187</v>
      </c>
      <c r="AA335" s="8">
        <f t="shared" si="71"/>
        <v>26.916666666666554</v>
      </c>
      <c r="AB335" s="1">
        <v>27</v>
      </c>
      <c r="AC335" s="1">
        <v>2.31512E-2</v>
      </c>
      <c r="AD335" s="8">
        <f t="shared" si="67"/>
        <v>2.1347036279140834</v>
      </c>
      <c r="AE335" s="3">
        <f t="shared" si="68"/>
        <v>9.2207040149715064E-3</v>
      </c>
      <c r="AF335" s="11">
        <f t="shared" si="69"/>
        <v>26.916666666666554</v>
      </c>
      <c r="AG335" s="1">
        <f t="shared" si="70"/>
        <v>0.12551015225187187</v>
      </c>
    </row>
    <row r="336" spans="2:33" ht="15">
      <c r="B336" s="1">
        <v>325</v>
      </c>
      <c r="C336" s="1">
        <v>1.0005258564608066</v>
      </c>
      <c r="D336" s="1">
        <v>1.1721610367381279</v>
      </c>
      <c r="E336" s="1">
        <v>0.85232667218777503</v>
      </c>
      <c r="G336" s="1">
        <v>0.99980261914084056</v>
      </c>
      <c r="H336" s="1">
        <v>3.8548533741621895</v>
      </c>
      <c r="I336" s="1">
        <v>0.22150094604052137</v>
      </c>
      <c r="K336" s="1">
        <v>1.0012277415535065</v>
      </c>
      <c r="L336" s="1">
        <v>2.4494314125607741</v>
      </c>
      <c r="M336" s="1">
        <v>0.38153058753674185</v>
      </c>
      <c r="O336" s="1">
        <v>2.2939575137126564E-2</v>
      </c>
      <c r="P336" s="1">
        <v>0.53725622326909372</v>
      </c>
      <c r="R336" s="1">
        <v>4.2453581239776161E-2</v>
      </c>
      <c r="S336" s="2">
        <f t="shared" si="60"/>
        <v>0.65399767127167641</v>
      </c>
      <c r="T336" s="4">
        <f t="shared" si="61"/>
        <v>0.42771295402877574</v>
      </c>
      <c r="U336" s="1">
        <f t="shared" si="65"/>
        <v>0.29130026026730349</v>
      </c>
      <c r="V336" s="6">
        <f>2*sigma/alpha*corel*(B336/12-1/alpha*(1-EXP(-alpha*Output!B336/12)))</f>
        <v>1.2554006552642591</v>
      </c>
      <c r="W336" s="5">
        <f t="shared" si="62"/>
        <v>-0.13641269376147225</v>
      </c>
      <c r="X336" s="1">
        <f t="shared" si="63"/>
        <v>16.354072629397425</v>
      </c>
      <c r="Y336" s="3">
        <f t="shared" si="64"/>
        <v>5.1482145924069231E-2</v>
      </c>
      <c r="Z336" s="1">
        <f t="shared" si="66"/>
        <v>0.12566812763227178</v>
      </c>
      <c r="AA336" s="8">
        <f t="shared" si="71"/>
        <v>26.999999999999886</v>
      </c>
      <c r="AB336" s="1">
        <v>27.08</v>
      </c>
      <c r="AC336" s="1">
        <v>2.31535E-2</v>
      </c>
      <c r="AD336" s="8">
        <f t="shared" si="67"/>
        <v>2.1392486287343666</v>
      </c>
      <c r="AE336" s="3">
        <f t="shared" si="68"/>
        <v>9.2394179227087338E-3</v>
      </c>
      <c r="AF336" s="11">
        <f t="shared" si="69"/>
        <v>26.999999999999886</v>
      </c>
      <c r="AG336" s="1">
        <f t="shared" si="70"/>
        <v>0.12566812763227178</v>
      </c>
    </row>
    <row r="337" spans="2:33" ht="15">
      <c r="B337" s="1">
        <v>326</v>
      </c>
      <c r="C337" s="1">
        <v>1.0005271367580231</v>
      </c>
      <c r="D337" s="1">
        <v>1.1679442226873102</v>
      </c>
      <c r="E337" s="1">
        <v>0.85540234848020957</v>
      </c>
      <c r="G337" s="1">
        <v>0.99972723851545287</v>
      </c>
      <c r="H337" s="1">
        <v>3.7319014608786363</v>
      </c>
      <c r="I337" s="1">
        <v>0.22868787265200921</v>
      </c>
      <c r="K337" s="1">
        <v>1.0012534982798635</v>
      </c>
      <c r="L337" s="1">
        <v>2.4444700999611402</v>
      </c>
      <c r="M337" s="1">
        <v>0.38222530609178956</v>
      </c>
      <c r="O337" s="1">
        <v>2.2941443670251849E-2</v>
      </c>
      <c r="P337" s="1">
        <v>0.53620294918233991</v>
      </c>
      <c r="R337" s="1">
        <v>4.2548838625812851E-2</v>
      </c>
      <c r="S337" s="2">
        <f t="shared" si="60"/>
        <v>0.65613072957209151</v>
      </c>
      <c r="T337" s="4">
        <f t="shared" si="61"/>
        <v>0.43050753428880506</v>
      </c>
      <c r="U337" s="1">
        <f t="shared" si="65"/>
        <v>0.29349313599866966</v>
      </c>
      <c r="V337" s="6">
        <f>2*sigma/alpha*corel*(B337/12-1/alpha*(1-EXP(-alpha*Output!B337/12)))</f>
        <v>1.2621597156310067</v>
      </c>
      <c r="W337" s="5">
        <f t="shared" si="62"/>
        <v>-0.1370143982901354</v>
      </c>
      <c r="X337" s="1">
        <f t="shared" si="63"/>
        <v>16.481945095289788</v>
      </c>
      <c r="Y337" s="3">
        <f t="shared" si="64"/>
        <v>5.149024183904103E-2</v>
      </c>
      <c r="Z337" s="1">
        <f t="shared" si="66"/>
        <v>0.12588448316871861</v>
      </c>
      <c r="AA337" s="8">
        <f t="shared" si="71"/>
        <v>27.083333333333218</v>
      </c>
      <c r="AB337" s="1">
        <v>27.17</v>
      </c>
      <c r="AC337" s="1">
        <v>2.3155700000000001E-2</v>
      </c>
      <c r="AD337" s="8">
        <f t="shared" si="67"/>
        <v>2.1425632974815185</v>
      </c>
      <c r="AE337" s="3">
        <f t="shared" si="68"/>
        <v>9.2528547937722385E-3</v>
      </c>
      <c r="AF337" s="11">
        <f t="shared" si="69"/>
        <v>27.083333333333218</v>
      </c>
      <c r="AG337" s="1">
        <f t="shared" si="70"/>
        <v>0.12588448316871861</v>
      </c>
    </row>
    <row r="338" spans="2:33" ht="15">
      <c r="B338" s="1">
        <v>327</v>
      </c>
      <c r="C338" s="1">
        <v>1.0005327032766784</v>
      </c>
      <c r="D338" s="1">
        <v>1.1652179664163345</v>
      </c>
      <c r="E338" s="1">
        <v>0.8574021102737408</v>
      </c>
      <c r="G338" s="1">
        <v>0.99999274486650136</v>
      </c>
      <c r="H338" s="1">
        <v>3.649119291044054</v>
      </c>
      <c r="I338" s="1">
        <v>0.23376263572194594</v>
      </c>
      <c r="K338" s="1">
        <v>1.0011731636384296</v>
      </c>
      <c r="L338" s="1">
        <v>2.4606617862606108</v>
      </c>
      <c r="M338" s="1">
        <v>0.37963108294055598</v>
      </c>
      <c r="O338" s="1">
        <v>2.2943155686043364E-2</v>
      </c>
      <c r="P338" s="1">
        <v>0.53515385582693975</v>
      </c>
      <c r="R338" s="1">
        <v>4.256877343102175E-2</v>
      </c>
      <c r="S338" s="2">
        <f t="shared" si="60"/>
        <v>0.65783452451764401</v>
      </c>
      <c r="T338" s="4">
        <f t="shared" si="61"/>
        <v>0.4327462616473548</v>
      </c>
      <c r="U338" s="1">
        <f t="shared" si="65"/>
        <v>0.29569442741211011</v>
      </c>
      <c r="V338" s="6">
        <f>2*sigma/alpha*corel*(B338/12-1/alpha*(1-EXP(-alpha*Output!B338/12)))</f>
        <v>1.2689317333382051</v>
      </c>
      <c r="W338" s="5">
        <f t="shared" si="62"/>
        <v>-0.1370518342352447</v>
      </c>
      <c r="X338" s="1">
        <f t="shared" si="63"/>
        <v>16.548837675514374</v>
      </c>
      <c r="Y338" s="3">
        <f t="shared" si="64"/>
        <v>5.1359532652217335E-2</v>
      </c>
      <c r="Z338" s="1">
        <f t="shared" si="66"/>
        <v>0.12601823978179147</v>
      </c>
      <c r="AA338" s="8">
        <f t="shared" si="71"/>
        <v>27.166666666666551</v>
      </c>
      <c r="AB338" s="1">
        <v>27.25</v>
      </c>
      <c r="AC338" s="1">
        <v>2.3157899999999999E-2</v>
      </c>
      <c r="AD338" s="8">
        <f t="shared" si="67"/>
        <v>2.1474431395663434</v>
      </c>
      <c r="AE338" s="3">
        <f t="shared" si="68"/>
        <v>9.2730478133437981E-3</v>
      </c>
      <c r="AF338" s="11">
        <f t="shared" si="69"/>
        <v>27.166666666666551</v>
      </c>
      <c r="AG338" s="1">
        <f t="shared" si="70"/>
        <v>0.12601823978179147</v>
      </c>
    </row>
    <row r="339" spans="2:33" ht="15">
      <c r="B339" s="1">
        <v>328</v>
      </c>
      <c r="C339" s="1">
        <v>1.0005321850364968</v>
      </c>
      <c r="D339" s="1">
        <v>1.160554088170874</v>
      </c>
      <c r="E339" s="1">
        <v>0.86084609357198461</v>
      </c>
      <c r="G339" s="1">
        <v>0.99977775744356479</v>
      </c>
      <c r="H339" s="1">
        <v>3.517073354116647</v>
      </c>
      <c r="I339" s="1">
        <v>0.24242175130319857</v>
      </c>
      <c r="K339" s="1">
        <v>1.0012483218785881</v>
      </c>
      <c r="L339" s="1">
        <v>2.4574756280260961</v>
      </c>
      <c r="M339" s="1">
        <v>0.38004409665537364</v>
      </c>
      <c r="O339" s="1">
        <v>2.294485520962319E-2</v>
      </c>
      <c r="P339" s="1">
        <v>0.53410684501963734</v>
      </c>
      <c r="R339" s="1">
        <v>4.2660582668936436E-2</v>
      </c>
      <c r="S339" s="2">
        <f t="shared" si="60"/>
        <v>0.65994778247829511</v>
      </c>
      <c r="T339" s="4">
        <f t="shared" si="61"/>
        <v>0.43553107559801912</v>
      </c>
      <c r="U339" s="1">
        <f t="shared" si="65"/>
        <v>0.29790412791978121</v>
      </c>
      <c r="V339" s="6">
        <f>2*sigma/alpha*corel*(B339/12-1/alpha*(1-EXP(-alpha*Output!B339/12)))</f>
        <v>1.275716673526941</v>
      </c>
      <c r="W339" s="5">
        <f t="shared" si="62"/>
        <v>-0.13762694767823791</v>
      </c>
      <c r="X339" s="1">
        <f t="shared" si="63"/>
        <v>16.674665977268656</v>
      </c>
      <c r="Y339" s="3">
        <f t="shared" si="64"/>
        <v>5.1361204116733408E-2</v>
      </c>
      <c r="Z339" s="1">
        <f t="shared" si="66"/>
        <v>0.1262302013837851</v>
      </c>
      <c r="AA339" s="8">
        <f t="shared" si="71"/>
        <v>27.249999999999883</v>
      </c>
      <c r="AB339" s="1">
        <v>27.33</v>
      </c>
      <c r="AC339" s="1">
        <v>2.316E-2</v>
      </c>
      <c r="AD339" s="8">
        <f t="shared" si="67"/>
        <v>2.151447903768096</v>
      </c>
      <c r="AE339" s="3">
        <f t="shared" si="68"/>
        <v>9.2894987209330565E-3</v>
      </c>
      <c r="AF339" s="11">
        <f t="shared" si="69"/>
        <v>27.249999999999883</v>
      </c>
      <c r="AG339" s="1">
        <f t="shared" si="70"/>
        <v>0.1262302013837851</v>
      </c>
    </row>
    <row r="340" spans="2:33" ht="15">
      <c r="B340" s="1">
        <v>329</v>
      </c>
      <c r="C340" s="1">
        <v>1.0005337772044844</v>
      </c>
      <c r="D340" s="1">
        <v>1.158210535095709</v>
      </c>
      <c r="E340" s="1">
        <v>0.86258631751785619</v>
      </c>
      <c r="G340" s="1">
        <v>0.99973690771928669</v>
      </c>
      <c r="H340" s="1">
        <v>3.4508594164084121</v>
      </c>
      <c r="I340" s="1">
        <v>0.24695373478006974</v>
      </c>
      <c r="K340" s="1">
        <v>1.0013441309752387</v>
      </c>
      <c r="L340" s="1">
        <v>2.4989854185587776</v>
      </c>
      <c r="M340" s="1">
        <v>0.37365346190894305</v>
      </c>
      <c r="O340" s="1">
        <v>2.2946622932092292E-2</v>
      </c>
      <c r="P340" s="1">
        <v>0.53306073495192996</v>
      </c>
      <c r="R340" s="1">
        <v>4.2801577792250571E-2</v>
      </c>
      <c r="S340" s="2">
        <f t="shared" si="60"/>
        <v>0.6623446642723847</v>
      </c>
      <c r="T340" s="4">
        <f t="shared" si="61"/>
        <v>0.43870045429009802</v>
      </c>
      <c r="U340" s="1">
        <f t="shared" si="65"/>
        <v>0.30012223086530676</v>
      </c>
      <c r="V340" s="6">
        <f>2*sigma/alpha*corel*(B340/12-1/alpha*(1-EXP(-alpha*Output!B340/12)))</f>
        <v>1.282514501432082</v>
      </c>
      <c r="W340" s="5">
        <f t="shared" si="62"/>
        <v>-0.13857822342479126</v>
      </c>
      <c r="X340" s="1">
        <f t="shared" si="63"/>
        <v>16.842255281969024</v>
      </c>
      <c r="Y340" s="3">
        <f t="shared" si="64"/>
        <v>5.1454416736761384E-2</v>
      </c>
      <c r="Z340" s="1">
        <f t="shared" si="66"/>
        <v>0.12649597770412593</v>
      </c>
      <c r="AA340" s="8">
        <f t="shared" si="71"/>
        <v>27.333333333333215</v>
      </c>
      <c r="AB340" s="1">
        <v>27.42</v>
      </c>
      <c r="AC340" s="1">
        <v>2.3162100000000001E-2</v>
      </c>
      <c r="AD340" s="8">
        <f t="shared" si="67"/>
        <v>2.1547706790770933</v>
      </c>
      <c r="AE340" s="3">
        <f t="shared" si="68"/>
        <v>9.3030022281101153E-3</v>
      </c>
      <c r="AF340" s="11">
        <f t="shared" si="69"/>
        <v>27.333333333333215</v>
      </c>
      <c r="AG340" s="1">
        <f t="shared" si="70"/>
        <v>0.12649597770412593</v>
      </c>
    </row>
    <row r="341" spans="2:33" ht="15">
      <c r="B341" s="1">
        <v>330</v>
      </c>
      <c r="C341" s="1">
        <v>1.0005381817568424</v>
      </c>
      <c r="D341" s="1">
        <v>1.1600495489398976</v>
      </c>
      <c r="E341" s="1">
        <v>0.8612172340321651</v>
      </c>
      <c r="G341" s="1">
        <v>0.99991329015894914</v>
      </c>
      <c r="H341" s="1">
        <v>3.4988376073977858</v>
      </c>
      <c r="I341" s="1">
        <v>0.24344952680045581</v>
      </c>
      <c r="K341" s="1">
        <v>1.001270847554419</v>
      </c>
      <c r="L341" s="1">
        <v>2.4435148285286643</v>
      </c>
      <c r="M341" s="1">
        <v>0.38205622073755818</v>
      </c>
      <c r="O341" s="1">
        <v>2.2948315541712179E-2</v>
      </c>
      <c r="P341" s="1">
        <v>0.53201761600514408</v>
      </c>
      <c r="R341" s="1">
        <v>4.2910688645189279E-2</v>
      </c>
      <c r="S341" s="2">
        <f t="shared" si="60"/>
        <v>0.66456073863299614</v>
      </c>
      <c r="T341" s="4">
        <f t="shared" si="61"/>
        <v>0.44164097533243341</v>
      </c>
      <c r="U341" s="1">
        <f t="shared" si="65"/>
        <v>0.30234872952442154</v>
      </c>
      <c r="V341" s="6">
        <f>2*sigma/alpha*corel*(B341/12-1/alpha*(1-EXP(-alpha*Output!B341/12)))</f>
        <v>1.2893251823820224</v>
      </c>
      <c r="W341" s="5">
        <f t="shared" si="62"/>
        <v>-0.13929224580801186</v>
      </c>
      <c r="X341" s="1">
        <f t="shared" si="63"/>
        <v>16.98450646480574</v>
      </c>
      <c r="Y341" s="3">
        <f t="shared" si="64"/>
        <v>5.1489111778667468E-2</v>
      </c>
      <c r="Z341" s="1">
        <f t="shared" si="66"/>
        <v>0.12672676051359597</v>
      </c>
      <c r="AA341" s="8">
        <f t="shared" si="71"/>
        <v>27.416666666666547</v>
      </c>
      <c r="AB341" s="1">
        <v>27.5</v>
      </c>
      <c r="AC341" s="1">
        <v>2.3164299999999999E-2</v>
      </c>
      <c r="AD341" s="8">
        <f t="shared" si="67"/>
        <v>2.1598445828781982</v>
      </c>
      <c r="AE341" s="3">
        <f t="shared" si="68"/>
        <v>9.3240226679770083E-3</v>
      </c>
      <c r="AF341" s="11">
        <f t="shared" si="69"/>
        <v>27.416666666666547</v>
      </c>
      <c r="AG341" s="1">
        <f t="shared" si="70"/>
        <v>0.12672676051359597</v>
      </c>
    </row>
    <row r="342" spans="2:33" ht="15">
      <c r="B342" s="1">
        <v>331</v>
      </c>
      <c r="C342" s="1">
        <v>1.0005419681825669</v>
      </c>
      <c r="D342" s="1">
        <v>1.1634482699492257</v>
      </c>
      <c r="E342" s="1">
        <v>0.85869977315329427</v>
      </c>
      <c r="G342" s="1">
        <v>1.0000708097971409</v>
      </c>
      <c r="H342" s="1">
        <v>3.5892134683651946</v>
      </c>
      <c r="I342" s="1">
        <v>0.23720469881862252</v>
      </c>
      <c r="K342" s="1">
        <v>1.0012789199973866</v>
      </c>
      <c r="L342" s="1">
        <v>2.4325317803914785</v>
      </c>
      <c r="M342" s="1">
        <v>0.38370128469600862</v>
      </c>
      <c r="O342" s="1">
        <v>2.2950032810930356E-2</v>
      </c>
      <c r="P342" s="1">
        <v>0.53097602732770577</v>
      </c>
      <c r="R342" s="1">
        <v>4.3010560153858082E-2</v>
      </c>
      <c r="S342" s="2">
        <f t="shared" si="60"/>
        <v>0.66672686855849594</v>
      </c>
      <c r="T342" s="4">
        <f t="shared" si="61"/>
        <v>0.44452471725781795</v>
      </c>
      <c r="U342" s="1">
        <f t="shared" si="65"/>
        <v>0.30458361710562287</v>
      </c>
      <c r="V342" s="6">
        <f>2*sigma/alpha*corel*(B342/12-1/alpha*(1-EXP(-alpha*Output!B342/12)))</f>
        <v>1.2961486817984356</v>
      </c>
      <c r="W342" s="5">
        <f t="shared" si="62"/>
        <v>-0.13994110015219507</v>
      </c>
      <c r="X342" s="1">
        <f t="shared" si="63"/>
        <v>17.120169455453347</v>
      </c>
      <c r="Y342" s="3">
        <f t="shared" si="64"/>
        <v>5.1507624808687355E-2</v>
      </c>
      <c r="Z342" s="1">
        <f t="shared" si="66"/>
        <v>0.12694762589082423</v>
      </c>
      <c r="AA342" s="8">
        <f t="shared" si="71"/>
        <v>27.499999999999879</v>
      </c>
      <c r="AB342" s="1">
        <v>27.58</v>
      </c>
      <c r="AC342" s="1">
        <v>2.31664E-2</v>
      </c>
      <c r="AD342" s="8">
        <f t="shared" si="67"/>
        <v>2.1636718906964392</v>
      </c>
      <c r="AE342" s="3">
        <f t="shared" si="68"/>
        <v>9.3396984024122828E-3</v>
      </c>
      <c r="AF342" s="11">
        <f t="shared" si="69"/>
        <v>27.499999999999879</v>
      </c>
      <c r="AG342" s="1">
        <f t="shared" si="70"/>
        <v>0.12694762589082423</v>
      </c>
    </row>
    <row r="343" spans="2:33" ht="15">
      <c r="B343" s="1">
        <v>332</v>
      </c>
      <c r="C343" s="1">
        <v>1.0005460330200797</v>
      </c>
      <c r="D343" s="1">
        <v>1.1635423190872272</v>
      </c>
      <c r="E343" s="1">
        <v>0.85862872979144256</v>
      </c>
      <c r="G343" s="1">
        <v>1.0002516506350421</v>
      </c>
      <c r="H343" s="1">
        <v>3.5898152492914623</v>
      </c>
      <c r="I343" s="1">
        <v>0.23705020456185136</v>
      </c>
      <c r="K343" s="1">
        <v>1.0013684924940798</v>
      </c>
      <c r="L343" s="1">
        <v>2.4360696157651467</v>
      </c>
      <c r="M343" s="1">
        <v>0.38306423287001146</v>
      </c>
      <c r="O343" s="1">
        <v>2.2951706004396895E-2</v>
      </c>
      <c r="P343" s="1">
        <v>0.52993697242783899</v>
      </c>
      <c r="R343" s="1">
        <v>4.311227919596089E-2</v>
      </c>
      <c r="S343" s="2">
        <f t="shared" ref="S343:S406" si="72">optim_vol_implied(P343,R343)</f>
        <v>0.66890468013552118</v>
      </c>
      <c r="T343" s="4">
        <f t="shared" ref="T343:T406" si="73">S343*S343</f>
        <v>0.44743347110720388</v>
      </c>
      <c r="U343" s="1">
        <f t="shared" si="65"/>
        <v>0.30682688675080405</v>
      </c>
      <c r="V343" s="6">
        <f>2*sigma/alpha*corel*(B343/12-1/alpha*(1-EXP(-alpha*Output!B343/12)))</f>
        <v>1.3029849651960186</v>
      </c>
      <c r="W343" s="5">
        <f t="shared" ref="W343:W406" si="74">U343-T343</f>
        <v>-0.14060658435639983</v>
      </c>
      <c r="X343" s="1">
        <f t="shared" ref="X343:X406" si="75">V343*V343-4*W343*B343/12</f>
        <v>17.258231821635118</v>
      </c>
      <c r="Y343" s="3">
        <f t="shared" ref="Y343:Y406" si="76">(-V343+SQRT(X343))/2/B343*12</f>
        <v>5.1529840534947802E-2</v>
      </c>
      <c r="Z343" s="1">
        <f t="shared" si="66"/>
        <v>0.12717033512735962</v>
      </c>
      <c r="AA343" s="8">
        <f t="shared" si="71"/>
        <v>27.583333333333211</v>
      </c>
      <c r="AB343" s="1">
        <v>27.67</v>
      </c>
      <c r="AC343" s="1">
        <v>2.3168600000000001E-2</v>
      </c>
      <c r="AD343" s="8">
        <f t="shared" si="67"/>
        <v>2.1689399560310614</v>
      </c>
      <c r="AE343" s="3">
        <f t="shared" si="68"/>
        <v>9.3615494938453815E-3</v>
      </c>
      <c r="AF343" s="11">
        <f t="shared" si="69"/>
        <v>27.583333333333211</v>
      </c>
      <c r="AG343" s="1">
        <f t="shared" si="70"/>
        <v>0.12717033512735962</v>
      </c>
    </row>
    <row r="344" spans="2:33" ht="15">
      <c r="B344" s="1">
        <v>333</v>
      </c>
      <c r="C344" s="1">
        <v>1.0005500671130068</v>
      </c>
      <c r="D344" s="1">
        <v>1.1624011903570151</v>
      </c>
      <c r="E344" s="1">
        <v>0.8594700063127001</v>
      </c>
      <c r="G344" s="1">
        <v>1.000409034182326</v>
      </c>
      <c r="H344" s="1">
        <v>3.5578277011396127</v>
      </c>
      <c r="I344" s="1">
        <v>0.23906575863092747</v>
      </c>
      <c r="K344" s="1">
        <v>1.001360639033297</v>
      </c>
      <c r="L344" s="1">
        <v>2.4853390200193219</v>
      </c>
      <c r="M344" s="1">
        <v>0.37539214594132492</v>
      </c>
      <c r="O344" s="1">
        <v>2.2953312159722065E-2</v>
      </c>
      <c r="P344" s="1">
        <v>0.52890078725655543</v>
      </c>
      <c r="R344" s="1">
        <v>4.3263369354414029E-2</v>
      </c>
      <c r="S344" s="2">
        <f t="shared" si="72"/>
        <v>0.67136552112582382</v>
      </c>
      <c r="T344" s="4">
        <f t="shared" si="73"/>
        <v>0.45073166295654898</v>
      </c>
      <c r="U344" s="1">
        <f t="shared" si="65"/>
        <v>0.30907853153588816</v>
      </c>
      <c r="V344" s="6">
        <f>2*sigma/alpha*corel*(B344/12-1/alpha*(1-EXP(-alpha*Output!B344/12)))</f>
        <v>1.3098339981822424</v>
      </c>
      <c r="W344" s="5">
        <f t="shared" si="74"/>
        <v>-0.14165313142066083</v>
      </c>
      <c r="X344" s="1">
        <f t="shared" si="75"/>
        <v>17.439162690487432</v>
      </c>
      <c r="Y344" s="3">
        <f t="shared" si="76"/>
        <v>5.1643033415246502E-2</v>
      </c>
      <c r="Z344" s="1">
        <f t="shared" si="66"/>
        <v>0.12744639048982379</v>
      </c>
      <c r="AA344" s="8">
        <f t="shared" si="71"/>
        <v>27.666666666666544</v>
      </c>
      <c r="AB344" s="1">
        <v>27.75</v>
      </c>
      <c r="AC344" s="1">
        <v>2.3170900000000001E-2</v>
      </c>
      <c r="AD344" s="8">
        <f t="shared" si="67"/>
        <v>2.1758784027793574</v>
      </c>
      <c r="AE344" s="3">
        <f t="shared" si="68"/>
        <v>9.390564901576361E-3</v>
      </c>
      <c r="AF344" s="11">
        <f t="shared" si="69"/>
        <v>27.666666666666544</v>
      </c>
      <c r="AG344" s="1">
        <f t="shared" si="70"/>
        <v>0.12744639048982379</v>
      </c>
    </row>
    <row r="345" spans="2:33" ht="15">
      <c r="B345" s="1">
        <v>334</v>
      </c>
      <c r="C345" s="1">
        <v>1.0005522518918117</v>
      </c>
      <c r="D345" s="1">
        <v>1.1632736914361883</v>
      </c>
      <c r="E345" s="1">
        <v>0.85882372945291752</v>
      </c>
      <c r="G345" s="1">
        <v>1.0004215106113796</v>
      </c>
      <c r="H345" s="1">
        <v>3.5792349471102058</v>
      </c>
      <c r="I345" s="1">
        <v>0.23752095904793294</v>
      </c>
      <c r="K345" s="1">
        <v>1.0012871384379054</v>
      </c>
      <c r="L345" s="1">
        <v>2.5042986231380349</v>
      </c>
      <c r="M345" s="1">
        <v>0.37247251188985853</v>
      </c>
      <c r="O345" s="1">
        <v>2.2955004708584987E-2</v>
      </c>
      <c r="P345" s="1">
        <v>0.52786521751417859</v>
      </c>
      <c r="R345" s="1">
        <v>4.3231064490404904E-2</v>
      </c>
      <c r="S345" s="2">
        <f t="shared" si="72"/>
        <v>0.67278063745565264</v>
      </c>
      <c r="T345" s="4">
        <f t="shared" si="73"/>
        <v>0.45263378613523431</v>
      </c>
      <c r="U345" s="1">
        <f t="shared" si="65"/>
        <v>0.31133854447146769</v>
      </c>
      <c r="V345" s="6">
        <f>2*sigma/alpha*corel*(B345/12-1/alpha*(1-EXP(-alpha*Output!B345/12)))</f>
        <v>1.3166957464571074</v>
      </c>
      <c r="W345" s="5">
        <f t="shared" si="74"/>
        <v>-0.14129524166376661</v>
      </c>
      <c r="X345" s="1">
        <f t="shared" si="75"/>
        <v>17.464557927304256</v>
      </c>
      <c r="Y345" s="3">
        <f t="shared" si="76"/>
        <v>5.1419750322593737E-2</v>
      </c>
      <c r="Z345" s="1">
        <f t="shared" si="66"/>
        <v>0.12752369080854573</v>
      </c>
      <c r="AA345" s="8">
        <f t="shared" si="71"/>
        <v>27.749999999999876</v>
      </c>
      <c r="AB345" s="1">
        <v>27.83</v>
      </c>
      <c r="AC345" s="1">
        <v>2.3173200000000001E-2</v>
      </c>
      <c r="AD345" s="8">
        <f t="shared" si="67"/>
        <v>2.1819529141501453</v>
      </c>
      <c r="AE345" s="3">
        <f t="shared" si="68"/>
        <v>9.4158463835385068E-3</v>
      </c>
      <c r="AF345" s="11">
        <f t="shared" si="69"/>
        <v>27.749999999999876</v>
      </c>
      <c r="AG345" s="1">
        <f t="shared" si="70"/>
        <v>0.12752369080854573</v>
      </c>
    </row>
    <row r="346" spans="2:33" ht="15">
      <c r="B346" s="1">
        <v>335</v>
      </c>
      <c r="C346" s="1">
        <v>1.0005516060189341</v>
      </c>
      <c r="D346" s="1">
        <v>1.158660764350921</v>
      </c>
      <c r="E346" s="1">
        <v>0.86224127849617183</v>
      </c>
      <c r="G346" s="1">
        <v>1.0001690447756619</v>
      </c>
      <c r="H346" s="1">
        <v>3.4223463477261848</v>
      </c>
      <c r="I346" s="1">
        <v>0.24828932258927633</v>
      </c>
      <c r="K346" s="1">
        <v>1.0013063370187918</v>
      </c>
      <c r="L346" s="1">
        <v>2.5348467403652952</v>
      </c>
      <c r="M346" s="1">
        <v>0.36790709052456699</v>
      </c>
      <c r="O346" s="1">
        <v>2.2956826639946505E-2</v>
      </c>
      <c r="P346" s="1">
        <v>0.52682962389325971</v>
      </c>
      <c r="R346" s="1">
        <v>4.3374942051473138E-2</v>
      </c>
      <c r="S346" s="2">
        <f t="shared" si="72"/>
        <v>0.67520957038824014</v>
      </c>
      <c r="T346" s="4">
        <f t="shared" si="73"/>
        <v>0.45590796394387184</v>
      </c>
      <c r="U346" s="1">
        <f t="shared" si="65"/>
        <v>0.31360691850342176</v>
      </c>
      <c r="V346" s="6">
        <f>2*sigma/alpha*corel*(B346/12-1/alpha*(1-EXP(-alpha*Output!B346/12)))</f>
        <v>1.3235701758128871</v>
      </c>
      <c r="W346" s="5">
        <f t="shared" si="74"/>
        <v>-0.14230104544045008</v>
      </c>
      <c r="X346" s="1">
        <f t="shared" si="75"/>
        <v>17.642121417818281</v>
      </c>
      <c r="Y346" s="3">
        <f t="shared" si="76"/>
        <v>5.1522669247787839E-2</v>
      </c>
      <c r="Z346" s="1">
        <f t="shared" si="66"/>
        <v>0.12779292446868135</v>
      </c>
      <c r="AA346" s="8">
        <f t="shared" si="71"/>
        <v>27.833333333333208</v>
      </c>
      <c r="AB346" s="1">
        <v>27.92</v>
      </c>
      <c r="AC346" s="1">
        <v>2.3175600000000001E-2</v>
      </c>
      <c r="AD346" s="8">
        <f t="shared" si="67"/>
        <v>2.1877336005349592</v>
      </c>
      <c r="AE346" s="3">
        <f t="shared" si="68"/>
        <v>9.439814289748525E-3</v>
      </c>
      <c r="AF346" s="11">
        <f t="shared" si="69"/>
        <v>27.833333333333208</v>
      </c>
      <c r="AG346" s="1">
        <f t="shared" si="70"/>
        <v>0.12779292446868135</v>
      </c>
    </row>
    <row r="347" spans="2:33" ht="15">
      <c r="B347" s="1">
        <v>336</v>
      </c>
      <c r="C347" s="1">
        <v>1.0005500477000506</v>
      </c>
      <c r="D347" s="1">
        <v>1.1605926764343975</v>
      </c>
      <c r="E347" s="1">
        <v>0.86080435024144752</v>
      </c>
      <c r="G347" s="1">
        <v>0.99987706598106452</v>
      </c>
      <c r="H347" s="1">
        <v>3.4572140208188138</v>
      </c>
      <c r="I347" s="1">
        <v>0.24566630506470705</v>
      </c>
      <c r="K347" s="1">
        <v>1.0011308026428876</v>
      </c>
      <c r="L347" s="1">
        <v>2.5826904846448087</v>
      </c>
      <c r="M347" s="1">
        <v>0.36101647701128786</v>
      </c>
      <c r="O347" s="1">
        <v>2.2958855509917105E-2</v>
      </c>
      <c r="P347" s="1">
        <v>0.52579285569301959</v>
      </c>
      <c r="R347" s="1">
        <v>4.3363735542746876E-2</v>
      </c>
      <c r="S347" s="2">
        <f t="shared" si="72"/>
        <v>0.67675505282428361</v>
      </c>
      <c r="T347" s="4">
        <f t="shared" si="73"/>
        <v>0.4579974015231989</v>
      </c>
      <c r="U347" s="1">
        <f t="shared" si="65"/>
        <v>0.3158836465135425</v>
      </c>
      <c r="V347" s="6">
        <f>2*sigma/alpha*corel*(B347/12-1/alpha*(1-EXP(-alpha*Output!B347/12)))</f>
        <v>1.3304572521338851</v>
      </c>
      <c r="W347" s="5">
        <f t="shared" si="74"/>
        <v>-0.1421137550096564</v>
      </c>
      <c r="X347" s="1">
        <f t="shared" si="75"/>
        <v>17.686857060837163</v>
      </c>
      <c r="Y347" s="3">
        <f t="shared" si="76"/>
        <v>5.1341379820612279E-2</v>
      </c>
      <c r="Z347" s="1">
        <f t="shared" si="66"/>
        <v>0.12789468344853103</v>
      </c>
      <c r="AA347" s="8">
        <f t="shared" si="71"/>
        <v>27.91666666666654</v>
      </c>
      <c r="AB347" s="1">
        <v>28</v>
      </c>
      <c r="AC347" s="1">
        <v>2.3178000000000001E-2</v>
      </c>
      <c r="AD347" s="8">
        <f t="shared" si="67"/>
        <v>2.1914449008289538</v>
      </c>
      <c r="AE347" s="3">
        <f t="shared" si="68"/>
        <v>9.4548489983128561E-3</v>
      </c>
      <c r="AF347" s="11">
        <f t="shared" si="69"/>
        <v>27.91666666666654</v>
      </c>
      <c r="AG347" s="1">
        <f t="shared" si="70"/>
        <v>0.12789468344853103</v>
      </c>
    </row>
    <row r="348" spans="2:33" ht="15">
      <c r="B348" s="1">
        <v>337</v>
      </c>
      <c r="C348" s="1">
        <v>1.0005525619737177</v>
      </c>
      <c r="D348" s="1">
        <v>1.1636438405958707</v>
      </c>
      <c r="E348" s="1">
        <v>0.85854560683550418</v>
      </c>
      <c r="G348" s="1">
        <v>0.99991118381876187</v>
      </c>
      <c r="H348" s="1">
        <v>3.5370324330519942</v>
      </c>
      <c r="I348" s="1">
        <v>0.24000631825665422</v>
      </c>
      <c r="K348" s="1">
        <v>1.0010888934117008</v>
      </c>
      <c r="L348" s="1">
        <v>2.5604537029909511</v>
      </c>
      <c r="M348" s="1">
        <v>0.36407594108425456</v>
      </c>
      <c r="O348" s="1">
        <v>2.2960952180891864E-2</v>
      </c>
      <c r="P348" s="1">
        <v>0.52475695116511345</v>
      </c>
      <c r="R348" s="1">
        <v>4.3473567174275148E-2</v>
      </c>
      <c r="S348" s="2">
        <f t="shared" si="72"/>
        <v>0.67899901544880326</v>
      </c>
      <c r="T348" s="4">
        <f t="shared" si="73"/>
        <v>0.46103966298044419</v>
      </c>
      <c r="U348" s="1">
        <f t="shared" si="65"/>
        <v>0.31816872132015822</v>
      </c>
      <c r="V348" s="6">
        <f>2*sigma/alpha*corel*(B348/12-1/alpha*(1-EXP(-alpha*Output!B348/12)))</f>
        <v>1.3373569413961859</v>
      </c>
      <c r="W348" s="5">
        <f t="shared" si="74"/>
        <v>-0.14287094166028597</v>
      </c>
      <c r="X348" s="1">
        <f t="shared" si="75"/>
        <v>17.837692701872683</v>
      </c>
      <c r="Y348" s="3">
        <f t="shared" si="76"/>
        <v>5.1384789290714356E-2</v>
      </c>
      <c r="Z348" s="1">
        <f t="shared" si="66"/>
        <v>0.12812822717383621</v>
      </c>
      <c r="AA348" s="8">
        <f t="shared" si="71"/>
        <v>27.999999999999872</v>
      </c>
      <c r="AB348" s="1">
        <v>28.08</v>
      </c>
      <c r="AC348" s="1">
        <v>2.3180599999999999E-2</v>
      </c>
      <c r="AD348" s="8">
        <f t="shared" si="67"/>
        <v>2.1964781910813538</v>
      </c>
      <c r="AE348" s="3">
        <f t="shared" si="68"/>
        <v>9.475501889862013E-3</v>
      </c>
      <c r="AF348" s="11">
        <f t="shared" si="69"/>
        <v>27.999999999999872</v>
      </c>
      <c r="AG348" s="1">
        <f t="shared" si="70"/>
        <v>0.12812822717383621</v>
      </c>
    </row>
    <row r="349" spans="2:33" ht="15">
      <c r="B349" s="1">
        <v>338</v>
      </c>
      <c r="C349" s="1">
        <v>1.0005559037783194</v>
      </c>
      <c r="D349" s="1">
        <v>1.163369789475919</v>
      </c>
      <c r="E349" s="1">
        <v>0.85874620082672226</v>
      </c>
      <c r="G349" s="1">
        <v>0.99999815956888738</v>
      </c>
      <c r="H349" s="1">
        <v>3.5306030565280917</v>
      </c>
      <c r="I349" s="1">
        <v>0.24032706456638742</v>
      </c>
      <c r="K349" s="1">
        <v>1.0011431920029212</v>
      </c>
      <c r="L349" s="1">
        <v>2.5406872721594875</v>
      </c>
      <c r="M349" s="1">
        <v>0.36683200383205139</v>
      </c>
      <c r="O349" s="1">
        <v>2.2963141960203843E-2</v>
      </c>
      <c r="P349" s="1">
        <v>0.52372153105061547</v>
      </c>
      <c r="R349" s="1">
        <v>4.3570830547170918E-2</v>
      </c>
      <c r="S349" s="2">
        <f t="shared" si="72"/>
        <v>0.68117507057820537</v>
      </c>
      <c r="T349" s="4">
        <f t="shared" si="73"/>
        <v>0.46399947677722309</v>
      </c>
      <c r="U349" s="1">
        <f t="shared" si="65"/>
        <v>0.32046213567874066</v>
      </c>
      <c r="V349" s="6">
        <f>2*sigma/alpha*corel*(B349/12-1/alpha*(1-EXP(-alpha*Output!B349/12)))</f>
        <v>1.3442692096674078</v>
      </c>
      <c r="W349" s="5">
        <f t="shared" si="74"/>
        <v>-0.14353734109848243</v>
      </c>
      <c r="X349" s="1">
        <f t="shared" si="75"/>
        <v>17.978933471822188</v>
      </c>
      <c r="Y349" s="3">
        <f t="shared" si="76"/>
        <v>5.1406296505071933E-2</v>
      </c>
      <c r="Z349" s="1">
        <f t="shared" si="66"/>
        <v>0.12834856526314781</v>
      </c>
      <c r="AA349" s="8">
        <f t="shared" si="71"/>
        <v>28.083333333333204</v>
      </c>
      <c r="AB349" s="1">
        <v>28.17</v>
      </c>
      <c r="AC349" s="1">
        <v>2.3183200000000001E-2</v>
      </c>
      <c r="AD349" s="8">
        <f t="shared" si="67"/>
        <v>2.200580397961581</v>
      </c>
      <c r="AE349" s="3">
        <f t="shared" si="68"/>
        <v>9.4921339502811557E-3</v>
      </c>
      <c r="AF349" s="11">
        <f t="shared" si="69"/>
        <v>28.083333333333204</v>
      </c>
      <c r="AG349" s="1">
        <f t="shared" si="70"/>
        <v>0.12834856526314781</v>
      </c>
    </row>
    <row r="350" spans="2:33" ht="15">
      <c r="B350" s="1">
        <v>339</v>
      </c>
      <c r="C350" s="1">
        <v>1.0005565966459593</v>
      </c>
      <c r="D350" s="1">
        <v>1.165966288779787</v>
      </c>
      <c r="E350" s="1">
        <v>0.85683220286464645</v>
      </c>
      <c r="G350" s="1">
        <v>0.99989620578353988</v>
      </c>
      <c r="H350" s="1">
        <v>3.5991270153585662</v>
      </c>
      <c r="I350" s="1">
        <v>0.23563742025117387</v>
      </c>
      <c r="K350" s="1">
        <v>1.0010847763002184</v>
      </c>
      <c r="L350" s="1">
        <v>2.5002055653389021</v>
      </c>
      <c r="M350" s="1">
        <v>0.37269385712233588</v>
      </c>
      <c r="O350" s="1">
        <v>2.2965396533785466E-2</v>
      </c>
      <c r="P350" s="1">
        <v>0.52268700645828614</v>
      </c>
      <c r="R350" s="1">
        <v>4.3687337312135976E-2</v>
      </c>
      <c r="S350" s="2">
        <f t="shared" si="72"/>
        <v>0.68346581900975778</v>
      </c>
      <c r="T350" s="4">
        <f t="shared" si="73"/>
        <v>0.46712552575467897</v>
      </c>
      <c r="U350" s="1">
        <f t="shared" si="65"/>
        <v>0.32276388228252256</v>
      </c>
      <c r="V350" s="6">
        <f>2*sigma/alpha*corel*(B350/12-1/alpha*(1-EXP(-alpha*Output!B350/12)))</f>
        <v>1.3511940231064563</v>
      </c>
      <c r="W350" s="5">
        <f t="shared" si="74"/>
        <v>-0.14436164347215641</v>
      </c>
      <c r="X350" s="1">
        <f t="shared" si="75"/>
        <v>18.138591000432285</v>
      </c>
      <c r="Y350" s="3">
        <f t="shared" si="76"/>
        <v>5.1464574359559853E-2</v>
      </c>
      <c r="Z350" s="1">
        <f t="shared" si="66"/>
        <v>0.12859011175387317</v>
      </c>
      <c r="AA350" s="8">
        <f t="shared" si="71"/>
        <v>28.166666666666536</v>
      </c>
      <c r="AB350" s="1">
        <v>28.25</v>
      </c>
      <c r="AC350" s="1">
        <v>2.3185899999999999E-2</v>
      </c>
      <c r="AD350" s="8">
        <f t="shared" si="67"/>
        <v>2.2050346621453261</v>
      </c>
      <c r="AE350" s="3">
        <f t="shared" si="68"/>
        <v>9.510239680777223E-3</v>
      </c>
      <c r="AF350" s="11">
        <f t="shared" si="69"/>
        <v>28.166666666666536</v>
      </c>
      <c r="AG350" s="1">
        <f t="shared" si="70"/>
        <v>0.12859011175387317</v>
      </c>
    </row>
    <row r="351" spans="2:33" ht="15">
      <c r="B351" s="1">
        <v>340</v>
      </c>
      <c r="C351" s="1">
        <v>1.0005578362262579</v>
      </c>
      <c r="D351" s="1">
        <v>1.16203695562926</v>
      </c>
      <c r="E351" s="1">
        <v>0.85972785274278807</v>
      </c>
      <c r="G351" s="1">
        <v>0.99980882300848228</v>
      </c>
      <c r="H351" s="1">
        <v>3.4904166678694901</v>
      </c>
      <c r="I351" s="1">
        <v>0.24285889636692726</v>
      </c>
      <c r="K351" s="1">
        <v>1.0009745659655205</v>
      </c>
      <c r="L351" s="1">
        <v>2.4546549771333539</v>
      </c>
      <c r="M351" s="1">
        <v>0.37953079248186744</v>
      </c>
      <c r="O351" s="1">
        <v>2.2967685897728712E-2</v>
      </c>
      <c r="P351" s="1">
        <v>0.52165381517035114</v>
      </c>
      <c r="R351" s="1">
        <v>4.3708014260030029E-2</v>
      </c>
      <c r="S351" s="2">
        <f t="shared" si="72"/>
        <v>0.68520636565133097</v>
      </c>
      <c r="T351" s="4">
        <f t="shared" si="73"/>
        <v>0.4695077635291055</v>
      </c>
      <c r="U351" s="1">
        <f t="shared" si="65"/>
        <v>0.32507395376309622</v>
      </c>
      <c r="V351" s="6">
        <f>2*sigma/alpha*corel*(B351/12-1/alpha*(1-EXP(-alpha*Output!B351/12)))</f>
        <v>1.3581313479632799</v>
      </c>
      <c r="W351" s="5">
        <f t="shared" si="74"/>
        <v>-0.14443380976600928</v>
      </c>
      <c r="X351" s="1">
        <f t="shared" si="75"/>
        <v>18.213685865134941</v>
      </c>
      <c r="Y351" s="3">
        <f t="shared" si="76"/>
        <v>5.1346202828520579E-2</v>
      </c>
      <c r="Z351" s="1">
        <f t="shared" si="66"/>
        <v>0.12872786117311094</v>
      </c>
      <c r="AA351" s="8">
        <f t="shared" si="71"/>
        <v>28.249999999999869</v>
      </c>
      <c r="AB351" s="1">
        <v>28.33</v>
      </c>
      <c r="AC351" s="1">
        <v>2.31886E-2</v>
      </c>
      <c r="AD351" s="8">
        <f t="shared" si="67"/>
        <v>2.209141022712878</v>
      </c>
      <c r="AE351" s="3">
        <f t="shared" si="68"/>
        <v>9.5268408731569738E-3</v>
      </c>
      <c r="AF351" s="11">
        <f t="shared" si="69"/>
        <v>28.249999999999869</v>
      </c>
      <c r="AG351" s="1">
        <f t="shared" si="70"/>
        <v>0.12872786117311094</v>
      </c>
    </row>
    <row r="352" spans="2:33" ht="15">
      <c r="B352" s="1">
        <v>341</v>
      </c>
      <c r="C352" s="1">
        <v>1.0005609972935794</v>
      </c>
      <c r="D352" s="1">
        <v>1.1617280197358002</v>
      </c>
      <c r="E352" s="1">
        <v>0.85995481667770746</v>
      </c>
      <c r="G352" s="1">
        <v>0.99989964045634516</v>
      </c>
      <c r="H352" s="1">
        <v>3.4813412542513174</v>
      </c>
      <c r="I352" s="1">
        <v>0.24337420877683433</v>
      </c>
      <c r="K352" s="1">
        <v>1.0008683144615109</v>
      </c>
      <c r="L352" s="1">
        <v>2.4161312152133063</v>
      </c>
      <c r="M352" s="1">
        <v>0.38550186185597912</v>
      </c>
      <c r="O352" s="1">
        <v>2.296999965266747E-2</v>
      </c>
      <c r="P352" s="1">
        <v>0.52062210668548248</v>
      </c>
      <c r="R352" s="1">
        <v>4.3715352423944871E-2</v>
      </c>
      <c r="S352" s="2">
        <f t="shared" si="72"/>
        <v>0.68687119109415562</v>
      </c>
      <c r="T352" s="4">
        <f t="shared" si="73"/>
        <v>0.47179203315510404</v>
      </c>
      <c r="U352" s="1">
        <f t="shared" si="65"/>
        <v>0.32739234269102568</v>
      </c>
      <c r="V352" s="6">
        <f>2*sigma/alpha*corel*(B352/12-1/alpha*(1-EXP(-alpha*Output!B352/12)))</f>
        <v>1.3650811505786231</v>
      </c>
      <c r="W352" s="5">
        <f t="shared" si="74"/>
        <v>-0.14439969046407836</v>
      </c>
      <c r="X352" s="1">
        <f t="shared" si="75"/>
        <v>18.276878030415297</v>
      </c>
      <c r="Y352" s="3">
        <f t="shared" si="76"/>
        <v>5.1203496777261798E-2</v>
      </c>
      <c r="Z352" s="1">
        <f t="shared" si="66"/>
        <v>0.12885127936167917</v>
      </c>
      <c r="AA352" s="8">
        <f t="shared" si="71"/>
        <v>28.333333333333201</v>
      </c>
      <c r="AB352" s="1">
        <v>28.42</v>
      </c>
      <c r="AC352" s="1">
        <v>2.3191300000000001E-2</v>
      </c>
      <c r="AD352" s="8">
        <f t="shared" si="67"/>
        <v>2.2130034733253146</v>
      </c>
      <c r="AE352" s="3">
        <f t="shared" si="68"/>
        <v>9.5423864696041801E-3</v>
      </c>
      <c r="AF352" s="11">
        <f t="shared" si="69"/>
        <v>28.333333333333201</v>
      </c>
      <c r="AG352" s="1">
        <f t="shared" si="70"/>
        <v>0.12885127936167917</v>
      </c>
    </row>
    <row r="353" spans="2:33" ht="15">
      <c r="B353" s="1">
        <v>342</v>
      </c>
      <c r="C353" s="1">
        <v>1.0005660660816174</v>
      </c>
      <c r="D353" s="1">
        <v>1.1644136109096517</v>
      </c>
      <c r="E353" s="1">
        <v>0.85796976539423397</v>
      </c>
      <c r="G353" s="1">
        <v>1.000123368836717</v>
      </c>
      <c r="H353" s="1">
        <v>3.5496599292888176</v>
      </c>
      <c r="I353" s="1">
        <v>0.23857463029392123</v>
      </c>
      <c r="K353" s="1">
        <v>1.0008772469715181</v>
      </c>
      <c r="L353" s="1">
        <v>2.447192838530559</v>
      </c>
      <c r="M353" s="1">
        <v>0.38052949530435404</v>
      </c>
      <c r="O353" s="1">
        <v>2.2972236977915984E-2</v>
      </c>
      <c r="P353" s="1">
        <v>0.51959337011001694</v>
      </c>
      <c r="R353" s="1">
        <v>4.3821666106949396E-2</v>
      </c>
      <c r="S353" s="2">
        <f t="shared" si="72"/>
        <v>0.68910861692278935</v>
      </c>
      <c r="T353" s="4">
        <f t="shared" si="73"/>
        <v>0.47487068591723963</v>
      </c>
      <c r="U353" s="1">
        <f t="shared" si="65"/>
        <v>0.32971904157643706</v>
      </c>
      <c r="V353" s="6">
        <f>2*sigma/alpha*corel*(B353/12-1/alpha*(1-EXP(-alpha*Output!B353/12)))</f>
        <v>1.3720433973837847</v>
      </c>
      <c r="W353" s="5">
        <f t="shared" si="74"/>
        <v>-0.14515164434080258</v>
      </c>
      <c r="X353" s="1">
        <f t="shared" si="75"/>
        <v>18.429790539155935</v>
      </c>
      <c r="Y353" s="3">
        <f t="shared" si="76"/>
        <v>5.1244733223755529E-2</v>
      </c>
      <c r="Z353" s="1">
        <f t="shared" si="66"/>
        <v>0.12908187064971385</v>
      </c>
      <c r="AA353" s="8">
        <f t="shared" si="71"/>
        <v>28.416666666666533</v>
      </c>
      <c r="AB353" s="1">
        <v>28.5</v>
      </c>
      <c r="AC353" s="1">
        <v>2.3193999999999999E-2</v>
      </c>
      <c r="AD353" s="8">
        <f t="shared" si="67"/>
        <v>2.2176302208401499</v>
      </c>
      <c r="AE353" s="3">
        <f t="shared" si="68"/>
        <v>9.5612236821598258E-3</v>
      </c>
      <c r="AF353" s="11">
        <f t="shared" si="69"/>
        <v>28.416666666666533</v>
      </c>
      <c r="AG353" s="1">
        <f t="shared" si="70"/>
        <v>0.12908187064971385</v>
      </c>
    </row>
    <row r="354" spans="2:33" ht="15">
      <c r="B354" s="1">
        <v>343</v>
      </c>
      <c r="C354" s="1">
        <v>1.0005662716744199</v>
      </c>
      <c r="D354" s="1">
        <v>1.1661349939972263</v>
      </c>
      <c r="E354" s="1">
        <v>0.85670161752397755</v>
      </c>
      <c r="G354" s="1">
        <v>0.99994868561771966</v>
      </c>
      <c r="H354" s="1">
        <v>3.594226946253499</v>
      </c>
      <c r="I354" s="1">
        <v>0.23550241779535602</v>
      </c>
      <c r="K354" s="1">
        <v>1.00069285255041</v>
      </c>
      <c r="L354" s="1">
        <v>2.4638718531028561</v>
      </c>
      <c r="M354" s="1">
        <v>0.37787479437830723</v>
      </c>
      <c r="O354" s="1">
        <v>2.2974381644253972E-2</v>
      </c>
      <c r="P354" s="1">
        <v>0.51856784635129693</v>
      </c>
      <c r="R354" s="1">
        <v>4.3875762428587435E-2</v>
      </c>
      <c r="S354" s="2">
        <f t="shared" si="72"/>
        <v>0.69104322493178727</v>
      </c>
      <c r="T354" s="4">
        <f t="shared" si="73"/>
        <v>0.47754073872412472</v>
      </c>
      <c r="U354" s="1">
        <f t="shared" si="65"/>
        <v>0.33205404286961887</v>
      </c>
      <c r="V354" s="6">
        <f>2*sigma/alpha*corel*(B354/12-1/alpha*(1-EXP(-alpha*Output!B354/12)))</f>
        <v>1.3790180549003714</v>
      </c>
      <c r="W354" s="5">
        <f t="shared" si="74"/>
        <v>-0.14548669585450585</v>
      </c>
      <c r="X354" s="1">
        <f t="shared" si="75"/>
        <v>18.535669688439707</v>
      </c>
      <c r="Y354" s="3">
        <f t="shared" si="76"/>
        <v>5.1188730592749081E-2</v>
      </c>
      <c r="Z354" s="1">
        <f t="shared" si="66"/>
        <v>0.12925542394842082</v>
      </c>
      <c r="AA354" s="8">
        <f t="shared" si="71"/>
        <v>28.499999999999865</v>
      </c>
      <c r="AB354" s="1">
        <v>28.58</v>
      </c>
      <c r="AC354" s="1">
        <v>2.3196600000000001E-2</v>
      </c>
      <c r="AD354" s="8">
        <f t="shared" si="67"/>
        <v>2.2221835574602959</v>
      </c>
      <c r="AE354" s="3">
        <f t="shared" si="68"/>
        <v>9.5797813363178042E-3</v>
      </c>
      <c r="AF354" s="11">
        <f t="shared" si="69"/>
        <v>28.499999999999865</v>
      </c>
      <c r="AG354" s="1">
        <f t="shared" si="70"/>
        <v>0.12925542394842082</v>
      </c>
    </row>
    <row r="355" spans="2:33" ht="15">
      <c r="B355" s="1">
        <v>344</v>
      </c>
      <c r="C355" s="1">
        <v>1.0005679158758902</v>
      </c>
      <c r="D355" s="1">
        <v>1.1702756387350346</v>
      </c>
      <c r="E355" s="1">
        <v>0.85366879582012378</v>
      </c>
      <c r="G355" s="1">
        <v>0.99991640374032797</v>
      </c>
      <c r="H355" s="1">
        <v>3.7090346097809546</v>
      </c>
      <c r="I355" s="1">
        <v>0.22810239159115003</v>
      </c>
      <c r="K355" s="1">
        <v>1.0006666799272665</v>
      </c>
      <c r="L355" s="1">
        <v>2.4703103378007034</v>
      </c>
      <c r="M355" s="1">
        <v>0.37681141109752303</v>
      </c>
      <c r="O355" s="1">
        <v>2.2976559806084939E-2</v>
      </c>
      <c r="P355" s="1">
        <v>0.51754366473231261</v>
      </c>
      <c r="R355" s="1">
        <v>4.393441681410383E-2</v>
      </c>
      <c r="S355" s="2">
        <f t="shared" si="72"/>
        <v>0.69300664799659084</v>
      </c>
      <c r="T355" s="4">
        <f t="shared" si="73"/>
        <v>0.48025821416747078</v>
      </c>
      <c r="U355" s="1">
        <f t="shared" si="65"/>
        <v>0.33439733896161</v>
      </c>
      <c r="V355" s="6">
        <f>2*sigma/alpha*corel*(B355/12-1/alpha*(1-EXP(-alpha*Output!B355/12)))</f>
        <v>1.3860050897400584</v>
      </c>
      <c r="W355" s="5">
        <f t="shared" si="74"/>
        <v>-0.14586087520586077</v>
      </c>
      <c r="X355" s="1">
        <f t="shared" si="75"/>
        <v>18.64639046572405</v>
      </c>
      <c r="Y355" s="3">
        <f t="shared" si="76"/>
        <v>5.1142003907164314E-2</v>
      </c>
      <c r="Z355" s="1">
        <f t="shared" si="66"/>
        <v>0.12943412810178739</v>
      </c>
      <c r="AA355" s="8">
        <f t="shared" si="71"/>
        <v>28.583333333333197</v>
      </c>
      <c r="AB355" s="1">
        <v>28.67</v>
      </c>
      <c r="AC355" s="1">
        <v>2.3199000000000001E-2</v>
      </c>
      <c r="AD355" s="8">
        <f t="shared" si="67"/>
        <v>2.2244019391506193</v>
      </c>
      <c r="AE355" s="3">
        <f t="shared" si="68"/>
        <v>9.5883526839545645E-3</v>
      </c>
      <c r="AF355" s="11">
        <f t="shared" si="69"/>
        <v>28.583333333333197</v>
      </c>
      <c r="AG355" s="1">
        <f t="shared" si="70"/>
        <v>0.12943412810178739</v>
      </c>
    </row>
    <row r="356" spans="2:33" ht="15">
      <c r="B356" s="1">
        <v>345</v>
      </c>
      <c r="C356" s="1">
        <v>1.0005703380978326</v>
      </c>
      <c r="D356" s="1">
        <v>1.1713707791126959</v>
      </c>
      <c r="E356" s="1">
        <v>0.85286902273614396</v>
      </c>
      <c r="G356" s="1">
        <v>0.999966364494974</v>
      </c>
      <c r="H356" s="1">
        <v>3.7395549257417686</v>
      </c>
      <c r="I356" s="1">
        <v>0.22613129345158461</v>
      </c>
      <c r="K356" s="1">
        <v>1.0007402364266995</v>
      </c>
      <c r="L356" s="1">
        <v>2.5404686741270002</v>
      </c>
      <c r="M356" s="1">
        <v>0.36632894903564273</v>
      </c>
      <c r="O356" s="1">
        <v>2.2978647030406758E-2</v>
      </c>
      <c r="P356" s="1">
        <v>0.51652266880348985</v>
      </c>
      <c r="R356" s="1">
        <v>4.4048581473403979E-2</v>
      </c>
      <c r="S356" s="2">
        <f t="shared" si="72"/>
        <v>0.695292604251462</v>
      </c>
      <c r="T356" s="4">
        <f t="shared" si="73"/>
        <v>0.48343180552678017</v>
      </c>
      <c r="U356" s="1">
        <f t="shared" si="65"/>
        <v>0.33674892218478797</v>
      </c>
      <c r="V356" s="6">
        <f>2*sigma/alpha*corel*(B356/12-1/alpha*(1-EXP(-alpha*Output!B356/12)))</f>
        <v>1.3930044686043426</v>
      </c>
      <c r="W356" s="5">
        <f t="shared" si="74"/>
        <v>-0.1466828833419922</v>
      </c>
      <c r="X356" s="1">
        <f t="shared" si="75"/>
        <v>18.808993033880768</v>
      </c>
      <c r="Y356" s="3">
        <f t="shared" si="76"/>
        <v>5.1198767468591755E-2</v>
      </c>
      <c r="Z356" s="1">
        <f t="shared" si="66"/>
        <v>0.12967273931968359</v>
      </c>
      <c r="AA356" s="8">
        <f t="shared" si="71"/>
        <v>28.666666666666529</v>
      </c>
      <c r="AB356" s="1">
        <v>28.75</v>
      </c>
      <c r="AC356" s="1">
        <v>2.32014E-2</v>
      </c>
      <c r="AD356" s="8">
        <f t="shared" si="67"/>
        <v>2.2275296959324216</v>
      </c>
      <c r="AE356" s="3">
        <f t="shared" si="68"/>
        <v>9.6008417420173839E-3</v>
      </c>
      <c r="AF356" s="11">
        <f t="shared" si="69"/>
        <v>28.666666666666529</v>
      </c>
      <c r="AG356" s="1">
        <f t="shared" si="70"/>
        <v>0.12967273931968359</v>
      </c>
    </row>
    <row r="357" spans="2:33" ht="15">
      <c r="B357" s="1">
        <v>346</v>
      </c>
      <c r="C357" s="1">
        <v>1.0005731020214346</v>
      </c>
      <c r="D357" s="1">
        <v>1.1701062463831373</v>
      </c>
      <c r="E357" s="1">
        <v>0.85378905345523726</v>
      </c>
      <c r="G357" s="1">
        <v>1.0000275417073514</v>
      </c>
      <c r="H357" s="1">
        <v>3.7006824498886117</v>
      </c>
      <c r="I357" s="1">
        <v>0.2283960672418156</v>
      </c>
      <c r="K357" s="1">
        <v>1.0006975245743486</v>
      </c>
      <c r="L357" s="1">
        <v>2.5255955753960291</v>
      </c>
      <c r="M357" s="1">
        <v>0.36840948082389102</v>
      </c>
      <c r="O357" s="1">
        <v>2.2980554338727158E-2</v>
      </c>
      <c r="P357" s="1">
        <v>0.51550618196040188</v>
      </c>
      <c r="R357" s="1">
        <v>4.413641989648117E-2</v>
      </c>
      <c r="S357" s="2">
        <f t="shared" si="72"/>
        <v>0.69742337589361969</v>
      </c>
      <c r="T357" s="4">
        <f t="shared" si="73"/>
        <v>0.48639936524285315</v>
      </c>
      <c r="U357" s="1">
        <f t="shared" si="65"/>
        <v>0.33910878481344825</v>
      </c>
      <c r="V357" s="6">
        <f>2*sigma/alpha*corel*(B357/12-1/alpha*(1-EXP(-alpha*Output!B357/12)))</f>
        <v>1.4000161582843036</v>
      </c>
      <c r="W357" s="5">
        <f t="shared" si="74"/>
        <v>-0.1472905804294049</v>
      </c>
      <c r="X357" s="1">
        <f t="shared" si="75"/>
        <v>18.947558852981842</v>
      </c>
      <c r="Y357" s="3">
        <f t="shared" si="76"/>
        <v>5.1205720520446918E-2</v>
      </c>
      <c r="Z357" s="1">
        <f t="shared" si="66"/>
        <v>0.12988203165623402</v>
      </c>
      <c r="AA357" s="8">
        <f t="shared" si="71"/>
        <v>28.749999999999861</v>
      </c>
      <c r="AB357" s="1">
        <v>28.83</v>
      </c>
      <c r="AC357" s="1">
        <v>2.3203499999999998E-2</v>
      </c>
      <c r="AD357" s="8">
        <f t="shared" si="67"/>
        <v>2.2294566127284074</v>
      </c>
      <c r="AE357" s="3">
        <f t="shared" si="68"/>
        <v>9.6082772544159607E-3</v>
      </c>
      <c r="AF357" s="11">
        <f t="shared" si="69"/>
        <v>28.749999999999861</v>
      </c>
      <c r="AG357" s="1">
        <f t="shared" si="70"/>
        <v>0.12988203165623402</v>
      </c>
    </row>
    <row r="358" spans="2:33" ht="15">
      <c r="B358" s="1">
        <v>347</v>
      </c>
      <c r="C358" s="1">
        <v>1.0005746997012761</v>
      </c>
      <c r="D358" s="1">
        <v>1.1733404643383261</v>
      </c>
      <c r="E358" s="1">
        <v>0.85143399068286696</v>
      </c>
      <c r="G358" s="1">
        <v>0.99998731629040016</v>
      </c>
      <c r="H358" s="1">
        <v>3.7899721289707475</v>
      </c>
      <c r="I358" s="1">
        <v>0.22290729647649224</v>
      </c>
      <c r="K358" s="1">
        <v>1.0007643843700063</v>
      </c>
      <c r="L358" s="1">
        <v>2.5517877233650585</v>
      </c>
      <c r="M358" s="1">
        <v>0.36455208323108323</v>
      </c>
      <c r="O358" s="1">
        <v>2.2982223260936362E-2</v>
      </c>
      <c r="P358" s="1">
        <v>0.51449507852883292</v>
      </c>
      <c r="R358" s="1">
        <v>4.4300498836067251E-2</v>
      </c>
      <c r="S358" s="2">
        <f t="shared" si="72"/>
        <v>0.69999518050050402</v>
      </c>
      <c r="T358" s="4">
        <f t="shared" si="73"/>
        <v>0.48999325272393318</v>
      </c>
      <c r="U358" s="1">
        <f t="shared" si="65"/>
        <v>0.34147691906439243</v>
      </c>
      <c r="V358" s="6">
        <f>2*sigma/alpha*corel*(B358/12-1/alpha*(1-EXP(-alpha*Output!B358/12)))</f>
        <v>1.4070401256603648</v>
      </c>
      <c r="W358" s="5">
        <f t="shared" si="74"/>
        <v>-0.14851633365954076</v>
      </c>
      <c r="X358" s="1">
        <f t="shared" si="75"/>
        <v>19.158151175171884</v>
      </c>
      <c r="Y358" s="3">
        <f t="shared" si="76"/>
        <v>5.1353816844142648E-2</v>
      </c>
      <c r="Z358" s="1">
        <f t="shared" si="66"/>
        <v>0.13017300650125946</v>
      </c>
      <c r="AA358" s="8">
        <f t="shared" si="71"/>
        <v>28.833333333333194</v>
      </c>
      <c r="AB358" s="1">
        <v>28.92</v>
      </c>
      <c r="AC358" s="1">
        <v>2.32055E-2</v>
      </c>
      <c r="AD358" s="8">
        <f t="shared" si="67"/>
        <v>2.232767390636381</v>
      </c>
      <c r="AE358" s="3">
        <f t="shared" si="68"/>
        <v>9.6217163630879787E-3</v>
      </c>
      <c r="AF358" s="11">
        <f t="shared" si="69"/>
        <v>28.833333333333194</v>
      </c>
      <c r="AG358" s="1">
        <f t="shared" si="70"/>
        <v>0.13017300650125946</v>
      </c>
    </row>
    <row r="359" spans="2:33" ht="15">
      <c r="B359" s="1">
        <v>348</v>
      </c>
      <c r="C359" s="1">
        <v>1.0005800722255356</v>
      </c>
      <c r="D359" s="1">
        <v>1.1752337008816038</v>
      </c>
      <c r="E359" s="1">
        <v>0.85006071493552149</v>
      </c>
      <c r="G359" s="1">
        <v>1.0002414909435922</v>
      </c>
      <c r="H359" s="1">
        <v>3.843683250209073</v>
      </c>
      <c r="I359" s="1">
        <v>0.21968609461403002</v>
      </c>
      <c r="K359" s="1">
        <v>1.000762879123225</v>
      </c>
      <c r="L359" s="1">
        <v>2.5994605172806557</v>
      </c>
      <c r="M359" s="1">
        <v>0.35779183431736516</v>
      </c>
      <c r="O359" s="1">
        <v>2.2983623462352068E-2</v>
      </c>
      <c r="P359" s="1">
        <v>0.51348981698789775</v>
      </c>
      <c r="R359" s="1">
        <v>4.4413748169565039E-2</v>
      </c>
      <c r="S359" s="2">
        <f t="shared" si="72"/>
        <v>0.702266846160849</v>
      </c>
      <c r="T359" s="4">
        <f t="shared" si="73"/>
        <v>0.49317872321670558</v>
      </c>
      <c r="U359" s="1">
        <f t="shared" si="65"/>
        <v>0.34385331709749001</v>
      </c>
      <c r="V359" s="6">
        <f>2*sigma/alpha*corel*(B359/12-1/alpha*(1-EXP(-alpha*Output!B359/12)))</f>
        <v>1.4140763377020469</v>
      </c>
      <c r="W359" s="5">
        <f t="shared" si="74"/>
        <v>-0.14932540611921558</v>
      </c>
      <c r="X359" s="1">
        <f t="shared" si="75"/>
        <v>19.321358998677841</v>
      </c>
      <c r="Y359" s="3">
        <f t="shared" si="76"/>
        <v>5.1405697348260462E-2</v>
      </c>
      <c r="Z359" s="1">
        <f t="shared" si="66"/>
        <v>0.13040767948837051</v>
      </c>
      <c r="AA359" s="8">
        <f t="shared" si="71"/>
        <v>28.916666666666526</v>
      </c>
      <c r="AB359" s="1">
        <v>29</v>
      </c>
      <c r="AC359" s="1">
        <v>2.32073E-2</v>
      </c>
      <c r="AD359" s="8">
        <f t="shared" si="67"/>
        <v>2.2367653764793216</v>
      </c>
      <c r="AE359" s="3">
        <f t="shared" si="68"/>
        <v>9.638197362378741E-3</v>
      </c>
      <c r="AF359" s="11">
        <f t="shared" si="69"/>
        <v>28.916666666666526</v>
      </c>
      <c r="AG359" s="1">
        <f t="shared" si="70"/>
        <v>0.13040767948837051</v>
      </c>
    </row>
    <row r="360" spans="2:33" ht="15">
      <c r="B360" s="1">
        <v>349</v>
      </c>
      <c r="C360" s="1">
        <v>1.0005858411926623</v>
      </c>
      <c r="D360" s="1">
        <v>1.1757879614697229</v>
      </c>
      <c r="E360" s="1">
        <v>0.84965833542168856</v>
      </c>
      <c r="G360" s="1">
        <v>1.0005338993592718</v>
      </c>
      <c r="H360" s="1">
        <v>3.8578235902450033</v>
      </c>
      <c r="I360" s="1">
        <v>0.21877498050638683</v>
      </c>
      <c r="K360" s="1">
        <v>1.00080520199366</v>
      </c>
      <c r="L360" s="1">
        <v>2.5494666181759942</v>
      </c>
      <c r="M360" s="1">
        <v>0.36473197824947834</v>
      </c>
      <c r="O360" s="1">
        <v>2.2984651136740857E-2</v>
      </c>
      <c r="P360" s="1">
        <v>0.51249195248548085</v>
      </c>
      <c r="R360" s="1">
        <v>4.4542320197768354E-2</v>
      </c>
      <c r="S360" s="2">
        <f t="shared" si="72"/>
        <v>0.70462144528382953</v>
      </c>
      <c r="T360" s="4">
        <f t="shared" si="73"/>
        <v>0.49649138115387276</v>
      </c>
      <c r="U360" s="1">
        <f t="shared" si="65"/>
        <v>0.34623797101626447</v>
      </c>
      <c r="V360" s="6">
        <f>2*sigma/alpha*corel*(B360/12-1/alpha*(1-EXP(-alpha*Output!B360/12)))</f>
        <v>1.4211247614677351</v>
      </c>
      <c r="W360" s="5">
        <f t="shared" si="74"/>
        <v>-0.15025341013760829</v>
      </c>
      <c r="X360" s="1">
        <f t="shared" si="75"/>
        <v>19.499075633665157</v>
      </c>
      <c r="Y360" s="3">
        <f t="shared" si="76"/>
        <v>5.1483971459803941E-2</v>
      </c>
      <c r="Z360" s="1">
        <f t="shared" si="66"/>
        <v>0.13065732619264886</v>
      </c>
      <c r="AA360" s="8">
        <f t="shared" si="71"/>
        <v>28.999999999999858</v>
      </c>
      <c r="AB360" s="1">
        <v>29.08</v>
      </c>
      <c r="AC360" s="1">
        <v>2.3208800000000002E-2</v>
      </c>
      <c r="AD360" s="8">
        <f t="shared" si="67"/>
        <v>2.2414886325914511</v>
      </c>
      <c r="AE360" s="3">
        <f t="shared" si="68"/>
        <v>9.6579255825008231E-3</v>
      </c>
      <c r="AF360" s="11">
        <f t="shared" si="69"/>
        <v>28.999999999999858</v>
      </c>
      <c r="AG360" s="1">
        <f t="shared" si="70"/>
        <v>0.13065732619264886</v>
      </c>
    </row>
    <row r="361" spans="2:33" ht="15">
      <c r="B361" s="1">
        <v>350</v>
      </c>
      <c r="C361" s="1">
        <v>1.0005893524867611</v>
      </c>
      <c r="D361" s="1">
        <v>1.1753539427128936</v>
      </c>
      <c r="E361" s="1">
        <v>0.84997041748382529</v>
      </c>
      <c r="G361" s="1">
        <v>1.000652593277829</v>
      </c>
      <c r="H361" s="1">
        <v>3.8978039019512951</v>
      </c>
      <c r="I361" s="1">
        <v>0.21642622836727274</v>
      </c>
      <c r="K361" s="1">
        <v>1.0007795983837307</v>
      </c>
      <c r="L361" s="1">
        <v>2.52191031921179</v>
      </c>
      <c r="M361" s="1">
        <v>0.36864050740431858</v>
      </c>
      <c r="O361" s="1">
        <v>2.2985473330403804E-2</v>
      </c>
      <c r="P361" s="1">
        <v>0.51149900502452417</v>
      </c>
      <c r="R361" s="1">
        <v>4.4685102435443678E-2</v>
      </c>
      <c r="S361" s="2">
        <f t="shared" si="72"/>
        <v>0.70705666610100293</v>
      </c>
      <c r="T361" s="4">
        <f t="shared" si="73"/>
        <v>0.49992912907786513</v>
      </c>
      <c r="U361" s="1">
        <f t="shared" si="65"/>
        <v>0.34863087286844985</v>
      </c>
      <c r="V361" s="6">
        <f>2*sigma/alpha*corel*(B361/12-1/alpha*(1-EXP(-alpha*Output!B361/12)))</f>
        <v>1.428185364104436</v>
      </c>
      <c r="W361" s="5">
        <f t="shared" si="74"/>
        <v>-0.15129825620941528</v>
      </c>
      <c r="X361" s="1">
        <f t="shared" si="75"/>
        <v>19.691176658673903</v>
      </c>
      <c r="Y361" s="3">
        <f t="shared" si="76"/>
        <v>5.158780742357081E-2</v>
      </c>
      <c r="Z361" s="1">
        <f t="shared" si="66"/>
        <v>0.13092145463089563</v>
      </c>
      <c r="AA361" s="8">
        <f t="shared" si="71"/>
        <v>29.08333333333319</v>
      </c>
      <c r="AB361" s="1">
        <v>29.17</v>
      </c>
      <c r="AC361" s="1">
        <v>2.32102E-2</v>
      </c>
      <c r="AD361" s="8">
        <f t="shared" si="67"/>
        <v>2.2472666959619594</v>
      </c>
      <c r="AE361" s="3">
        <f t="shared" si="68"/>
        <v>9.6822375333343071E-3</v>
      </c>
      <c r="AF361" s="11">
        <f t="shared" si="69"/>
        <v>29.08333333333319</v>
      </c>
      <c r="AG361" s="1">
        <f t="shared" si="70"/>
        <v>0.13092145463089563</v>
      </c>
    </row>
    <row r="362" spans="2:33" ht="15">
      <c r="B362" s="1">
        <v>351</v>
      </c>
      <c r="C362" s="1">
        <v>1.0005903331971024</v>
      </c>
      <c r="D362" s="1">
        <v>1.1772712916323986</v>
      </c>
      <c r="E362" s="1">
        <v>0.84858445409137417</v>
      </c>
      <c r="G362" s="1">
        <v>1.0005468522625147</v>
      </c>
      <c r="H362" s="1">
        <v>3.9043004857096411</v>
      </c>
      <c r="I362" s="1">
        <v>0.21596158234362031</v>
      </c>
      <c r="K362" s="1">
        <v>1.000734307426975</v>
      </c>
      <c r="L362" s="1">
        <v>2.459663145861593</v>
      </c>
      <c r="M362" s="1">
        <v>0.37789102895047189</v>
      </c>
      <c r="O362" s="1">
        <v>2.2986259520747551E-2</v>
      </c>
      <c r="P362" s="1">
        <v>0.51050844904684611</v>
      </c>
      <c r="R362" s="1">
        <v>4.4727327495119408E-2</v>
      </c>
      <c r="S362" s="2">
        <f t="shared" si="72"/>
        <v>0.70890479825340491</v>
      </c>
      <c r="T362" s="4">
        <f t="shared" si="73"/>
        <v>0.50254601298670076</v>
      </c>
      <c r="U362" s="1">
        <f t="shared" si="65"/>
        <v>0.35103201464656064</v>
      </c>
      <c r="V362" s="6">
        <f>2*sigma/alpha*corel*(B362/12-1/alpha*(1-EXP(-alpha*Output!B362/12)))</f>
        <v>1.4352581128475388</v>
      </c>
      <c r="W362" s="5">
        <f t="shared" si="74"/>
        <v>-0.15151399834014012</v>
      </c>
      <c r="X362" s="1">
        <f t="shared" si="75"/>
        <v>19.78710365629107</v>
      </c>
      <c r="Y362" s="3">
        <f t="shared" si="76"/>
        <v>5.1504472213846471E-2</v>
      </c>
      <c r="Z362" s="1">
        <f t="shared" si="66"/>
        <v>0.13107654356539006</v>
      </c>
      <c r="AA362" s="8">
        <f t="shared" si="71"/>
        <v>29.166666666666522</v>
      </c>
      <c r="AB362" s="1">
        <v>29.25</v>
      </c>
      <c r="AC362" s="1">
        <v>2.3211599999999999E-2</v>
      </c>
      <c r="AD362" s="8">
        <f t="shared" si="67"/>
        <v>2.2534047925244769</v>
      </c>
      <c r="AE362" s="3">
        <f t="shared" si="68"/>
        <v>9.7080976430943024E-3</v>
      </c>
      <c r="AF362" s="11">
        <f t="shared" si="69"/>
        <v>29.166666666666522</v>
      </c>
      <c r="AG362" s="1">
        <f t="shared" si="70"/>
        <v>0.13107654356539006</v>
      </c>
    </row>
    <row r="363" spans="2:33" ht="15">
      <c r="B363" s="1">
        <v>352</v>
      </c>
      <c r="C363" s="1">
        <v>1.0005936220542511</v>
      </c>
      <c r="D363" s="1">
        <v>1.1795682247455024</v>
      </c>
      <c r="E363" s="1">
        <v>0.8469303656135253</v>
      </c>
      <c r="G363" s="1">
        <v>1.0006515800817988</v>
      </c>
      <c r="H363" s="1">
        <v>3.9695575492022579</v>
      </c>
      <c r="I363" s="1">
        <v>0.21230855360061146</v>
      </c>
      <c r="K363" s="1">
        <v>1.000696620122536</v>
      </c>
      <c r="L363" s="1">
        <v>2.5036190077595566</v>
      </c>
      <c r="M363" s="1">
        <v>0.37117908594094423</v>
      </c>
      <c r="O363" s="1">
        <v>2.298707438495937E-2</v>
      </c>
      <c r="P363" s="1">
        <v>0.50951931603450962</v>
      </c>
      <c r="R363" s="1">
        <v>4.4762493579395803E-2</v>
      </c>
      <c r="S363" s="2">
        <f t="shared" si="72"/>
        <v>0.71071335905756361</v>
      </c>
      <c r="T363" s="4">
        <f t="shared" si="73"/>
        <v>0.50511347874288537</v>
      </c>
      <c r="U363" s="1">
        <f t="shared" si="65"/>
        <v>0.35344138828844895</v>
      </c>
      <c r="V363" s="6">
        <f>2*sigma/alpha*corel*(B363/12-1/alpha*(1-EXP(-alpha*Output!B363/12)))</f>
        <v>1.4423429750205798</v>
      </c>
      <c r="W363" s="5">
        <f t="shared" si="74"/>
        <v>-0.15167209045443641</v>
      </c>
      <c r="X363" s="1">
        <f t="shared" si="75"/>
        <v>19.87654520424509</v>
      </c>
      <c r="Y363" s="3">
        <f t="shared" si="76"/>
        <v>5.1408561616116968E-2</v>
      </c>
      <c r="Z363" s="1">
        <f t="shared" si="66"/>
        <v>0.13122415053798805</v>
      </c>
      <c r="AA363" s="8">
        <f t="shared" si="71"/>
        <v>29.249999999999854</v>
      </c>
      <c r="AB363" s="1">
        <v>29.33</v>
      </c>
      <c r="AC363" s="1">
        <v>2.3213000000000001E-2</v>
      </c>
      <c r="AD363" s="8">
        <f t="shared" si="67"/>
        <v>2.2592561504063138</v>
      </c>
      <c r="AE363" s="3">
        <f t="shared" si="68"/>
        <v>9.7327193831314943E-3</v>
      </c>
      <c r="AF363" s="11">
        <f t="shared" si="69"/>
        <v>29.249999999999854</v>
      </c>
      <c r="AG363" s="1">
        <f t="shared" si="70"/>
        <v>0.13122415053798805</v>
      </c>
    </row>
    <row r="364" spans="2:33" ht="15">
      <c r="B364" s="1">
        <v>353</v>
      </c>
      <c r="C364" s="1">
        <v>1.0005957643181882</v>
      </c>
      <c r="D364" s="1">
        <v>1.1812215084682944</v>
      </c>
      <c r="E364" s="1">
        <v>0.84574329948134785</v>
      </c>
      <c r="G364" s="1">
        <v>1.0006743267392233</v>
      </c>
      <c r="H364" s="1">
        <v>4.0698015406824908</v>
      </c>
      <c r="I364" s="1">
        <v>0.20697896974250604</v>
      </c>
      <c r="K364" s="1">
        <v>1.0006010642992271</v>
      </c>
      <c r="L364" s="1">
        <v>2.4758055336786819</v>
      </c>
      <c r="M364" s="1">
        <v>0.37527076346071664</v>
      </c>
      <c r="O364" s="1">
        <v>2.2988033433701524E-2</v>
      </c>
      <c r="P364" s="1">
        <v>0.50852987355008805</v>
      </c>
      <c r="R364" s="1">
        <v>4.47384511350888E-2</v>
      </c>
      <c r="S364" s="2">
        <f t="shared" si="72"/>
        <v>0.7121784760463965</v>
      </c>
      <c r="T364" s="4">
        <f t="shared" si="73"/>
        <v>0.50719818174376774</v>
      </c>
      <c r="U364" s="1">
        <f t="shared" si="65"/>
        <v>0.35585898567786539</v>
      </c>
      <c r="V364" s="6">
        <f>2*sigma/alpha*corel*(B364/12-1/alpha*(1-EXP(-alpha*Output!B364/12)))</f>
        <v>1.449439918035005</v>
      </c>
      <c r="W364" s="5">
        <f t="shared" si="74"/>
        <v>-0.15133919606590235</v>
      </c>
      <c r="X364" s="1">
        <f t="shared" si="75"/>
        <v>19.908454813081164</v>
      </c>
      <c r="Y364" s="3">
        <f t="shared" si="76"/>
        <v>5.1203103142780218E-2</v>
      </c>
      <c r="Z364" s="1">
        <f t="shared" si="66"/>
        <v>0.13130828052791987</v>
      </c>
      <c r="AA364" s="8">
        <f t="shared" si="71"/>
        <v>29.333333333333186</v>
      </c>
      <c r="AB364" s="1">
        <v>29.42</v>
      </c>
      <c r="AC364" s="1">
        <v>2.3214499999999999E-2</v>
      </c>
      <c r="AD364" s="8">
        <f t="shared" si="67"/>
        <v>2.2646656629847497</v>
      </c>
      <c r="AE364" s="3">
        <f t="shared" si="68"/>
        <v>9.7553928061545579E-3</v>
      </c>
      <c r="AF364" s="11">
        <f t="shared" si="69"/>
        <v>29.333333333333186</v>
      </c>
      <c r="AG364" s="1">
        <f t="shared" si="70"/>
        <v>0.13130828052791987</v>
      </c>
    </row>
    <row r="365" spans="2:33" ht="15">
      <c r="B365" s="1">
        <v>354</v>
      </c>
      <c r="C365" s="1">
        <v>1.0005974544784124</v>
      </c>
      <c r="D365" s="1">
        <v>1.1793206121367321</v>
      </c>
      <c r="E365" s="1">
        <v>0.84710484149538956</v>
      </c>
      <c r="G365" s="1">
        <v>1.0006509351193131</v>
      </c>
      <c r="H365" s="1">
        <v>4.0095812029110593</v>
      </c>
      <c r="I365" s="1">
        <v>0.20998597916712314</v>
      </c>
      <c r="K365" s="1">
        <v>1.0006047350683829</v>
      </c>
      <c r="L365" s="1">
        <v>2.4905930780691223</v>
      </c>
      <c r="M365" s="1">
        <v>0.37296493709511325</v>
      </c>
      <c r="O365" s="1">
        <v>2.2989284520752919E-2</v>
      </c>
      <c r="P365" s="1">
        <v>0.50753789882729583</v>
      </c>
      <c r="R365" s="1">
        <v>4.4872341664513468E-2</v>
      </c>
      <c r="S365" s="2">
        <f t="shared" si="72"/>
        <v>0.71458025266717473</v>
      </c>
      <c r="T365" s="4">
        <f t="shared" si="73"/>
        <v>0.51062493750188331</v>
      </c>
      <c r="U365" s="1">
        <f t="shared" si="65"/>
        <v>0.35828479864500473</v>
      </c>
      <c r="V365" s="6">
        <f>2*sigma/alpha*corel*(B365/12-1/alpha*(1-EXP(-alpha*Output!B365/12)))</f>
        <v>1.4565489093899311</v>
      </c>
      <c r="W365" s="5">
        <f t="shared" si="74"/>
        <v>-0.15234013885687858</v>
      </c>
      <c r="X365" s="1">
        <f t="shared" si="75"/>
        <v>20.097671110556671</v>
      </c>
      <c r="Y365" s="3">
        <f t="shared" si="76"/>
        <v>5.1296503527734336E-2</v>
      </c>
      <c r="Z365" s="1">
        <f t="shared" si="66"/>
        <v>0.13156488861135435</v>
      </c>
      <c r="AA365" s="8">
        <f t="shared" si="71"/>
        <v>29.416666666666519</v>
      </c>
      <c r="AB365" s="1">
        <v>29.5</v>
      </c>
      <c r="AC365" s="1">
        <v>2.3216400000000002E-2</v>
      </c>
      <c r="AD365" s="8">
        <f t="shared" si="67"/>
        <v>2.2711547924708295</v>
      </c>
      <c r="AE365" s="3">
        <f t="shared" si="68"/>
        <v>9.7825450650007306E-3</v>
      </c>
      <c r="AF365" s="11">
        <f t="shared" si="69"/>
        <v>29.416666666666519</v>
      </c>
      <c r="AG365" s="1">
        <f t="shared" si="70"/>
        <v>0.13156488861135435</v>
      </c>
    </row>
    <row r="366" spans="2:33" ht="15">
      <c r="B366" s="1">
        <v>355</v>
      </c>
      <c r="C366" s="1">
        <v>1.0006042991157444</v>
      </c>
      <c r="D366" s="1">
        <v>1.1836954872915011</v>
      </c>
      <c r="E366" s="1">
        <v>0.84397231507292392</v>
      </c>
      <c r="G366" s="1">
        <v>1.0010434857062167</v>
      </c>
      <c r="H366" s="1">
        <v>4.1463074445461467</v>
      </c>
      <c r="I366" s="1">
        <v>0.20296337115776986</v>
      </c>
      <c r="K366" s="1">
        <v>1.0007518282726666</v>
      </c>
      <c r="L366" s="1">
        <v>2.5181229902270563</v>
      </c>
      <c r="M366" s="1">
        <v>0.36881057561154573</v>
      </c>
      <c r="O366" s="1">
        <v>2.2990828006431221E-2</v>
      </c>
      <c r="P366" s="1">
        <v>0.5065433718157758</v>
      </c>
      <c r="R366" s="1">
        <v>4.5041936696002094E-2</v>
      </c>
      <c r="S366" s="2">
        <f t="shared" si="72"/>
        <v>0.71720204774875418</v>
      </c>
      <c r="T366" s="4">
        <f t="shared" si="73"/>
        <v>0.51437877729500625</v>
      </c>
      <c r="U366" s="1">
        <f t="shared" si="65"/>
        <v>0.36071881896706143</v>
      </c>
      <c r="V366" s="6">
        <f>2*sigma/alpha*corel*(B366/12-1/alpha*(1-EXP(-alpha*Output!B366/12)))</f>
        <v>1.4636699166719127</v>
      </c>
      <c r="W366" s="5">
        <f t="shared" si="74"/>
        <v>-0.15365995832794482</v>
      </c>
      <c r="X366" s="1">
        <f t="shared" si="75"/>
        <v>20.325424693777169</v>
      </c>
      <c r="Y366" s="3">
        <f t="shared" si="76"/>
        <v>5.1459765898747387E-2</v>
      </c>
      <c r="Z366" s="1">
        <f t="shared" si="66"/>
        <v>0.13186148651851856</v>
      </c>
      <c r="AA366" s="8">
        <f t="shared" si="71"/>
        <v>29.499999999999851</v>
      </c>
      <c r="AB366" s="1">
        <v>29.58</v>
      </c>
      <c r="AC366" s="1">
        <v>2.3218599999999999E-2</v>
      </c>
      <c r="AD366" s="8">
        <f t="shared" si="67"/>
        <v>2.2777199356877746</v>
      </c>
      <c r="AE366" s="3">
        <f t="shared" si="68"/>
        <v>9.8098935150602307E-3</v>
      </c>
      <c r="AF366" s="11">
        <f t="shared" si="69"/>
        <v>29.499999999999851</v>
      </c>
      <c r="AG366" s="1">
        <f t="shared" si="70"/>
        <v>0.13186148651851856</v>
      </c>
    </row>
    <row r="367" spans="2:33" ht="15">
      <c r="B367" s="1">
        <v>356</v>
      </c>
      <c r="C367" s="1">
        <v>1.0006050143282852</v>
      </c>
      <c r="D367" s="1">
        <v>1.1841001615126909</v>
      </c>
      <c r="E367" s="1">
        <v>0.84368220684980355</v>
      </c>
      <c r="G367" s="1">
        <v>1.0009225702061408</v>
      </c>
      <c r="H367" s="1">
        <v>4.1597561638648077</v>
      </c>
      <c r="I367" s="1">
        <v>0.20220931278468807</v>
      </c>
      <c r="K367" s="1">
        <v>1.0007402381946597</v>
      </c>
      <c r="L367" s="1">
        <v>2.5597420468366336</v>
      </c>
      <c r="M367" s="1">
        <v>0.36273847581732582</v>
      </c>
      <c r="O367" s="1">
        <v>2.2992736252097794E-2</v>
      </c>
      <c r="P367" s="1">
        <v>0.50554519289914557</v>
      </c>
      <c r="R367" s="1">
        <v>4.5068805005207033E-2</v>
      </c>
      <c r="S367" s="2">
        <f t="shared" si="72"/>
        <v>0.7189943902080953</v>
      </c>
      <c r="T367" s="4">
        <f t="shared" si="73"/>
        <v>0.51695293315071078</v>
      </c>
      <c r="U367" s="1">
        <f t="shared" si="65"/>
        <v>0.36316103836877489</v>
      </c>
      <c r="V367" s="6">
        <f>2*sigma/alpha*corel*(B367/12-1/alpha*(1-EXP(-alpha*Output!B367/12)))</f>
        <v>1.4708029075547049</v>
      </c>
      <c r="W367" s="5">
        <f t="shared" si="74"/>
        <v>-0.15379189478193589</v>
      </c>
      <c r="X367" s="1">
        <f t="shared" si="75"/>
        <v>20.413232706994432</v>
      </c>
      <c r="Y367" s="3">
        <f t="shared" si="76"/>
        <v>5.1358949267008729E-2</v>
      </c>
      <c r="Z367" s="1">
        <f t="shared" si="66"/>
        <v>0.13200522629473835</v>
      </c>
      <c r="AA367" s="8">
        <f t="shared" si="71"/>
        <v>29.583333333333183</v>
      </c>
      <c r="AB367" s="1">
        <v>29.67</v>
      </c>
      <c r="AC367" s="1">
        <v>2.32213E-2</v>
      </c>
      <c r="AD367" s="8">
        <f t="shared" si="67"/>
        <v>2.285637479022065</v>
      </c>
      <c r="AE367" s="3">
        <f t="shared" si="68"/>
        <v>9.842848931894705E-3</v>
      </c>
      <c r="AF367" s="11">
        <f t="shared" si="69"/>
        <v>29.583333333333183</v>
      </c>
      <c r="AG367" s="1">
        <f t="shared" si="70"/>
        <v>0.13200522629473835</v>
      </c>
    </row>
    <row r="368" spans="2:33" ht="15">
      <c r="B368" s="1">
        <v>357</v>
      </c>
      <c r="C368" s="1">
        <v>1.0006104338060837</v>
      </c>
      <c r="D368" s="1">
        <v>1.1849289953604683</v>
      </c>
      <c r="E368" s="1">
        <v>0.84309039187888257</v>
      </c>
      <c r="G368" s="1">
        <v>1.0011736581598238</v>
      </c>
      <c r="H368" s="1">
        <v>4.1858535121072906</v>
      </c>
      <c r="I368" s="1">
        <v>0.20085139828486745</v>
      </c>
      <c r="K368" s="1">
        <v>1.0008532728886195</v>
      </c>
      <c r="L368" s="1">
        <v>2.54197833245258</v>
      </c>
      <c r="M368" s="1">
        <v>0.36519725425052946</v>
      </c>
      <c r="O368" s="1">
        <v>2.2995254127923033E-2</v>
      </c>
      <c r="P368" s="1">
        <v>0.50453966983093079</v>
      </c>
      <c r="R368" s="1">
        <v>4.5074744560564782E-2</v>
      </c>
      <c r="S368" s="2">
        <f t="shared" si="72"/>
        <v>0.72067915771068991</v>
      </c>
      <c r="T368" s="4">
        <f t="shared" si="73"/>
        <v>0.51937844835858948</v>
      </c>
      <c r="U368" s="1">
        <f t="shared" si="65"/>
        <v>0.36561144852296551</v>
      </c>
      <c r="V368" s="6">
        <f>2*sigma/alpha*corel*(B368/12-1/alpha*(1-EXP(-alpha*Output!B368/12)))</f>
        <v>1.4779478497990306</v>
      </c>
      <c r="W368" s="5">
        <f t="shared" si="74"/>
        <v>-0.15376699983562397</v>
      </c>
      <c r="X368" s="1">
        <f t="shared" si="75"/>
        <v>20.482602827164833</v>
      </c>
      <c r="Y368" s="3">
        <f t="shared" si="76"/>
        <v>5.1223917901660532E-2</v>
      </c>
      <c r="Z368" s="1">
        <f t="shared" si="66"/>
        <v>0.13212910014258936</v>
      </c>
      <c r="AA368" s="8">
        <f t="shared" si="71"/>
        <v>29.666666666666515</v>
      </c>
      <c r="AB368" s="1">
        <v>29.75</v>
      </c>
      <c r="AC368" s="1">
        <v>2.3224499999999999E-2</v>
      </c>
      <c r="AD368" s="8">
        <f t="shared" si="67"/>
        <v>2.2924587207696563</v>
      </c>
      <c r="AE368" s="3">
        <f t="shared" si="68"/>
        <v>9.8708636171700413E-3</v>
      </c>
      <c r="AF368" s="11">
        <f t="shared" si="69"/>
        <v>29.666666666666515</v>
      </c>
      <c r="AG368" s="1">
        <f t="shared" si="70"/>
        <v>0.13212910014258936</v>
      </c>
    </row>
    <row r="369" spans="2:33" ht="15">
      <c r="B369" s="1">
        <v>358</v>
      </c>
      <c r="C369" s="1">
        <v>1.0006114448949082</v>
      </c>
      <c r="D369" s="1">
        <v>1.1874231009766869</v>
      </c>
      <c r="E369" s="1">
        <v>0.84131785829884775</v>
      </c>
      <c r="G369" s="1">
        <v>1.001105057490927</v>
      </c>
      <c r="H369" s="1">
        <v>4.2628101521912161</v>
      </c>
      <c r="I369" s="1">
        <v>0.1971300134101002</v>
      </c>
      <c r="K369" s="1">
        <v>1.0007491957716488</v>
      </c>
      <c r="L369" s="1">
        <v>2.6374031532122526</v>
      </c>
      <c r="M369" s="1">
        <v>0.35191060013633702</v>
      </c>
      <c r="O369" s="1">
        <v>2.2998418206017519E-2</v>
      </c>
      <c r="P369" s="1">
        <v>0.50352622817131398</v>
      </c>
      <c r="R369" s="1">
        <v>4.5074036322273366E-2</v>
      </c>
      <c r="S369" s="2">
        <f t="shared" si="72"/>
        <v>0.72234126618257632</v>
      </c>
      <c r="T369" s="4">
        <f t="shared" si="73"/>
        <v>0.52177690483024763</v>
      </c>
      <c r="U369" s="1">
        <f t="shared" si="65"/>
        <v>0.36807004105107888</v>
      </c>
      <c r="V369" s="6">
        <f>2*sigma/alpha*corel*(B369/12-1/alpha*(1-EXP(-alpha*Output!B369/12)))</f>
        <v>1.4851047112523443</v>
      </c>
      <c r="W369" s="5">
        <f t="shared" si="74"/>
        <v>-0.15370686377916876</v>
      </c>
      <c r="X369" s="1">
        <f t="shared" si="75"/>
        <v>20.547888414364714</v>
      </c>
      <c r="Y369" s="3">
        <f t="shared" si="76"/>
        <v>5.1081673133818367E-2</v>
      </c>
      <c r="Z369" s="1">
        <f t="shared" si="66"/>
        <v>0.13224873781449809</v>
      </c>
      <c r="AA369" s="8">
        <f t="shared" si="71"/>
        <v>29.749999999999847</v>
      </c>
      <c r="AB369" s="1">
        <v>29.83</v>
      </c>
      <c r="AC369" s="1">
        <v>2.3228499999999999E-2</v>
      </c>
      <c r="AD369" s="8">
        <f t="shared" si="67"/>
        <v>2.300817939824805</v>
      </c>
      <c r="AE369" s="3">
        <f t="shared" si="68"/>
        <v>9.9051507407917211E-3</v>
      </c>
      <c r="AF369" s="11">
        <f t="shared" si="69"/>
        <v>29.749999999999847</v>
      </c>
      <c r="AG369" s="1">
        <f t="shared" si="70"/>
        <v>0.13224873781449809</v>
      </c>
    </row>
    <row r="370" spans="2:33" ht="15">
      <c r="B370" s="1">
        <v>359</v>
      </c>
      <c r="C370" s="1">
        <v>1.0006136217141639</v>
      </c>
      <c r="D370" s="1">
        <v>1.1837469426499916</v>
      </c>
      <c r="E370" s="1">
        <v>0.84392890864562931</v>
      </c>
      <c r="G370" s="1">
        <v>1.0010720668073199</v>
      </c>
      <c r="H370" s="1">
        <v>4.1419307911363763</v>
      </c>
      <c r="I370" s="1">
        <v>0.20278496975694638</v>
      </c>
      <c r="K370" s="1">
        <v>1.0008008414695826</v>
      </c>
      <c r="L370" s="1">
        <v>2.6147965957039307</v>
      </c>
      <c r="M370" s="1">
        <v>0.35487914724170116</v>
      </c>
      <c r="O370" s="1">
        <v>2.3002413360432298E-2</v>
      </c>
      <c r="P370" s="1">
        <v>0.50250206327726255</v>
      </c>
      <c r="R370" s="1">
        <v>4.5081120312220849E-2</v>
      </c>
      <c r="S370" s="2">
        <f t="shared" si="72"/>
        <v>0.72407086950941624</v>
      </c>
      <c r="T370" s="4">
        <f t="shared" si="73"/>
        <v>0.52427862407212211</v>
      </c>
      <c r="U370" s="1">
        <f t="shared" si="65"/>
        <v>0.37053680752371815</v>
      </c>
      <c r="V370" s="6">
        <f>2*sigma/alpha*corel*(B370/12-1/alpha*(1-EXP(-alpha*Output!B370/12)))</f>
        <v>1.4922734598486005</v>
      </c>
      <c r="W370" s="5">
        <f t="shared" si="74"/>
        <v>-0.15374181654840396</v>
      </c>
      <c r="X370" s="1">
        <f t="shared" si="75"/>
        <v>20.624650792594188</v>
      </c>
      <c r="Y370" s="3">
        <f t="shared" si="76"/>
        <v>5.0960951944259633E-2</v>
      </c>
      <c r="Z370" s="1">
        <f t="shared" si="66"/>
        <v>0.13238063934624261</v>
      </c>
      <c r="AA370" s="8">
        <f t="shared" si="71"/>
        <v>29.833333333333179</v>
      </c>
      <c r="AB370" s="1">
        <v>29.92</v>
      </c>
      <c r="AC370" s="1">
        <v>2.3233199999999999E-2</v>
      </c>
      <c r="AD370" s="8">
        <f t="shared" si="67"/>
        <v>2.3078663956770109</v>
      </c>
      <c r="AE370" s="3">
        <f t="shared" si="68"/>
        <v>9.9334848220521115E-3</v>
      </c>
      <c r="AF370" s="11">
        <f t="shared" si="69"/>
        <v>29.833333333333179</v>
      </c>
      <c r="AG370" s="1">
        <f t="shared" si="70"/>
        <v>0.13238063934624261</v>
      </c>
    </row>
    <row r="371" spans="2:33" ht="15">
      <c r="B371" s="1">
        <v>360</v>
      </c>
      <c r="C371" s="1">
        <v>1.0006126649303446</v>
      </c>
      <c r="D371" s="1">
        <v>1.1851441894099377</v>
      </c>
      <c r="E371" s="1">
        <v>0.84293225764660284</v>
      </c>
      <c r="G371" s="1">
        <v>1.0008264795938526</v>
      </c>
      <c r="H371" s="1">
        <v>4.1884421146301154</v>
      </c>
      <c r="I371" s="1">
        <v>0.20043609808336244</v>
      </c>
      <c r="K371" s="1">
        <v>1.0006784284579588</v>
      </c>
      <c r="L371" s="1">
        <v>2.6327635457805489</v>
      </c>
      <c r="M371" s="1">
        <v>0.35238390017289756</v>
      </c>
      <c r="O371" s="1">
        <v>2.3007388739328886E-2</v>
      </c>
      <c r="P371" s="1">
        <v>0.50146490094255691</v>
      </c>
      <c r="R371" s="1">
        <v>4.505029926433305E-2</v>
      </c>
      <c r="S371" s="2">
        <f t="shared" si="72"/>
        <v>0.7256005617701542</v>
      </c>
      <c r="T371" s="4">
        <f t="shared" si="73"/>
        <v>0.52649617524116332</v>
      </c>
      <c r="U371" s="1">
        <f t="shared" si="65"/>
        <v>0.37301173946117444</v>
      </c>
      <c r="V371" s="6">
        <f>2*sigma/alpha*corel*(B371/12-1/alpha*(1-EXP(-alpha*Output!B371/12)))</f>
        <v>1.4994540636080205</v>
      </c>
      <c r="W371" s="5">
        <f t="shared" si="74"/>
        <v>-0.15348443577998888</v>
      </c>
      <c r="X371" s="1">
        <f t="shared" si="75"/>
        <v>20.666494782469268</v>
      </c>
      <c r="Y371" s="3">
        <f t="shared" si="76"/>
        <v>5.0776459954556249E-2</v>
      </c>
      <c r="Z371" s="1">
        <f t="shared" si="66"/>
        <v>0.13247593180664471</v>
      </c>
      <c r="AA371" s="8">
        <f t="shared" si="71"/>
        <v>29.916666666666512</v>
      </c>
      <c r="AB371" s="1">
        <v>30</v>
      </c>
      <c r="AC371" s="1">
        <v>2.32388E-2</v>
      </c>
      <c r="AD371" s="8">
        <f t="shared" si="67"/>
        <v>2.3141126067111397</v>
      </c>
      <c r="AE371" s="3">
        <f t="shared" si="68"/>
        <v>9.9579694593143336E-3</v>
      </c>
      <c r="AF371" s="11">
        <f t="shared" si="69"/>
        <v>29.916666666666512</v>
      </c>
      <c r="AG371" s="1">
        <f t="shared" si="70"/>
        <v>0.13247593180664471</v>
      </c>
    </row>
    <row r="372" spans="2:33" ht="15">
      <c r="B372" s="1">
        <v>361</v>
      </c>
      <c r="C372" s="1">
        <v>1.0006169931427888</v>
      </c>
      <c r="D372" s="1">
        <v>1.1843681475512557</v>
      </c>
      <c r="E372" s="1">
        <v>0.84348288759486589</v>
      </c>
      <c r="G372" s="1">
        <v>1.0010028567832991</v>
      </c>
      <c r="H372" s="1">
        <v>4.1606918142516598</v>
      </c>
      <c r="I372" s="1">
        <v>0.20167532522239243</v>
      </c>
      <c r="K372" s="1">
        <v>1.0006904481347878</v>
      </c>
      <c r="L372" s="1">
        <v>2.5781922843856364</v>
      </c>
      <c r="M372" s="1">
        <v>0.35976766820833839</v>
      </c>
      <c r="O372" s="1">
        <v>2.3013237481925127E-2</v>
      </c>
      <c r="P372" s="1">
        <v>0.50041631637919559</v>
      </c>
      <c r="R372" s="1">
        <v>4.5138663892506287E-2</v>
      </c>
      <c r="S372" s="2">
        <f t="shared" si="72"/>
        <v>0.72786187127325586</v>
      </c>
      <c r="T372" s="4">
        <f t="shared" si="73"/>
        <v>0.52978290365340563</v>
      </c>
      <c r="U372" s="1">
        <f t="shared" si="65"/>
        <v>0.37549482833395748</v>
      </c>
      <c r="V372" s="6">
        <f>2*sigma/alpha*corel*(B372/12-1/alpha*(1-EXP(-alpha*Output!B372/12)))</f>
        <v>1.5066464906368595</v>
      </c>
      <c r="W372" s="5">
        <f t="shared" si="74"/>
        <v>-0.15428807531944816</v>
      </c>
      <c r="X372" s="1">
        <f t="shared" si="75"/>
        <v>20.835982044521959</v>
      </c>
      <c r="Y372" s="3">
        <f t="shared" si="76"/>
        <v>5.0825456472981229E-2</v>
      </c>
      <c r="Z372" s="1">
        <f t="shared" si="66"/>
        <v>0.13270460441446708</v>
      </c>
      <c r="AA372" s="8">
        <f t="shared" si="71"/>
        <v>29.999999999999844</v>
      </c>
      <c r="AB372" s="1">
        <v>30.08</v>
      </c>
      <c r="AC372" s="1">
        <v>2.3245399999999999E-2</v>
      </c>
      <c r="AD372" s="8">
        <f t="shared" si="67"/>
        <v>2.3216251807487223</v>
      </c>
      <c r="AE372" s="3">
        <f t="shared" si="68"/>
        <v>9.9874606621039967E-3</v>
      </c>
      <c r="AF372" s="11">
        <f t="shared" si="69"/>
        <v>29.999999999999844</v>
      </c>
      <c r="AG372" s="1">
        <f t="shared" si="70"/>
        <v>0.13270460441446708</v>
      </c>
    </row>
    <row r="373" spans="2:33" ht="15">
      <c r="B373" s="1">
        <v>362</v>
      </c>
      <c r="C373" s="1">
        <v>1.0006187062490042</v>
      </c>
      <c r="D373" s="1">
        <v>1.1838333013184272</v>
      </c>
      <c r="E373" s="1">
        <v>0.84386227151949256</v>
      </c>
      <c r="G373" s="1">
        <v>1.0009673673807495</v>
      </c>
      <c r="H373" s="1">
        <v>4.163979269475341</v>
      </c>
      <c r="I373" s="1">
        <v>0.20141861826441443</v>
      </c>
      <c r="K373" s="1">
        <v>1.0007233338441586</v>
      </c>
      <c r="L373" s="1">
        <v>2.601379168660463</v>
      </c>
      <c r="M373" s="1">
        <v>0.35648667368832676</v>
      </c>
      <c r="O373" s="1">
        <v>2.301989712788724E-2</v>
      </c>
      <c r="P373" s="1">
        <v>0.49935722211884948</v>
      </c>
      <c r="R373" s="1">
        <v>4.5155985100874735E-2</v>
      </c>
      <c r="S373" s="2">
        <f t="shared" si="72"/>
        <v>0.72972280853757998</v>
      </c>
      <c r="T373" s="4">
        <f t="shared" si="73"/>
        <v>0.53249537729997365</v>
      </c>
      <c r="U373" s="1">
        <f t="shared" si="65"/>
        <v>0.37798606556331571</v>
      </c>
      <c r="V373" s="6">
        <f>2*sigma/alpha*corel*(B373/12-1/alpha*(1-EXP(-alpha*Output!B373/12)))</f>
        <v>1.5138507091271787</v>
      </c>
      <c r="W373" s="5">
        <f t="shared" si="74"/>
        <v>-0.15450931173665794</v>
      </c>
      <c r="X373" s="1">
        <f t="shared" si="75"/>
        <v>20.935867585748255</v>
      </c>
      <c r="Y373" s="3">
        <f t="shared" si="76"/>
        <v>5.0746777047354932E-2</v>
      </c>
      <c r="Z373" s="1">
        <f t="shared" si="66"/>
        <v>0.13286000324771391</v>
      </c>
      <c r="AA373" s="8">
        <f t="shared" si="71"/>
        <v>30.083333333333176</v>
      </c>
      <c r="AB373" s="1">
        <v>30.17</v>
      </c>
      <c r="AC373" s="1">
        <v>2.32529E-2</v>
      </c>
      <c r="AD373" s="8">
        <f t="shared" si="67"/>
        <v>2.3300287211275998</v>
      </c>
      <c r="AE373" s="3">
        <f t="shared" si="68"/>
        <v>1.0020379054344188E-2</v>
      </c>
      <c r="AF373" s="11">
        <f t="shared" si="69"/>
        <v>30.083333333333176</v>
      </c>
      <c r="AG373" s="1">
        <f t="shared" si="70"/>
        <v>0.13286000324771391</v>
      </c>
    </row>
    <row r="374" spans="2:33" ht="15">
      <c r="B374" s="1">
        <v>363</v>
      </c>
      <c r="C374" s="1">
        <v>1.0006169154748921</v>
      </c>
      <c r="D374" s="1">
        <v>1.1872172176202285</v>
      </c>
      <c r="E374" s="1">
        <v>0.84145532444194227</v>
      </c>
      <c r="G374" s="1">
        <v>1.0006552265154487</v>
      </c>
      <c r="H374" s="1">
        <v>4.2463667231101745</v>
      </c>
      <c r="I374" s="1">
        <v>0.19741517340234624</v>
      </c>
      <c r="K374" s="1">
        <v>1.0007191710810777</v>
      </c>
      <c r="L374" s="1">
        <v>2.5978660378309586</v>
      </c>
      <c r="M374" s="1">
        <v>0.3568943949543269</v>
      </c>
      <c r="O374" s="1">
        <v>2.302741671024313E-2</v>
      </c>
      <c r="P374" s="1">
        <v>0.49828685412741142</v>
      </c>
      <c r="R374" s="1">
        <v>4.5254439820439155E-2</v>
      </c>
      <c r="S374" s="2">
        <f t="shared" si="72"/>
        <v>0.7320915034347879</v>
      </c>
      <c r="T374" s="4">
        <f t="shared" si="73"/>
        <v>0.53595796940140805</v>
      </c>
      <c r="U374" s="1">
        <f t="shared" si="65"/>
        <v>0.38048544252175709</v>
      </c>
      <c r="V374" s="6">
        <f>2*sigma/alpha*corel*(B374/12-1/alpha*(1-EXP(-alpha*Output!B374/12)))</f>
        <v>1.5210666873566063</v>
      </c>
      <c r="W374" s="5">
        <f t="shared" si="74"/>
        <v>-0.15547252687965096</v>
      </c>
      <c r="X374" s="1">
        <f t="shared" si="75"/>
        <v>21.125819619823766</v>
      </c>
      <c r="Y374" s="3">
        <f t="shared" si="76"/>
        <v>5.08300256590659E-2</v>
      </c>
      <c r="Z374" s="1">
        <f t="shared" si="66"/>
        <v>0.13310754607905234</v>
      </c>
      <c r="AA374" s="8">
        <f t="shared" si="71"/>
        <v>30.166666666666508</v>
      </c>
      <c r="AB374" s="1">
        <v>30.25</v>
      </c>
      <c r="AC374" s="1">
        <v>2.3261199999999999E-2</v>
      </c>
      <c r="AD374" s="8">
        <f t="shared" si="67"/>
        <v>2.3378328975686911</v>
      </c>
      <c r="AE374" s="3">
        <f t="shared" si="68"/>
        <v>1.0050353797605847E-2</v>
      </c>
      <c r="AF374" s="11">
        <f t="shared" si="69"/>
        <v>30.166666666666508</v>
      </c>
      <c r="AG374" s="1">
        <f t="shared" si="70"/>
        <v>0.13310754607905234</v>
      </c>
    </row>
    <row r="375" spans="2:33" ht="15">
      <c r="B375" s="1">
        <v>364</v>
      </c>
      <c r="C375" s="1">
        <v>1.0006185879839924</v>
      </c>
      <c r="D375" s="1">
        <v>1.1904101312898996</v>
      </c>
      <c r="E375" s="1">
        <v>0.83919668433553807</v>
      </c>
      <c r="G375" s="1">
        <v>1.0006250756927177</v>
      </c>
      <c r="H375" s="1">
        <v>4.3498086283575006</v>
      </c>
      <c r="I375" s="1">
        <v>0.19262725381016213</v>
      </c>
      <c r="K375" s="1">
        <v>1.000655990679193</v>
      </c>
      <c r="L375" s="1">
        <v>2.6294978247377321</v>
      </c>
      <c r="M375" s="1">
        <v>0.35252765001029424</v>
      </c>
      <c r="O375" s="1">
        <v>2.3035756324538768E-2</v>
      </c>
      <c r="P375" s="1">
        <v>0.49720578951398936</v>
      </c>
      <c r="R375" s="1">
        <v>4.5442937545483793E-2</v>
      </c>
      <c r="S375" s="2">
        <f t="shared" si="72"/>
        <v>0.73502241604262308</v>
      </c>
      <c r="T375" s="4">
        <f t="shared" si="73"/>
        <v>0.54025795208513494</v>
      </c>
      <c r="U375" s="1">
        <f t="shared" si="65"/>
        <v>0.38299295053356897</v>
      </c>
      <c r="V375" s="6">
        <f>2*sigma/alpha*corel*(B375/12-1/alpha*(1-EXP(-alpha*Output!B375/12)))</f>
        <v>1.528294393688119</v>
      </c>
      <c r="W375" s="5">
        <f t="shared" si="74"/>
        <v>-0.15726500155156597</v>
      </c>
      <c r="X375" s="1">
        <f t="shared" si="75"/>
        <v>21.417170608701873</v>
      </c>
      <c r="Y375" s="3">
        <f t="shared" si="76"/>
        <v>5.1091887561271108E-2</v>
      </c>
      <c r="Z375" s="1">
        <f t="shared" si="66"/>
        <v>0.13345674099532162</v>
      </c>
      <c r="AA375" s="8">
        <f t="shared" si="71"/>
        <v>30.24999999999984</v>
      </c>
      <c r="AB375" s="1">
        <v>30.33</v>
      </c>
      <c r="AC375" s="1">
        <v>2.3270200000000001E-2</v>
      </c>
      <c r="AD375" s="8">
        <f t="shared" si="67"/>
        <v>2.3444367546123295</v>
      </c>
      <c r="AE375" s="3">
        <f t="shared" si="68"/>
        <v>1.0074845745255001E-2</v>
      </c>
      <c r="AF375" s="11">
        <f t="shared" si="69"/>
        <v>30.24999999999984</v>
      </c>
      <c r="AG375" s="1">
        <f t="shared" si="70"/>
        <v>0.13345674099532162</v>
      </c>
    </row>
    <row r="376" spans="2:33" ht="15">
      <c r="B376" s="1">
        <v>365</v>
      </c>
      <c r="C376" s="1">
        <v>1.0006207299551031</v>
      </c>
      <c r="D376" s="1">
        <v>1.188478603690571</v>
      </c>
      <c r="E376" s="1">
        <v>0.84055885707402089</v>
      </c>
      <c r="G376" s="1">
        <v>1.0006216170045428</v>
      </c>
      <c r="H376" s="1">
        <v>4.2865640588706118</v>
      </c>
      <c r="I376" s="1">
        <v>0.19537474348695011</v>
      </c>
      <c r="K376" s="1">
        <v>1.0006729780356327</v>
      </c>
      <c r="L376" s="1">
        <v>2.6720628136533247</v>
      </c>
      <c r="M376" s="1">
        <v>0.34683974690240321</v>
      </c>
      <c r="O376" s="1">
        <v>2.3044644499234507E-2</v>
      </c>
      <c r="P376" s="1">
        <v>0.49611810276630913</v>
      </c>
      <c r="R376" s="1">
        <v>4.5483396727619932E-2</v>
      </c>
      <c r="S376" s="2">
        <f t="shared" si="72"/>
        <v>0.73708608866556458</v>
      </c>
      <c r="T376" s="4">
        <f t="shared" si="73"/>
        <v>0.54329590210430057</v>
      </c>
      <c r="U376" s="1">
        <f t="shared" si="65"/>
        <v>0.38550858087533257</v>
      </c>
      <c r="V376" s="6">
        <f>2*sigma/alpha*corel*(B376/12-1/alpha*(1-EXP(-alpha*Output!B376/12)))</f>
        <v>1.5355337965698008</v>
      </c>
      <c r="W376" s="5">
        <f t="shared" si="74"/>
        <v>-0.15778732122896799</v>
      </c>
      <c r="X376" s="1">
        <f t="shared" si="75"/>
        <v>21.555321456599174</v>
      </c>
      <c r="Y376" s="3">
        <f t="shared" si="76"/>
        <v>5.1077869886599014E-2</v>
      </c>
      <c r="Z376" s="1">
        <f t="shared" si="66"/>
        <v>0.13364798196336941</v>
      </c>
      <c r="AA376" s="8">
        <f t="shared" si="71"/>
        <v>30.333333333333172</v>
      </c>
      <c r="AB376" s="1">
        <v>30.42</v>
      </c>
      <c r="AC376" s="1">
        <v>2.32797E-2</v>
      </c>
      <c r="AD376" s="8">
        <f t="shared" si="67"/>
        <v>2.3505550076549295</v>
      </c>
      <c r="AE376" s="3">
        <f t="shared" si="68"/>
        <v>1.0097015887897737E-2</v>
      </c>
      <c r="AF376" s="11">
        <f t="shared" si="69"/>
        <v>30.333333333333172</v>
      </c>
      <c r="AG376" s="1">
        <f t="shared" si="70"/>
        <v>0.13364798196336941</v>
      </c>
    </row>
    <row r="377" spans="2:33" ht="15">
      <c r="B377" s="1">
        <v>366</v>
      </c>
      <c r="C377" s="1">
        <v>1.000620724393481</v>
      </c>
      <c r="D377" s="1">
        <v>1.1888306291138808</v>
      </c>
      <c r="E377" s="1">
        <v>0.840308258252355</v>
      </c>
      <c r="G377" s="1">
        <v>1.0004614185535128</v>
      </c>
      <c r="H377" s="1">
        <v>4.2938509509912359</v>
      </c>
      <c r="I377" s="1">
        <v>0.19494882843915132</v>
      </c>
      <c r="K377" s="1">
        <v>1.0006708310533439</v>
      </c>
      <c r="L377" s="1">
        <v>2.67060741920745</v>
      </c>
      <c r="M377" s="1">
        <v>0.34695647310058492</v>
      </c>
      <c r="O377" s="1">
        <v>2.3054040715081131E-2</v>
      </c>
      <c r="P377" s="1">
        <v>0.49502439152965533</v>
      </c>
      <c r="R377" s="1">
        <v>4.555080415905554E-2</v>
      </c>
      <c r="S377" s="2">
        <f t="shared" si="72"/>
        <v>0.73932673445038355</v>
      </c>
      <c r="T377" s="4">
        <f t="shared" si="73"/>
        <v>0.54660402027306798</v>
      </c>
      <c r="U377" s="1">
        <f t="shared" ref="U377:U440" si="77">sigma*sigma/alpha/alpha*(B377/12+2/alpha*EXP(-alpha*B377/12)-1/2/alpha*EXP(-2*alpha*B377/12)-3/2/alpha)</f>
        <v>0.38803232477642641</v>
      </c>
      <c r="V377" s="6">
        <f>2*sigma/alpha*corel*(B377/12-1/alpha*(1-EXP(-alpha*Output!B377/12)))</f>
        <v>1.5427848645346218</v>
      </c>
      <c r="W377" s="5">
        <f t="shared" si="74"/>
        <v>-0.15857169549664157</v>
      </c>
      <c r="X377" s="1">
        <f t="shared" si="75"/>
        <v>21.725931988827384</v>
      </c>
      <c r="Y377" s="3">
        <f t="shared" si="76"/>
        <v>5.112005878896405E-2</v>
      </c>
      <c r="Z377" s="1">
        <f t="shared" si="66"/>
        <v>0.13387099494528892</v>
      </c>
      <c r="AA377" s="8">
        <f t="shared" si="71"/>
        <v>30.416666666666504</v>
      </c>
      <c r="AB377" s="1">
        <v>30.5</v>
      </c>
      <c r="AC377" s="1">
        <v>2.32897E-2</v>
      </c>
      <c r="AD377" s="8">
        <f t="shared" si="67"/>
        <v>2.3565928491886892</v>
      </c>
      <c r="AE377" s="3">
        <f t="shared" si="68"/>
        <v>1.0118605431537071E-2</v>
      </c>
      <c r="AF377" s="11">
        <f t="shared" si="69"/>
        <v>30.416666666666504</v>
      </c>
      <c r="AG377" s="1">
        <f t="shared" si="70"/>
        <v>0.13387099494528892</v>
      </c>
    </row>
    <row r="378" spans="2:33" ht="15">
      <c r="B378" s="1">
        <v>367</v>
      </c>
      <c r="C378" s="1">
        <v>1.0006243268464694</v>
      </c>
      <c r="D378" s="1">
        <v>1.1872407866248715</v>
      </c>
      <c r="E378" s="1">
        <v>0.84143181410587597</v>
      </c>
      <c r="G378" s="1">
        <v>1.0005923339575375</v>
      </c>
      <c r="H378" s="1">
        <v>4.2398030953434453</v>
      </c>
      <c r="I378" s="1">
        <v>0.1973384723288715</v>
      </c>
      <c r="K378" s="1">
        <v>1.0007134718349062</v>
      </c>
      <c r="L378" s="1">
        <v>2.6392586408121801</v>
      </c>
      <c r="M378" s="1">
        <v>0.35100444445270618</v>
      </c>
      <c r="O378" s="1">
        <v>2.3063835372660772E-2</v>
      </c>
      <c r="P378" s="1">
        <v>0.49392629904197272</v>
      </c>
      <c r="R378" s="1">
        <v>4.5537979027594426E-2</v>
      </c>
      <c r="S378" s="2">
        <f t="shared" si="72"/>
        <v>0.74109866823893111</v>
      </c>
      <c r="T378" s="4">
        <f t="shared" si="73"/>
        <v>0.54922723606551727</v>
      </c>
      <c r="U378" s="1">
        <f t="shared" si="77"/>
        <v>0.39056417341954042</v>
      </c>
      <c r="V378" s="6">
        <f>2*sigma/alpha*corel*(B378/12-1/alpha*(1-EXP(-alpha*Output!B378/12)))</f>
        <v>1.5500475662002076</v>
      </c>
      <c r="W378" s="5">
        <f t="shared" si="74"/>
        <v>-0.15866306264597685</v>
      </c>
      <c r="X378" s="1">
        <f t="shared" si="75"/>
        <v>21.812428787841021</v>
      </c>
      <c r="Y378" s="3">
        <f t="shared" si="76"/>
        <v>5.1013573292566262E-2</v>
      </c>
      <c r="Z378" s="1">
        <f t="shared" si="66"/>
        <v>0.13400889425915682</v>
      </c>
      <c r="AA378" s="8">
        <f t="shared" si="71"/>
        <v>30.499999999999837</v>
      </c>
      <c r="AB378" s="1">
        <v>30.58</v>
      </c>
      <c r="AC378" s="1">
        <v>2.3300100000000001E-2</v>
      </c>
      <c r="AD378" s="8">
        <f t="shared" si="67"/>
        <v>2.3626462733922908</v>
      </c>
      <c r="AE378" s="3">
        <f t="shared" si="68"/>
        <v>1.0140069241729825E-2</v>
      </c>
      <c r="AF378" s="11">
        <f t="shared" si="69"/>
        <v>30.499999999999837</v>
      </c>
      <c r="AG378" s="1">
        <f t="shared" si="70"/>
        <v>0.13400889425915682</v>
      </c>
    </row>
    <row r="379" spans="2:33" ht="15">
      <c r="B379" s="1">
        <v>368</v>
      </c>
      <c r="C379" s="1">
        <v>1.0006254464729232</v>
      </c>
      <c r="D379" s="1">
        <v>1.1850116655668501</v>
      </c>
      <c r="E379" s="1">
        <v>0.84301291553178126</v>
      </c>
      <c r="G379" s="1">
        <v>1.0005112952812831</v>
      </c>
      <c r="H379" s="1">
        <v>4.165606566946396</v>
      </c>
      <c r="I379" s="1">
        <v>0.20075624079323337</v>
      </c>
      <c r="K379" s="1">
        <v>1.000732630493065</v>
      </c>
      <c r="L379" s="1">
        <v>2.6509805845256511</v>
      </c>
      <c r="M379" s="1">
        <v>0.3493795995085166</v>
      </c>
      <c r="O379" s="1">
        <v>2.3073868088059842E-2</v>
      </c>
      <c r="P379" s="1">
        <v>0.49282624002955472</v>
      </c>
      <c r="R379" s="1">
        <v>4.5584287258620661E-2</v>
      </c>
      <c r="S379" s="2">
        <f t="shared" si="72"/>
        <v>0.74323407923690987</v>
      </c>
      <c r="T379" s="4">
        <f t="shared" si="73"/>
        <v>0.55239689653913726</v>
      </c>
      <c r="U379" s="1">
        <f t="shared" si="77"/>
        <v>0.39310411794117434</v>
      </c>
      <c r="V379" s="6">
        <f>2*sigma/alpha*corel*(B379/12-1/alpha*(1-EXP(-alpha*Output!B379/12)))</f>
        <v>1.5573218702686109</v>
      </c>
      <c r="W379" s="5">
        <f t="shared" si="74"/>
        <v>-0.15929277859796293</v>
      </c>
      <c r="X379" s="1">
        <f t="shared" si="75"/>
        <v>21.965165582300376</v>
      </c>
      <c r="Y379" s="3">
        <f t="shared" si="76"/>
        <v>5.1022484626113092E-2</v>
      </c>
      <c r="Z379" s="1">
        <f t="shared" si="66"/>
        <v>0.13421230300702736</v>
      </c>
      <c r="AA379" s="8">
        <f t="shared" si="71"/>
        <v>30.583333333333169</v>
      </c>
      <c r="AB379" s="1">
        <v>30.67</v>
      </c>
      <c r="AC379" s="1">
        <v>2.33108E-2</v>
      </c>
      <c r="AD379" s="8">
        <f t="shared" si="67"/>
        <v>2.3693191194015806</v>
      </c>
      <c r="AE379" s="3">
        <f t="shared" si="68"/>
        <v>1.0164040356408105E-2</v>
      </c>
      <c r="AF379" s="11">
        <f t="shared" si="69"/>
        <v>30.583333333333169</v>
      </c>
      <c r="AG379" s="1">
        <f t="shared" si="70"/>
        <v>0.13421230300702736</v>
      </c>
    </row>
    <row r="380" spans="2:33" ht="15">
      <c r="B380" s="1">
        <v>369</v>
      </c>
      <c r="C380" s="1">
        <v>1.0006296422167258</v>
      </c>
      <c r="D380" s="1">
        <v>1.1914761519318924</v>
      </c>
      <c r="E380" s="1">
        <v>0.83843734799245018</v>
      </c>
      <c r="G380" s="1">
        <v>1.000694636058286</v>
      </c>
      <c r="H380" s="1">
        <v>4.3738849277210194</v>
      </c>
      <c r="I380" s="1">
        <v>0.19110401228614463</v>
      </c>
      <c r="K380" s="1">
        <v>1.0006335399680284</v>
      </c>
      <c r="L380" s="1">
        <v>2.7075920357815395</v>
      </c>
      <c r="M380" s="1">
        <v>0.34200336848384832</v>
      </c>
      <c r="O380" s="1">
        <v>2.3084036465804449E-2</v>
      </c>
      <c r="P380" s="1">
        <v>0.49172575751410513</v>
      </c>
      <c r="R380" s="1">
        <v>4.5570870320472884E-2</v>
      </c>
      <c r="S380" s="2">
        <f t="shared" si="72"/>
        <v>0.74501556547789094</v>
      </c>
      <c r="T380" s="4">
        <f t="shared" si="73"/>
        <v>0.55504819280434159</v>
      </c>
      <c r="U380" s="1">
        <f t="shared" si="77"/>
        <v>0.39565214943214017</v>
      </c>
      <c r="V380" s="6">
        <f>2*sigma/alpha*corel*(B380/12-1/alpha*(1-EXP(-alpha*Output!B380/12)))</f>
        <v>1.5646077455260832</v>
      </c>
      <c r="W380" s="5">
        <f t="shared" si="74"/>
        <v>-0.15939604337220142</v>
      </c>
      <c r="X380" s="1">
        <f t="shared" si="75"/>
        <v>22.053710732140988</v>
      </c>
      <c r="Y380" s="3">
        <f t="shared" si="76"/>
        <v>5.091918873553801E-2</v>
      </c>
      <c r="Z380" s="1">
        <f t="shared" si="66"/>
        <v>0.13435158254920007</v>
      </c>
      <c r="AA380" s="8">
        <f t="shared" si="71"/>
        <v>30.666666666666501</v>
      </c>
      <c r="AB380" s="1">
        <v>30.75</v>
      </c>
      <c r="AC380" s="1">
        <v>2.3321600000000001E-2</v>
      </c>
      <c r="AD380" s="8">
        <f t="shared" si="67"/>
        <v>2.3756353419555203</v>
      </c>
      <c r="AE380" s="3">
        <f t="shared" si="68"/>
        <v>1.0186416635031561E-2</v>
      </c>
      <c r="AF380" s="11">
        <f t="shared" si="69"/>
        <v>30.666666666666501</v>
      </c>
      <c r="AG380" s="1">
        <f t="shared" si="70"/>
        <v>0.13435158254920007</v>
      </c>
    </row>
    <row r="381" spans="2:33" ht="15">
      <c r="B381" s="1">
        <v>370</v>
      </c>
      <c r="C381" s="1">
        <v>1.0006327933216967</v>
      </c>
      <c r="D381" s="1">
        <v>1.1956080333306365</v>
      </c>
      <c r="E381" s="1">
        <v>0.83553810178758647</v>
      </c>
      <c r="G381" s="1">
        <v>1.0007811426711604</v>
      </c>
      <c r="H381" s="1">
        <v>4.5111444375986531</v>
      </c>
      <c r="I381" s="1">
        <v>0.18519970026176927</v>
      </c>
      <c r="K381" s="1">
        <v>1.0007135490195542</v>
      </c>
      <c r="L381" s="1">
        <v>2.8106172508879461</v>
      </c>
      <c r="M381" s="1">
        <v>0.329398355029967</v>
      </c>
      <c r="O381" s="1">
        <v>2.3094271478390216E-2</v>
      </c>
      <c r="P381" s="1">
        <v>0.4906258928704913</v>
      </c>
      <c r="R381" s="1">
        <v>4.5674032647269901E-2</v>
      </c>
      <c r="S381" s="2">
        <f t="shared" si="72"/>
        <v>0.74750468872801146</v>
      </c>
      <c r="T381" s="4">
        <f t="shared" si="73"/>
        <v>0.55876325967036133</v>
      </c>
      <c r="U381" s="1">
        <f t="shared" si="77"/>
        <v>0.3982082589380575</v>
      </c>
      <c r="V381" s="6">
        <f>2*sigma/alpha*corel*(B381/12-1/alpha*(1-EXP(-alpha*Output!B381/12)))</f>
        <v>1.5719051608428514</v>
      </c>
      <c r="W381" s="5">
        <f t="shared" si="74"/>
        <v>-0.16055500073230383</v>
      </c>
      <c r="X381" s="1">
        <f t="shared" si="75"/>
        <v>22.272669258335199</v>
      </c>
      <c r="Y381" s="3">
        <f t="shared" si="76"/>
        <v>5.1040341567906294E-2</v>
      </c>
      <c r="Z381" s="1">
        <f t="shared" si="66"/>
        <v>0.13461816989167805</v>
      </c>
      <c r="AA381" s="8">
        <f t="shared" si="71"/>
        <v>30.749999999999833</v>
      </c>
      <c r="AB381" s="1">
        <v>30.83</v>
      </c>
      <c r="AC381" s="1">
        <v>2.3332499999999999E-2</v>
      </c>
      <c r="AD381" s="8">
        <f t="shared" si="67"/>
        <v>2.3822852160978321</v>
      </c>
      <c r="AE381" s="3">
        <f t="shared" si="68"/>
        <v>1.0210158431791846E-2</v>
      </c>
      <c r="AF381" s="11">
        <f t="shared" si="69"/>
        <v>30.749999999999833</v>
      </c>
      <c r="AG381" s="1">
        <f t="shared" si="70"/>
        <v>0.13461816989167805</v>
      </c>
    </row>
    <row r="382" spans="2:33" ht="15">
      <c r="B382" s="1">
        <v>371</v>
      </c>
      <c r="C382" s="1">
        <v>1.0006321254683552</v>
      </c>
      <c r="D382" s="1">
        <v>1.1921553526955522</v>
      </c>
      <c r="E382" s="1">
        <v>0.83795624608429398</v>
      </c>
      <c r="G382" s="1">
        <v>1.000561526063199</v>
      </c>
      <c r="H382" s="1">
        <v>4.3933376523582233</v>
      </c>
      <c r="I382" s="1">
        <v>0.19007381111448385</v>
      </c>
      <c r="K382" s="1">
        <v>1.000695304793741</v>
      </c>
      <c r="L382" s="1">
        <v>2.7760209953201325</v>
      </c>
      <c r="M382" s="1">
        <v>0.3334340206770085</v>
      </c>
      <c r="O382" s="1">
        <v>2.3104488068872497E-2</v>
      </c>
      <c r="P382" s="1">
        <v>0.48952793209877571</v>
      </c>
      <c r="R382" s="1">
        <v>4.5752528150187217E-2</v>
      </c>
      <c r="S382" s="2">
        <f t="shared" si="72"/>
        <v>0.74984806017491867</v>
      </c>
      <c r="T382" s="4">
        <f t="shared" si="73"/>
        <v>0.56227211334808846</v>
      </c>
      <c r="U382" s="1">
        <f t="shared" si="77"/>
        <v>0.40077243745984947</v>
      </c>
      <c r="V382" s="6">
        <f>2*sigma/alpha*corel*(B382/12-1/alpha*(1-EXP(-alpha*Output!B382/12)))</f>
        <v>1.5792140851728909</v>
      </c>
      <c r="W382" s="5">
        <f t="shared" si="74"/>
        <v>-0.16149967588823899</v>
      </c>
      <c r="X382" s="1">
        <f t="shared" si="75"/>
        <v>22.466043711654006</v>
      </c>
      <c r="Y382" s="3">
        <f t="shared" si="76"/>
        <v>5.1115176494018519E-2</v>
      </c>
      <c r="Z382" s="1">
        <f t="shared" si="66"/>
        <v>0.13485807014797152</v>
      </c>
      <c r="AA382" s="8">
        <f t="shared" si="71"/>
        <v>30.833333333333165</v>
      </c>
      <c r="AB382" s="1">
        <v>30.92</v>
      </c>
      <c r="AC382" s="1">
        <v>2.33434E-2</v>
      </c>
      <c r="AD382" s="8">
        <f t="shared" si="67"/>
        <v>2.3891193112750289</v>
      </c>
      <c r="AE382" s="3">
        <f t="shared" si="68"/>
        <v>1.0234667234743134E-2</v>
      </c>
      <c r="AF382" s="11">
        <f t="shared" si="69"/>
        <v>30.833333333333165</v>
      </c>
      <c r="AG382" s="1">
        <f t="shared" si="70"/>
        <v>0.13485807014797152</v>
      </c>
    </row>
    <row r="383" spans="2:33" ht="15">
      <c r="B383" s="1">
        <v>372</v>
      </c>
      <c r="C383" s="1">
        <v>1.0006264997715089</v>
      </c>
      <c r="D383" s="1">
        <v>1.1945436985859177</v>
      </c>
      <c r="E383" s="1">
        <v>0.8362791410913033</v>
      </c>
      <c r="G383" s="1">
        <v>0.99994900039924484</v>
      </c>
      <c r="H383" s="1">
        <v>4.4715948892228852</v>
      </c>
      <c r="I383" s="1">
        <v>0.18665699387792153</v>
      </c>
      <c r="K383" s="1">
        <v>1.0007127334528714</v>
      </c>
      <c r="L383" s="1">
        <v>2.7536671589650963</v>
      </c>
      <c r="M383" s="1">
        <v>0.33607076341894271</v>
      </c>
      <c r="O383" s="1">
        <v>2.3114729078434131E-2</v>
      </c>
      <c r="P383" s="1">
        <v>0.48843122700566438</v>
      </c>
      <c r="R383" s="1">
        <v>4.5729398535432786E-2</v>
      </c>
      <c r="S383" s="2">
        <f t="shared" si="72"/>
        <v>0.75157955520729569</v>
      </c>
      <c r="T383" s="4">
        <f t="shared" si="73"/>
        <v>0.56487182780559642</v>
      </c>
      <c r="U383" s="1">
        <f t="shared" si="77"/>
        <v>0.40334467595422541</v>
      </c>
      <c r="V383" s="6">
        <f>2*sigma/alpha*corel*(B383/12-1/alpha*(1-EXP(-alpha*Output!B383/12)))</f>
        <v>1.5865344875536966</v>
      </c>
      <c r="W383" s="5">
        <f t="shared" si="74"/>
        <v>-0.16152715185137101</v>
      </c>
      <c r="X383" s="1">
        <f t="shared" si="75"/>
        <v>22.546458509767277</v>
      </c>
      <c r="Y383" s="3">
        <f t="shared" si="76"/>
        <v>5.0996397327160804E-2</v>
      </c>
      <c r="Z383" s="1">
        <f t="shared" si="66"/>
        <v>0.13498767301015549</v>
      </c>
      <c r="AA383" s="8">
        <f t="shared" si="71"/>
        <v>30.916666666666497</v>
      </c>
      <c r="AB383" s="1">
        <v>31</v>
      </c>
      <c r="AC383" s="1">
        <v>2.3354099999999999E-2</v>
      </c>
      <c r="AD383" s="8">
        <f t="shared" si="67"/>
        <v>2.3937092156586792</v>
      </c>
      <c r="AE383" s="3">
        <f t="shared" si="68"/>
        <v>1.0249631609262098E-2</v>
      </c>
      <c r="AF383" s="11">
        <f t="shared" si="69"/>
        <v>30.916666666666497</v>
      </c>
      <c r="AG383" s="1">
        <f t="shared" si="70"/>
        <v>0.13498767301015549</v>
      </c>
    </row>
    <row r="384" spans="2:33" ht="15">
      <c r="B384" s="1">
        <v>373</v>
      </c>
      <c r="C384" s="1">
        <v>1.000632155189185</v>
      </c>
      <c r="D384" s="1">
        <v>1.1965520585212708</v>
      </c>
      <c r="E384" s="1">
        <v>0.83487376933623958</v>
      </c>
      <c r="G384" s="1">
        <v>1.0002137528793897</v>
      </c>
      <c r="H384" s="1">
        <v>4.540591991628526</v>
      </c>
      <c r="I384" s="1">
        <v>0.18373169927936986</v>
      </c>
      <c r="K384" s="1">
        <v>1.0007261487464516</v>
      </c>
      <c r="L384" s="1">
        <v>2.7156355390836695</v>
      </c>
      <c r="M384" s="1">
        <v>0.34070634067444083</v>
      </c>
      <c r="O384" s="1">
        <v>2.3124933135701117E-2</v>
      </c>
      <c r="P384" s="1">
        <v>0.48733670684786484</v>
      </c>
      <c r="R384" s="1">
        <v>4.5733430747657879E-2</v>
      </c>
      <c r="S384" s="2">
        <f t="shared" si="72"/>
        <v>0.75347634627960813</v>
      </c>
      <c r="T384" s="4">
        <f t="shared" si="73"/>
        <v>0.56772660440286793</v>
      </c>
      <c r="U384" s="1">
        <f t="shared" si="77"/>
        <v>0.40592496533417771</v>
      </c>
      <c r="V384" s="6">
        <f>2*sigma/alpha*corel*(B384/12-1/alpha*(1-EXP(-alpha*Output!B384/12)))</f>
        <v>1.5938663371060655</v>
      </c>
      <c r="W384" s="5">
        <f t="shared" si="74"/>
        <v>-0.16180163906869022</v>
      </c>
      <c r="X384" s="1">
        <f t="shared" si="75"/>
        <v>22.657747024767055</v>
      </c>
      <c r="Y384" s="3">
        <f t="shared" si="76"/>
        <v>5.093001243936085E-2</v>
      </c>
      <c r="Z384" s="1">
        <f t="shared" si="66"/>
        <v>0.13514681970446688</v>
      </c>
      <c r="AA384" s="8">
        <f t="shared" si="71"/>
        <v>30.999999999999829</v>
      </c>
      <c r="AB384" s="1">
        <v>31.08</v>
      </c>
      <c r="AC384" s="1">
        <v>2.3364699999999999E-2</v>
      </c>
      <c r="AD384" s="8">
        <f t="shared" si="67"/>
        <v>2.3976686429888137</v>
      </c>
      <c r="AE384" s="3">
        <f t="shared" si="68"/>
        <v>1.0261927792733543E-2</v>
      </c>
      <c r="AF384" s="11">
        <f t="shared" si="69"/>
        <v>30.999999999999829</v>
      </c>
      <c r="AG384" s="1">
        <f t="shared" si="70"/>
        <v>0.13514681970446688</v>
      </c>
    </row>
    <row r="385" spans="2:33" ht="15">
      <c r="B385" s="1">
        <v>374</v>
      </c>
      <c r="C385" s="1">
        <v>1.0006377682603484</v>
      </c>
      <c r="D385" s="1">
        <v>1.1976901702885721</v>
      </c>
      <c r="E385" s="1">
        <v>0.83407871019534219</v>
      </c>
      <c r="G385" s="1">
        <v>1.0005023901815611</v>
      </c>
      <c r="H385" s="1">
        <v>4.5787719508531479</v>
      </c>
      <c r="I385" s="1">
        <v>0.18211151558047631</v>
      </c>
      <c r="K385" s="1">
        <v>1.0007331599454234</v>
      </c>
      <c r="L385" s="1">
        <v>2.7355298775105483</v>
      </c>
      <c r="M385" s="1">
        <v>0.33815807223727229</v>
      </c>
      <c r="O385" s="1">
        <v>2.3134873187463656E-2</v>
      </c>
      <c r="P385" s="1">
        <v>0.48624781335821243</v>
      </c>
      <c r="R385" s="1">
        <v>4.5740578654269601E-2</v>
      </c>
      <c r="S385" s="2">
        <f t="shared" si="72"/>
        <v>0.75538713985535422</v>
      </c>
      <c r="T385" s="4">
        <f t="shared" si="73"/>
        <v>0.57060973105885249</v>
      </c>
      <c r="U385" s="1">
        <f t="shared" si="77"/>
        <v>0.40851329646945622</v>
      </c>
      <c r="V385" s="6">
        <f>2*sigma/alpha*corel*(B385/12-1/alpha*(1-EXP(-alpha*Output!B385/12)))</f>
        <v>1.6012096030338669</v>
      </c>
      <c r="W385" s="5">
        <f t="shared" si="74"/>
        <v>-0.16209643458939627</v>
      </c>
      <c r="X385" s="1">
        <f t="shared" si="75"/>
        <v>22.771894371659275</v>
      </c>
      <c r="Y385" s="3">
        <f t="shared" si="76"/>
        <v>5.0868144479521572E-2</v>
      </c>
      <c r="Z385" s="1">
        <f t="shared" si="66"/>
        <v>0.13530829101301065</v>
      </c>
      <c r="AA385" s="8">
        <f t="shared" si="71"/>
        <v>31.083333333333162</v>
      </c>
      <c r="AB385" s="1">
        <v>31.17</v>
      </c>
      <c r="AC385" s="1">
        <v>2.3374900000000001E-2</v>
      </c>
      <c r="AD385" s="8">
        <f t="shared" si="67"/>
        <v>2.4002681253634459</v>
      </c>
      <c r="AE385" s="3">
        <f t="shared" si="68"/>
        <v>1.0268570669236856E-2</v>
      </c>
      <c r="AF385" s="11">
        <f t="shared" si="69"/>
        <v>31.083333333333162</v>
      </c>
      <c r="AG385" s="1">
        <f t="shared" si="70"/>
        <v>0.13530829101301065</v>
      </c>
    </row>
    <row r="386" spans="2:33" ht="15">
      <c r="B386" s="1">
        <v>375</v>
      </c>
      <c r="C386" s="1">
        <v>1.0006389697488911</v>
      </c>
      <c r="D386" s="1">
        <v>1.2005714693628131</v>
      </c>
      <c r="E386" s="1">
        <v>0.83207525653708825</v>
      </c>
      <c r="G386" s="1">
        <v>1.000427216351969</v>
      </c>
      <c r="H386" s="1">
        <v>4.677994924916077</v>
      </c>
      <c r="I386" s="1">
        <v>0.17816259405985665</v>
      </c>
      <c r="K386" s="1">
        <v>1.0007456535933295</v>
      </c>
      <c r="L386" s="1">
        <v>2.7309666406512534</v>
      </c>
      <c r="M386" s="1">
        <v>0.33865254861634164</v>
      </c>
      <c r="O386" s="1">
        <v>2.3144543129513796E-2</v>
      </c>
      <c r="P386" s="1">
        <v>0.48516464433478185</v>
      </c>
      <c r="R386" s="1">
        <v>4.5714131398559253E-2</v>
      </c>
      <c r="S386" s="2">
        <f t="shared" si="72"/>
        <v>0.75708786802116479</v>
      </c>
      <c r="T386" s="4">
        <f t="shared" si="73"/>
        <v>0.57318203990483263</v>
      </c>
      <c r="U386" s="1">
        <f t="shared" si="77"/>
        <v>0.41110966018705275</v>
      </c>
      <c r="V386" s="6">
        <f>2*sigma/alpha*corel*(B386/12-1/alpha*(1-EXP(-alpha*Output!B386/12)))</f>
        <v>1.6085642546238168</v>
      </c>
      <c r="W386" s="5">
        <f t="shared" si="74"/>
        <v>-0.16207237971777988</v>
      </c>
      <c r="X386" s="1">
        <f t="shared" si="75"/>
        <v>22.846526425975959</v>
      </c>
      <c r="Y386" s="3">
        <f t="shared" si="76"/>
        <v>5.0739836172991326E-2</v>
      </c>
      <c r="Z386" s="1">
        <f t="shared" si="66"/>
        <v>0.1354319950268571</v>
      </c>
      <c r="AA386" s="8">
        <f t="shared" si="71"/>
        <v>31.166666666666494</v>
      </c>
      <c r="AB386" s="1">
        <v>31.25</v>
      </c>
      <c r="AC386" s="1">
        <v>2.3385099999999999E-2</v>
      </c>
      <c r="AD386" s="8">
        <f t="shared" si="67"/>
        <v>2.4055687048620338</v>
      </c>
      <c r="AE386" s="3">
        <f t="shared" si="68"/>
        <v>1.0286758255735634E-2</v>
      </c>
      <c r="AF386" s="11">
        <f t="shared" si="69"/>
        <v>31.166666666666494</v>
      </c>
      <c r="AG386" s="1">
        <f t="shared" si="70"/>
        <v>0.1354319950268571</v>
      </c>
    </row>
    <row r="387" spans="2:33" ht="15">
      <c r="B387" s="1">
        <v>376</v>
      </c>
      <c r="C387" s="1">
        <v>1.0006419333517147</v>
      </c>
      <c r="D387" s="1">
        <v>1.2031861649876956</v>
      </c>
      <c r="E387" s="1">
        <v>0.83026532303322398</v>
      </c>
      <c r="G387" s="1">
        <v>1.0005135263239175</v>
      </c>
      <c r="H387" s="1">
        <v>4.7689589327012598</v>
      </c>
      <c r="I387" s="1">
        <v>0.17467974205206269</v>
      </c>
      <c r="K387" s="1">
        <v>1.0008220886423831</v>
      </c>
      <c r="L387" s="1">
        <v>2.7065190373488335</v>
      </c>
      <c r="M387" s="1">
        <v>0.34164036675610632</v>
      </c>
      <c r="O387" s="1">
        <v>2.3153999927999592E-2</v>
      </c>
      <c r="P387" s="1">
        <v>0.48408634096870035</v>
      </c>
      <c r="R387" s="1">
        <v>4.5660176258880053E-2</v>
      </c>
      <c r="S387" s="2">
        <f t="shared" si="72"/>
        <v>0.75861584477147925</v>
      </c>
      <c r="T387" s="4">
        <f t="shared" si="73"/>
        <v>0.57549799993834505</v>
      </c>
      <c r="U387" s="1">
        <f t="shared" si="77"/>
        <v>0.41371404727167754</v>
      </c>
      <c r="V387" s="6">
        <f>2*sigma/alpha*corel*(B387/12-1/alpha*(1-EXP(-alpha*Output!B387/12)))</f>
        <v>1.6159302612452635</v>
      </c>
      <c r="W387" s="5">
        <f t="shared" si="74"/>
        <v>-0.16178395266666751</v>
      </c>
      <c r="X387" s="1">
        <f t="shared" si="75"/>
        <v>22.888152676763848</v>
      </c>
      <c r="Y387" s="3">
        <f t="shared" si="76"/>
        <v>5.055680044858267E-2</v>
      </c>
      <c r="Z387" s="1">
        <f t="shared" si="66"/>
        <v>0.13552474845887302</v>
      </c>
      <c r="AA387" s="8">
        <f t="shared" si="71"/>
        <v>31.249999999999826</v>
      </c>
      <c r="AB387" s="1">
        <v>31.33</v>
      </c>
      <c r="AC387" s="1">
        <v>2.3394999999999999E-2</v>
      </c>
      <c r="AD387" s="8">
        <f t="shared" si="67"/>
        <v>2.4100007200040725</v>
      </c>
      <c r="AE387" s="3">
        <f t="shared" si="68"/>
        <v>1.0301349519145428E-2</v>
      </c>
      <c r="AF387" s="11">
        <f t="shared" si="69"/>
        <v>31.249999999999826</v>
      </c>
      <c r="AG387" s="1">
        <f t="shared" si="70"/>
        <v>0.13552474845887302</v>
      </c>
    </row>
    <row r="388" spans="2:33" ht="15">
      <c r="B388" s="1">
        <v>377</v>
      </c>
      <c r="C388" s="1">
        <v>1.0006387770557508</v>
      </c>
      <c r="D388" s="1">
        <v>1.2060430917835032</v>
      </c>
      <c r="E388" s="1">
        <v>0.82829684054751296</v>
      </c>
      <c r="G388" s="1">
        <v>1.0001080424613995</v>
      </c>
      <c r="H388" s="1">
        <v>4.869562136401739</v>
      </c>
      <c r="I388" s="1">
        <v>0.17098816946712281</v>
      </c>
      <c r="K388" s="1">
        <v>1.0008993882746906</v>
      </c>
      <c r="L388" s="1">
        <v>2.723513880227213</v>
      </c>
      <c r="M388" s="1">
        <v>0.33943779262636009</v>
      </c>
      <c r="O388" s="1">
        <v>2.3163403807258641E-2</v>
      </c>
      <c r="P388" s="1">
        <v>0.48301047592549123</v>
      </c>
      <c r="R388" s="1">
        <v>4.5630693485352397E-2</v>
      </c>
      <c r="S388" s="2">
        <f t="shared" si="72"/>
        <v>0.76029270382346903</v>
      </c>
      <c r="T388" s="4">
        <f t="shared" si="73"/>
        <v>0.57804499548720123</v>
      </c>
      <c r="U388" s="1">
        <f t="shared" si="77"/>
        <v>0.41632644846623207</v>
      </c>
      <c r="V388" s="6">
        <f>2*sigma/alpha*corel*(B388/12-1/alpha*(1-EXP(-alpha*Output!B388/12)))</f>
        <v>1.6233075923499605</v>
      </c>
      <c r="W388" s="5">
        <f t="shared" si="74"/>
        <v>-0.16171854702096916</v>
      </c>
      <c r="X388" s="1">
        <f t="shared" si="75"/>
        <v>22.957758281682818</v>
      </c>
      <c r="Y388" s="3">
        <f t="shared" si="76"/>
        <v>5.0420974590518405E-2</v>
      </c>
      <c r="Z388" s="1">
        <f t="shared" si="66"/>
        <v>0.13564405700650553</v>
      </c>
      <c r="AA388" s="8">
        <f t="shared" si="71"/>
        <v>31.333333333333158</v>
      </c>
      <c r="AB388" s="1">
        <v>31.42</v>
      </c>
      <c r="AC388" s="1">
        <v>2.34048E-2</v>
      </c>
      <c r="AD388" s="8">
        <f t="shared" si="67"/>
        <v>2.4139619274135895</v>
      </c>
      <c r="AE388" s="3">
        <f t="shared" si="68"/>
        <v>1.0313960928585544E-2</v>
      </c>
      <c r="AF388" s="11">
        <f t="shared" si="69"/>
        <v>31.333333333333158</v>
      </c>
      <c r="AG388" s="1">
        <f t="shared" si="70"/>
        <v>0.13564405700650553</v>
      </c>
    </row>
    <row r="389" spans="2:33" ht="15">
      <c r="B389" s="1">
        <v>378</v>
      </c>
      <c r="C389" s="1">
        <v>1.0006376570804101</v>
      </c>
      <c r="D389" s="1">
        <v>1.2068476480128552</v>
      </c>
      <c r="E389" s="1">
        <v>0.82774293211987482</v>
      </c>
      <c r="G389" s="1">
        <v>0.99988238992608025</v>
      </c>
      <c r="H389" s="1">
        <v>4.9001641048872937</v>
      </c>
      <c r="I389" s="1">
        <v>0.16983813021221525</v>
      </c>
      <c r="K389" s="1">
        <v>1.0009072952378777</v>
      </c>
      <c r="L389" s="1">
        <v>2.7743141084359935</v>
      </c>
      <c r="M389" s="1">
        <v>0.333152962249885</v>
      </c>
      <c r="O389" s="1">
        <v>2.3172894448713857E-2</v>
      </c>
      <c r="P389" s="1">
        <v>0.48193492947486949</v>
      </c>
      <c r="R389" s="1">
        <v>4.568570569483945E-2</v>
      </c>
      <c r="S389" s="2">
        <f t="shared" si="72"/>
        <v>0.76249170814131983</v>
      </c>
      <c r="T389" s="4">
        <f t="shared" si="73"/>
        <v>0.58139360498426762</v>
      </c>
      <c r="U389" s="1">
        <f t="shared" si="77"/>
        <v>0.41894685447227825</v>
      </c>
      <c r="V389" s="6">
        <f>2*sigma/alpha*corel*(B389/12-1/alpha*(1-EXP(-alpha*Output!B389/12)))</f>
        <v>1.6306962174718393</v>
      </c>
      <c r="W389" s="5">
        <f t="shared" si="74"/>
        <v>-0.16244675051198937</v>
      </c>
      <c r="X389" s="1">
        <f t="shared" si="75"/>
        <v>23.127460718187624</v>
      </c>
      <c r="Y389" s="3">
        <f t="shared" si="76"/>
        <v>5.0450883244986464E-2</v>
      </c>
      <c r="Z389" s="1">
        <f t="shared" si="66"/>
        <v>0.1358563205771833</v>
      </c>
      <c r="AA389" s="8">
        <f t="shared" si="71"/>
        <v>31.41666666666649</v>
      </c>
      <c r="AB389" s="1">
        <v>31.5</v>
      </c>
      <c r="AC389" s="1">
        <v>2.3414500000000001E-2</v>
      </c>
      <c r="AD389" s="8">
        <f t="shared" si="67"/>
        <v>2.4160555128614409</v>
      </c>
      <c r="AE389" s="3">
        <f t="shared" si="68"/>
        <v>1.0318629536660791E-2</v>
      </c>
      <c r="AF389" s="11">
        <f t="shared" si="69"/>
        <v>31.41666666666649</v>
      </c>
      <c r="AG389" s="1">
        <f t="shared" si="70"/>
        <v>0.1358563205771833</v>
      </c>
    </row>
    <row r="390" spans="2:33" ht="15">
      <c r="B390" s="1">
        <v>379</v>
      </c>
      <c r="C390" s="1">
        <v>1.0006370878776205</v>
      </c>
      <c r="D390" s="1">
        <v>1.2084128538415273</v>
      </c>
      <c r="E390" s="1">
        <v>0.82666907374985366</v>
      </c>
      <c r="G390" s="1">
        <v>0.99968136776436367</v>
      </c>
      <c r="H390" s="1">
        <v>4.9554187209658025</v>
      </c>
      <c r="I390" s="1">
        <v>0.16786312988636984</v>
      </c>
      <c r="K390" s="1">
        <v>1.0007956741217703</v>
      </c>
      <c r="L390" s="1">
        <v>2.7405942354850965</v>
      </c>
      <c r="M390" s="1">
        <v>0.33718177432683583</v>
      </c>
      <c r="O390" s="1">
        <v>2.3182417394846052E-2</v>
      </c>
      <c r="P390" s="1">
        <v>0.48086052677271279</v>
      </c>
      <c r="R390" s="1">
        <v>4.562336899099316E-2</v>
      </c>
      <c r="S390" s="2">
        <f t="shared" si="72"/>
        <v>0.76397254763447608</v>
      </c>
      <c r="T390" s="4">
        <f t="shared" si="73"/>
        <v>0.58365405353911182</v>
      </c>
      <c r="U390" s="1">
        <f t="shared" si="77"/>
        <v>0.4215752559505081</v>
      </c>
      <c r="V390" s="6">
        <f>2*sigma/alpha*corel*(B390/12-1/alpha*(1-EXP(-alpha*Output!B390/12)))</f>
        <v>1.6380961062267994</v>
      </c>
      <c r="W390" s="5">
        <f t="shared" si="74"/>
        <v>-0.16207879758860372</v>
      </c>
      <c r="X390" s="1">
        <f t="shared" si="75"/>
        <v>23.159313615262338</v>
      </c>
      <c r="Y390" s="3">
        <f t="shared" si="76"/>
        <v>5.0253029232358352E-2</v>
      </c>
      <c r="Z390" s="1">
        <f t="shared" si="66"/>
        <v>0.13594047124221317</v>
      </c>
      <c r="AA390" s="8">
        <f t="shared" si="71"/>
        <v>31.499999999999822</v>
      </c>
      <c r="AB390" s="1">
        <v>31.58</v>
      </c>
      <c r="AC390" s="1">
        <v>2.34241E-2</v>
      </c>
      <c r="AD390" s="8">
        <f t="shared" si="67"/>
        <v>2.4168260515394779</v>
      </c>
      <c r="AE390" s="3">
        <f t="shared" si="68"/>
        <v>1.0317690120600057E-2</v>
      </c>
      <c r="AF390" s="11">
        <f t="shared" si="69"/>
        <v>31.499999999999822</v>
      </c>
      <c r="AG390" s="1">
        <f t="shared" si="70"/>
        <v>0.13594047124221317</v>
      </c>
    </row>
    <row r="391" spans="2:33" ht="15">
      <c r="B391" s="1">
        <v>380</v>
      </c>
      <c r="C391" s="1">
        <v>1.0006407191517819</v>
      </c>
      <c r="D391" s="1">
        <v>1.2069194140014576</v>
      </c>
      <c r="E391" s="1">
        <v>0.82769026875699669</v>
      </c>
      <c r="G391" s="1">
        <v>0.99977882956546094</v>
      </c>
      <c r="H391" s="1">
        <v>4.8985844929161839</v>
      </c>
      <c r="I391" s="1">
        <v>0.16972855697169975</v>
      </c>
      <c r="K391" s="1">
        <v>1.0008227671076175</v>
      </c>
      <c r="L391" s="1">
        <v>2.6947318842537258</v>
      </c>
      <c r="M391" s="1">
        <v>0.34284892534214118</v>
      </c>
      <c r="O391" s="1">
        <v>2.319186350107914E-2</v>
      </c>
      <c r="P391" s="1">
        <v>0.4797889252446117</v>
      </c>
      <c r="R391" s="1">
        <v>4.5709178961653781E-2</v>
      </c>
      <c r="S391" s="2">
        <f t="shared" si="72"/>
        <v>0.76636497488492505</v>
      </c>
      <c r="T391" s="4">
        <f t="shared" si="73"/>
        <v>0.58731527473037182</v>
      </c>
      <c r="U391" s="1">
        <f t="shared" si="77"/>
        <v>0.42421164352120516</v>
      </c>
      <c r="V391" s="6">
        <f>2*sigma/alpha*corel*(B391/12-1/alpha*(1-EXP(-alpha*Output!B391/12)))</f>
        <v>1.6455072283124788</v>
      </c>
      <c r="W391" s="5">
        <f t="shared" si="74"/>
        <v>-0.16310363120916666</v>
      </c>
      <c r="X391" s="1">
        <f t="shared" si="75"/>
        <v>23.367487324923061</v>
      </c>
      <c r="Y391" s="3">
        <f t="shared" si="76"/>
        <v>5.0344510552796359E-2</v>
      </c>
      <c r="Z391" s="1">
        <f t="shared" si="66"/>
        <v>0.1361866298480881</v>
      </c>
      <c r="AA391" s="8">
        <f t="shared" si="71"/>
        <v>31.583333333333155</v>
      </c>
      <c r="AB391" s="1">
        <v>31.67</v>
      </c>
      <c r="AC391" s="1">
        <v>2.3433699999999998E-2</v>
      </c>
      <c r="AD391" s="8">
        <f t="shared" si="67"/>
        <v>2.4183649892085821</v>
      </c>
      <c r="AE391" s="3">
        <f t="shared" si="68"/>
        <v>1.0320030508236353E-2</v>
      </c>
      <c r="AF391" s="11">
        <f t="shared" si="69"/>
        <v>31.583333333333155</v>
      </c>
      <c r="AG391" s="1">
        <f t="shared" si="70"/>
        <v>0.1361866298480881</v>
      </c>
    </row>
    <row r="392" spans="2:33" ht="15">
      <c r="B392" s="1">
        <v>381</v>
      </c>
      <c r="C392" s="1">
        <v>1.0006432273726815</v>
      </c>
      <c r="D392" s="1">
        <v>1.2071324165476485</v>
      </c>
      <c r="E392" s="1">
        <v>0.82754249295446247</v>
      </c>
      <c r="G392" s="1">
        <v>0.99980868271887469</v>
      </c>
      <c r="H392" s="1">
        <v>4.9052605545417087</v>
      </c>
      <c r="I392" s="1">
        <v>0.16941555748415918</v>
      </c>
      <c r="K392" s="1">
        <v>1.0008364615940184</v>
      </c>
      <c r="L392" s="1">
        <v>2.7462360127409773</v>
      </c>
      <c r="M392" s="1">
        <v>0.33634890444470827</v>
      </c>
      <c r="O392" s="1">
        <v>2.3201265956751326E-2</v>
      </c>
      <c r="P392" s="1">
        <v>0.47871962157640557</v>
      </c>
      <c r="R392" s="1">
        <v>4.567776855473725E-2</v>
      </c>
      <c r="S392" s="2">
        <f t="shared" si="72"/>
        <v>0.76803594077554194</v>
      </c>
      <c r="T392" s="4">
        <f t="shared" si="73"/>
        <v>0.58987920632297175</v>
      </c>
      <c r="U392" s="1">
        <f t="shared" si="77"/>
        <v>0.42685600776470889</v>
      </c>
      <c r="V392" s="6">
        <f>2*sigma/alpha*corel*(B392/12-1/alpha*(1-EXP(-alpha*Output!B392/12)))</f>
        <v>1.6529295535080402</v>
      </c>
      <c r="W392" s="5">
        <f t="shared" si="74"/>
        <v>-0.16302319855826286</v>
      </c>
      <c r="X392" s="1">
        <f t="shared" si="75"/>
        <v>23.436122325759673</v>
      </c>
      <c r="Y392" s="3">
        <f t="shared" si="76"/>
        <v>5.0207202229551828E-2</v>
      </c>
      <c r="Z392" s="1">
        <f t="shared" si="66"/>
        <v>0.13630433830254121</v>
      </c>
      <c r="AA392" s="8">
        <f t="shared" si="71"/>
        <v>31.666666666666487</v>
      </c>
      <c r="AB392" s="1">
        <v>31.75</v>
      </c>
      <c r="AC392" s="1">
        <v>2.34433E-2</v>
      </c>
      <c r="AD392" s="8">
        <f t="shared" si="67"/>
        <v>2.420340432486741</v>
      </c>
      <c r="AE392" s="3">
        <f t="shared" si="68"/>
        <v>1.0324230942259583E-2</v>
      </c>
      <c r="AF392" s="11">
        <f t="shared" si="69"/>
        <v>31.666666666666487</v>
      </c>
      <c r="AG392" s="1">
        <f t="shared" si="70"/>
        <v>0.13630433830254121</v>
      </c>
    </row>
    <row r="393" spans="2:33" ht="15">
      <c r="B393" s="1">
        <v>382</v>
      </c>
      <c r="C393" s="1">
        <v>1.000645592596233</v>
      </c>
      <c r="D393" s="1">
        <v>1.2094969541182949</v>
      </c>
      <c r="E393" s="1">
        <v>0.82592294000354649</v>
      </c>
      <c r="G393" s="1">
        <v>0.99984586349573001</v>
      </c>
      <c r="H393" s="1">
        <v>4.9910656026379385</v>
      </c>
      <c r="I393" s="1">
        <v>0.16642246072390288</v>
      </c>
      <c r="K393" s="1">
        <v>1.0007508943248986</v>
      </c>
      <c r="L393" s="1">
        <v>2.7438073716268017</v>
      </c>
      <c r="M393" s="1">
        <v>0.33657649148670005</v>
      </c>
      <c r="O393" s="1">
        <v>2.3210599775068452E-2</v>
      </c>
      <c r="P393" s="1">
        <v>0.4776529961931032</v>
      </c>
      <c r="R393" s="1">
        <v>4.567358078850095E-2</v>
      </c>
      <c r="S393" s="2">
        <f t="shared" si="72"/>
        <v>0.76987451197030676</v>
      </c>
      <c r="T393" s="4">
        <f t="shared" si="73"/>
        <v>0.59270676418151802</v>
      </c>
      <c r="U393" s="1">
        <f t="shared" si="77"/>
        <v>0.4295083392218666</v>
      </c>
      <c r="V393" s="6">
        <f>2*sigma/alpha*corel*(B393/12-1/alpha*(1-EXP(-alpha*Output!B393/12)))</f>
        <v>1.6603630516739449</v>
      </c>
      <c r="W393" s="5">
        <f t="shared" si="74"/>
        <v>-0.16319842495965142</v>
      </c>
      <c r="X393" s="1">
        <f t="shared" si="75"/>
        <v>23.537404908226293</v>
      </c>
      <c r="Y393" s="3">
        <f t="shared" si="76"/>
        <v>5.0123140735088195E-2</v>
      </c>
      <c r="Z393" s="1">
        <f t="shared" si="66"/>
        <v>0.13645167882776965</v>
      </c>
      <c r="AA393" s="8">
        <f t="shared" si="71"/>
        <v>31.749999999999819</v>
      </c>
      <c r="AB393" s="1">
        <v>31.83</v>
      </c>
      <c r="AC393" s="1">
        <v>2.3452799999999999E-2</v>
      </c>
      <c r="AD393" s="8">
        <f t="shared" si="67"/>
        <v>2.4220022493154705</v>
      </c>
      <c r="AE393" s="3">
        <f t="shared" si="68"/>
        <v>1.0327134710207185E-2</v>
      </c>
      <c r="AF393" s="11">
        <f t="shared" si="69"/>
        <v>31.749999999999819</v>
      </c>
      <c r="AG393" s="1">
        <f t="shared" si="70"/>
        <v>0.13645167882776965</v>
      </c>
    </row>
    <row r="394" spans="2:33" ht="15">
      <c r="B394" s="1">
        <v>383</v>
      </c>
      <c r="C394" s="1">
        <v>1.000647919483854</v>
      </c>
      <c r="D394" s="1">
        <v>1.210905283106404</v>
      </c>
      <c r="E394" s="1">
        <v>0.82496063113986084</v>
      </c>
      <c r="G394" s="1">
        <v>0.99985833072114094</v>
      </c>
      <c r="H394" s="1">
        <v>5.0419316847904962</v>
      </c>
      <c r="I394" s="1">
        <v>0.16466378998557743</v>
      </c>
      <c r="K394" s="1">
        <v>1.0007126947557805</v>
      </c>
      <c r="L394" s="1">
        <v>2.7459296916611797</v>
      </c>
      <c r="M394" s="1">
        <v>0.33624629405150208</v>
      </c>
      <c r="O394" s="1">
        <v>2.3219979179075319E-2</v>
      </c>
      <c r="P394" s="1">
        <v>0.47658731252974529</v>
      </c>
      <c r="R394" s="1">
        <v>4.5662621657650962E-2</v>
      </c>
      <c r="S394" s="2">
        <f t="shared" si="72"/>
        <v>0.77167390684377102</v>
      </c>
      <c r="T394" s="4">
        <f t="shared" si="73"/>
        <v>0.59548061850352896</v>
      </c>
      <c r="U394" s="1">
        <f t="shared" si="77"/>
        <v>0.4321686283944961</v>
      </c>
      <c r="V394" s="6">
        <f>2*sigma/alpha*corel*(B394/12-1/alpha*(1-EXP(-alpha*Output!B394/12)))</f>
        <v>1.6678076927517438</v>
      </c>
      <c r="W394" s="5">
        <f t="shared" si="74"/>
        <v>-0.16331199010903286</v>
      </c>
      <c r="X394" s="1">
        <f t="shared" si="75"/>
        <v>23.631079903921759</v>
      </c>
      <c r="Y394" s="3">
        <f t="shared" si="76"/>
        <v>5.0026734577266536E-2</v>
      </c>
      <c r="Z394" s="1">
        <f t="shared" si="66"/>
        <v>0.13659193311950035</v>
      </c>
      <c r="AA394" s="8">
        <f t="shared" si="71"/>
        <v>31.833333333333151</v>
      </c>
      <c r="AB394" s="1">
        <v>31.92</v>
      </c>
      <c r="AC394" s="1">
        <v>2.3462400000000001E-2</v>
      </c>
      <c r="AD394" s="8">
        <f t="shared" si="67"/>
        <v>2.4242082092468253</v>
      </c>
      <c r="AE394" s="3">
        <f t="shared" si="68"/>
        <v>1.0332311311915341E-2</v>
      </c>
      <c r="AF394" s="11">
        <f t="shared" si="69"/>
        <v>31.833333333333151</v>
      </c>
      <c r="AG394" s="1">
        <f t="shared" si="70"/>
        <v>0.13659193311950035</v>
      </c>
    </row>
    <row r="395" spans="2:33" ht="15">
      <c r="B395" s="1">
        <v>384</v>
      </c>
      <c r="C395" s="1">
        <v>1.000652574820035</v>
      </c>
      <c r="D395" s="1">
        <v>1.2092527888844857</v>
      </c>
      <c r="E395" s="1">
        <v>0.82608623927188463</v>
      </c>
      <c r="G395" s="1">
        <v>1.0000743750283416</v>
      </c>
      <c r="H395" s="1">
        <v>4.9785486293242522</v>
      </c>
      <c r="I395" s="1">
        <v>0.16667948753178441</v>
      </c>
      <c r="K395" s="1">
        <v>1.0007383359779185</v>
      </c>
      <c r="L395" s="1">
        <v>2.7622168953544306</v>
      </c>
      <c r="M395" s="1">
        <v>0.33419401197904475</v>
      </c>
      <c r="O395" s="1">
        <v>2.3229339838294297E-2</v>
      </c>
      <c r="P395" s="1">
        <v>0.47552354837551958</v>
      </c>
      <c r="R395" s="1">
        <v>4.5704081102846149E-2</v>
      </c>
      <c r="S395" s="2">
        <f t="shared" si="72"/>
        <v>0.77380004961874671</v>
      </c>
      <c r="T395" s="4">
        <f t="shared" si="73"/>
        <v>0.59876651678997483</v>
      </c>
      <c r="U395" s="1">
        <f t="shared" si="77"/>
        <v>0.43483686574582803</v>
      </c>
      <c r="V395" s="6">
        <f>2*sigma/alpha*corel*(B395/12-1/alpha*(1-EXP(-alpha*Output!B395/12)))</f>
        <v>1.6752634467638476</v>
      </c>
      <c r="W395" s="5">
        <f t="shared" si="74"/>
        <v>-0.16392965104414681</v>
      </c>
      <c r="X395" s="1">
        <f t="shared" si="75"/>
        <v>23.789502949713878</v>
      </c>
      <c r="Y395" s="3">
        <f t="shared" si="76"/>
        <v>5.0034139982493869E-2</v>
      </c>
      <c r="Z395" s="1">
        <f t="shared" si="66"/>
        <v>0.13678981559197567</v>
      </c>
      <c r="AA395" s="8">
        <f t="shared" si="71"/>
        <v>31.916666666666483</v>
      </c>
      <c r="AB395" s="1">
        <v>32</v>
      </c>
      <c r="AC395" s="1">
        <v>2.3472099999999999E-2</v>
      </c>
      <c r="AD395" s="8">
        <f t="shared" si="67"/>
        <v>2.4276016170570252</v>
      </c>
      <c r="AE395" s="3">
        <f t="shared" si="68"/>
        <v>1.0342498613490165E-2</v>
      </c>
      <c r="AF395" s="11">
        <f t="shared" si="69"/>
        <v>31.916666666666483</v>
      </c>
      <c r="AG395" s="1">
        <f t="shared" si="70"/>
        <v>0.13678981559197567</v>
      </c>
    </row>
    <row r="396" spans="2:33" ht="15">
      <c r="B396" s="1">
        <v>385</v>
      </c>
      <c r="C396" s="1">
        <v>1.0006541947402416</v>
      </c>
      <c r="D396" s="1">
        <v>1.2050945706970277</v>
      </c>
      <c r="E396" s="1">
        <v>0.82893493218188297</v>
      </c>
      <c r="G396" s="1">
        <v>1.0000482055353555</v>
      </c>
      <c r="H396" s="1">
        <v>4.8252646593182034</v>
      </c>
      <c r="I396" s="1">
        <v>0.17189118935131603</v>
      </c>
      <c r="K396" s="1">
        <v>1.0006863835454449</v>
      </c>
      <c r="L396" s="1">
        <v>2.7794261014843458</v>
      </c>
      <c r="M396" s="1">
        <v>0.33205561743227524</v>
      </c>
      <c r="O396" s="1">
        <v>2.3238725480376136E-2</v>
      </c>
      <c r="P396" s="1">
        <v>0.47446103808127171</v>
      </c>
      <c r="R396" s="1">
        <v>4.5763022946070285E-2</v>
      </c>
      <c r="S396" s="2">
        <f t="shared" si="72"/>
        <v>0.77603840040786065</v>
      </c>
      <c r="T396" s="4">
        <f t="shared" si="73"/>
        <v>0.60223559890759104</v>
      </c>
      <c r="U396" s="1">
        <f t="shared" si="77"/>
        <v>0.43751304170096222</v>
      </c>
      <c r="V396" s="6">
        <f>2*sigma/alpha*corel*(B396/12-1/alpha*(1-EXP(-alpha*Output!B396/12)))</f>
        <v>1.6827302838133191</v>
      </c>
      <c r="W396" s="5">
        <f t="shared" si="74"/>
        <v>-0.16472255720662882</v>
      </c>
      <c r="X396" s="1">
        <f t="shared" si="75"/>
        <v>23.970976049579818</v>
      </c>
      <c r="Y396" s="3">
        <f t="shared" si="76"/>
        <v>5.0077185367667185E-2</v>
      </c>
      <c r="Z396" s="1">
        <f t="shared" si="66"/>
        <v>0.13700722501463428</v>
      </c>
      <c r="AA396" s="8">
        <f t="shared" si="71"/>
        <v>31.999999999999815</v>
      </c>
      <c r="AB396" s="1">
        <v>32.08</v>
      </c>
      <c r="AC396" s="1">
        <v>2.3481800000000001E-2</v>
      </c>
      <c r="AD396" s="8">
        <f t="shared" si="67"/>
        <v>2.4307451962386413</v>
      </c>
      <c r="AE396" s="3">
        <f t="shared" si="68"/>
        <v>1.0351613574081379E-2</v>
      </c>
      <c r="AF396" s="11">
        <f t="shared" si="69"/>
        <v>31.999999999999815</v>
      </c>
      <c r="AG396" s="1">
        <f t="shared" si="70"/>
        <v>0.13700722501463428</v>
      </c>
    </row>
    <row r="397" spans="2:33" ht="15">
      <c r="B397" s="1">
        <v>386</v>
      </c>
      <c r="C397" s="1">
        <v>1.0006526389582346</v>
      </c>
      <c r="D397" s="1">
        <v>1.2126768186020478</v>
      </c>
      <c r="E397" s="1">
        <v>0.82375028872493794</v>
      </c>
      <c r="G397" s="1">
        <v>0.99977365899100801</v>
      </c>
      <c r="H397" s="1">
        <v>5.1030688148938141</v>
      </c>
      <c r="I397" s="1">
        <v>0.16245503467369504</v>
      </c>
      <c r="K397" s="1">
        <v>1.0006219515131296</v>
      </c>
      <c r="L397" s="1">
        <v>2.7222293305475822</v>
      </c>
      <c r="M397" s="1">
        <v>0.33896181487883192</v>
      </c>
      <c r="O397" s="1">
        <v>2.32482659780903E-2</v>
      </c>
      <c r="P397" s="1">
        <v>0.47339780324305802</v>
      </c>
      <c r="R397" s="1">
        <v>4.5692012215112161E-2</v>
      </c>
      <c r="S397" s="2">
        <f t="shared" si="72"/>
        <v>0.77747343190618268</v>
      </c>
      <c r="T397" s="4">
        <f t="shared" si="73"/>
        <v>0.60446493731997764</v>
      </c>
      <c r="U397" s="1">
        <f t="shared" si="77"/>
        <v>0.44019714664730697</v>
      </c>
      <c r="V397" s="6">
        <f>2*sigma/alpha*corel*(B397/12-1/alpha*(1-EXP(-alpha*Output!B397/12)))</f>
        <v>1.6902081740836503</v>
      </c>
      <c r="W397" s="5">
        <f t="shared" si="74"/>
        <v>-0.16426779067267067</v>
      </c>
      <c r="X397" s="1">
        <f t="shared" si="75"/>
        <v>23.992592738289478</v>
      </c>
      <c r="Y397" s="3">
        <f t="shared" si="76"/>
        <v>4.9865522062055356E-2</v>
      </c>
      <c r="Z397" s="1">
        <f t="shared" ref="Z397:Z460" si="78">S397/SQRT(B397/12)</f>
        <v>0.13708266149475781</v>
      </c>
      <c r="AA397" s="8">
        <f t="shared" si="71"/>
        <v>32.083333333333151</v>
      </c>
      <c r="AB397" s="1">
        <v>32.17</v>
      </c>
      <c r="AC397" s="1">
        <v>2.3491600000000001E-2</v>
      </c>
      <c r="AD397" s="8">
        <f t="shared" ref="AD397:AD460" si="79">(AC397-O397)*10000</f>
        <v>2.4333402190970106</v>
      </c>
      <c r="AE397" s="3">
        <f t="shared" ref="AE397:AE460" si="80">AD397/AC397/10000</f>
        <v>1.035834178641306E-2</v>
      </c>
      <c r="AF397" s="11">
        <f t="shared" ref="AF397:AF460" si="81">AA397</f>
        <v>32.083333333333151</v>
      </c>
      <c r="AG397" s="1">
        <f t="shared" ref="AG397:AG460" si="82">Z397</f>
        <v>0.13708266149475781</v>
      </c>
    </row>
    <row r="398" spans="2:33" ht="15">
      <c r="B398" s="1">
        <v>387</v>
      </c>
      <c r="C398" s="1">
        <v>1.0006569411834412</v>
      </c>
      <c r="D398" s="1">
        <v>1.2190155894380434</v>
      </c>
      <c r="E398" s="1">
        <v>0.81946512951700479</v>
      </c>
      <c r="G398" s="1">
        <v>0.99997376835303786</v>
      </c>
      <c r="H398" s="1">
        <v>5.3434755595473531</v>
      </c>
      <c r="I398" s="1">
        <v>0.15507101035198065</v>
      </c>
      <c r="K398" s="1">
        <v>1.0006381456989564</v>
      </c>
      <c r="L398" s="1">
        <v>2.7105200691897333</v>
      </c>
      <c r="M398" s="1">
        <v>0.34035519203348641</v>
      </c>
      <c r="O398" s="1">
        <v>2.3257857368212908E-2</v>
      </c>
      <c r="P398" s="1">
        <v>0.47233542475188689</v>
      </c>
      <c r="R398" s="1">
        <v>4.5718559956510793E-2</v>
      </c>
      <c r="S398" s="2">
        <f t="shared" si="72"/>
        <v>0.77951970511473445</v>
      </c>
      <c r="T398" s="4">
        <f t="shared" si="73"/>
        <v>0.60765097066216256</v>
      </c>
      <c r="U398" s="1">
        <f t="shared" si="77"/>
        <v>0.44288917093502694</v>
      </c>
      <c r="V398" s="6">
        <f>2*sigma/alpha*corel*(B398/12-1/alpha*(1-EXP(-alpha*Output!B398/12)))</f>
        <v>1.6976970878385496</v>
      </c>
      <c r="W398" s="5">
        <f t="shared" si="74"/>
        <v>-0.16476179972713562</v>
      </c>
      <c r="X398" s="1">
        <f t="shared" si="75"/>
        <v>24.136447566855985</v>
      </c>
      <c r="Y398" s="3">
        <f t="shared" si="76"/>
        <v>4.9847888087968834E-2</v>
      </c>
      <c r="Z398" s="1">
        <f t="shared" si="78"/>
        <v>0.1372657661733902</v>
      </c>
      <c r="AA398" s="8">
        <f t="shared" ref="AA398:AA461" si="83">AA397+1/12</f>
        <v>32.166666666666487</v>
      </c>
      <c r="AB398" s="1">
        <v>32.25</v>
      </c>
      <c r="AC398" s="1">
        <v>2.3501500000000002E-2</v>
      </c>
      <c r="AD398" s="8">
        <f t="shared" si="79"/>
        <v>2.4364263178709362</v>
      </c>
      <c r="AE398" s="3">
        <f t="shared" si="80"/>
        <v>1.0367109834993239E-2</v>
      </c>
      <c r="AF398" s="11">
        <f t="shared" si="81"/>
        <v>32.166666666666487</v>
      </c>
      <c r="AG398" s="1">
        <f t="shared" si="82"/>
        <v>0.1372657661733902</v>
      </c>
    </row>
    <row r="399" spans="2:33" ht="15">
      <c r="B399" s="1">
        <v>388</v>
      </c>
      <c r="C399" s="1">
        <v>1.0006546909621699</v>
      </c>
      <c r="D399" s="1">
        <v>1.2203848083739848</v>
      </c>
      <c r="E399" s="1">
        <v>0.81854399127642474</v>
      </c>
      <c r="G399" s="1">
        <v>0.999605002964425</v>
      </c>
      <c r="H399" s="1">
        <v>5.3939581408357249</v>
      </c>
      <c r="I399" s="1">
        <v>0.1535453664039314</v>
      </c>
      <c r="K399" s="1">
        <v>1.0006054503611486</v>
      </c>
      <c r="L399" s="1">
        <v>2.7627213393568257</v>
      </c>
      <c r="M399" s="1">
        <v>0.33385466358489235</v>
      </c>
      <c r="O399" s="1">
        <v>2.3267578217913913E-2</v>
      </c>
      <c r="P399" s="1">
        <v>0.47127270435434893</v>
      </c>
      <c r="R399" s="1">
        <v>4.5782966474483676E-2</v>
      </c>
      <c r="S399" s="2">
        <f t="shared" si="72"/>
        <v>0.78180901072116993</v>
      </c>
      <c r="T399" s="4">
        <f t="shared" si="73"/>
        <v>0.61122532924481443</v>
      </c>
      <c r="U399" s="1">
        <f t="shared" si="77"/>
        <v>0.44558910487747755</v>
      </c>
      <c r="V399" s="6">
        <f>2*sigma/alpha*corel*(B399/12-1/alpha*(1-EXP(-alpha*Output!B399/12)))</f>
        <v>1.705196995421723</v>
      </c>
      <c r="W399" s="5">
        <f t="shared" si="74"/>
        <v>-0.16563622436733688</v>
      </c>
      <c r="X399" s="1">
        <f t="shared" si="75"/>
        <v>24.329981811370843</v>
      </c>
      <c r="Y399" s="3">
        <f t="shared" si="76"/>
        <v>4.9907414580874755E-2</v>
      </c>
      <c r="Z399" s="1">
        <f t="shared" si="78"/>
        <v>0.13749136759160829</v>
      </c>
      <c r="AA399" s="8">
        <f t="shared" si="83"/>
        <v>32.249999999999822</v>
      </c>
      <c r="AB399" s="1">
        <v>32.33</v>
      </c>
      <c r="AC399" s="1">
        <v>2.3511399999999998E-2</v>
      </c>
      <c r="AD399" s="8">
        <f t="shared" si="79"/>
        <v>2.4382178208608511</v>
      </c>
      <c r="AE399" s="3">
        <f t="shared" si="80"/>
        <v>1.0370364252493902E-2</v>
      </c>
      <c r="AF399" s="11">
        <f t="shared" si="81"/>
        <v>32.249999999999822</v>
      </c>
      <c r="AG399" s="1">
        <f t="shared" si="82"/>
        <v>0.13749136759160829</v>
      </c>
    </row>
    <row r="400" spans="2:33" ht="15">
      <c r="B400" s="1">
        <v>389</v>
      </c>
      <c r="C400" s="1">
        <v>1.0006556765574317</v>
      </c>
      <c r="D400" s="1">
        <v>1.2154196201117629</v>
      </c>
      <c r="E400" s="1">
        <v>0.82188613316127923</v>
      </c>
      <c r="G400" s="1">
        <v>0.99951064672940959</v>
      </c>
      <c r="H400" s="1">
        <v>5.1974514686759852</v>
      </c>
      <c r="I400" s="1">
        <v>0.15927355976865357</v>
      </c>
      <c r="K400" s="1">
        <v>1.0006053823965657</v>
      </c>
      <c r="L400" s="1">
        <v>2.7049354288893603</v>
      </c>
      <c r="M400" s="1">
        <v>0.34091581550323502</v>
      </c>
      <c r="O400" s="1">
        <v>2.3277447258338253E-2</v>
      </c>
      <c r="P400" s="1">
        <v>0.47020935437019945</v>
      </c>
      <c r="R400" s="1">
        <v>4.5846651899402513E-2</v>
      </c>
      <c r="S400" s="2">
        <f t="shared" si="72"/>
        <v>0.78410110930412613</v>
      </c>
      <c r="T400" s="4">
        <f t="shared" si="73"/>
        <v>0.61481454961196114</v>
      </c>
      <c r="U400" s="1">
        <f t="shared" si="77"/>
        <v>0.44829693875164495</v>
      </c>
      <c r="V400" s="6">
        <f>2*sigma/alpha*corel*(B400/12-1/alpha*(1-EXP(-alpha*Output!B400/12)))</f>
        <v>1.7127078672566605</v>
      </c>
      <c r="W400" s="5">
        <f t="shared" si="74"/>
        <v>-0.16651761086031619</v>
      </c>
      <c r="X400" s="1">
        <f t="shared" si="75"/>
        <v>24.525151780117191</v>
      </c>
      <c r="Y400" s="3">
        <f t="shared" si="76"/>
        <v>4.9967809708627575E-2</v>
      </c>
      <c r="Z400" s="1">
        <f t="shared" si="78"/>
        <v>0.13771710689106892</v>
      </c>
      <c r="AA400" s="8">
        <f t="shared" si="83"/>
        <v>32.333333333333158</v>
      </c>
      <c r="AB400" s="1">
        <v>32.42</v>
      </c>
      <c r="AC400" s="1">
        <v>2.3521500000000001E-2</v>
      </c>
      <c r="AD400" s="8">
        <f t="shared" si="79"/>
        <v>2.4405274166174746</v>
      </c>
      <c r="AE400" s="3">
        <f t="shared" si="80"/>
        <v>1.0375730359957803E-2</v>
      </c>
      <c r="AF400" s="11">
        <f t="shared" si="81"/>
        <v>32.333333333333158</v>
      </c>
      <c r="AG400" s="1">
        <f t="shared" si="82"/>
        <v>0.13771710689106892</v>
      </c>
    </row>
    <row r="401" spans="2:33" ht="15">
      <c r="B401" s="1">
        <v>390</v>
      </c>
      <c r="C401" s="1">
        <v>1.0006615927326439</v>
      </c>
      <c r="D401" s="1">
        <v>1.2122792960755704</v>
      </c>
      <c r="E401" s="1">
        <v>0.82401341831129604</v>
      </c>
      <c r="G401" s="1">
        <v>0.99981761547814163</v>
      </c>
      <c r="H401" s="1">
        <v>5.0746905962671214</v>
      </c>
      <c r="I401" s="1">
        <v>0.16304759701673094</v>
      </c>
      <c r="K401" s="1">
        <v>1.0006420151905286</v>
      </c>
      <c r="L401" s="1">
        <v>2.7014345368419601</v>
      </c>
      <c r="M401" s="1">
        <v>0.34128651257675013</v>
      </c>
      <c r="O401" s="1">
        <v>2.3287416421918332E-2</v>
      </c>
      <c r="P401" s="1">
        <v>0.46914610538326618</v>
      </c>
      <c r="R401" s="1">
        <v>4.5956369436886392E-2</v>
      </c>
      <c r="S401" s="2">
        <f t="shared" si="72"/>
        <v>0.78668840610343871</v>
      </c>
      <c r="T401" s="4">
        <f t="shared" si="73"/>
        <v>0.61887864829756889</v>
      </c>
      <c r="U401" s="1">
        <f t="shared" si="77"/>
        <v>0.45101266279857566</v>
      </c>
      <c r="V401" s="6">
        <f>2*sigma/alpha*corel*(B401/12-1/alpha*(1-EXP(-alpha*Output!B401/12)))</f>
        <v>1.7202296738464236</v>
      </c>
      <c r="W401" s="5">
        <f t="shared" si="74"/>
        <v>-0.16786598549899323</v>
      </c>
      <c r="X401" s="1">
        <f t="shared" si="75"/>
        <v>24.781768245650895</v>
      </c>
      <c r="Y401" s="3">
        <f t="shared" si="76"/>
        <v>5.0121527947889738E-2</v>
      </c>
      <c r="Z401" s="1">
        <f t="shared" si="78"/>
        <v>0.13799427505377718</v>
      </c>
      <c r="AA401" s="8">
        <f t="shared" si="83"/>
        <v>32.416666666666494</v>
      </c>
      <c r="AB401" s="1">
        <v>32.5</v>
      </c>
      <c r="AC401" s="1">
        <v>2.35315E-2</v>
      </c>
      <c r="AD401" s="8">
        <f t="shared" si="79"/>
        <v>2.4408357808166845</v>
      </c>
      <c r="AE401" s="3">
        <f t="shared" si="80"/>
        <v>1.0372631497425512E-2</v>
      </c>
      <c r="AF401" s="11">
        <f t="shared" si="81"/>
        <v>32.416666666666494</v>
      </c>
      <c r="AG401" s="1">
        <f t="shared" si="82"/>
        <v>0.13799427505377718</v>
      </c>
    </row>
    <row r="402" spans="2:33" ht="15">
      <c r="B402" s="1">
        <v>391</v>
      </c>
      <c r="C402" s="1">
        <v>1.0006650304105809</v>
      </c>
      <c r="D402" s="1">
        <v>1.2141280254831024</v>
      </c>
      <c r="E402" s="1">
        <v>0.82275695520041525</v>
      </c>
      <c r="G402" s="1">
        <v>0.99992287246166944</v>
      </c>
      <c r="H402" s="1">
        <v>5.1398514889785956</v>
      </c>
      <c r="I402" s="1">
        <v>0.16090266651995616</v>
      </c>
      <c r="K402" s="1">
        <v>1.0005324449281043</v>
      </c>
      <c r="L402" s="1">
        <v>2.6972225049941287</v>
      </c>
      <c r="M402" s="1">
        <v>0.34174826673321002</v>
      </c>
      <c r="O402" s="1">
        <v>2.3297306055774562E-2</v>
      </c>
      <c r="P402" s="1">
        <v>0.46808569587463944</v>
      </c>
      <c r="R402" s="1">
        <v>4.5942352214203223E-2</v>
      </c>
      <c r="S402" s="2">
        <f t="shared" si="72"/>
        <v>0.78849922600294597</v>
      </c>
      <c r="T402" s="4">
        <f t="shared" si="73"/>
        <v>0.6217310294072449</v>
      </c>
      <c r="U402" s="1">
        <f t="shared" si="77"/>
        <v>0.45373626722381105</v>
      </c>
      <c r="V402" s="6">
        <f>2*sigma/alpha*corel*(B402/12-1/alpha*(1-EXP(-alpha*Output!B402/12)))</f>
        <v>1.7277623857734263</v>
      </c>
      <c r="W402" s="5">
        <f t="shared" si="74"/>
        <v>-0.16799476218343384</v>
      </c>
      <c r="X402" s="1">
        <f t="shared" si="75"/>
        <v>24.880480199601024</v>
      </c>
      <c r="Y402" s="3">
        <f t="shared" si="76"/>
        <v>5.0029738848412018E-2</v>
      </c>
      <c r="Z402" s="1">
        <f t="shared" si="78"/>
        <v>0.13813493118883652</v>
      </c>
      <c r="AA402" s="8">
        <f t="shared" si="83"/>
        <v>32.499999999999829</v>
      </c>
      <c r="AB402" s="1">
        <v>32.58</v>
      </c>
      <c r="AC402" s="1">
        <v>2.3541599999999999E-2</v>
      </c>
      <c r="AD402" s="8">
        <f t="shared" si="79"/>
        <v>2.44293944225437</v>
      </c>
      <c r="AE402" s="3">
        <f t="shared" si="80"/>
        <v>1.0377117282828568E-2</v>
      </c>
      <c r="AF402" s="11">
        <f t="shared" si="81"/>
        <v>32.499999999999829</v>
      </c>
      <c r="AG402" s="1">
        <f t="shared" si="82"/>
        <v>0.13813493118883652</v>
      </c>
    </row>
    <row r="403" spans="2:33" ht="15">
      <c r="B403" s="1">
        <v>392</v>
      </c>
      <c r="C403" s="1">
        <v>1.0006656114287675</v>
      </c>
      <c r="D403" s="1">
        <v>1.2180730228465282</v>
      </c>
      <c r="E403" s="1">
        <v>0.82009052386234338</v>
      </c>
      <c r="G403" s="1">
        <v>0.9998082162130959</v>
      </c>
      <c r="H403" s="1">
        <v>5.2917041417801682</v>
      </c>
      <c r="I403" s="1">
        <v>0.15620973559204282</v>
      </c>
      <c r="K403" s="1">
        <v>1.0005619531402454</v>
      </c>
      <c r="L403" s="1">
        <v>2.7316472338931748</v>
      </c>
      <c r="M403" s="1">
        <v>0.33737119823821288</v>
      </c>
      <c r="O403" s="1">
        <v>2.33072359244712E-2</v>
      </c>
      <c r="P403" s="1">
        <v>0.4670262995873497</v>
      </c>
      <c r="R403" s="1">
        <v>4.5935134672166006E-2</v>
      </c>
      <c r="S403" s="2">
        <f t="shared" si="72"/>
        <v>0.79035552545101906</v>
      </c>
      <c r="T403" s="4">
        <f t="shared" si="73"/>
        <v>0.62466185661095641</v>
      </c>
      <c r="U403" s="1">
        <f t="shared" si="77"/>
        <v>0.45646774219781067</v>
      </c>
      <c r="V403" s="6">
        <f>2*sigma/alpha*corel*(B403/12-1/alpha*(1-EXP(-alpha*Output!B403/12)))</f>
        <v>1.7353059736992236</v>
      </c>
      <c r="W403" s="5">
        <f t="shared" si="74"/>
        <v>-0.16819411441314575</v>
      </c>
      <c r="X403" s="1">
        <f t="shared" si="75"/>
        <v>24.988651105673924</v>
      </c>
      <c r="Y403" s="3">
        <f t="shared" si="76"/>
        <v>4.9952433796553931E-2</v>
      </c>
      <c r="Z403" s="1">
        <f t="shared" si="78"/>
        <v>0.13828341091030574</v>
      </c>
      <c r="AA403" s="8">
        <f t="shared" si="83"/>
        <v>32.583333333333165</v>
      </c>
      <c r="AB403" s="1">
        <v>32.67</v>
      </c>
      <c r="AC403" s="1">
        <v>2.3551800000000001E-2</v>
      </c>
      <c r="AD403" s="8">
        <f t="shared" si="79"/>
        <v>2.4456407552880117</v>
      </c>
      <c r="AE403" s="3">
        <f t="shared" si="80"/>
        <v>1.038409274572649E-2</v>
      </c>
      <c r="AF403" s="11">
        <f t="shared" si="81"/>
        <v>32.583333333333165</v>
      </c>
      <c r="AG403" s="1">
        <f t="shared" si="82"/>
        <v>0.13828341091030574</v>
      </c>
    </row>
    <row r="404" spans="2:33" ht="15">
      <c r="B404" s="1">
        <v>393</v>
      </c>
      <c r="C404" s="1">
        <v>1.0006636852258226</v>
      </c>
      <c r="D404" s="1">
        <v>1.2193415084358938</v>
      </c>
      <c r="E404" s="1">
        <v>0.81923562651690796</v>
      </c>
      <c r="G404" s="1">
        <v>0.9994824929864824</v>
      </c>
      <c r="H404" s="1">
        <v>5.3416626283601829</v>
      </c>
      <c r="I404" s="1">
        <v>0.15467390004720039</v>
      </c>
      <c r="K404" s="1">
        <v>1.0006696859095947</v>
      </c>
      <c r="L404" s="1">
        <v>2.7023563623894544</v>
      </c>
      <c r="M404" s="1">
        <v>0.34095692848731696</v>
      </c>
      <c r="O404" s="1">
        <v>2.3317289125394679E-2</v>
      </c>
      <c r="P404" s="1">
        <v>0.46596664770950663</v>
      </c>
      <c r="R404" s="1">
        <v>4.5945431647473847E-2</v>
      </c>
      <c r="S404" s="2">
        <f t="shared" si="72"/>
        <v>0.79232758841590845</v>
      </c>
      <c r="T404" s="4">
        <f t="shared" si="73"/>
        <v>0.62778300736496917</v>
      </c>
      <c r="U404" s="1">
        <f t="shared" si="77"/>
        <v>0.4592070778563806</v>
      </c>
      <c r="V404" s="6">
        <f>2*sigma/alpha*corel*(B404/12-1/alpha*(1-EXP(-alpha*Output!B404/12)))</f>
        <v>1.7428604083643033</v>
      </c>
      <c r="W404" s="5">
        <f t="shared" si="74"/>
        <v>-0.16857592950858857</v>
      </c>
      <c r="X404" s="1">
        <f t="shared" si="75"/>
        <v>25.121009168668888</v>
      </c>
      <c r="Y404" s="3">
        <f t="shared" si="76"/>
        <v>4.9911845810932956E-2</v>
      </c>
      <c r="Z404" s="1">
        <f t="shared" si="78"/>
        <v>0.13845196564068729</v>
      </c>
      <c r="AA404" s="8">
        <f t="shared" si="83"/>
        <v>32.666666666666501</v>
      </c>
      <c r="AB404" s="1">
        <v>32.75</v>
      </c>
      <c r="AC404" s="1">
        <v>2.35619E-2</v>
      </c>
      <c r="AD404" s="8">
        <f t="shared" si="79"/>
        <v>2.4461087460532145</v>
      </c>
      <c r="AE404" s="3">
        <f t="shared" si="80"/>
        <v>1.0381627738226606E-2</v>
      </c>
      <c r="AF404" s="11">
        <f t="shared" si="81"/>
        <v>32.666666666666501</v>
      </c>
      <c r="AG404" s="1">
        <f t="shared" si="82"/>
        <v>0.13845196564068729</v>
      </c>
    </row>
    <row r="405" spans="2:33" ht="15">
      <c r="B405" s="1">
        <v>394</v>
      </c>
      <c r="C405" s="1">
        <v>1.0006679495084232</v>
      </c>
      <c r="D405" s="1">
        <v>1.2168967676266842</v>
      </c>
      <c r="E405" s="1">
        <v>0.82087970631452278</v>
      </c>
      <c r="G405" s="1">
        <v>0.99963813700791926</v>
      </c>
      <c r="H405" s="1">
        <v>5.2452748544360634</v>
      </c>
      <c r="I405" s="1">
        <v>0.15743999942531389</v>
      </c>
      <c r="K405" s="1">
        <v>1.0005080012524667</v>
      </c>
      <c r="L405" s="1">
        <v>2.7133608375739393</v>
      </c>
      <c r="M405" s="1">
        <v>0.33950338511602379</v>
      </c>
      <c r="O405" s="1">
        <v>2.332748968547085E-2</v>
      </c>
      <c r="P405" s="1">
        <v>0.46490637178298011</v>
      </c>
      <c r="R405" s="1">
        <v>4.5954979923666699E-2</v>
      </c>
      <c r="S405" s="2">
        <f t="shared" si="72"/>
        <v>0.79430112693152521</v>
      </c>
      <c r="T405" s="4">
        <f t="shared" si="73"/>
        <v>0.63091428024469098</v>
      </c>
      <c r="U405" s="1">
        <f t="shared" si="77"/>
        <v>0.46195426430109232</v>
      </c>
      <c r="V405" s="6">
        <f>2*sigma/alpha*corel*(B405/12-1/alpha*(1-EXP(-alpha*Output!B405/12)))</f>
        <v>1.7504256605878641</v>
      </c>
      <c r="W405" s="5">
        <f t="shared" si="74"/>
        <v>-0.16896001594359866</v>
      </c>
      <c r="X405" s="1">
        <f t="shared" si="75"/>
        <v>25.254072087170414</v>
      </c>
      <c r="Y405" s="3">
        <f t="shared" si="76"/>
        <v>4.9871837382567917E-2</v>
      </c>
      <c r="Z405" s="1">
        <f t="shared" si="78"/>
        <v>0.13862057335657765</v>
      </c>
      <c r="AA405" s="8">
        <f t="shared" si="83"/>
        <v>32.749999999999837</v>
      </c>
      <c r="AB405" s="1">
        <v>32.83</v>
      </c>
      <c r="AC405" s="1">
        <v>2.3572099999999999E-2</v>
      </c>
      <c r="AD405" s="8">
        <f t="shared" si="79"/>
        <v>2.4461031452914854</v>
      </c>
      <c r="AE405" s="3">
        <f t="shared" si="80"/>
        <v>1.0377111692600513E-2</v>
      </c>
      <c r="AF405" s="11">
        <f t="shared" si="81"/>
        <v>32.749999999999837</v>
      </c>
      <c r="AG405" s="1">
        <f t="shared" si="82"/>
        <v>0.13862057335657765</v>
      </c>
    </row>
    <row r="406" spans="2:33" ht="15">
      <c r="B406" s="1">
        <v>395</v>
      </c>
      <c r="C406" s="1">
        <v>1.0006686890212029</v>
      </c>
      <c r="D406" s="1">
        <v>1.219081932133335</v>
      </c>
      <c r="E406" s="1">
        <v>0.81940654452284134</v>
      </c>
      <c r="G406" s="1">
        <v>0.99950569007057088</v>
      </c>
      <c r="H406" s="1">
        <v>5.3261315006298675</v>
      </c>
      <c r="I406" s="1">
        <v>0.15497487071360183</v>
      </c>
      <c r="K406" s="1">
        <v>1.0004217612183657</v>
      </c>
      <c r="L406" s="1">
        <v>2.6897896788337543</v>
      </c>
      <c r="M406" s="1">
        <v>0.3424071780316828</v>
      </c>
      <c r="O406" s="1">
        <v>2.3337603103354691E-2</v>
      </c>
      <c r="P406" s="1">
        <v>0.46384905037513724</v>
      </c>
      <c r="R406" s="1">
        <v>4.6007406957666593E-2</v>
      </c>
      <c r="S406" s="2">
        <f t="shared" si="72"/>
        <v>0.79654644402145292</v>
      </c>
      <c r="T406" s="4">
        <f t="shared" si="73"/>
        <v>0.63448623748322164</v>
      </c>
      <c r="U406" s="1">
        <f t="shared" si="77"/>
        <v>0.46470929159970115</v>
      </c>
      <c r="V406" s="6">
        <f>2*sigma/alpha*corel*(B406/12-1/alpha*(1-EXP(-alpha*Output!B406/12)))</f>
        <v>1.7580017012676137</v>
      </c>
      <c r="W406" s="5">
        <f t="shared" si="74"/>
        <v>-0.16977694588352049</v>
      </c>
      <c r="X406" s="1">
        <f t="shared" si="75"/>
        <v>25.444534522990025</v>
      </c>
      <c r="Y406" s="3">
        <f t="shared" si="76"/>
        <v>4.9917810800533147E-2</v>
      </c>
      <c r="Z406" s="1">
        <f t="shared" si="78"/>
        <v>0.13883634706125433</v>
      </c>
      <c r="AA406" s="8">
        <f t="shared" si="83"/>
        <v>32.833333333333172</v>
      </c>
      <c r="AB406" s="1">
        <v>32.92</v>
      </c>
      <c r="AC406" s="1">
        <v>2.35823E-2</v>
      </c>
      <c r="AD406" s="8">
        <f t="shared" si="79"/>
        <v>2.4469689664530918</v>
      </c>
      <c r="AE406" s="3">
        <f t="shared" si="80"/>
        <v>1.0376294790809598E-2</v>
      </c>
      <c r="AF406" s="11">
        <f t="shared" si="81"/>
        <v>32.833333333333172</v>
      </c>
      <c r="AG406" s="1">
        <f t="shared" si="82"/>
        <v>0.13883634706125433</v>
      </c>
    </row>
    <row r="407" spans="2:33" ht="15">
      <c r="B407" s="1">
        <v>396</v>
      </c>
      <c r="C407" s="1">
        <v>1.0006696295398085</v>
      </c>
      <c r="D407" s="1">
        <v>1.218291848509772</v>
      </c>
      <c r="E407" s="1">
        <v>0.81993617719742307</v>
      </c>
      <c r="G407" s="1">
        <v>0.99938430113259291</v>
      </c>
      <c r="H407" s="1">
        <v>5.2896041027200456</v>
      </c>
      <c r="I407" s="1">
        <v>0.15596955592639603</v>
      </c>
      <c r="K407" s="1">
        <v>1.0002333755165864</v>
      </c>
      <c r="L407" s="1">
        <v>2.6173496374056571</v>
      </c>
      <c r="M407" s="1">
        <v>0.35181063501076937</v>
      </c>
      <c r="O407" s="1">
        <v>2.3347774993194969E-2</v>
      </c>
      <c r="P407" s="1">
        <v>0.46279246053440093</v>
      </c>
      <c r="R407" s="1">
        <v>4.5920239514957231E-2</v>
      </c>
      <c r="S407" s="2">
        <f t="shared" ref="S407:S470" si="84">optim_vol_implied(P407,R407)</f>
        <v>0.7979091617193188</v>
      </c>
      <c r="T407" s="4">
        <f t="shared" ref="T407:T470" si="85">S407*S407</f>
        <v>0.6366590303556261</v>
      </c>
      <c r="U407" s="1">
        <f t="shared" si="77"/>
        <v>0.46747214978656471</v>
      </c>
      <c r="V407" s="6">
        <f>2*sigma/alpha*corel*(B407/12-1/alpha*(1-EXP(-alpha*Output!B407/12)))</f>
        <v>1.7655885013795514</v>
      </c>
      <c r="W407" s="5">
        <f t="shared" ref="W407:W470" si="86">U407-T407</f>
        <v>-0.16918688056906139</v>
      </c>
      <c r="X407" s="1">
        <f t="shared" ref="X407:X470" si="87">V407*V407-4*W407*B407/12</f>
        <v>25.449970991319791</v>
      </c>
      <c r="Y407" s="3">
        <f t="shared" ref="Y407:Y470" si="88">(-V407+SQRT(X407))/2/B407*12</f>
        <v>4.9684968572180979E-2</v>
      </c>
      <c r="Z407" s="1">
        <f t="shared" si="78"/>
        <v>0.13889815653767484</v>
      </c>
      <c r="AA407" s="8">
        <f t="shared" si="83"/>
        <v>32.916666666666508</v>
      </c>
      <c r="AB407" s="1">
        <v>33</v>
      </c>
      <c r="AC407" s="1">
        <v>2.3592599999999998E-2</v>
      </c>
      <c r="AD407" s="8">
        <f t="shared" si="79"/>
        <v>2.4482500680502937</v>
      </c>
      <c r="AE407" s="3">
        <f t="shared" si="80"/>
        <v>1.0377194832491094E-2</v>
      </c>
      <c r="AF407" s="11">
        <f t="shared" si="81"/>
        <v>32.916666666666508</v>
      </c>
      <c r="AG407" s="1">
        <f t="shared" si="82"/>
        <v>0.13889815653767484</v>
      </c>
    </row>
    <row r="408" spans="2:33" ht="15">
      <c r="B408" s="1">
        <v>397</v>
      </c>
      <c r="C408" s="1">
        <v>1.0006732963463736</v>
      </c>
      <c r="D408" s="1">
        <v>1.2152861378796704</v>
      </c>
      <c r="E408" s="1">
        <v>0.82196231211582604</v>
      </c>
      <c r="G408" s="1">
        <v>0.99952864086210336</v>
      </c>
      <c r="H408" s="1">
        <v>5.1692352691018284</v>
      </c>
      <c r="I408" s="1">
        <v>0.15952418757791864</v>
      </c>
      <c r="K408" s="1">
        <v>1.0003518016820385</v>
      </c>
      <c r="L408" s="1">
        <v>2.5780343764007299</v>
      </c>
      <c r="M408" s="1">
        <v>0.35710137565208255</v>
      </c>
      <c r="O408" s="1">
        <v>2.3357945467480525E-2</v>
      </c>
      <c r="P408" s="1">
        <v>0.46173751630513199</v>
      </c>
      <c r="R408" s="1">
        <v>4.6039744128308246E-2</v>
      </c>
      <c r="S408" s="2">
        <f t="shared" si="84"/>
        <v>0.80058811457587198</v>
      </c>
      <c r="T408" s="4">
        <f t="shared" si="85"/>
        <v>0.64094132920014957</v>
      </c>
      <c r="U408" s="1">
        <f t="shared" si="77"/>
        <v>0.47024282886305246</v>
      </c>
      <c r="V408" s="6">
        <f>2*sigma/alpha*corel*(B408/12-1/alpha*(1-EXP(-alpha*Output!B408/12)))</f>
        <v>1.7731860319777593</v>
      </c>
      <c r="W408" s="5">
        <f t="shared" si="86"/>
        <v>-0.1706985003370971</v>
      </c>
      <c r="X408" s="1">
        <f t="shared" si="87"/>
        <v>25.733290248610214</v>
      </c>
      <c r="Y408" s="3">
        <f t="shared" si="88"/>
        <v>4.9868206891402894E-2</v>
      </c>
      <c r="Z408" s="1">
        <f t="shared" si="78"/>
        <v>0.1391888696583902</v>
      </c>
      <c r="AA408" s="8">
        <f t="shared" si="83"/>
        <v>32.999999999999844</v>
      </c>
      <c r="AB408" s="1">
        <v>33.08</v>
      </c>
      <c r="AC408" s="1">
        <v>2.36028E-2</v>
      </c>
      <c r="AD408" s="8">
        <f t="shared" si="79"/>
        <v>2.4485453251947566</v>
      </c>
      <c r="AE408" s="3">
        <f t="shared" si="80"/>
        <v>1.0373961246948483E-2</v>
      </c>
      <c r="AF408" s="11">
        <f t="shared" si="81"/>
        <v>32.999999999999844</v>
      </c>
      <c r="AG408" s="1">
        <f t="shared" si="82"/>
        <v>0.1391888696583902</v>
      </c>
    </row>
    <row r="409" spans="2:33" ht="15">
      <c r="B409" s="1">
        <v>398</v>
      </c>
      <c r="C409" s="1">
        <v>1.0006745985483085</v>
      </c>
      <c r="D409" s="1">
        <v>1.215565522699253</v>
      </c>
      <c r="E409" s="1">
        <v>0.8217716143604662</v>
      </c>
      <c r="G409" s="1">
        <v>0.99945494996749007</v>
      </c>
      <c r="H409" s="1">
        <v>5.1747251561930696</v>
      </c>
      <c r="I409" s="1">
        <v>0.15927785091900418</v>
      </c>
      <c r="K409" s="1">
        <v>1.0002684548017968</v>
      </c>
      <c r="L409" s="1">
        <v>2.5450379515726511</v>
      </c>
      <c r="M409" s="1">
        <v>0.36165584312494181</v>
      </c>
      <c r="O409" s="1">
        <v>2.3368127209404364E-2</v>
      </c>
      <c r="P409" s="1">
        <v>0.46068402378227863</v>
      </c>
      <c r="R409" s="1">
        <v>4.6117881024470966E-2</v>
      </c>
      <c r="S409" s="2">
        <f t="shared" si="84"/>
        <v>0.80300806111295353</v>
      </c>
      <c r="T409" s="4">
        <f t="shared" si="85"/>
        <v>0.64482194621238487</v>
      </c>
      <c r="U409" s="1">
        <f t="shared" si="77"/>
        <v>0.47302131879795833</v>
      </c>
      <c r="V409" s="6">
        <f>2*sigma/alpha*corel*(B409/12-1/alpha*(1-EXP(-alpha*Output!B409/12)))</f>
        <v>1.7807942641941925</v>
      </c>
      <c r="W409" s="5">
        <f t="shared" si="86"/>
        <v>-0.17180062741442653</v>
      </c>
      <c r="X409" s="1">
        <f t="shared" si="87"/>
        <v>25.963444781700858</v>
      </c>
      <c r="Y409" s="3">
        <f t="shared" si="88"/>
        <v>4.9969439012703537E-2</v>
      </c>
      <c r="Z409" s="1">
        <f t="shared" si="78"/>
        <v>0.13943409814316057</v>
      </c>
      <c r="AA409" s="8">
        <f t="shared" si="83"/>
        <v>33.083333333333179</v>
      </c>
      <c r="AB409" s="1">
        <v>33.17</v>
      </c>
      <c r="AC409" s="1">
        <v>2.3612999999999999E-2</v>
      </c>
      <c r="AD409" s="8">
        <f t="shared" si="79"/>
        <v>2.4487279059563423</v>
      </c>
      <c r="AE409" s="3">
        <f t="shared" si="80"/>
        <v>1.0370253275553052E-2</v>
      </c>
      <c r="AF409" s="11">
        <f t="shared" si="81"/>
        <v>33.083333333333179</v>
      </c>
      <c r="AG409" s="1">
        <f t="shared" si="82"/>
        <v>0.13943409814316057</v>
      </c>
    </row>
    <row r="410" spans="2:33" ht="15">
      <c r="B410" s="1">
        <v>399</v>
      </c>
      <c r="C410" s="1">
        <v>1.0006774079057017</v>
      </c>
      <c r="D410" s="1">
        <v>1.2118202495635491</v>
      </c>
      <c r="E410" s="1">
        <v>0.82430960826451161</v>
      </c>
      <c r="G410" s="1">
        <v>0.99950734867830193</v>
      </c>
      <c r="H410" s="1">
        <v>5.0371026895403475</v>
      </c>
      <c r="I410" s="1">
        <v>0.16355043547577869</v>
      </c>
      <c r="K410" s="1">
        <v>1.0002645307698712</v>
      </c>
      <c r="L410" s="1">
        <v>2.5583885196774521</v>
      </c>
      <c r="M410" s="1">
        <v>0.35969365232197287</v>
      </c>
      <c r="O410" s="1">
        <v>2.3378399219512028E-2</v>
      </c>
      <c r="P410" s="1">
        <v>0.45963077536777858</v>
      </c>
      <c r="R410" s="1">
        <v>4.6147843657150522E-2</v>
      </c>
      <c r="S410" s="2">
        <f t="shared" si="84"/>
        <v>0.8051264980510473</v>
      </c>
      <c r="T410" s="4">
        <f t="shared" si="85"/>
        <v>0.64822867786394311</v>
      </c>
      <c r="U410" s="1">
        <f t="shared" si="77"/>
        <v>0.47580760952790779</v>
      </c>
      <c r="V410" s="6">
        <f>2*sigma/alpha*corel*(B410/12-1/alpha*(1-EXP(-alpha*Output!B410/12)))</f>
        <v>1.7884131692384695</v>
      </c>
      <c r="W410" s="5">
        <f t="shared" si="86"/>
        <v>-0.17242106833603532</v>
      </c>
      <c r="X410" s="1">
        <f t="shared" si="87"/>
        <v>26.130423752598286</v>
      </c>
      <c r="Y410" s="3">
        <f t="shared" si="88"/>
        <v>4.9975630783673092E-2</v>
      </c>
      <c r="Z410" s="1">
        <f t="shared" si="78"/>
        <v>0.13962664263762101</v>
      </c>
      <c r="AA410" s="8">
        <f t="shared" si="83"/>
        <v>33.166666666666515</v>
      </c>
      <c r="AB410" s="1">
        <v>33.25</v>
      </c>
      <c r="AC410" s="1">
        <v>2.36232E-2</v>
      </c>
      <c r="AD410" s="8">
        <f t="shared" si="79"/>
        <v>2.4480078048797274</v>
      </c>
      <c r="AE410" s="3">
        <f t="shared" si="80"/>
        <v>1.0362727339563341E-2</v>
      </c>
      <c r="AF410" s="11">
        <f t="shared" si="81"/>
        <v>33.166666666666515</v>
      </c>
      <c r="AG410" s="1">
        <f t="shared" si="82"/>
        <v>0.13962664263762101</v>
      </c>
    </row>
    <row r="411" spans="2:33" ht="15">
      <c r="B411" s="1">
        <v>400</v>
      </c>
      <c r="C411" s="1">
        <v>1.0006802443644893</v>
      </c>
      <c r="D411" s="1">
        <v>1.2104672174284195</v>
      </c>
      <c r="E411" s="1">
        <v>0.82522920875374861</v>
      </c>
      <c r="G411" s="1">
        <v>0.99958147515805817</v>
      </c>
      <c r="H411" s="1">
        <v>4.9826651049901454</v>
      </c>
      <c r="I411" s="1">
        <v>0.16525729684337595</v>
      </c>
      <c r="K411" s="1">
        <v>1.0003690763119908</v>
      </c>
      <c r="L411" s="1">
        <v>2.6129858826216634</v>
      </c>
      <c r="M411" s="1">
        <v>0.35210462504082402</v>
      </c>
      <c r="O411" s="1">
        <v>2.3388674608480351E-2</v>
      </c>
      <c r="P411" s="1">
        <v>0.45857909822622012</v>
      </c>
      <c r="R411" s="1">
        <v>4.6278005536195863E-2</v>
      </c>
      <c r="S411" s="2">
        <f t="shared" si="84"/>
        <v>0.80788899374981327</v>
      </c>
      <c r="T411" s="4">
        <f t="shared" si="85"/>
        <v>0.65268462622208578</v>
      </c>
      <c r="U411" s="1">
        <f t="shared" si="77"/>
        <v>0.47860169095775962</v>
      </c>
      <c r="V411" s="6">
        <f>2*sigma/alpha*corel*(B411/12-1/alpha*(1-EXP(-alpha*Output!B411/12)))</f>
        <v>1.7960427183976631</v>
      </c>
      <c r="W411" s="5">
        <f t="shared" si="86"/>
        <v>-0.17408293526432617</v>
      </c>
      <c r="X411" s="1">
        <f t="shared" si="87"/>
        <v>26.436827481552754</v>
      </c>
      <c r="Y411" s="3">
        <f t="shared" si="88"/>
        <v>5.0184492503332345E-2</v>
      </c>
      <c r="Z411" s="1">
        <f t="shared" si="78"/>
        <v>0.13993047840503717</v>
      </c>
      <c r="AA411" s="8">
        <f t="shared" si="83"/>
        <v>33.249999999999851</v>
      </c>
      <c r="AB411" s="1">
        <v>33.33</v>
      </c>
      <c r="AC411" s="1">
        <v>2.3633399999999999E-2</v>
      </c>
      <c r="AD411" s="8">
        <f t="shared" si="79"/>
        <v>2.4472539151964776</v>
      </c>
      <c r="AE411" s="3">
        <f t="shared" si="80"/>
        <v>1.0355064930126338E-2</v>
      </c>
      <c r="AF411" s="11">
        <f t="shared" si="81"/>
        <v>33.249999999999851</v>
      </c>
      <c r="AG411" s="1">
        <f t="shared" si="82"/>
        <v>0.13993047840503717</v>
      </c>
    </row>
    <row r="412" spans="2:33" ht="15">
      <c r="B412" s="1">
        <v>401</v>
      </c>
      <c r="C412" s="1">
        <v>1.0006820753605195</v>
      </c>
      <c r="D412" s="1">
        <v>1.2063131706866368</v>
      </c>
      <c r="E412" s="1">
        <v>0.82806915531073322</v>
      </c>
      <c r="G412" s="1">
        <v>0.99956370896686186</v>
      </c>
      <c r="H412" s="1">
        <v>4.8254965868659632</v>
      </c>
      <c r="I412" s="1">
        <v>0.17055724123206764</v>
      </c>
      <c r="K412" s="1">
        <v>1.0003273339362782</v>
      </c>
      <c r="L412" s="1">
        <v>2.6080039918073044</v>
      </c>
      <c r="M412" s="1">
        <v>0.35270373882137573</v>
      </c>
      <c r="O412" s="1">
        <v>2.3398993995079241E-2</v>
      </c>
      <c r="P412" s="1">
        <v>0.45752837118559303</v>
      </c>
      <c r="R412" s="1">
        <v>4.6223542575892458E-2</v>
      </c>
      <c r="S412" s="2">
        <f t="shared" si="84"/>
        <v>0.8094741051484402</v>
      </c>
      <c r="T412" s="4">
        <f t="shared" si="85"/>
        <v>0.65524832690586798</v>
      </c>
      <c r="U412" s="1">
        <f t="shared" si="77"/>
        <v>0.48140355296100823</v>
      </c>
      <c r="V412" s="6">
        <f>2*sigma/alpha*corel*(B412/12-1/alpha*(1-EXP(-alpha*Output!B412/12)))</f>
        <v>1.8036828830360898</v>
      </c>
      <c r="W412" s="5">
        <f t="shared" si="86"/>
        <v>-0.17384477394485975</v>
      </c>
      <c r="X412" s="1">
        <f t="shared" si="87"/>
        <v>26.490523393186965</v>
      </c>
      <c r="Y412" s="3">
        <f t="shared" si="88"/>
        <v>5.0023117043351488E-2</v>
      </c>
      <c r="Z412" s="1">
        <f t="shared" si="78"/>
        <v>0.14003009939058708</v>
      </c>
      <c r="AA412" s="8">
        <f t="shared" si="83"/>
        <v>33.333333333333186</v>
      </c>
      <c r="AB412" s="1">
        <v>33.42</v>
      </c>
      <c r="AC412" s="1">
        <v>2.36437E-2</v>
      </c>
      <c r="AD412" s="8">
        <f t="shared" si="79"/>
        <v>2.4470600492075905</v>
      </c>
      <c r="AE412" s="3">
        <f t="shared" si="80"/>
        <v>1.0349733963836415E-2</v>
      </c>
      <c r="AF412" s="11">
        <f t="shared" si="81"/>
        <v>33.333333333333186</v>
      </c>
      <c r="AG412" s="1">
        <f t="shared" si="82"/>
        <v>0.14003009939058708</v>
      </c>
    </row>
    <row r="413" spans="2:33" ht="15">
      <c r="B413" s="1">
        <v>402</v>
      </c>
      <c r="C413" s="1">
        <v>1.0006817487982316</v>
      </c>
      <c r="D413" s="1">
        <v>1.2066275868248071</v>
      </c>
      <c r="E413" s="1">
        <v>0.82785157414190469</v>
      </c>
      <c r="G413" s="1">
        <v>0.99937011594996517</v>
      </c>
      <c r="H413" s="1">
        <v>4.8357387258418649</v>
      </c>
      <c r="I413" s="1">
        <v>0.17011365618812863</v>
      </c>
      <c r="K413" s="1">
        <v>1.0003423444525519</v>
      </c>
      <c r="L413" s="1">
        <v>2.6055233284484856</v>
      </c>
      <c r="M413" s="1">
        <v>0.35296599821098584</v>
      </c>
      <c r="O413" s="1">
        <v>2.3409391359098208E-2</v>
      </c>
      <c r="P413" s="1">
        <v>0.45647807410908026</v>
      </c>
      <c r="R413" s="1">
        <v>4.6218359540281043E-2</v>
      </c>
      <c r="S413" s="2">
        <f t="shared" si="84"/>
        <v>0.81137859686142155</v>
      </c>
      <c r="T413" s="4">
        <f t="shared" si="85"/>
        <v>0.65833522744480921</v>
      </c>
      <c r="U413" s="1">
        <f t="shared" si="77"/>
        <v>0.48421318538018954</v>
      </c>
      <c r="V413" s="6">
        <f>2*sigma/alpha*corel*(B413/12-1/alpha*(1-EXP(-alpha*Output!B413/12)))</f>
        <v>1.8113336345951081</v>
      </c>
      <c r="W413" s="5">
        <f t="shared" si="86"/>
        <v>-0.17412204206461968</v>
      </c>
      <c r="X413" s="1">
        <f t="shared" si="87"/>
        <v>26.61328317247456</v>
      </c>
      <c r="Y413" s="3">
        <f t="shared" si="88"/>
        <v>4.9962279646393937E-2</v>
      </c>
      <c r="Z413" s="1">
        <f t="shared" si="78"/>
        <v>0.14018487020421785</v>
      </c>
      <c r="AA413" s="8">
        <f t="shared" si="83"/>
        <v>33.416666666666522</v>
      </c>
      <c r="AB413" s="1">
        <v>33.5</v>
      </c>
      <c r="AC413" s="1">
        <v>2.3653899999999999E-2</v>
      </c>
      <c r="AD413" s="8">
        <f t="shared" si="79"/>
        <v>2.4450864090179087</v>
      </c>
      <c r="AE413" s="3">
        <f t="shared" si="80"/>
        <v>1.0336927141054577E-2</v>
      </c>
      <c r="AF413" s="11">
        <f t="shared" si="81"/>
        <v>33.416666666666522</v>
      </c>
      <c r="AG413" s="1">
        <f t="shared" si="82"/>
        <v>0.14018487020421785</v>
      </c>
    </row>
    <row r="414" spans="2:33" ht="15">
      <c r="B414" s="1">
        <v>403</v>
      </c>
      <c r="C414" s="1">
        <v>1.0006846943885899</v>
      </c>
      <c r="D414" s="1">
        <v>1.2086385646285474</v>
      </c>
      <c r="E414" s="1">
        <v>0.82647235565122279</v>
      </c>
      <c r="G414" s="1">
        <v>0.99945338038673359</v>
      </c>
      <c r="H414" s="1">
        <v>4.9078884211089369</v>
      </c>
      <c r="I414" s="1">
        <v>0.16753176218565929</v>
      </c>
      <c r="K414" s="1">
        <v>1.0004141724534001</v>
      </c>
      <c r="L414" s="1">
        <v>2.5827155621921043</v>
      </c>
      <c r="M414" s="1">
        <v>0.35600883799924371</v>
      </c>
      <c r="O414" s="1">
        <v>2.3419813135619829E-2</v>
      </c>
      <c r="P414" s="1">
        <v>0.45542902548627662</v>
      </c>
      <c r="R414" s="1">
        <v>4.6262274206474358E-2</v>
      </c>
      <c r="S414" s="2">
        <f t="shared" si="84"/>
        <v>0.81360177601687544</v>
      </c>
      <c r="T414" s="4">
        <f t="shared" si="85"/>
        <v>0.66194784993781397</v>
      </c>
      <c r="U414" s="1">
        <f t="shared" si="77"/>
        <v>0.48703057802726379</v>
      </c>
      <c r="V414" s="6">
        <f>2*sigma/alpha*corel*(B414/12-1/alpha*(1-EXP(-alpha*Output!B414/12)))</f>
        <v>1.818994944592905</v>
      </c>
      <c r="W414" s="5">
        <f t="shared" si="86"/>
        <v>-0.17491727191055018</v>
      </c>
      <c r="X414" s="1">
        <f t="shared" si="87"/>
        <v>26.805962801771788</v>
      </c>
      <c r="Y414" s="3">
        <f t="shared" si="88"/>
        <v>5.0001775286641202E-2</v>
      </c>
      <c r="Z414" s="1">
        <f t="shared" si="78"/>
        <v>0.14039446553722582</v>
      </c>
      <c r="AA414" s="8">
        <f t="shared" si="83"/>
        <v>33.499999999999858</v>
      </c>
      <c r="AB414" s="1">
        <v>33.58</v>
      </c>
      <c r="AC414" s="1">
        <v>2.36641E-2</v>
      </c>
      <c r="AD414" s="8">
        <f t="shared" si="79"/>
        <v>2.442868643801714</v>
      </c>
      <c r="AE414" s="3">
        <f t="shared" si="80"/>
        <v>1.0323099732513445E-2</v>
      </c>
      <c r="AF414" s="11">
        <f t="shared" si="81"/>
        <v>33.499999999999858</v>
      </c>
      <c r="AG414" s="1">
        <f t="shared" si="82"/>
        <v>0.14039446553722582</v>
      </c>
    </row>
    <row r="415" spans="2:33" ht="15">
      <c r="B415" s="1">
        <v>404</v>
      </c>
      <c r="C415" s="1">
        <v>1.000689373251006</v>
      </c>
      <c r="D415" s="1">
        <v>1.2081853066184198</v>
      </c>
      <c r="E415" s="1">
        <v>0.82678059877146415</v>
      </c>
      <c r="G415" s="1">
        <v>0.99966945425585652</v>
      </c>
      <c r="H415" s="1">
        <v>4.8891680695979547</v>
      </c>
      <c r="I415" s="1">
        <v>0.16809186666325687</v>
      </c>
      <c r="K415" s="1">
        <v>1.0005254258290075</v>
      </c>
      <c r="L415" s="1">
        <v>2.5882488578926375</v>
      </c>
      <c r="M415" s="1">
        <v>0.35517374123103646</v>
      </c>
      <c r="O415" s="1">
        <v>2.3430090731266666E-2</v>
      </c>
      <c r="P415" s="1">
        <v>0.45438380408939139</v>
      </c>
      <c r="R415" s="1">
        <v>4.6320096298044434E-2</v>
      </c>
      <c r="S415" s="2">
        <f t="shared" si="84"/>
        <v>0.81591364214984186</v>
      </c>
      <c r="T415" s="4">
        <f t="shared" si="85"/>
        <v>0.66571507144622022</v>
      </c>
      <c r="U415" s="1">
        <f t="shared" si="77"/>
        <v>0.48985572068402056</v>
      </c>
      <c r="V415" s="6">
        <f>2*sigma/alpha*corel*(B415/12-1/alpha*(1-EXP(-alpha*Output!B415/12)))</f>
        <v>1.8266667846242903</v>
      </c>
      <c r="W415" s="5">
        <f t="shared" si="86"/>
        <v>-0.17585935076219966</v>
      </c>
      <c r="X415" s="1">
        <f t="shared" si="87"/>
        <v>27.019104111359198</v>
      </c>
      <c r="Y415" s="3">
        <f t="shared" si="88"/>
        <v>5.0069162480113394E-2</v>
      </c>
      <c r="Z415" s="1">
        <f t="shared" si="78"/>
        <v>0.14061904207272957</v>
      </c>
      <c r="AA415" s="8">
        <f t="shared" si="83"/>
        <v>33.583333333333194</v>
      </c>
      <c r="AB415" s="1">
        <v>33.67</v>
      </c>
      <c r="AC415" s="1">
        <v>2.3674400000000002E-2</v>
      </c>
      <c r="AD415" s="8">
        <f t="shared" si="79"/>
        <v>2.4430926873333578</v>
      </c>
      <c r="AE415" s="3">
        <f t="shared" si="80"/>
        <v>1.0319554824339192E-2</v>
      </c>
      <c r="AF415" s="11">
        <f t="shared" si="81"/>
        <v>33.583333333333194</v>
      </c>
      <c r="AG415" s="1">
        <f t="shared" si="82"/>
        <v>0.14061904207272957</v>
      </c>
    </row>
    <row r="416" spans="2:33" ht="15">
      <c r="B416" s="1">
        <v>405</v>
      </c>
      <c r="C416" s="1">
        <v>1.0006904550130249</v>
      </c>
      <c r="D416" s="1">
        <v>1.2112043266488817</v>
      </c>
      <c r="E416" s="1">
        <v>0.82471797233504629</v>
      </c>
      <c r="G416" s="1">
        <v>0.99960685973777252</v>
      </c>
      <c r="H416" s="1">
        <v>4.9992433648145882</v>
      </c>
      <c r="I416" s="1">
        <v>0.16431121865017562</v>
      </c>
      <c r="K416" s="1">
        <v>1.0005551670473913</v>
      </c>
      <c r="L416" s="1">
        <v>2.5858762390543895</v>
      </c>
      <c r="M416" s="1">
        <v>0.35542556901155298</v>
      </c>
      <c r="O416" s="1">
        <v>2.3440399487770026E-2</v>
      </c>
      <c r="P416" s="1">
        <v>0.45333972819268964</v>
      </c>
      <c r="R416" s="1">
        <v>4.6380047460036079E-2</v>
      </c>
      <c r="S416" s="2">
        <f t="shared" si="84"/>
        <v>0.81824354044350045</v>
      </c>
      <c r="T416" s="4">
        <f t="shared" si="85"/>
        <v>0.6695224914775143</v>
      </c>
      <c r="U416" s="1">
        <f t="shared" si="77"/>
        <v>0.49268860310246571</v>
      </c>
      <c r="V416" s="6">
        <f>2*sigma/alpha*corel*(B416/12-1/alpha*(1-EXP(-alpha*Output!B416/12)))</f>
        <v>1.8343491263604959</v>
      </c>
      <c r="W416" s="5">
        <f t="shared" si="86"/>
        <v>-0.1768338883750486</v>
      </c>
      <c r="X416" s="1">
        <f t="shared" si="87"/>
        <v>27.237411648011076</v>
      </c>
      <c r="Y416" s="3">
        <f t="shared" si="88"/>
        <v>5.0142196198065869E-2</v>
      </c>
      <c r="Z416" s="1">
        <f t="shared" si="78"/>
        <v>0.14084638245686543</v>
      </c>
      <c r="AA416" s="8">
        <f t="shared" si="83"/>
        <v>33.666666666666529</v>
      </c>
      <c r="AB416" s="1">
        <v>33.75</v>
      </c>
      <c r="AC416" s="1">
        <v>2.36847E-2</v>
      </c>
      <c r="AD416" s="8">
        <f t="shared" si="79"/>
        <v>2.4430051222997311</v>
      </c>
      <c r="AE416" s="3">
        <f t="shared" si="80"/>
        <v>1.0314697345964827E-2</v>
      </c>
      <c r="AF416" s="11">
        <f t="shared" si="81"/>
        <v>33.666666666666529</v>
      </c>
      <c r="AG416" s="1">
        <f t="shared" si="82"/>
        <v>0.14084638245686543</v>
      </c>
    </row>
    <row r="417" spans="2:33" ht="15">
      <c r="B417" s="1">
        <v>406</v>
      </c>
      <c r="C417" s="1">
        <v>1.0006917884853956</v>
      </c>
      <c r="D417" s="1">
        <v>1.213526429830631</v>
      </c>
      <c r="E417" s="1">
        <v>0.82313804791769107</v>
      </c>
      <c r="G417" s="1">
        <v>0.99956235573778518</v>
      </c>
      <c r="H417" s="1">
        <v>5.0840645581839077</v>
      </c>
      <c r="I417" s="1">
        <v>0.16149172241972981</v>
      </c>
      <c r="K417" s="1">
        <v>1.0005859969636501</v>
      </c>
      <c r="L417" s="1">
        <v>2.5194484308822154</v>
      </c>
      <c r="M417" s="1">
        <v>0.36472073270673372</v>
      </c>
      <c r="O417" s="1">
        <v>2.3450709696961315E-2</v>
      </c>
      <c r="P417" s="1">
        <v>0.45229725202252558</v>
      </c>
      <c r="R417" s="1">
        <v>4.6370042574145932E-2</v>
      </c>
      <c r="S417" s="2">
        <f t="shared" si="84"/>
        <v>0.82012418276627508</v>
      </c>
      <c r="T417" s="4">
        <f t="shared" si="85"/>
        <v>0.67260367515805053</v>
      </c>
      <c r="U417" s="1">
        <f t="shared" si="77"/>
        <v>0.49552921500520508</v>
      </c>
      <c r="V417" s="6">
        <f>2*sigma/alpha*corel*(B417/12-1/alpha*(1-EXP(-alpha*Output!B417/12)))</f>
        <v>1.8420419415489631</v>
      </c>
      <c r="W417" s="5">
        <f t="shared" si="86"/>
        <v>-0.17707446015284545</v>
      </c>
      <c r="X417" s="1">
        <f t="shared" si="87"/>
        <v>27.35719545511056</v>
      </c>
      <c r="Y417" s="3">
        <f t="shared" si="88"/>
        <v>5.0074414251641927E-2</v>
      </c>
      <c r="Z417" s="1">
        <f t="shared" si="78"/>
        <v>0.14099614030542157</v>
      </c>
      <c r="AA417" s="8">
        <f t="shared" si="83"/>
        <v>33.749999999999865</v>
      </c>
      <c r="AB417" s="1">
        <v>33.83</v>
      </c>
      <c r="AC417" s="1">
        <v>2.3695000000000001E-2</v>
      </c>
      <c r="AD417" s="8">
        <f t="shared" si="79"/>
        <v>2.442903030386856</v>
      </c>
      <c r="AE417" s="3">
        <f t="shared" si="80"/>
        <v>1.0309782782810112E-2</v>
      </c>
      <c r="AF417" s="11">
        <f t="shared" si="81"/>
        <v>33.749999999999865</v>
      </c>
      <c r="AG417" s="1">
        <f t="shared" si="82"/>
        <v>0.14099614030542157</v>
      </c>
    </row>
    <row r="418" spans="2:33" ht="15">
      <c r="B418" s="1">
        <v>407</v>
      </c>
      <c r="C418" s="1">
        <v>1.0006934003323691</v>
      </c>
      <c r="D418" s="1">
        <v>1.2125792374184896</v>
      </c>
      <c r="E418" s="1">
        <v>0.8237792140578466</v>
      </c>
      <c r="G418" s="1">
        <v>0.99950908866976773</v>
      </c>
      <c r="H418" s="1">
        <v>5.0416070203096686</v>
      </c>
      <c r="I418" s="1">
        <v>0.1627729217473835</v>
      </c>
      <c r="K418" s="1">
        <v>1.0005386836038446</v>
      </c>
      <c r="L418" s="1">
        <v>2.5814482211328476</v>
      </c>
      <c r="M418" s="1">
        <v>0.35588692184236981</v>
      </c>
      <c r="O418" s="1">
        <v>2.3461063075699298E-2</v>
      </c>
      <c r="P418" s="1">
        <v>0.45125573693606669</v>
      </c>
      <c r="R418" s="1">
        <v>4.6387206716887598E-2</v>
      </c>
      <c r="S418" s="2">
        <f t="shared" si="84"/>
        <v>0.8221840368741915</v>
      </c>
      <c r="T418" s="4">
        <f t="shared" si="85"/>
        <v>0.67598659049074195</v>
      </c>
      <c r="U418" s="1">
        <f t="shared" si="77"/>
        <v>0.4983775460858349</v>
      </c>
      <c r="V418" s="6">
        <f>2*sigma/alpha*corel*(B418/12-1/alpha*(1-EXP(-alpha*Output!B418/12)))</f>
        <v>1.8497452020131393</v>
      </c>
      <c r="W418" s="5">
        <f t="shared" si="86"/>
        <v>-0.17760904440490705</v>
      </c>
      <c r="X418" s="1">
        <f t="shared" si="87"/>
        <v>27.517184336636355</v>
      </c>
      <c r="Y418" s="3">
        <f t="shared" si="88"/>
        <v>5.0062956931184316E-2</v>
      </c>
      <c r="Z418" s="1">
        <f t="shared" si="78"/>
        <v>0.14117651562791031</v>
      </c>
      <c r="AA418" s="8">
        <f t="shared" si="83"/>
        <v>33.833333333333201</v>
      </c>
      <c r="AB418" s="1">
        <v>33.92</v>
      </c>
      <c r="AC418" s="1">
        <v>2.3705299999999999E-2</v>
      </c>
      <c r="AD418" s="8">
        <f t="shared" si="79"/>
        <v>2.4423692430070032</v>
      </c>
      <c r="AE418" s="3">
        <f t="shared" si="80"/>
        <v>1.0303051397818223E-2</v>
      </c>
      <c r="AF418" s="11">
        <f t="shared" si="81"/>
        <v>33.833333333333201</v>
      </c>
      <c r="AG418" s="1">
        <f t="shared" si="82"/>
        <v>0.14117651562791031</v>
      </c>
    </row>
    <row r="419" spans="2:33" ht="15">
      <c r="B419" s="1">
        <v>408</v>
      </c>
      <c r="C419" s="1">
        <v>1.000693788491493</v>
      </c>
      <c r="D419" s="1">
        <v>1.2100484855784097</v>
      </c>
      <c r="E419" s="1">
        <v>0.82550027856009145</v>
      </c>
      <c r="G419" s="1">
        <v>0.99937053042264057</v>
      </c>
      <c r="H419" s="1">
        <v>4.9459555988637129</v>
      </c>
      <c r="I419" s="1">
        <v>0.16584056251237916</v>
      </c>
      <c r="K419" s="1">
        <v>1.0004530933826872</v>
      </c>
      <c r="L419" s="1">
        <v>2.6020424967631484</v>
      </c>
      <c r="M419" s="1">
        <v>0.35299664985708346</v>
      </c>
      <c r="O419" s="1">
        <v>2.3471516973877976E-2</v>
      </c>
      <c r="P419" s="1">
        <v>0.45021430461087564</v>
      </c>
      <c r="R419" s="1">
        <v>4.6309791000266796E-2</v>
      </c>
      <c r="S419" s="2">
        <f t="shared" si="84"/>
        <v>0.82363444727486868</v>
      </c>
      <c r="T419" s="4">
        <f t="shared" si="85"/>
        <v>0.67837370273777842</v>
      </c>
      <c r="U419" s="1">
        <f t="shared" si="77"/>
        <v>0.50123358600932355</v>
      </c>
      <c r="V419" s="6">
        <f>2*sigma/alpha*corel*(B419/12-1/alpha*(1-EXP(-alpha*Output!B419/12)))</f>
        <v>1.8574588796522784</v>
      </c>
      <c r="W419" s="5">
        <f t="shared" si="86"/>
        <v>-0.17714011672845487</v>
      </c>
      <c r="X419" s="1">
        <f t="shared" si="87"/>
        <v>27.541209364668955</v>
      </c>
      <c r="Y419" s="3">
        <f t="shared" si="88"/>
        <v>4.9860486015751992E-2</v>
      </c>
      <c r="Z419" s="1">
        <f t="shared" si="78"/>
        <v>0.14125214238227227</v>
      </c>
      <c r="AA419" s="8">
        <f t="shared" si="83"/>
        <v>33.916666666666536</v>
      </c>
      <c r="AB419" s="1">
        <v>34</v>
      </c>
      <c r="AC419" s="1">
        <v>2.37156E-2</v>
      </c>
      <c r="AD419" s="8">
        <f t="shared" si="79"/>
        <v>2.4408302612202379</v>
      </c>
      <c r="AE419" s="3">
        <f t="shared" si="80"/>
        <v>1.0292087323197549E-2</v>
      </c>
      <c r="AF419" s="11">
        <f t="shared" si="81"/>
        <v>33.916666666666536</v>
      </c>
      <c r="AG419" s="1">
        <f t="shared" si="82"/>
        <v>0.14125214238227227</v>
      </c>
    </row>
    <row r="420" spans="2:33" ht="15">
      <c r="B420" s="1">
        <v>409</v>
      </c>
      <c r="C420" s="1">
        <v>1.0006943082360058</v>
      </c>
      <c r="D420" s="1">
        <v>1.2113736361515763</v>
      </c>
      <c r="E420" s="1">
        <v>0.82459541603470687</v>
      </c>
      <c r="G420" s="1">
        <v>0.99923728529271816</v>
      </c>
      <c r="H420" s="1">
        <v>4.9917409857273256</v>
      </c>
      <c r="I420" s="1">
        <v>0.16423993244546289</v>
      </c>
      <c r="K420" s="1">
        <v>1.000442741303343</v>
      </c>
      <c r="L420" s="1">
        <v>2.5735116552525894</v>
      </c>
      <c r="M420" s="1">
        <v>0.35683574448772964</v>
      </c>
      <c r="O420" s="1">
        <v>2.3482018644420538E-2</v>
      </c>
      <c r="P420" s="1">
        <v>0.44917376179070506</v>
      </c>
      <c r="R420" s="1">
        <v>4.6235394379326861E-2</v>
      </c>
      <c r="S420" s="2">
        <f t="shared" si="84"/>
        <v>0.82510565908108324</v>
      </c>
      <c r="T420" s="4">
        <f t="shared" si="85"/>
        <v>0.68079934864762881</v>
      </c>
      <c r="U420" s="1">
        <f t="shared" si="77"/>
        <v>0.50409732441238886</v>
      </c>
      <c r="V420" s="6">
        <f>2*sigma/alpha*corel*(B420/12-1/alpha*(1-EXP(-alpha*Output!B420/12)))</f>
        <v>1.8651829464412308</v>
      </c>
      <c r="W420" s="5">
        <f t="shared" si="86"/>
        <v>-0.17670202423523995</v>
      </c>
      <c r="X420" s="1">
        <f t="shared" si="87"/>
        <v>27.569283394432905</v>
      </c>
      <c r="Y420" s="3">
        <f t="shared" si="88"/>
        <v>4.9664494641266918E-2</v>
      </c>
      <c r="Z420" s="1">
        <f t="shared" si="78"/>
        <v>0.14133135892842871</v>
      </c>
      <c r="AA420" s="8">
        <f t="shared" si="83"/>
        <v>33.999999999999872</v>
      </c>
      <c r="AB420" s="1">
        <v>34.08</v>
      </c>
      <c r="AC420" s="1">
        <v>2.3726000000000001E-2</v>
      </c>
      <c r="AD420" s="8">
        <f t="shared" si="79"/>
        <v>2.4398135557946246</v>
      </c>
      <c r="AE420" s="3">
        <f t="shared" si="80"/>
        <v>1.0283290718176786E-2</v>
      </c>
      <c r="AF420" s="11">
        <f t="shared" si="81"/>
        <v>33.999999999999872</v>
      </c>
      <c r="AG420" s="1">
        <f t="shared" si="82"/>
        <v>0.14133135892842871</v>
      </c>
    </row>
    <row r="421" spans="2:33" ht="15">
      <c r="B421" s="1">
        <v>410</v>
      </c>
      <c r="C421" s="1">
        <v>1.0006972130013154</v>
      </c>
      <c r="D421" s="1">
        <v>1.207442362852003</v>
      </c>
      <c r="E421" s="1">
        <v>0.82727835153628226</v>
      </c>
      <c r="G421" s="1">
        <v>0.99931239053764453</v>
      </c>
      <c r="H421" s="1">
        <v>4.8511391617378727</v>
      </c>
      <c r="I421" s="1">
        <v>0.16891837321392084</v>
      </c>
      <c r="K421" s="1">
        <v>1.000468981393249</v>
      </c>
      <c r="L421" s="1">
        <v>2.6079768869835109</v>
      </c>
      <c r="M421" s="1">
        <v>0.35204669762618157</v>
      </c>
      <c r="O421" s="1">
        <v>2.3492539089708005E-2</v>
      </c>
      <c r="P421" s="1">
        <v>0.44813455206388708</v>
      </c>
      <c r="R421" s="1">
        <v>4.6254196586812353E-2</v>
      </c>
      <c r="S421" s="2">
        <f t="shared" si="84"/>
        <v>0.82718613254658258</v>
      </c>
      <c r="T421" s="4">
        <f t="shared" si="85"/>
        <v>0.68423689787737252</v>
      </c>
      <c r="U421" s="1">
        <f t="shared" si="77"/>
        <v>0.5069687509038775</v>
      </c>
      <c r="V421" s="6">
        <f>2*sigma/alpha*corel*(B421/12-1/alpha*(1-EXP(-alpha*Output!B421/12)))</f>
        <v>1.8729173744302425</v>
      </c>
      <c r="W421" s="5">
        <f t="shared" si="86"/>
        <v>-0.17726814697349502</v>
      </c>
      <c r="X421" s="1">
        <f t="shared" si="87"/>
        <v>27.734466244486995</v>
      </c>
      <c r="Y421" s="3">
        <f t="shared" si="88"/>
        <v>4.9660022879715257E-2</v>
      </c>
      <c r="Z421" s="1">
        <f t="shared" si="78"/>
        <v>0.14151482534184487</v>
      </c>
      <c r="AA421" s="8">
        <f t="shared" si="83"/>
        <v>34.083333333333208</v>
      </c>
      <c r="AB421" s="1">
        <v>34.17</v>
      </c>
      <c r="AC421" s="1">
        <v>2.3736400000000001E-2</v>
      </c>
      <c r="AD421" s="8">
        <f t="shared" si="79"/>
        <v>2.4386091029199655</v>
      </c>
      <c r="AE421" s="3">
        <f t="shared" si="80"/>
        <v>1.0273710853035698E-2</v>
      </c>
      <c r="AF421" s="11">
        <f t="shared" si="81"/>
        <v>34.083333333333208</v>
      </c>
      <c r="AG421" s="1">
        <f t="shared" si="82"/>
        <v>0.14151482534184487</v>
      </c>
    </row>
    <row r="422" spans="2:33" ht="15">
      <c r="B422" s="1">
        <v>411</v>
      </c>
      <c r="C422" s="1">
        <v>1.0006956144560288</v>
      </c>
      <c r="D422" s="1">
        <v>1.2063539750729686</v>
      </c>
      <c r="E422" s="1">
        <v>0.82802288896814014</v>
      </c>
      <c r="G422" s="1">
        <v>0.99902076367873982</v>
      </c>
      <c r="H422" s="1">
        <v>4.8084361380455132</v>
      </c>
      <c r="I422" s="1">
        <v>0.17033605849299413</v>
      </c>
      <c r="K422" s="1">
        <v>1.0004770217431644</v>
      </c>
      <c r="L422" s="1">
        <v>2.6467241616710484</v>
      </c>
      <c r="M422" s="1">
        <v>0.34682057418405854</v>
      </c>
      <c r="O422" s="1">
        <v>2.3503085243716366E-2</v>
      </c>
      <c r="P422" s="1">
        <v>0.44709656903255657</v>
      </c>
      <c r="R422" s="1">
        <v>4.6198324377772229E-2</v>
      </c>
      <c r="S422" s="2">
        <f t="shared" si="84"/>
        <v>0.82878113696687938</v>
      </c>
      <c r="T422" s="4">
        <f t="shared" si="85"/>
        <v>0.68687817299211329</v>
      </c>
      <c r="U422" s="1">
        <f t="shared" si="77"/>
        <v>0.50984785506513908</v>
      </c>
      <c r="V422" s="6">
        <f>2*sigma/alpha*corel*(B422/12-1/alpha*(1-EXP(-alpha*Output!B422/12)))</f>
        <v>1.8806621357447548</v>
      </c>
      <c r="W422" s="5">
        <f t="shared" si="86"/>
        <v>-0.17703031792697421</v>
      </c>
      <c r="X422" s="1">
        <f t="shared" si="87"/>
        <v>27.790043624819489</v>
      </c>
      <c r="Y422" s="3">
        <f t="shared" si="88"/>
        <v>4.9503126178044823E-2</v>
      </c>
      <c r="Z422" s="1">
        <f t="shared" si="78"/>
        <v>0.14161510218777143</v>
      </c>
      <c r="AA422" s="8">
        <f t="shared" si="83"/>
        <v>34.166666666666544</v>
      </c>
      <c r="AB422" s="1">
        <v>34.25</v>
      </c>
      <c r="AC422" s="1">
        <v>2.3746799999999998E-2</v>
      </c>
      <c r="AD422" s="8">
        <f t="shared" si="79"/>
        <v>2.4371475628363197</v>
      </c>
      <c r="AE422" s="3">
        <f t="shared" si="80"/>
        <v>1.0263056760642781E-2</v>
      </c>
      <c r="AF422" s="11">
        <f t="shared" si="81"/>
        <v>34.166666666666544</v>
      </c>
      <c r="AG422" s="1">
        <f t="shared" si="82"/>
        <v>0.14161510218777143</v>
      </c>
    </row>
    <row r="423" spans="2:33" ht="15">
      <c r="B423" s="1">
        <v>412</v>
      </c>
      <c r="C423" s="1">
        <v>1.0006980221628585</v>
      </c>
      <c r="D423" s="1">
        <v>1.2111597942929382</v>
      </c>
      <c r="E423" s="1">
        <v>0.82473549646826971</v>
      </c>
      <c r="G423" s="1">
        <v>0.99905499128133635</v>
      </c>
      <c r="H423" s="1">
        <v>4.9821617427942844</v>
      </c>
      <c r="I423" s="1">
        <v>0.16431698022815808</v>
      </c>
      <c r="K423" s="1">
        <v>1.0005401380937677</v>
      </c>
      <c r="L423" s="1">
        <v>2.7208018584997844</v>
      </c>
      <c r="M423" s="1">
        <v>0.3373076116239993</v>
      </c>
      <c r="O423" s="1">
        <v>2.3513694714315768E-2</v>
      </c>
      <c r="P423" s="1">
        <v>0.4460592364964715</v>
      </c>
      <c r="R423" s="1">
        <v>4.6165259186749685E-2</v>
      </c>
      <c r="S423" s="2">
        <f t="shared" si="84"/>
        <v>0.83052808884982809</v>
      </c>
      <c r="T423" s="4">
        <f t="shared" si="85"/>
        <v>0.68977690636854794</v>
      </c>
      <c r="U423" s="1">
        <f t="shared" si="77"/>
        <v>0.51273462645039836</v>
      </c>
      <c r="V423" s="6">
        <f>2*sigma/alpha*corel*(B423/12-1/alpha*(1-EXP(-alpha*Output!B423/12)))</f>
        <v>1.8884172025851969</v>
      </c>
      <c r="W423" s="5">
        <f t="shared" si="86"/>
        <v>-0.17704227991814958</v>
      </c>
      <c r="X423" s="1">
        <f t="shared" si="87"/>
        <v>27.879925973112243</v>
      </c>
      <c r="Y423" s="3">
        <f t="shared" si="88"/>
        <v>4.9394086900004727E-2</v>
      </c>
      <c r="Z423" s="1">
        <f t="shared" si="78"/>
        <v>0.14174127664826516</v>
      </c>
      <c r="AA423" s="8">
        <f t="shared" si="83"/>
        <v>34.249999999999879</v>
      </c>
      <c r="AB423" s="1">
        <v>34.33</v>
      </c>
      <c r="AC423" s="1">
        <v>2.3757199999999999E-2</v>
      </c>
      <c r="AD423" s="8">
        <f t="shared" si="79"/>
        <v>2.4350528568423124</v>
      </c>
      <c r="AE423" s="3">
        <f t="shared" si="80"/>
        <v>1.0249746842398568E-2</v>
      </c>
      <c r="AF423" s="11">
        <f t="shared" si="81"/>
        <v>34.249999999999879</v>
      </c>
      <c r="AG423" s="1">
        <f t="shared" si="82"/>
        <v>0.14174127664826516</v>
      </c>
    </row>
    <row r="424" spans="2:33" ht="15">
      <c r="B424" s="1">
        <v>413</v>
      </c>
      <c r="C424" s="1">
        <v>1.0006999544673436</v>
      </c>
      <c r="D424" s="1">
        <v>1.2128578201031495</v>
      </c>
      <c r="E424" s="1">
        <v>0.82357900779607685</v>
      </c>
      <c r="G424" s="1">
        <v>0.99903032219357391</v>
      </c>
      <c r="H424" s="1">
        <v>5.0422511065424569</v>
      </c>
      <c r="I424" s="1">
        <v>0.16228023126675223</v>
      </c>
      <c r="K424" s="1">
        <v>1.0006096287561999</v>
      </c>
      <c r="L424" s="1">
        <v>2.7239998250442654</v>
      </c>
      <c r="M424" s="1">
        <v>0.33684143091695085</v>
      </c>
      <c r="O424" s="1">
        <v>2.3524264371829938E-2</v>
      </c>
      <c r="P424" s="1">
        <v>0.44502413360607013</v>
      </c>
      <c r="R424" s="1">
        <v>4.6190626858943096E-2</v>
      </c>
      <c r="S424" s="2">
        <f t="shared" si="84"/>
        <v>0.83265924821632753</v>
      </c>
      <c r="T424" s="4">
        <f t="shared" si="85"/>
        <v>0.69332142364017979</v>
      </c>
      <c r="U424" s="1">
        <f t="shared" si="77"/>
        <v>0.51562905458712183</v>
      </c>
      <c r="V424" s="6">
        <f>2*sigma/alpha*corel*(B424/12-1/alpha*(1-EXP(-alpha*Output!B424/12)))</f>
        <v>1.8961825472267861</v>
      </c>
      <c r="W424" s="5">
        <f t="shared" si="86"/>
        <v>-0.17769236905305796</v>
      </c>
      <c r="X424" s="1">
        <f t="shared" si="87"/>
        <v>28.057824392045109</v>
      </c>
      <c r="Y424" s="3">
        <f t="shared" si="88"/>
        <v>4.9406021525373253E-2</v>
      </c>
      <c r="Z424" s="1">
        <f t="shared" si="78"/>
        <v>0.14193284470484646</v>
      </c>
      <c r="AA424" s="8">
        <f t="shared" si="83"/>
        <v>34.333333333333215</v>
      </c>
      <c r="AB424" s="1">
        <v>34.42</v>
      </c>
      <c r="AC424" s="1">
        <v>2.37676E-2</v>
      </c>
      <c r="AD424" s="8">
        <f t="shared" si="79"/>
        <v>2.4333562817006187</v>
      </c>
      <c r="AE424" s="3">
        <f t="shared" si="80"/>
        <v>1.0238123671303029E-2</v>
      </c>
      <c r="AF424" s="11">
        <f t="shared" si="81"/>
        <v>34.333333333333215</v>
      </c>
      <c r="AG424" s="1">
        <f t="shared" si="82"/>
        <v>0.14193284470484646</v>
      </c>
    </row>
    <row r="425" spans="2:33" ht="15">
      <c r="B425" s="1">
        <v>414</v>
      </c>
      <c r="C425" s="1">
        <v>1.0007033788149946</v>
      </c>
      <c r="D425" s="1">
        <v>1.2152994904081631</v>
      </c>
      <c r="E425" s="1">
        <v>0.82192250472340966</v>
      </c>
      <c r="G425" s="1">
        <v>0.99912344980788259</v>
      </c>
      <c r="H425" s="1">
        <v>5.1342513743513436</v>
      </c>
      <c r="I425" s="1">
        <v>0.15929523291671799</v>
      </c>
      <c r="K425" s="1">
        <v>1.0005172390537869</v>
      </c>
      <c r="L425" s="1">
        <v>2.7617159102858757</v>
      </c>
      <c r="M425" s="1">
        <v>0.33217205940965611</v>
      </c>
      <c r="O425" s="1">
        <v>2.3534846275940935E-2</v>
      </c>
      <c r="P425" s="1">
        <v>0.44399046299572548</v>
      </c>
      <c r="R425" s="1">
        <v>4.6179873928308156E-2</v>
      </c>
      <c r="S425" s="2">
        <f t="shared" si="84"/>
        <v>0.83455557611639897</v>
      </c>
      <c r="T425" s="4">
        <f t="shared" si="85"/>
        <v>0.69648300962697463</v>
      </c>
      <c r="U425" s="1">
        <f t="shared" si="77"/>
        <v>0.51853112897638909</v>
      </c>
      <c r="V425" s="6">
        <f>2*sigma/alpha*corel*(B425/12-1/alpha*(1-EXP(-alpha*Output!B425/12)))</f>
        <v>1.9039581420193299</v>
      </c>
      <c r="W425" s="5">
        <f t="shared" si="86"/>
        <v>-0.17795188065058554</v>
      </c>
      <c r="X425" s="1">
        <f t="shared" si="87"/>
        <v>28.182416136342507</v>
      </c>
      <c r="Y425" s="3">
        <f t="shared" si="88"/>
        <v>4.9344249307382189E-2</v>
      </c>
      <c r="Z425" s="1">
        <f t="shared" si="78"/>
        <v>0.14208417689004291</v>
      </c>
      <c r="AA425" s="8">
        <f t="shared" si="83"/>
        <v>34.416666666666551</v>
      </c>
      <c r="AB425" s="1">
        <v>34.5</v>
      </c>
      <c r="AC425" s="1">
        <v>2.37781E-2</v>
      </c>
      <c r="AD425" s="8">
        <f t="shared" si="79"/>
        <v>2.43253724059065</v>
      </c>
      <c r="AE425" s="3">
        <f t="shared" si="80"/>
        <v>1.0230158173237769E-2</v>
      </c>
      <c r="AF425" s="11">
        <f t="shared" si="81"/>
        <v>34.416666666666551</v>
      </c>
      <c r="AG425" s="1">
        <f t="shared" si="82"/>
        <v>0.14208417689004291</v>
      </c>
    </row>
    <row r="426" spans="2:33" ht="15">
      <c r="B426" s="1">
        <v>415</v>
      </c>
      <c r="C426" s="1">
        <v>1.0007045040564357</v>
      </c>
      <c r="D426" s="1">
        <v>1.2159977564856737</v>
      </c>
      <c r="E426" s="1">
        <v>0.82144868420087591</v>
      </c>
      <c r="G426" s="1">
        <v>0.99905156869946676</v>
      </c>
      <c r="H426" s="1">
        <v>5.1570645533472703</v>
      </c>
      <c r="I426" s="1">
        <v>0.1585138293815804</v>
      </c>
      <c r="K426" s="1">
        <v>1.0005543783880682</v>
      </c>
      <c r="L426" s="1">
        <v>2.7551125536669505</v>
      </c>
      <c r="M426" s="1">
        <v>0.33289883651471858</v>
      </c>
      <c r="O426" s="1">
        <v>2.3545423920824281E-2</v>
      </c>
      <c r="P426" s="1">
        <v>0.4429584773448566</v>
      </c>
      <c r="R426" s="1">
        <v>4.625732469701644E-2</v>
      </c>
      <c r="S426" s="2">
        <f t="shared" si="84"/>
        <v>0.83703574672219094</v>
      </c>
      <c r="T426" s="4">
        <f t="shared" si="85"/>
        <v>0.70062884129077574</v>
      </c>
      <c r="U426" s="1">
        <f t="shared" si="77"/>
        <v>0.52144083909325489</v>
      </c>
      <c r="V426" s="6">
        <f>2*sigma/alpha*corel*(B426/12-1/alpha*(1-EXP(-alpha*Output!B426/12)))</f>
        <v>1.9117439593870218</v>
      </c>
      <c r="W426" s="5">
        <f t="shared" si="86"/>
        <v>-0.17918800219752085</v>
      </c>
      <c r="X426" s="1">
        <f t="shared" si="87"/>
        <v>28.442438603576484</v>
      </c>
      <c r="Y426" s="3">
        <f t="shared" si="88"/>
        <v>4.9466043224814162E-2</v>
      </c>
      <c r="Z426" s="1">
        <f t="shared" si="78"/>
        <v>0.14233463112695563</v>
      </c>
      <c r="AA426" s="8">
        <f t="shared" si="83"/>
        <v>34.499999999999886</v>
      </c>
      <c r="AB426" s="1">
        <v>34.58</v>
      </c>
      <c r="AC426" s="1">
        <v>2.37886E-2</v>
      </c>
      <c r="AD426" s="8">
        <f t="shared" si="79"/>
        <v>2.4317607917571928</v>
      </c>
      <c r="AE426" s="3">
        <f t="shared" si="80"/>
        <v>1.0222378751827316E-2</v>
      </c>
      <c r="AF426" s="11">
        <f t="shared" si="81"/>
        <v>34.499999999999886</v>
      </c>
      <c r="AG426" s="1">
        <f t="shared" si="82"/>
        <v>0.14233463112695563</v>
      </c>
    </row>
    <row r="427" spans="2:33" ht="15">
      <c r="B427" s="1">
        <v>416</v>
      </c>
      <c r="C427" s="1">
        <v>1.0007048621278676</v>
      </c>
      <c r="D427" s="1">
        <v>1.2153335787710915</v>
      </c>
      <c r="E427" s="1">
        <v>0.82189575398760073</v>
      </c>
      <c r="G427" s="1">
        <v>0.99892377303008284</v>
      </c>
      <c r="H427" s="1">
        <v>5.1277086156112182</v>
      </c>
      <c r="I427" s="1">
        <v>0.15934417955677962</v>
      </c>
      <c r="K427" s="1">
        <v>1.0007273843829887</v>
      </c>
      <c r="L427" s="1">
        <v>2.7898056964761522</v>
      </c>
      <c r="M427" s="1">
        <v>0.32869052727778081</v>
      </c>
      <c r="O427" s="1">
        <v>2.3556062838912165E-2</v>
      </c>
      <c r="P427" s="1">
        <v>0.44192717257252873</v>
      </c>
      <c r="R427" s="1">
        <v>4.6233844245414102E-2</v>
      </c>
      <c r="S427" s="2">
        <f t="shared" si="84"/>
        <v>0.83885442751112027</v>
      </c>
      <c r="T427" s="4">
        <f t="shared" si="85"/>
        <v>0.70367675055500933</v>
      </c>
      <c r="U427" s="1">
        <f t="shared" si="77"/>
        <v>0.52435817438710741</v>
      </c>
      <c r="V427" s="6">
        <f>2*sigma/alpha*corel*(B427/12-1/alpha*(1-EXP(-alpha*Output!B427/12)))</f>
        <v>1.9195399718282382</v>
      </c>
      <c r="W427" s="5">
        <f t="shared" si="86"/>
        <v>-0.17931857616790192</v>
      </c>
      <c r="X427" s="1">
        <f t="shared" si="87"/>
        <v>28.550142932062087</v>
      </c>
      <c r="Y427" s="3">
        <f t="shared" si="88"/>
        <v>4.9380193358636339E-2</v>
      </c>
      <c r="Z427" s="1">
        <f t="shared" si="78"/>
        <v>0.14247234048920313</v>
      </c>
      <c r="AA427" s="8">
        <f t="shared" si="83"/>
        <v>34.583333333333222</v>
      </c>
      <c r="AB427" s="1">
        <v>34.67</v>
      </c>
      <c r="AC427" s="1">
        <v>2.37991E-2</v>
      </c>
      <c r="AD427" s="8">
        <f t="shared" si="79"/>
        <v>2.4303716108783555</v>
      </c>
      <c r="AE427" s="3">
        <f t="shared" si="80"/>
        <v>1.0212031593120561E-2</v>
      </c>
      <c r="AF427" s="11">
        <f t="shared" si="81"/>
        <v>34.583333333333222</v>
      </c>
      <c r="AG427" s="1">
        <f t="shared" si="82"/>
        <v>0.14247234048920313</v>
      </c>
    </row>
    <row r="428" spans="2:33" ht="15">
      <c r="B428" s="1">
        <v>417</v>
      </c>
      <c r="C428" s="1">
        <v>1.0007115875645523</v>
      </c>
      <c r="D428" s="1">
        <v>1.2199583575264923</v>
      </c>
      <c r="E428" s="1">
        <v>0.81877815587988967</v>
      </c>
      <c r="G428" s="1">
        <v>0.99929420073569541</v>
      </c>
      <c r="H428" s="1">
        <v>5.3003252525048232</v>
      </c>
      <c r="I428" s="1">
        <v>0.15408020158570732</v>
      </c>
      <c r="K428" s="1">
        <v>1.0007760068522658</v>
      </c>
      <c r="L428" s="1">
        <v>2.817225599608713</v>
      </c>
      <c r="M428" s="1">
        <v>0.3254235967825771</v>
      </c>
      <c r="O428" s="1">
        <v>2.3566717249561855E-2</v>
      </c>
      <c r="P428" s="1">
        <v>0.44089724976078121</v>
      </c>
      <c r="R428" s="1">
        <v>4.6221938292699459E-2</v>
      </c>
      <c r="S428" s="2">
        <f t="shared" si="84"/>
        <v>0.8407517310633732</v>
      </c>
      <c r="T428" s="4">
        <f t="shared" si="85"/>
        <v>0.70686347328605859</v>
      </c>
      <c r="U428" s="1">
        <f t="shared" si="77"/>
        <v>0.52728312428203461</v>
      </c>
      <c r="V428" s="6">
        <f>2*sigma/alpha*corel*(B428/12-1/alpha*(1-EXP(-alpha*Output!B428/12)))</f>
        <v>1.9273461519153503</v>
      </c>
      <c r="W428" s="5">
        <f t="shared" si="86"/>
        <v>-0.17958034900402398</v>
      </c>
      <c r="X428" s="1">
        <f t="shared" si="87"/>
        <v>28.676331700862242</v>
      </c>
      <c r="Y428" s="3">
        <f t="shared" si="88"/>
        <v>4.9319172444268145E-2</v>
      </c>
      <c r="Z428" s="1">
        <f t="shared" si="78"/>
        <v>0.14262326217944507</v>
      </c>
      <c r="AA428" s="8">
        <f t="shared" si="83"/>
        <v>34.666666666666558</v>
      </c>
      <c r="AB428" s="1">
        <v>34.75</v>
      </c>
      <c r="AC428" s="1">
        <v>2.38096E-2</v>
      </c>
      <c r="AD428" s="8">
        <f t="shared" si="79"/>
        <v>2.4288275043814549</v>
      </c>
      <c r="AE428" s="3">
        <f t="shared" si="80"/>
        <v>1.020104287506491E-2</v>
      </c>
      <c r="AF428" s="11">
        <f t="shared" si="81"/>
        <v>34.666666666666558</v>
      </c>
      <c r="AG428" s="1">
        <f t="shared" si="82"/>
        <v>0.14262326217944507</v>
      </c>
    </row>
    <row r="429" spans="2:33" ht="15">
      <c r="B429" s="1">
        <v>418</v>
      </c>
      <c r="C429" s="1">
        <v>1.0007130197095131</v>
      </c>
      <c r="D429" s="1">
        <v>1.2201864511805531</v>
      </c>
      <c r="E429" s="1">
        <v>0.81862324717016521</v>
      </c>
      <c r="G429" s="1">
        <v>0.99925531283801683</v>
      </c>
      <c r="H429" s="1">
        <v>5.3130253398851304</v>
      </c>
      <c r="I429" s="1">
        <v>0.15363751927911076</v>
      </c>
      <c r="K429" s="1">
        <v>1.0007315333282365</v>
      </c>
      <c r="L429" s="1">
        <v>2.8698325315012285</v>
      </c>
      <c r="M429" s="1">
        <v>0.3193917063559128</v>
      </c>
      <c r="O429" s="1">
        <v>2.3577352914516569E-2</v>
      </c>
      <c r="P429" s="1">
        <v>0.43986923334314454</v>
      </c>
      <c r="R429" s="1">
        <v>4.6197077559084795E-2</v>
      </c>
      <c r="S429" s="2">
        <f t="shared" si="84"/>
        <v>0.84256424008644504</v>
      </c>
      <c r="T429" s="4">
        <f t="shared" si="85"/>
        <v>0.7099144986724486</v>
      </c>
      <c r="U429" s="1">
        <f t="shared" si="77"/>
        <v>0.53021567817717408</v>
      </c>
      <c r="V429" s="6">
        <f>2*sigma/alpha*corel*(B429/12-1/alpha*(1-EXP(-alpha*Output!B429/12)))</f>
        <v>1.9351624722945102</v>
      </c>
      <c r="W429" s="5">
        <f t="shared" si="86"/>
        <v>-0.17969882049527452</v>
      </c>
      <c r="X429" s="1">
        <f t="shared" si="87"/>
        <v>28.782889449851918</v>
      </c>
      <c r="Y429" s="3">
        <f t="shared" si="88"/>
        <v>4.9231668738751351E-2</v>
      </c>
      <c r="Z429" s="1">
        <f t="shared" si="78"/>
        <v>0.14275966004460489</v>
      </c>
      <c r="AA429" s="8">
        <f t="shared" si="83"/>
        <v>34.749999999999893</v>
      </c>
      <c r="AB429" s="1">
        <v>34.83</v>
      </c>
      <c r="AC429" s="1">
        <v>2.38202E-2</v>
      </c>
      <c r="AD429" s="8">
        <f t="shared" si="79"/>
        <v>2.4284708548343028</v>
      </c>
      <c r="AE429" s="3">
        <f t="shared" si="80"/>
        <v>1.0195006149546616E-2</v>
      </c>
      <c r="AF429" s="11">
        <f t="shared" si="81"/>
        <v>34.749999999999893</v>
      </c>
      <c r="AG429" s="1">
        <f t="shared" si="82"/>
        <v>0.14275966004460489</v>
      </c>
    </row>
    <row r="430" spans="2:33" ht="15">
      <c r="B430" s="1">
        <v>419</v>
      </c>
      <c r="C430" s="1">
        <v>1.0007125608928111</v>
      </c>
      <c r="D430" s="1">
        <v>1.2185511984494639</v>
      </c>
      <c r="E430" s="1">
        <v>0.81971995302043965</v>
      </c>
      <c r="G430" s="1">
        <v>0.99902437688603662</v>
      </c>
      <c r="H430" s="1">
        <v>5.2499325240149579</v>
      </c>
      <c r="I430" s="1">
        <v>0.15540867787210014</v>
      </c>
      <c r="K430" s="1">
        <v>1.0007509183323451</v>
      </c>
      <c r="L430" s="1">
        <v>2.8425651687100948</v>
      </c>
      <c r="M430" s="1">
        <v>0.32238830629751536</v>
      </c>
      <c r="O430" s="1">
        <v>2.3588024080740233E-2</v>
      </c>
      <c r="P430" s="1">
        <v>0.43884229201479114</v>
      </c>
      <c r="R430" s="1">
        <v>4.6161472144827485E-2</v>
      </c>
      <c r="S430" s="2">
        <f t="shared" si="84"/>
        <v>0.84430770211929373</v>
      </c>
      <c r="T430" s="4">
        <f t="shared" si="85"/>
        <v>0.71285549585796204</v>
      </c>
      <c r="U430" s="1">
        <f t="shared" si="77"/>
        <v>0.53315582544706963</v>
      </c>
      <c r="V430" s="6">
        <f>2*sigma/alpha*corel*(B430/12-1/alpha*(1-EXP(-alpha*Output!B430/12)))</f>
        <v>1.9429889056854623</v>
      </c>
      <c r="W430" s="5">
        <f t="shared" si="86"/>
        <v>-0.17969967041089241</v>
      </c>
      <c r="X430" s="1">
        <f t="shared" si="87"/>
        <v>28.873259855004761</v>
      </c>
      <c r="Y430" s="3">
        <f t="shared" si="88"/>
        <v>4.9122608436973206E-2</v>
      </c>
      <c r="Z430" s="1">
        <f t="shared" si="78"/>
        <v>0.14288425101896118</v>
      </c>
      <c r="AA430" s="8">
        <f t="shared" si="83"/>
        <v>34.833333333333229</v>
      </c>
      <c r="AB430" s="1">
        <v>34.92</v>
      </c>
      <c r="AC430" s="1">
        <v>2.38307E-2</v>
      </c>
      <c r="AD430" s="8">
        <f t="shared" si="79"/>
        <v>2.4267591925976677</v>
      </c>
      <c r="AE430" s="3">
        <f t="shared" si="80"/>
        <v>1.0183331553826232E-2</v>
      </c>
      <c r="AF430" s="11">
        <f t="shared" si="81"/>
        <v>34.833333333333229</v>
      </c>
      <c r="AG430" s="1">
        <f t="shared" si="82"/>
        <v>0.14288425101896118</v>
      </c>
    </row>
    <row r="431" spans="2:33" ht="15">
      <c r="B431" s="1">
        <v>420</v>
      </c>
      <c r="C431" s="1">
        <v>1.0007131586476985</v>
      </c>
      <c r="D431" s="1">
        <v>1.2163549166232721</v>
      </c>
      <c r="E431" s="1">
        <v>0.82119819492004231</v>
      </c>
      <c r="G431" s="1">
        <v>0.99888590342767036</v>
      </c>
      <c r="H431" s="1">
        <v>5.1588618335327316</v>
      </c>
      <c r="I431" s="1">
        <v>0.15807562339780218</v>
      </c>
      <c r="K431" s="1">
        <v>1.0006892790251951</v>
      </c>
      <c r="L431" s="1">
        <v>2.8311545306249015</v>
      </c>
      <c r="M431" s="1">
        <v>0.32362022690475262</v>
      </c>
      <c r="O431" s="1">
        <v>2.359876598858569E-2</v>
      </c>
      <c r="P431" s="1">
        <v>0.43781588555161705</v>
      </c>
      <c r="R431" s="1">
        <v>4.6148241145234116E-2</v>
      </c>
      <c r="S431" s="2">
        <f t="shared" si="84"/>
        <v>0.84620364782711643</v>
      </c>
      <c r="T431" s="4">
        <f t="shared" si="85"/>
        <v>0.71606061359591855</v>
      </c>
      <c r="U431" s="1">
        <f t="shared" si="77"/>
        <v>0.53610355544202548</v>
      </c>
      <c r="V431" s="6">
        <f>2*sigma/alpha*corel*(B431/12-1/alpha*(1-EXP(-alpha*Output!B431/12)))</f>
        <v>1.9508254248813441</v>
      </c>
      <c r="W431" s="5">
        <f t="shared" si="86"/>
        <v>-0.17995705815389307</v>
      </c>
      <c r="X431" s="1">
        <f t="shared" si="87"/>
        <v>28.999707979908507</v>
      </c>
      <c r="Y431" s="3">
        <f t="shared" si="88"/>
        <v>4.9061603840001175E-2</v>
      </c>
      <c r="Z431" s="1">
        <f t="shared" si="78"/>
        <v>0.14303452266557573</v>
      </c>
      <c r="AA431" s="8">
        <f t="shared" si="83"/>
        <v>34.916666666666565</v>
      </c>
      <c r="AB431" s="1">
        <v>35</v>
      </c>
      <c r="AC431" s="1">
        <v>2.3841299999999999E-2</v>
      </c>
      <c r="AD431" s="8">
        <f t="shared" si="79"/>
        <v>2.4253401141430957</v>
      </c>
      <c r="AE431" s="3">
        <f t="shared" si="80"/>
        <v>1.0172851791400199E-2</v>
      </c>
      <c r="AF431" s="11">
        <f t="shared" si="81"/>
        <v>34.916666666666565</v>
      </c>
      <c r="AG431" s="1">
        <f t="shared" si="82"/>
        <v>0.14303452266557573</v>
      </c>
    </row>
    <row r="432" spans="2:33" ht="15">
      <c r="B432" s="1">
        <v>421</v>
      </c>
      <c r="C432" s="1">
        <v>1.0007171473756793</v>
      </c>
      <c r="D432" s="1">
        <v>1.2152347370368934</v>
      </c>
      <c r="E432" s="1">
        <v>0.8219532881134709</v>
      </c>
      <c r="G432" s="1">
        <v>0.99905070631999238</v>
      </c>
      <c r="H432" s="1">
        <v>5.1113585550798275</v>
      </c>
      <c r="I432" s="1">
        <v>0.15946752874702441</v>
      </c>
      <c r="K432" s="1">
        <v>1.0006864427193674</v>
      </c>
      <c r="L432" s="1">
        <v>2.8237980780148346</v>
      </c>
      <c r="M432" s="1">
        <v>0.32439572070371392</v>
      </c>
      <c r="O432" s="1">
        <v>2.360957517771535E-2</v>
      </c>
      <c r="P432" s="1">
        <v>0.43679006672763671</v>
      </c>
      <c r="R432" s="1">
        <v>4.6150656088486272E-2</v>
      </c>
      <c r="S432" s="2">
        <f t="shared" si="84"/>
        <v>0.84820797497718492</v>
      </c>
      <c r="T432" s="4">
        <f t="shared" si="85"/>
        <v>0.71945676881489673</v>
      </c>
      <c r="U432" s="1">
        <f t="shared" si="77"/>
        <v>0.53905885748844928</v>
      </c>
      <c r="V432" s="6">
        <f>2*sigma/alpha*corel*(B432/12-1/alpha*(1-EXP(-alpha*Output!B432/12)))</f>
        <v>1.9586720027484865</v>
      </c>
      <c r="W432" s="5">
        <f t="shared" si="86"/>
        <v>-0.18039791132644745</v>
      </c>
      <c r="X432" s="1">
        <f t="shared" si="87"/>
        <v>29.152236237162228</v>
      </c>
      <c r="Y432" s="3">
        <f t="shared" si="88"/>
        <v>4.9034808776247177E-2</v>
      </c>
      <c r="Z432" s="1">
        <f t="shared" si="78"/>
        <v>0.14320293745725543</v>
      </c>
      <c r="AA432" s="8">
        <f t="shared" si="83"/>
        <v>34.999999999999901</v>
      </c>
      <c r="AB432" s="1">
        <v>35.08</v>
      </c>
      <c r="AC432" s="1">
        <v>2.3851899999999999E-2</v>
      </c>
      <c r="AD432" s="8">
        <f t="shared" si="79"/>
        <v>2.4232482228464871</v>
      </c>
      <c r="AE432" s="3">
        <f t="shared" si="80"/>
        <v>1.0159560550088199E-2</v>
      </c>
      <c r="AF432" s="11">
        <f t="shared" si="81"/>
        <v>34.999999999999901</v>
      </c>
      <c r="AG432" s="1">
        <f t="shared" si="82"/>
        <v>0.14320293745725543</v>
      </c>
    </row>
    <row r="433" spans="2:33" ht="15">
      <c r="B433" s="1">
        <v>422</v>
      </c>
      <c r="C433" s="1">
        <v>1.0007175552327283</v>
      </c>
      <c r="D433" s="1">
        <v>1.2125002861357976</v>
      </c>
      <c r="E433" s="1">
        <v>0.82380509119818235</v>
      </c>
      <c r="G433" s="1">
        <v>0.99892426146917312</v>
      </c>
      <c r="H433" s="1">
        <v>5.0068255284161207</v>
      </c>
      <c r="I433" s="1">
        <v>0.16271813712803657</v>
      </c>
      <c r="K433" s="1">
        <v>1.0005986467623154</v>
      </c>
      <c r="L433" s="1">
        <v>2.8412835250324386</v>
      </c>
      <c r="M433" s="1">
        <v>0.32233220837502014</v>
      </c>
      <c r="O433" s="1">
        <v>2.3620344972838409E-2</v>
      </c>
      <c r="P433" s="1">
        <v>0.43576647007970798</v>
      </c>
      <c r="R433" s="1">
        <v>4.6058259328665835E-2</v>
      </c>
      <c r="S433" s="2">
        <f t="shared" si="84"/>
        <v>0.84957809435519849</v>
      </c>
      <c r="T433" s="4">
        <f t="shared" si="85"/>
        <v>0.72178293840821051</v>
      </c>
      <c r="U433" s="1">
        <f t="shared" si="77"/>
        <v>0.54202172088920386</v>
      </c>
      <c r="V433" s="6">
        <f>2*sigma/alpha*corel*(B433/12-1/alpha*(1-EXP(-alpha*Output!B433/12)))</f>
        <v>1.9665286122262138</v>
      </c>
      <c r="W433" s="5">
        <f t="shared" si="86"/>
        <v>-0.17976121751900664</v>
      </c>
      <c r="X433" s="1">
        <f t="shared" si="87"/>
        <v>29.153646047044628</v>
      </c>
      <c r="Y433" s="3">
        <f t="shared" si="88"/>
        <v>4.8808763413418658E-2</v>
      </c>
      <c r="Z433" s="1">
        <f t="shared" si="78"/>
        <v>0.14326420809003468</v>
      </c>
      <c r="AA433" s="8">
        <f t="shared" si="83"/>
        <v>35.083333333333236</v>
      </c>
      <c r="AB433" s="1">
        <v>35.17</v>
      </c>
      <c r="AC433" s="1">
        <v>2.3862499999999998E-2</v>
      </c>
      <c r="AD433" s="8">
        <f t="shared" si="79"/>
        <v>2.4215502716158981</v>
      </c>
      <c r="AE433" s="3">
        <f t="shared" si="80"/>
        <v>1.014793199210434E-2</v>
      </c>
      <c r="AF433" s="11">
        <f t="shared" si="81"/>
        <v>35.083333333333236</v>
      </c>
      <c r="AG433" s="1">
        <f t="shared" si="82"/>
        <v>0.14326420809003468</v>
      </c>
    </row>
    <row r="434" spans="2:33" ht="15">
      <c r="B434" s="1">
        <v>423</v>
      </c>
      <c r="C434" s="1">
        <v>1.0007220077997179</v>
      </c>
      <c r="D434" s="1">
        <v>1.2139550596635751</v>
      </c>
      <c r="E434" s="1">
        <v>0.82281598187344096</v>
      </c>
      <c r="G434" s="1">
        <v>0.9991395744160676</v>
      </c>
      <c r="H434" s="1">
        <v>5.0604733907775445</v>
      </c>
      <c r="I434" s="1">
        <v>0.16091520576086615</v>
      </c>
      <c r="K434" s="1">
        <v>1.0006668840541852</v>
      </c>
      <c r="L434" s="1">
        <v>2.8890279384479349</v>
      </c>
      <c r="M434" s="1">
        <v>0.31693927269526512</v>
      </c>
      <c r="O434" s="1">
        <v>2.3631133771636961E-2</v>
      </c>
      <c r="P434" s="1">
        <v>0.43474420060303748</v>
      </c>
      <c r="R434" s="1">
        <v>4.6083862061134864E-2</v>
      </c>
      <c r="S434" s="2">
        <f t="shared" si="84"/>
        <v>0.85174071328591539</v>
      </c>
      <c r="T434" s="4">
        <f t="shared" si="85"/>
        <v>0.72546224266879988</v>
      </c>
      <c r="U434" s="1">
        <f t="shared" si="77"/>
        <v>0.54499213492395104</v>
      </c>
      <c r="V434" s="6">
        <f>2*sigma/alpha*corel*(B434/12-1/alpha*(1-EXP(-alpha*Output!B434/12)))</f>
        <v>1.9743952263266578</v>
      </c>
      <c r="W434" s="5">
        <f t="shared" si="86"/>
        <v>-0.18047010774484884</v>
      </c>
      <c r="X434" s="1">
        <f t="shared" si="87"/>
        <v>29.344521701765178</v>
      </c>
      <c r="Y434" s="3">
        <f t="shared" si="88"/>
        <v>4.8832101744745893E-2</v>
      </c>
      <c r="Z434" s="1">
        <f t="shared" si="78"/>
        <v>0.14345901558886015</v>
      </c>
      <c r="AA434" s="8">
        <f t="shared" si="83"/>
        <v>35.166666666666572</v>
      </c>
      <c r="AB434" s="1">
        <v>35.25</v>
      </c>
      <c r="AC434" s="1">
        <v>2.3873200000000001E-2</v>
      </c>
      <c r="AD434" s="8">
        <f t="shared" si="79"/>
        <v>2.4206622836303939</v>
      </c>
      <c r="AE434" s="3">
        <f t="shared" si="80"/>
        <v>1.0139664073649086E-2</v>
      </c>
      <c r="AF434" s="11">
        <f t="shared" si="81"/>
        <v>35.166666666666572</v>
      </c>
      <c r="AG434" s="1">
        <f t="shared" si="82"/>
        <v>0.14345901558886015</v>
      </c>
    </row>
    <row r="435" spans="2:33" ht="15">
      <c r="B435" s="1">
        <v>424</v>
      </c>
      <c r="C435" s="1">
        <v>1.0007181612499816</v>
      </c>
      <c r="D435" s="1">
        <v>1.2142601989883128</v>
      </c>
      <c r="E435" s="1">
        <v>0.82260732580465112</v>
      </c>
      <c r="G435" s="1">
        <v>0.99868488492624352</v>
      </c>
      <c r="H435" s="1">
        <v>5.0731744577683209</v>
      </c>
      <c r="I435" s="1">
        <v>0.16043467584847126</v>
      </c>
      <c r="K435" s="1">
        <v>1.0006342611530747</v>
      </c>
      <c r="L435" s="1">
        <v>2.9130421786900675</v>
      </c>
      <c r="M435" s="1">
        <v>0.31426104317107711</v>
      </c>
      <c r="O435" s="1">
        <v>2.3641945891761211E-2</v>
      </c>
      <c r="P435" s="1">
        <v>0.43372319198966769</v>
      </c>
      <c r="R435" s="1">
        <v>4.6113632627771149E-2</v>
      </c>
      <c r="S435" s="2">
        <f t="shared" si="84"/>
        <v>0.85393493342952786</v>
      </c>
      <c r="T435" s="4">
        <f t="shared" si="85"/>
        <v>0.72920487053129224</v>
      </c>
      <c r="U435" s="1">
        <f t="shared" si="77"/>
        <v>0.54797008884948917</v>
      </c>
      <c r="V435" s="6">
        <f>2*sigma/alpha*corel*(B435/12-1/alpha*(1-EXP(-alpha*Output!B435/12)))</f>
        <v>1.9822718181345498</v>
      </c>
      <c r="W435" s="5">
        <f t="shared" si="86"/>
        <v>-0.18123478168180307</v>
      </c>
      <c r="X435" s="1">
        <f t="shared" si="87"/>
        <v>29.543917371998621</v>
      </c>
      <c r="Y435" s="3">
        <f t="shared" si="88"/>
        <v>4.8865469514340683E-2</v>
      </c>
      <c r="Z435" s="1">
        <f t="shared" si="78"/>
        <v>0.14365887962211682</v>
      </c>
      <c r="AA435" s="8">
        <f t="shared" si="83"/>
        <v>35.249999999999908</v>
      </c>
      <c r="AB435" s="1">
        <v>35.33</v>
      </c>
      <c r="AC435" s="1">
        <v>2.38838E-2</v>
      </c>
      <c r="AD435" s="8">
        <f t="shared" si="79"/>
        <v>2.4185410823878914</v>
      </c>
      <c r="AE435" s="3">
        <f t="shared" si="80"/>
        <v>1.0126282594846261E-2</v>
      </c>
      <c r="AF435" s="11">
        <f t="shared" si="81"/>
        <v>35.249999999999908</v>
      </c>
      <c r="AG435" s="1">
        <f t="shared" si="82"/>
        <v>0.14365887962211682</v>
      </c>
    </row>
    <row r="436" spans="2:33" ht="15">
      <c r="B436" s="1">
        <v>425</v>
      </c>
      <c r="C436" s="1">
        <v>1.0007222681755819</v>
      </c>
      <c r="D436" s="1">
        <v>1.2176380286385007</v>
      </c>
      <c r="E436" s="1">
        <v>0.82032346031210823</v>
      </c>
      <c r="G436" s="1">
        <v>0.998883803564932</v>
      </c>
      <c r="H436" s="1">
        <v>5.2029544180066374</v>
      </c>
      <c r="I436" s="1">
        <v>0.15635717818017475</v>
      </c>
      <c r="K436" s="1">
        <v>1.0004264577026709</v>
      </c>
      <c r="L436" s="1">
        <v>2.9745096493222376</v>
      </c>
      <c r="M436" s="1">
        <v>0.30770280880696749</v>
      </c>
      <c r="O436" s="1">
        <v>2.3652788509226762E-2</v>
      </c>
      <c r="P436" s="1">
        <v>0.43270333413200462</v>
      </c>
      <c r="R436" s="1">
        <v>4.614238074306392E-2</v>
      </c>
      <c r="S436" s="2">
        <f t="shared" si="84"/>
        <v>0.85612615880643927</v>
      </c>
      <c r="T436" s="4">
        <f t="shared" si="85"/>
        <v>0.73295199979266845</v>
      </c>
      <c r="U436" s="1">
        <f t="shared" si="77"/>
        <v>0.55095557190009847</v>
      </c>
      <c r="V436" s="6">
        <f>2*sigma/alpha*corel*(B436/12-1/alpha*(1-EXP(-alpha*Output!B436/12)))</f>
        <v>1.9901583608070337</v>
      </c>
      <c r="W436" s="5">
        <f t="shared" si="86"/>
        <v>-0.18199642789256998</v>
      </c>
      <c r="X436" s="1">
        <f t="shared" si="87"/>
        <v>29.743557585870889</v>
      </c>
      <c r="Y436" s="3">
        <f t="shared" si="88"/>
        <v>4.8897982438586882E-2</v>
      </c>
      <c r="Z436" s="1">
        <f t="shared" si="78"/>
        <v>0.14385796915104698</v>
      </c>
      <c r="AA436" s="8">
        <f t="shared" si="83"/>
        <v>35.333333333333243</v>
      </c>
      <c r="AB436" s="1">
        <v>35.42</v>
      </c>
      <c r="AC436" s="1">
        <v>2.3894499999999999E-2</v>
      </c>
      <c r="AD436" s="8">
        <f t="shared" si="79"/>
        <v>2.4171149077323664</v>
      </c>
      <c r="AE436" s="3">
        <f t="shared" si="80"/>
        <v>1.0115779395812286E-2</v>
      </c>
      <c r="AF436" s="11">
        <f t="shared" si="81"/>
        <v>35.333333333333243</v>
      </c>
      <c r="AG436" s="1">
        <f t="shared" si="82"/>
        <v>0.14385796915104698</v>
      </c>
    </row>
    <row r="437" spans="2:33" ht="15">
      <c r="B437" s="1">
        <v>426</v>
      </c>
      <c r="C437" s="1">
        <v>1.0007243394294629</v>
      </c>
      <c r="D437" s="1">
        <v>1.2179587807535566</v>
      </c>
      <c r="E437" s="1">
        <v>0.8201055383302629</v>
      </c>
      <c r="G437" s="1">
        <v>0.99887218982943637</v>
      </c>
      <c r="H437" s="1">
        <v>5.2074280669926942</v>
      </c>
      <c r="I437" s="1">
        <v>0.15614726115940916</v>
      </c>
      <c r="K437" s="1">
        <v>1.0004359051909206</v>
      </c>
      <c r="L437" s="1">
        <v>2.9880103030354213</v>
      </c>
      <c r="M437" s="1">
        <v>0.30624871433060868</v>
      </c>
      <c r="O437" s="1">
        <v>2.3663507629996479E-2</v>
      </c>
      <c r="P437" s="1">
        <v>0.43168698683959011</v>
      </c>
      <c r="R437" s="1">
        <v>4.619411422434775E-2</v>
      </c>
      <c r="S437" s="2">
        <f t="shared" si="84"/>
        <v>0.85847184071755778</v>
      </c>
      <c r="T437" s="4">
        <f t="shared" si="85"/>
        <v>0.73697390130499185</v>
      </c>
      <c r="U437" s="1">
        <f t="shared" si="77"/>
        <v>0.55394857328787195</v>
      </c>
      <c r="V437" s="6">
        <f>2*sigma/alpha*corel*(B437/12-1/alpha*(1-EXP(-alpha*Output!B437/12)))</f>
        <v>1.9980548275734675</v>
      </c>
      <c r="W437" s="5">
        <f t="shared" si="86"/>
        <v>-0.1830253280171199</v>
      </c>
      <c r="X437" s="1">
        <f t="shared" si="87"/>
        <v>29.98181967242067</v>
      </c>
      <c r="Y437" s="3">
        <f t="shared" si="88"/>
        <v>4.897902629169873E-2</v>
      </c>
      <c r="Z437" s="1">
        <f t="shared" si="78"/>
        <v>0.14408271307056381</v>
      </c>
      <c r="AA437" s="8">
        <f t="shared" si="83"/>
        <v>35.416666666666579</v>
      </c>
      <c r="AB437" s="1">
        <v>35.5</v>
      </c>
      <c r="AC437" s="1">
        <v>2.3905200000000001E-2</v>
      </c>
      <c r="AD437" s="8">
        <f t="shared" si="79"/>
        <v>2.4169237000352255</v>
      </c>
      <c r="AE437" s="3">
        <f t="shared" si="80"/>
        <v>1.0110451701032516E-2</v>
      </c>
      <c r="AF437" s="11">
        <f t="shared" si="81"/>
        <v>35.416666666666579</v>
      </c>
      <c r="AG437" s="1">
        <f t="shared" si="82"/>
        <v>0.14408271307056381</v>
      </c>
    </row>
    <row r="438" spans="2:33" ht="15">
      <c r="B438" s="1">
        <v>427</v>
      </c>
      <c r="C438" s="1">
        <v>1.0007270237471162</v>
      </c>
      <c r="D438" s="1">
        <v>1.2201060397119967</v>
      </c>
      <c r="E438" s="1">
        <v>0.81866034945494082</v>
      </c>
      <c r="G438" s="1">
        <v>0.99894082773019288</v>
      </c>
      <c r="H438" s="1">
        <v>5.2935344368744417</v>
      </c>
      <c r="I438" s="1">
        <v>0.15353299151730981</v>
      </c>
      <c r="K438" s="1">
        <v>1.0004635112092235</v>
      </c>
      <c r="L438" s="1">
        <v>2.9102731844186382</v>
      </c>
      <c r="M438" s="1">
        <v>0.31436350979015992</v>
      </c>
      <c r="O438" s="1">
        <v>2.3674313875697357E-2</v>
      </c>
      <c r="P438" s="1">
        <v>0.43067092220442366</v>
      </c>
      <c r="R438" s="1">
        <v>4.6240425178506468E-2</v>
      </c>
      <c r="S438" s="2">
        <f t="shared" si="84"/>
        <v>0.86078699751506127</v>
      </c>
      <c r="T438" s="4">
        <f t="shared" si="85"/>
        <v>0.74095425509099411</v>
      </c>
      <c r="U438" s="1">
        <f t="shared" si="77"/>
        <v>0.55694908220305461</v>
      </c>
      <c r="V438" s="6">
        <f>2*sigma/alpha*corel*(B438/12-1/alpha*(1-EXP(-alpha*Output!B438/12)))</f>
        <v>2.00596119173523</v>
      </c>
      <c r="W438" s="5">
        <f t="shared" si="86"/>
        <v>-0.18400517288793949</v>
      </c>
      <c r="X438" s="1">
        <f t="shared" si="87"/>
        <v>30.213949910464546</v>
      </c>
      <c r="Y438" s="3">
        <f t="shared" si="88"/>
        <v>4.9050499537239584E-2</v>
      </c>
      <c r="Z438" s="1">
        <f t="shared" si="78"/>
        <v>0.14430201107636606</v>
      </c>
      <c r="AA438" s="8">
        <f t="shared" si="83"/>
        <v>35.499999999999915</v>
      </c>
      <c r="AB438" s="1">
        <v>35.58</v>
      </c>
      <c r="AC438" s="1">
        <v>2.39159E-2</v>
      </c>
      <c r="AD438" s="8">
        <f t="shared" si="79"/>
        <v>2.4158612430264306</v>
      </c>
      <c r="AE438" s="3">
        <f t="shared" si="80"/>
        <v>1.0101485802442854E-2</v>
      </c>
      <c r="AF438" s="11">
        <f t="shared" si="81"/>
        <v>35.499999999999915</v>
      </c>
      <c r="AG438" s="1">
        <f t="shared" si="82"/>
        <v>0.14430201107636606</v>
      </c>
    </row>
    <row r="439" spans="2:33" ht="15">
      <c r="B439" s="1">
        <v>428</v>
      </c>
      <c r="C439" s="1">
        <v>1.0007262517158584</v>
      </c>
      <c r="D439" s="1">
        <v>1.2154555528061886</v>
      </c>
      <c r="E439" s="1">
        <v>0.82179074724470713</v>
      </c>
      <c r="G439" s="1">
        <v>0.99870638848136772</v>
      </c>
      <c r="H439" s="1">
        <v>5.1161653434379817</v>
      </c>
      <c r="I439" s="1">
        <v>0.15877886244109413</v>
      </c>
      <c r="K439" s="1">
        <v>1.0005103962631654</v>
      </c>
      <c r="L439" s="1">
        <v>2.9471777052873329</v>
      </c>
      <c r="M439" s="1">
        <v>0.31036238846063507</v>
      </c>
      <c r="O439" s="1">
        <v>2.3685211500961503E-2</v>
      </c>
      <c r="P439" s="1">
        <v>0.42965507492198357</v>
      </c>
      <c r="R439" s="1">
        <v>4.6282589990826219E-2</v>
      </c>
      <c r="S439" s="2">
        <f t="shared" si="84"/>
        <v>0.86308024551683404</v>
      </c>
      <c r="T439" s="4">
        <f t="shared" si="85"/>
        <v>0.74490751020139856</v>
      </c>
      <c r="U439" s="1">
        <f t="shared" si="77"/>
        <v>0.55995708781437215</v>
      </c>
      <c r="V439" s="6">
        <f>2*sigma/alpha*corel*(B439/12-1/alpha*(1-EXP(-alpha*Output!B439/12)))</f>
        <v>2.0138774266655255</v>
      </c>
      <c r="W439" s="5">
        <f t="shared" si="86"/>
        <v>-0.18495042238702641</v>
      </c>
      <c r="X439" s="1">
        <f t="shared" si="87"/>
        <v>30.441962550182062</v>
      </c>
      <c r="Y439" s="3">
        <f t="shared" si="88"/>
        <v>4.911513246858841E-2</v>
      </c>
      <c r="Z439" s="1">
        <f t="shared" si="78"/>
        <v>0.14451732524291444</v>
      </c>
      <c r="AA439" s="8">
        <f t="shared" si="83"/>
        <v>35.58333333333325</v>
      </c>
      <c r="AB439" s="1">
        <v>35.67</v>
      </c>
      <c r="AC439" s="1">
        <v>2.3926599999999999E-2</v>
      </c>
      <c r="AD439" s="8">
        <f t="shared" si="79"/>
        <v>2.4138849903849664</v>
      </c>
      <c r="AE439" s="3">
        <f t="shared" si="80"/>
        <v>1.0088708760897772E-2</v>
      </c>
      <c r="AF439" s="11">
        <f t="shared" si="81"/>
        <v>35.58333333333325</v>
      </c>
      <c r="AG439" s="1">
        <f t="shared" si="82"/>
        <v>0.14451732524291444</v>
      </c>
    </row>
    <row r="440" spans="2:33" ht="15">
      <c r="B440" s="1">
        <v>429</v>
      </c>
      <c r="C440" s="1">
        <v>1.0007333956182887</v>
      </c>
      <c r="D440" s="1">
        <v>1.2178154849595015</v>
      </c>
      <c r="E440" s="1">
        <v>0.82019634722592916</v>
      </c>
      <c r="G440" s="1">
        <v>0.99909834068465631</v>
      </c>
      <c r="H440" s="1">
        <v>5.2051058183529717</v>
      </c>
      <c r="I440" s="1">
        <v>0.15599026520924208</v>
      </c>
      <c r="K440" s="1">
        <v>1.0005776160536417</v>
      </c>
      <c r="L440" s="1">
        <v>2.9567871131702215</v>
      </c>
      <c r="M440" s="1">
        <v>0.30928928453397464</v>
      </c>
      <c r="O440" s="1">
        <v>2.3696146746112558E-2</v>
      </c>
      <c r="P440" s="1">
        <v>0.42864026876264277</v>
      </c>
      <c r="R440" s="1">
        <v>4.6299452876510022E-2</v>
      </c>
      <c r="S440" s="2">
        <f t="shared" si="84"/>
        <v>0.86520619813264865</v>
      </c>
      <c r="T440" s="4">
        <f t="shared" si="85"/>
        <v>0.74858176528715203</v>
      </c>
      <c r="U440" s="1">
        <f t="shared" si="77"/>
        <v>0.56297257926936495</v>
      </c>
      <c r="V440" s="6">
        <f>2*sigma/alpha*corel*(B440/12-1/alpha*(1-EXP(-alpha*Output!B440/12)))</f>
        <v>2.0218035058091952</v>
      </c>
      <c r="W440" s="5">
        <f t="shared" si="86"/>
        <v>-0.18560918601778709</v>
      </c>
      <c r="X440" s="1">
        <f t="shared" si="87"/>
        <v>30.629803016645909</v>
      </c>
      <c r="Y440" s="3">
        <f t="shared" si="88"/>
        <v>4.9127501242263623E-2</v>
      </c>
      <c r="Z440" s="1">
        <f t="shared" si="78"/>
        <v>0.14470435403940787</v>
      </c>
      <c r="AA440" s="8">
        <f t="shared" si="83"/>
        <v>35.666666666666586</v>
      </c>
      <c r="AB440" s="1">
        <v>35.75</v>
      </c>
      <c r="AC440" s="1">
        <v>2.3937300000000002E-2</v>
      </c>
      <c r="AD440" s="8">
        <f t="shared" si="79"/>
        <v>2.411532538874432</v>
      </c>
      <c r="AE440" s="3">
        <f t="shared" si="80"/>
        <v>1.0074371540960893E-2</v>
      </c>
      <c r="AF440" s="11">
        <f t="shared" si="81"/>
        <v>35.666666666666586</v>
      </c>
      <c r="AG440" s="1">
        <f t="shared" si="82"/>
        <v>0.14470435403940787</v>
      </c>
    </row>
    <row r="441" spans="2:33" ht="15">
      <c r="B441" s="1">
        <v>430</v>
      </c>
      <c r="C441" s="1">
        <v>1.0007375900462043</v>
      </c>
      <c r="D441" s="1">
        <v>1.2190225148648375</v>
      </c>
      <c r="E441" s="1">
        <v>0.81938231656891169</v>
      </c>
      <c r="G441" s="1">
        <v>0.99927505750563272</v>
      </c>
      <c r="H441" s="1">
        <v>5.2500840778624447</v>
      </c>
      <c r="I441" s="1">
        <v>0.15457903840918702</v>
      </c>
      <c r="K441" s="1">
        <v>1.000420265589248</v>
      </c>
      <c r="L441" s="1">
        <v>2.8763969020213094</v>
      </c>
      <c r="M441" s="1">
        <v>0.31786714438953745</v>
      </c>
      <c r="O441" s="1">
        <v>2.3706936548992322E-2</v>
      </c>
      <c r="P441" s="1">
        <v>0.42762930877640049</v>
      </c>
      <c r="R441" s="1">
        <v>4.6313438157431538E-2</v>
      </c>
      <c r="S441" s="2">
        <f t="shared" si="84"/>
        <v>0.86731084563424088</v>
      </c>
      <c r="T441" s="4">
        <f t="shared" si="85"/>
        <v>0.75222810295478204</v>
      </c>
      <c r="U441" s="1">
        <f t="shared" ref="U441:U504" si="89">sigma*sigma/alpha/alpha*(B441/12+2/alpha*EXP(-alpha*B441/12)-1/2/alpha*EXP(-2*alpha*B441/12)-3/2/alpha)</f>
        <v>0.56599554569471089</v>
      </c>
      <c r="V441" s="6">
        <f>2*sigma/alpha*corel*(B441/12-1/alpha*(1-EXP(-alpha*Output!B441/12)))</f>
        <v>2.0297394026825168</v>
      </c>
      <c r="W441" s="5">
        <f t="shared" si="86"/>
        <v>-0.18623255726007115</v>
      </c>
      <c r="X441" s="1">
        <f t="shared" si="87"/>
        <v>30.813175250078846</v>
      </c>
      <c r="Y441" s="3">
        <f t="shared" si="88"/>
        <v>4.9133333696455561E-2</v>
      </c>
      <c r="Z441" s="1">
        <f t="shared" si="78"/>
        <v>0.1448875846147015</v>
      </c>
      <c r="AA441" s="8">
        <f t="shared" si="83"/>
        <v>35.749999999999922</v>
      </c>
      <c r="AB441" s="1">
        <v>35.83</v>
      </c>
      <c r="AC441" s="1">
        <v>2.39481E-2</v>
      </c>
      <c r="AD441" s="8">
        <f t="shared" si="79"/>
        <v>2.411634510076782</v>
      </c>
      <c r="AE441" s="3">
        <f t="shared" si="80"/>
        <v>1.0070254049702406E-2</v>
      </c>
      <c r="AF441" s="11">
        <f t="shared" si="81"/>
        <v>35.749999999999922</v>
      </c>
      <c r="AG441" s="1">
        <f t="shared" si="82"/>
        <v>0.1448875846147015</v>
      </c>
    </row>
    <row r="442" spans="2:33" ht="15">
      <c r="B442" s="1">
        <v>431</v>
      </c>
      <c r="C442" s="1">
        <v>1.0007389878868804</v>
      </c>
      <c r="D442" s="1">
        <v>1.2231655849813239</v>
      </c>
      <c r="E442" s="1">
        <v>0.8166050284357852</v>
      </c>
      <c r="G442" s="1">
        <v>0.99923307072378631</v>
      </c>
      <c r="H442" s="1">
        <v>5.4078248454840701</v>
      </c>
      <c r="I442" s="1">
        <v>0.14999750748179677</v>
      </c>
      <c r="K442" s="1">
        <v>1.0005181868935731</v>
      </c>
      <c r="L442" s="1">
        <v>2.8096780268969161</v>
      </c>
      <c r="M442" s="1">
        <v>0.32534745930880765</v>
      </c>
      <c r="O442" s="1">
        <v>2.3717711123518746E-2</v>
      </c>
      <c r="P442" s="1">
        <v>0.4266201993163774</v>
      </c>
      <c r="R442" s="1">
        <v>4.637331228763189E-2</v>
      </c>
      <c r="S442" s="2">
        <f t="shared" si="84"/>
        <v>0.86973040465039908</v>
      </c>
      <c r="T442" s="4">
        <f t="shared" si="85"/>
        <v>0.75643097677334692</v>
      </c>
      <c r="U442" s="1">
        <f t="shared" si="89"/>
        <v>0.56902597619655115</v>
      </c>
      <c r="V442" s="6">
        <f>2*sigma/alpha*corel*(B442/12-1/alpha*(1-EXP(-alpha*Output!B442/12)))</f>
        <v>2.0376850908730186</v>
      </c>
      <c r="W442" s="5">
        <f t="shared" si="86"/>
        <v>-0.18740500057679577</v>
      </c>
      <c r="X442" s="1">
        <f t="shared" si="87"/>
        <v>31.076012279099171</v>
      </c>
      <c r="Y442" s="3">
        <f t="shared" si="88"/>
        <v>4.92376036682328E-2</v>
      </c>
      <c r="Z442" s="1">
        <f t="shared" si="78"/>
        <v>0.14512313134448995</v>
      </c>
      <c r="AA442" s="8">
        <f t="shared" si="83"/>
        <v>35.833333333333258</v>
      </c>
      <c r="AB442" s="1">
        <v>35.92</v>
      </c>
      <c r="AC442" s="1">
        <v>2.3958799999999999E-2</v>
      </c>
      <c r="AD442" s="8">
        <f t="shared" si="79"/>
        <v>2.4108887648125257</v>
      </c>
      <c r="AE442" s="3">
        <f t="shared" si="80"/>
        <v>1.0062644059020175E-2</v>
      </c>
      <c r="AF442" s="11">
        <f t="shared" si="81"/>
        <v>35.833333333333258</v>
      </c>
      <c r="AG442" s="1">
        <f t="shared" si="82"/>
        <v>0.14512313134448995</v>
      </c>
    </row>
    <row r="443" spans="2:33" ht="15">
      <c r="B443" s="1">
        <v>432</v>
      </c>
      <c r="C443" s="1">
        <v>1.0007426512563697</v>
      </c>
      <c r="D443" s="1">
        <v>1.2235443254948284</v>
      </c>
      <c r="E443" s="1">
        <v>0.8163503486348932</v>
      </c>
      <c r="G443" s="1">
        <v>0.99937377193337829</v>
      </c>
      <c r="H443" s="1">
        <v>5.4222305745326551</v>
      </c>
      <c r="I443" s="1">
        <v>0.14952660591278594</v>
      </c>
      <c r="K443" s="1">
        <v>1.0005820959392615</v>
      </c>
      <c r="L443" s="1">
        <v>2.7726944692596858</v>
      </c>
      <c r="M443" s="1">
        <v>0.32961842540560565</v>
      </c>
      <c r="O443" s="1">
        <v>2.3728469440710484E-2</v>
      </c>
      <c r="P443" s="1">
        <v>0.42561295592472687</v>
      </c>
      <c r="R443" s="1">
        <v>4.6442129178664443E-2</v>
      </c>
      <c r="S443" s="2">
        <f t="shared" si="84"/>
        <v>0.87221427816103403</v>
      </c>
      <c r="T443" s="4">
        <f t="shared" si="85"/>
        <v>0.76075774702797361</v>
      </c>
      <c r="U443" s="1">
        <f t="shared" si="89"/>
        <v>0.57206385986081865</v>
      </c>
      <c r="V443" s="6">
        <f>2*sigma/alpha*corel*(B443/12-1/alpha*(1-EXP(-alpha*Output!B443/12)))</f>
        <v>2.0456405440392897</v>
      </c>
      <c r="W443" s="5">
        <f t="shared" si="86"/>
        <v>-0.18869388716715496</v>
      </c>
      <c r="X443" s="1">
        <f t="shared" si="87"/>
        <v>31.356564987487673</v>
      </c>
      <c r="Y443" s="3">
        <f t="shared" si="88"/>
        <v>4.9361843750222081E-2</v>
      </c>
      <c r="Z443" s="1">
        <f t="shared" si="78"/>
        <v>0.14536904636017234</v>
      </c>
      <c r="AA443" s="8">
        <f t="shared" si="83"/>
        <v>35.916666666666593</v>
      </c>
      <c r="AB443" s="1">
        <v>36</v>
      </c>
      <c r="AC443" s="1">
        <v>2.3969600000000001E-2</v>
      </c>
      <c r="AD443" s="8">
        <f t="shared" si="79"/>
        <v>2.4113055928951659</v>
      </c>
      <c r="AE443" s="3">
        <f t="shared" si="80"/>
        <v>1.0059849112605825E-2</v>
      </c>
      <c r="AF443" s="11">
        <f t="shared" si="81"/>
        <v>35.916666666666593</v>
      </c>
      <c r="AG443" s="1">
        <f t="shared" si="82"/>
        <v>0.14536904636017234</v>
      </c>
    </row>
    <row r="444" spans="2:33" ht="15">
      <c r="B444" s="1">
        <v>433</v>
      </c>
      <c r="C444" s="1">
        <v>1.0007448724421191</v>
      </c>
      <c r="D444" s="1">
        <v>1.2211492178165082</v>
      </c>
      <c r="E444" s="1">
        <v>0.81794958936910211</v>
      </c>
      <c r="G444" s="1">
        <v>0.99939330162264961</v>
      </c>
      <c r="H444" s="1">
        <v>5.3251893081117476</v>
      </c>
      <c r="I444" s="1">
        <v>0.15217776529689778</v>
      </c>
      <c r="K444" s="1">
        <v>1.0005687529023364</v>
      </c>
      <c r="L444" s="1">
        <v>2.7920784295400334</v>
      </c>
      <c r="M444" s="1">
        <v>0.32726186816706321</v>
      </c>
      <c r="O444" s="1">
        <v>2.3739118761446062E-2</v>
      </c>
      <c r="P444" s="1">
        <v>0.42460899923936252</v>
      </c>
      <c r="R444" s="1">
        <v>4.6440715512403356E-2</v>
      </c>
      <c r="S444" s="2">
        <f t="shared" si="84"/>
        <v>0.87421849683981634</v>
      </c>
      <c r="T444" s="4">
        <f t="shared" si="85"/>
        <v>0.76425798021686797</v>
      </c>
      <c r="U444" s="1">
        <f t="shared" si="89"/>
        <v>0.57510918575354908</v>
      </c>
      <c r="V444" s="6">
        <f>2*sigma/alpha*corel*(B444/12-1/alpha*(1-EXP(-alpha*Output!B444/12)))</f>
        <v>2.0536057359107782</v>
      </c>
      <c r="W444" s="5">
        <f t="shared" si="86"/>
        <v>-0.18914879446331889</v>
      </c>
      <c r="X444" s="1">
        <f t="shared" si="87"/>
        <v>31.517772519438012</v>
      </c>
      <c r="Y444" s="3">
        <f t="shared" si="88"/>
        <v>4.9336675605421688E-2</v>
      </c>
      <c r="Z444" s="1">
        <f t="shared" si="78"/>
        <v>0.1455347371896962</v>
      </c>
      <c r="AA444" s="8">
        <f t="shared" si="83"/>
        <v>35.999999999999929</v>
      </c>
      <c r="AB444" s="1">
        <v>36.08</v>
      </c>
      <c r="AC444" s="1">
        <v>2.3980399999999999E-2</v>
      </c>
      <c r="AD444" s="8">
        <f t="shared" si="79"/>
        <v>2.4128123855393646</v>
      </c>
      <c r="AE444" s="3">
        <f t="shared" si="80"/>
        <v>1.0061601914644312E-2</v>
      </c>
      <c r="AF444" s="11">
        <f t="shared" si="81"/>
        <v>35.999999999999929</v>
      </c>
      <c r="AG444" s="1">
        <f t="shared" si="82"/>
        <v>0.1455347371896962</v>
      </c>
    </row>
    <row r="445" spans="2:33" ht="15">
      <c r="B445" s="1">
        <v>434</v>
      </c>
      <c r="C445" s="1">
        <v>1.0007498110534156</v>
      </c>
      <c r="D445" s="1">
        <v>1.2224038817198024</v>
      </c>
      <c r="E445" s="1">
        <v>0.81710813868643861</v>
      </c>
      <c r="G445" s="1">
        <v>0.99964096488499432</v>
      </c>
      <c r="H445" s="1">
        <v>5.3774731995721821</v>
      </c>
      <c r="I445" s="1">
        <v>0.15062525471240829</v>
      </c>
      <c r="K445" s="1">
        <v>1.0005613941285065</v>
      </c>
      <c r="L445" s="1">
        <v>2.7932609273968256</v>
      </c>
      <c r="M445" s="1">
        <v>0.32705518168533371</v>
      </c>
      <c r="O445" s="1">
        <v>2.3749702795762738E-2</v>
      </c>
      <c r="P445" s="1">
        <v>0.42360765909956644</v>
      </c>
      <c r="R445" s="1">
        <v>4.6415790966117164E-2</v>
      </c>
      <c r="S445" s="2">
        <f t="shared" si="84"/>
        <v>0.87606173039774959</v>
      </c>
      <c r="T445" s="4">
        <f t="shared" si="85"/>
        <v>0.76748415546749926</v>
      </c>
      <c r="U445" s="1">
        <f t="shared" si="89"/>
        <v>0.57816194292120726</v>
      </c>
      <c r="V445" s="6">
        <f>2*sigma/alpha*corel*(B445/12-1/alpha*(1-EXP(-alpha*Output!B445/12)))</f>
        <v>2.0615806402876111</v>
      </c>
      <c r="W445" s="5">
        <f t="shared" si="86"/>
        <v>-0.189322212546292</v>
      </c>
      <c r="X445" s="1">
        <f t="shared" si="87"/>
        <v>31.638728151438922</v>
      </c>
      <c r="Y445" s="3">
        <f t="shared" si="88"/>
        <v>4.9261531084207111E-2</v>
      </c>
      <c r="Z445" s="1">
        <f t="shared" si="78"/>
        <v>0.14567347067674746</v>
      </c>
      <c r="AA445" s="8">
        <f t="shared" si="83"/>
        <v>36.083333333333265</v>
      </c>
      <c r="AB445" s="1">
        <v>36.17</v>
      </c>
      <c r="AC445" s="1">
        <v>2.3991200000000001E-2</v>
      </c>
      <c r="AD445" s="8">
        <f t="shared" si="79"/>
        <v>2.4149720423726277</v>
      </c>
      <c r="AE445" s="3">
        <f t="shared" si="80"/>
        <v>1.0066074403834021E-2</v>
      </c>
      <c r="AF445" s="11">
        <f t="shared" si="81"/>
        <v>36.083333333333265</v>
      </c>
      <c r="AG445" s="1">
        <f t="shared" si="82"/>
        <v>0.14567347067674746</v>
      </c>
    </row>
    <row r="446" spans="2:33" ht="15">
      <c r="B446" s="1">
        <v>435</v>
      </c>
      <c r="C446" s="1">
        <v>1.0007525157362109</v>
      </c>
      <c r="D446" s="1">
        <v>1.2204336354302969</v>
      </c>
      <c r="E446" s="1">
        <v>0.81842534108646259</v>
      </c>
      <c r="G446" s="1">
        <v>0.99967410993177652</v>
      </c>
      <c r="H446" s="1">
        <v>5.2929923439385318</v>
      </c>
      <c r="I446" s="1">
        <v>0.1529553165093876</v>
      </c>
      <c r="K446" s="1">
        <v>1.0006419944287714</v>
      </c>
      <c r="L446" s="1">
        <v>2.8138861255103191</v>
      </c>
      <c r="M446" s="1">
        <v>0.32459030542490136</v>
      </c>
      <c r="O446" s="1">
        <v>2.3760331174871963E-2</v>
      </c>
      <c r="P446" s="1">
        <v>0.42260725555958317</v>
      </c>
      <c r="R446" s="1">
        <v>4.6423685213142517E-2</v>
      </c>
      <c r="S446" s="2">
        <f t="shared" si="84"/>
        <v>0.87813328387490386</v>
      </c>
      <c r="T446" s="4">
        <f t="shared" si="85"/>
        <v>0.77111806424892249</v>
      </c>
      <c r="U446" s="1">
        <f t="shared" si="89"/>
        <v>0.58122212039100019</v>
      </c>
      <c r="V446" s="6">
        <f>2*sigma/alpha*corel*(B446/12-1/alpha*(1-EXP(-alpha*Output!B446/12)))</f>
        <v>2.0695652310404022</v>
      </c>
      <c r="W446" s="5">
        <f t="shared" si="86"/>
        <v>-0.1898959438579223</v>
      </c>
      <c r="X446" s="1">
        <f t="shared" si="87"/>
        <v>31.818012104930048</v>
      </c>
      <c r="Y446" s="3">
        <f t="shared" si="88"/>
        <v>4.9257661705452233E-2</v>
      </c>
      <c r="Z446" s="1">
        <f t="shared" si="78"/>
        <v>0.14584999986986369</v>
      </c>
      <c r="AA446" s="8">
        <f t="shared" si="83"/>
        <v>36.1666666666666</v>
      </c>
      <c r="AB446" s="1">
        <v>36.25</v>
      </c>
      <c r="AC446" s="1">
        <v>2.4001999999999999E-2</v>
      </c>
      <c r="AD446" s="8">
        <f t="shared" si="79"/>
        <v>2.416688251280358</v>
      </c>
      <c r="AE446" s="3">
        <f t="shared" si="80"/>
        <v>1.0068695322391292E-2</v>
      </c>
      <c r="AF446" s="11">
        <f t="shared" si="81"/>
        <v>36.1666666666666</v>
      </c>
      <c r="AG446" s="1">
        <f t="shared" si="82"/>
        <v>0.14584999986986369</v>
      </c>
    </row>
    <row r="447" spans="2:33" ht="15">
      <c r="B447" s="1">
        <v>436</v>
      </c>
      <c r="C447" s="1">
        <v>1.0007534374752383</v>
      </c>
      <c r="D447" s="1">
        <v>1.2169262830179406</v>
      </c>
      <c r="E447" s="1">
        <v>0.82078222606529483</v>
      </c>
      <c r="G447" s="1">
        <v>0.99958094659426167</v>
      </c>
      <c r="H447" s="1">
        <v>5.1525779995847643</v>
      </c>
      <c r="I447" s="1">
        <v>0.15704751210546175</v>
      </c>
      <c r="K447" s="1">
        <v>1.0007060069064801</v>
      </c>
      <c r="L447" s="1">
        <v>2.7952868237158111</v>
      </c>
      <c r="M447" s="1">
        <v>0.32668200102887246</v>
      </c>
      <c r="O447" s="1">
        <v>2.3770913385304331E-2</v>
      </c>
      <c r="P447" s="1">
        <v>0.42160917499652489</v>
      </c>
      <c r="R447" s="1">
        <v>4.6378429246356954E-2</v>
      </c>
      <c r="S447" s="2">
        <f t="shared" si="84"/>
        <v>0.87983998459711632</v>
      </c>
      <c r="T447" s="4">
        <f t="shared" si="85"/>
        <v>0.77411839849585384</v>
      </c>
      <c r="U447" s="1">
        <f t="shared" si="89"/>
        <v>0.58428970717118667</v>
      </c>
      <c r="V447" s="6">
        <f>2*sigma/alpha*corel*(B447/12-1/alpha*(1-EXP(-alpha*Output!B447/12)))</f>
        <v>2.077559482110058</v>
      </c>
      <c r="W447" s="5">
        <f t="shared" si="86"/>
        <v>-0.18982869132466718</v>
      </c>
      <c r="X447" s="1">
        <f t="shared" si="87"/>
        <v>31.90468987422371</v>
      </c>
      <c r="Y447" s="3">
        <f t="shared" si="88"/>
        <v>4.9140332761477244E-2</v>
      </c>
      <c r="Z447" s="1">
        <f t="shared" si="78"/>
        <v>0.14596578697686591</v>
      </c>
      <c r="AA447" s="8">
        <f t="shared" si="83"/>
        <v>36.249999999999936</v>
      </c>
      <c r="AB447" s="1">
        <v>36.33</v>
      </c>
      <c r="AC447" s="1">
        <v>2.40129E-2</v>
      </c>
      <c r="AD447" s="8">
        <f t="shared" si="79"/>
        <v>2.4198661469566893</v>
      </c>
      <c r="AE447" s="3">
        <f t="shared" si="80"/>
        <v>1.0077359031839924E-2</v>
      </c>
      <c r="AF447" s="11">
        <f t="shared" si="81"/>
        <v>36.249999999999936</v>
      </c>
      <c r="AG447" s="1">
        <f t="shared" si="82"/>
        <v>0.14596578697686591</v>
      </c>
    </row>
    <row r="448" spans="2:33" ht="15">
      <c r="B448" s="1">
        <v>437</v>
      </c>
      <c r="C448" s="1">
        <v>1.0007571077349231</v>
      </c>
      <c r="D448" s="1">
        <v>1.2180368530252956</v>
      </c>
      <c r="E448" s="1">
        <v>0.82003192657940016</v>
      </c>
      <c r="G448" s="1">
        <v>0.99968834907618243</v>
      </c>
      <c r="H448" s="1">
        <v>5.1907145465397759</v>
      </c>
      <c r="I448" s="1">
        <v>0.15581823502652353</v>
      </c>
      <c r="K448" s="1">
        <v>1.0008355924656365</v>
      </c>
      <c r="L448" s="1">
        <v>2.7896970077531669</v>
      </c>
      <c r="M448" s="1">
        <v>0.32726839754491821</v>
      </c>
      <c r="O448" s="1">
        <v>2.3781495306628098E-2</v>
      </c>
      <c r="P448" s="1">
        <v>0.42061271421395086</v>
      </c>
      <c r="R448" s="1">
        <v>4.6467263029316863E-2</v>
      </c>
      <c r="S448" s="2">
        <f t="shared" si="84"/>
        <v>0.88247252429361711</v>
      </c>
      <c r="T448" s="4">
        <f t="shared" si="85"/>
        <v>0.77875775613314868</v>
      </c>
      <c r="U448" s="1">
        <f t="shared" si="89"/>
        <v>0.58736469225139731</v>
      </c>
      <c r="V448" s="6">
        <f>2*sigma/alpha*corel*(B448/12-1/alpha*(1-EXP(-alpha*Output!B448/12)))</f>
        <v>2.0855633675075906</v>
      </c>
      <c r="W448" s="5">
        <f t="shared" si="86"/>
        <v>-0.19139306388175137</v>
      </c>
      <c r="X448" s="1">
        <f t="shared" si="87"/>
        <v>32.229164198664719</v>
      </c>
      <c r="Y448" s="3">
        <f t="shared" si="88"/>
        <v>4.9311352748884624E-2</v>
      </c>
      <c r="Z448" s="1">
        <f t="shared" si="78"/>
        <v>0.14623492176060077</v>
      </c>
      <c r="AA448" s="8">
        <f t="shared" si="83"/>
        <v>36.333333333333272</v>
      </c>
      <c r="AB448" s="1">
        <v>36.42</v>
      </c>
      <c r="AC448" s="1">
        <v>2.4023699999999999E-2</v>
      </c>
      <c r="AD448" s="8">
        <f t="shared" si="79"/>
        <v>2.4220469337190091</v>
      </c>
      <c r="AE448" s="3">
        <f t="shared" si="80"/>
        <v>1.0081906341317155E-2</v>
      </c>
      <c r="AF448" s="11">
        <f t="shared" si="81"/>
        <v>36.333333333333272</v>
      </c>
      <c r="AG448" s="1">
        <f t="shared" si="82"/>
        <v>0.14623492176060077</v>
      </c>
    </row>
    <row r="449" spans="2:33" ht="15">
      <c r="B449" s="1">
        <v>438</v>
      </c>
      <c r="C449" s="1">
        <v>1.0007555780479771</v>
      </c>
      <c r="D449" s="1">
        <v>1.2209233455309196</v>
      </c>
      <c r="E449" s="1">
        <v>0.8180912823807206</v>
      </c>
      <c r="G449" s="1">
        <v>0.99939046679742227</v>
      </c>
      <c r="H449" s="1">
        <v>5.3033360391840434</v>
      </c>
      <c r="I449" s="1">
        <v>0.15243548275734328</v>
      </c>
      <c r="K449" s="1">
        <v>1.0008258200762161</v>
      </c>
      <c r="L449" s="1">
        <v>2.8437834603413377</v>
      </c>
      <c r="M449" s="1">
        <v>0.32097714109655623</v>
      </c>
      <c r="O449" s="1">
        <v>2.3792107176972929E-2</v>
      </c>
      <c r="P449" s="1">
        <v>0.41961740977517037</v>
      </c>
      <c r="R449" s="1">
        <v>4.6464469834922174E-2</v>
      </c>
      <c r="S449" s="2">
        <f t="shared" si="84"/>
        <v>0.88447748826544004</v>
      </c>
      <c r="T449" s="4">
        <f t="shared" si="85"/>
        <v>0.78230042724834159</v>
      </c>
      <c r="U449" s="1">
        <f t="shared" si="89"/>
        <v>0.59044706460293594</v>
      </c>
      <c r="V449" s="6">
        <f>2*sigma/alpha*corel*(B449/12-1/alpha*(1-EXP(-alpha*Output!B449/12)))</f>
        <v>2.0935768613139332</v>
      </c>
      <c r="W449" s="5">
        <f t="shared" si="86"/>
        <v>-0.19185336264540565</v>
      </c>
      <c r="X449" s="1">
        <f t="shared" si="87"/>
        <v>32.393655020458326</v>
      </c>
      <c r="Y449" s="3">
        <f t="shared" si="88"/>
        <v>4.9287199315878528E-2</v>
      </c>
      <c r="Z449" s="1">
        <f t="shared" si="78"/>
        <v>0.146399755524942</v>
      </c>
      <c r="AA449" s="8">
        <f t="shared" si="83"/>
        <v>36.416666666666607</v>
      </c>
      <c r="AB449" s="1">
        <v>36.5</v>
      </c>
      <c r="AC449" s="1">
        <v>2.40346E-2</v>
      </c>
      <c r="AD449" s="8">
        <f t="shared" si="79"/>
        <v>2.4249282302707051</v>
      </c>
      <c r="AE449" s="3">
        <f t="shared" si="80"/>
        <v>1.0089322186642196E-2</v>
      </c>
      <c r="AF449" s="11">
        <f t="shared" si="81"/>
        <v>36.416666666666607</v>
      </c>
      <c r="AG449" s="1">
        <f t="shared" si="82"/>
        <v>0.146399755524942</v>
      </c>
    </row>
    <row r="450" spans="2:33" ht="15">
      <c r="B450" s="1">
        <v>439</v>
      </c>
      <c r="C450" s="1">
        <v>1.0007562619032206</v>
      </c>
      <c r="D450" s="1">
        <v>1.2168862411494104</v>
      </c>
      <c r="E450" s="1">
        <v>0.82080341199855278</v>
      </c>
      <c r="G450" s="1">
        <v>0.99928775776403345</v>
      </c>
      <c r="H450" s="1">
        <v>5.147295411924472</v>
      </c>
      <c r="I450" s="1">
        <v>0.15698057369144991</v>
      </c>
      <c r="K450" s="1">
        <v>1.0008408041724246</v>
      </c>
      <c r="L450" s="1">
        <v>2.881637864213594</v>
      </c>
      <c r="M450" s="1">
        <v>0.31669466581331479</v>
      </c>
      <c r="O450" s="1">
        <v>2.3802873887007879E-2</v>
      </c>
      <c r="P450" s="1">
        <v>0.41862134883902802</v>
      </c>
      <c r="R450" s="1">
        <v>4.6402686900407074E-2</v>
      </c>
      <c r="S450" s="2">
        <f t="shared" si="84"/>
        <v>0.88608094504990476</v>
      </c>
      <c r="T450" s="4">
        <f t="shared" si="85"/>
        <v>0.78513944118053236</v>
      </c>
      <c r="U450" s="1">
        <f t="shared" si="89"/>
        <v>0.59353681317908857</v>
      </c>
      <c r="V450" s="6">
        <f>2*sigma/alpha*corel*(B450/12-1/alpha*(1-EXP(-alpha*Output!B450/12)))</f>
        <v>2.1015999376797456</v>
      </c>
      <c r="W450" s="5">
        <f t="shared" si="86"/>
        <v>-0.19160262800144379</v>
      </c>
      <c r="X450" s="1">
        <f t="shared" si="87"/>
        <v>32.454573528933452</v>
      </c>
      <c r="Y450" s="3">
        <f t="shared" si="88"/>
        <v>4.9138382180829825E-2</v>
      </c>
      <c r="Z450" s="1">
        <f t="shared" si="78"/>
        <v>0.14649802174075705</v>
      </c>
      <c r="AA450" s="8">
        <f t="shared" si="83"/>
        <v>36.499999999999943</v>
      </c>
      <c r="AB450" s="1">
        <v>36.58</v>
      </c>
      <c r="AC450" s="1">
        <v>2.4045500000000001E-2</v>
      </c>
      <c r="AD450" s="8">
        <f t="shared" si="79"/>
        <v>2.4262611299212185</v>
      </c>
      <c r="AE450" s="3">
        <f t="shared" si="80"/>
        <v>1.0090291863014779E-2</v>
      </c>
      <c r="AF450" s="11">
        <f t="shared" si="81"/>
        <v>36.499999999999943</v>
      </c>
      <c r="AG450" s="1">
        <f t="shared" si="82"/>
        <v>0.14649802174075705</v>
      </c>
    </row>
    <row r="451" spans="2:33" ht="15">
      <c r="B451" s="1">
        <v>440</v>
      </c>
      <c r="C451" s="1">
        <v>1.0007584594881973</v>
      </c>
      <c r="D451" s="1">
        <v>1.2171169147848444</v>
      </c>
      <c r="E451" s="1">
        <v>0.82064590010353233</v>
      </c>
      <c r="G451" s="1">
        <v>0.99927039890256952</v>
      </c>
      <c r="H451" s="1">
        <v>5.1552671836918451</v>
      </c>
      <c r="I451" s="1">
        <v>0.15666198113468852</v>
      </c>
      <c r="K451" s="1">
        <v>1.0007058777242421</v>
      </c>
      <c r="L451" s="1">
        <v>2.9223114530717837</v>
      </c>
      <c r="M451" s="1">
        <v>0.31222176347050129</v>
      </c>
      <c r="O451" s="1">
        <v>2.3813668041465435E-2</v>
      </c>
      <c r="P451" s="1">
        <v>0.41762648262072433</v>
      </c>
      <c r="R451" s="1">
        <v>4.6280697801357164E-2</v>
      </c>
      <c r="S451" s="2">
        <f t="shared" si="84"/>
        <v>0.88726750806118337</v>
      </c>
      <c r="T451" s="4">
        <f t="shared" si="85"/>
        <v>0.78724363086110205</v>
      </c>
      <c r="U451" s="1">
        <f t="shared" si="89"/>
        <v>0.5966339269154316</v>
      </c>
      <c r="V451" s="6">
        <f>2*sigma/alpha*corel*(B451/12-1/alpha*(1-EXP(-alpha*Output!B451/12)))</f>
        <v>2.1096325708252315</v>
      </c>
      <c r="W451" s="5">
        <f t="shared" si="86"/>
        <v>-0.19060970394567045</v>
      </c>
      <c r="X451" s="1">
        <f t="shared" si="87"/>
        <v>32.406639495918341</v>
      </c>
      <c r="Y451" s="3">
        <f t="shared" si="88"/>
        <v>4.8859778289126701E-2</v>
      </c>
      <c r="Z451" s="1">
        <f t="shared" si="78"/>
        <v>0.14652740645239859</v>
      </c>
      <c r="AA451" s="8">
        <f t="shared" si="83"/>
        <v>36.583333333333279</v>
      </c>
      <c r="AB451" s="1">
        <v>36.67</v>
      </c>
      <c r="AC451" s="1">
        <v>2.4056500000000001E-2</v>
      </c>
      <c r="AD451" s="8">
        <f t="shared" si="79"/>
        <v>2.4283195853456658</v>
      </c>
      <c r="AE451" s="3">
        <f t="shared" si="80"/>
        <v>1.0094234761273109E-2</v>
      </c>
      <c r="AF451" s="11">
        <f t="shared" si="81"/>
        <v>36.583333333333279</v>
      </c>
      <c r="AG451" s="1">
        <f t="shared" si="82"/>
        <v>0.14652740645239859</v>
      </c>
    </row>
    <row r="452" spans="2:33" ht="15">
      <c r="B452" s="1">
        <v>441</v>
      </c>
      <c r="C452" s="1">
        <v>1.0007574286917071</v>
      </c>
      <c r="D452" s="1">
        <v>1.2180791169858447</v>
      </c>
      <c r="E452" s="1">
        <v>0.8199956924205416</v>
      </c>
      <c r="G452" s="1">
        <v>0.99901251925050782</v>
      </c>
      <c r="H452" s="1">
        <v>5.1883024955362256</v>
      </c>
      <c r="I452" s="1">
        <v>0.15558914343939251</v>
      </c>
      <c r="K452" s="1">
        <v>1.0006734240139128</v>
      </c>
      <c r="L452" s="1">
        <v>2.9875618910023038</v>
      </c>
      <c r="M452" s="1">
        <v>0.30533900317770712</v>
      </c>
      <c r="O452" s="1">
        <v>2.3824520437519134E-2</v>
      </c>
      <c r="P452" s="1">
        <v>0.41663233944538736</v>
      </c>
      <c r="R452" s="1">
        <v>4.6233073130261405E-2</v>
      </c>
      <c r="S452" s="2">
        <f t="shared" si="84"/>
        <v>0.88897193618370762</v>
      </c>
      <c r="T452" s="4">
        <f t="shared" si="85"/>
        <v>0.79027110332220996</v>
      </c>
      <c r="U452" s="1">
        <f t="shared" si="89"/>
        <v>0.59973839473012958</v>
      </c>
      <c r="V452" s="6">
        <f>2*sigma/alpha*corel*(B452/12-1/alpha*(1-EXP(-alpha*Output!B452/12)))</f>
        <v>2.1176747350399481</v>
      </c>
      <c r="W452" s="5">
        <f t="shared" si="86"/>
        <v>-0.19053270859208038</v>
      </c>
      <c r="X452" s="1">
        <f t="shared" si="87"/>
        <v>32.492854446462331</v>
      </c>
      <c r="Y452" s="3">
        <f t="shared" si="88"/>
        <v>4.8742525843554728E-2</v>
      </c>
      <c r="Z452" s="1">
        <f t="shared" si="78"/>
        <v>0.14664233904505328</v>
      </c>
      <c r="AA452" s="8">
        <f t="shared" si="83"/>
        <v>36.666666666666615</v>
      </c>
      <c r="AB452" s="1">
        <v>36.75</v>
      </c>
      <c r="AC452" s="1">
        <v>2.4067399999999999E-2</v>
      </c>
      <c r="AD452" s="8">
        <f t="shared" si="79"/>
        <v>2.4287956248086537</v>
      </c>
      <c r="AE452" s="3">
        <f t="shared" si="80"/>
        <v>1.009164107800865E-2</v>
      </c>
      <c r="AF452" s="11">
        <f t="shared" si="81"/>
        <v>36.666666666666615</v>
      </c>
      <c r="AG452" s="1">
        <f t="shared" si="82"/>
        <v>0.14664233904505328</v>
      </c>
    </row>
    <row r="453" spans="2:33" ht="15">
      <c r="B453" s="1">
        <v>442</v>
      </c>
      <c r="C453" s="1">
        <v>1.0007601772051058</v>
      </c>
      <c r="D453" s="1">
        <v>1.2163884670122891</v>
      </c>
      <c r="E453" s="1">
        <v>0.82113344023230483</v>
      </c>
      <c r="G453" s="1">
        <v>0.99905634439740276</v>
      </c>
      <c r="H453" s="1">
        <v>5.119834750343828</v>
      </c>
      <c r="I453" s="1">
        <v>0.15759354315389493</v>
      </c>
      <c r="K453" s="1">
        <v>1.0006259326420202</v>
      </c>
      <c r="L453" s="1">
        <v>3.0705824518665885</v>
      </c>
      <c r="M453" s="1">
        <v>0.29702154495374872</v>
      </c>
      <c r="O453" s="1">
        <v>2.3835404700679991E-2</v>
      </c>
      <c r="P453" s="1">
        <v>0.41563932314022323</v>
      </c>
      <c r="R453" s="1">
        <v>4.6204673399545614E-2</v>
      </c>
      <c r="S453" s="2">
        <f t="shared" si="84"/>
        <v>0.89081236580364398</v>
      </c>
      <c r="T453" s="4">
        <f t="shared" si="85"/>
        <v>0.79354667106868526</v>
      </c>
      <c r="U453" s="1">
        <f t="shared" si="89"/>
        <v>0.60285020552423807</v>
      </c>
      <c r="V453" s="6">
        <f>2*sigma/alpha*corel*(B453/12-1/alpha*(1-EXP(-alpha*Output!B453/12)))</f>
        <v>2.1257264046826227</v>
      </c>
      <c r="W453" s="5">
        <f t="shared" si="86"/>
        <v>-0.19069646554444719</v>
      </c>
      <c r="X453" s="1">
        <f t="shared" si="87"/>
        <v>32.61465867111346</v>
      </c>
      <c r="Y453" s="3">
        <f t="shared" si="88"/>
        <v>4.8667847479138826E-2</v>
      </c>
      <c r="Z453" s="1">
        <f t="shared" si="78"/>
        <v>0.14677960864226672</v>
      </c>
      <c r="AA453" s="8">
        <f t="shared" si="83"/>
        <v>36.74999999999995</v>
      </c>
      <c r="AB453" s="1">
        <v>36.83</v>
      </c>
      <c r="AC453" s="1">
        <v>2.40784E-2</v>
      </c>
      <c r="AD453" s="8">
        <f t="shared" si="79"/>
        <v>2.4299529932000907</v>
      </c>
      <c r="AE453" s="3">
        <f t="shared" si="80"/>
        <v>1.0091837469267438E-2</v>
      </c>
      <c r="AF453" s="11">
        <f t="shared" si="81"/>
        <v>36.74999999999995</v>
      </c>
      <c r="AG453" s="1">
        <f t="shared" si="82"/>
        <v>0.14677960864226672</v>
      </c>
    </row>
    <row r="454" spans="2:33" ht="15">
      <c r="B454" s="1">
        <v>443</v>
      </c>
      <c r="C454" s="1">
        <v>1.0007639833297644</v>
      </c>
      <c r="D454" s="1">
        <v>1.2142788528827113</v>
      </c>
      <c r="E454" s="1">
        <v>0.82255806072878179</v>
      </c>
      <c r="G454" s="1">
        <v>0.99916523159631054</v>
      </c>
      <c r="H454" s="1">
        <v>5.0410732311668998</v>
      </c>
      <c r="I454" s="1">
        <v>0.15997832311564017</v>
      </c>
      <c r="K454" s="1">
        <v>1.0005666799361428</v>
      </c>
      <c r="L454" s="1">
        <v>3.0862232985661966</v>
      </c>
      <c r="M454" s="1">
        <v>0.29545469313332362</v>
      </c>
      <c r="O454" s="1">
        <v>2.384630533643823E-2</v>
      </c>
      <c r="P454" s="1">
        <v>0.414647670813033</v>
      </c>
      <c r="R454" s="1">
        <v>4.6102925360273189E-2</v>
      </c>
      <c r="S454" s="2">
        <f t="shared" si="84"/>
        <v>0.89214169604184157</v>
      </c>
      <c r="T454" s="4">
        <f t="shared" si="85"/>
        <v>0.79591680581641366</v>
      </c>
      <c r="U454" s="1">
        <f t="shared" si="89"/>
        <v>0.60596934818200143</v>
      </c>
      <c r="V454" s="6">
        <f>2*sigma/alpha*corel*(B454/12-1/alpha*(1-EXP(-alpha*Output!B454/12)))</f>
        <v>2.1337875541809628</v>
      </c>
      <c r="W454" s="5">
        <f t="shared" si="86"/>
        <v>-0.18994745763441223</v>
      </c>
      <c r="X454" s="1">
        <f t="shared" si="87"/>
        <v>32.601957237059111</v>
      </c>
      <c r="Y454" s="3">
        <f t="shared" si="88"/>
        <v>4.843374460841194E-2</v>
      </c>
      <c r="Z454" s="1">
        <f t="shared" si="78"/>
        <v>0.14683263663908622</v>
      </c>
      <c r="AA454" s="8">
        <f t="shared" si="83"/>
        <v>36.833333333333286</v>
      </c>
      <c r="AB454" s="1">
        <v>36.92</v>
      </c>
      <c r="AC454" s="1">
        <v>2.40895E-2</v>
      </c>
      <c r="AD454" s="8">
        <f t="shared" si="79"/>
        <v>2.4319466356177015</v>
      </c>
      <c r="AE454" s="3">
        <f t="shared" si="80"/>
        <v>1.0095463316456138E-2</v>
      </c>
      <c r="AF454" s="11">
        <f t="shared" si="81"/>
        <v>36.833333333333286</v>
      </c>
      <c r="AG454" s="1">
        <f t="shared" si="82"/>
        <v>0.14683263663908622</v>
      </c>
    </row>
    <row r="455" spans="2:33" ht="15">
      <c r="B455" s="1">
        <v>444</v>
      </c>
      <c r="C455" s="1">
        <v>1.0007658894116018</v>
      </c>
      <c r="D455" s="1">
        <v>1.2174061607345987</v>
      </c>
      <c r="E455" s="1">
        <v>0.82044308374849795</v>
      </c>
      <c r="G455" s="1">
        <v>0.99921862582198717</v>
      </c>
      <c r="H455" s="1">
        <v>5.154074020454436</v>
      </c>
      <c r="I455" s="1">
        <v>0.15639514852259265</v>
      </c>
      <c r="K455" s="1">
        <v>1.0007907706017614</v>
      </c>
      <c r="L455" s="1">
        <v>3.11221119536645</v>
      </c>
      <c r="M455" s="1">
        <v>0.29292652513256401</v>
      </c>
      <c r="O455" s="1">
        <v>2.3857208310263771E-2</v>
      </c>
      <c r="P455" s="1">
        <v>0.41365759711031125</v>
      </c>
      <c r="R455" s="1">
        <v>4.6135806985650681E-2</v>
      </c>
      <c r="S455" s="2">
        <f t="shared" si="84"/>
        <v>0.89441414506715344</v>
      </c>
      <c r="T455" s="4">
        <f t="shared" si="85"/>
        <v>0.79997666289620706</v>
      </c>
      <c r="U455" s="1">
        <f t="shared" si="89"/>
        <v>0.60909581157114967</v>
      </c>
      <c r="V455" s="6">
        <f>2*sigma/alpha*corel*(B455/12-1/alpha*(1-EXP(-alpha*Output!B455/12)))</f>
        <v>2.1418581580314746</v>
      </c>
      <c r="W455" s="5">
        <f t="shared" si="86"/>
        <v>-0.19088085132505739</v>
      </c>
      <c r="X455" s="1">
        <f t="shared" si="87"/>
        <v>32.837922365234476</v>
      </c>
      <c r="Y455" s="3">
        <f t="shared" si="88"/>
        <v>4.8494325364539237E-2</v>
      </c>
      <c r="Z455" s="1">
        <f t="shared" si="78"/>
        <v>0.14704077968062695</v>
      </c>
      <c r="AA455" s="8">
        <f t="shared" si="83"/>
        <v>36.916666666666622</v>
      </c>
      <c r="AB455" s="1">
        <v>37</v>
      </c>
      <c r="AC455" s="1">
        <v>2.41005E-2</v>
      </c>
      <c r="AD455" s="8">
        <f t="shared" si="79"/>
        <v>2.4329168973622957</v>
      </c>
      <c r="AE455" s="3">
        <f t="shared" si="80"/>
        <v>1.0094881423050541E-2</v>
      </c>
      <c r="AF455" s="11">
        <f t="shared" si="81"/>
        <v>36.916666666666622</v>
      </c>
      <c r="AG455" s="1">
        <f t="shared" si="82"/>
        <v>0.14704077968062695</v>
      </c>
    </row>
    <row r="456" spans="2:33" ht="15">
      <c r="B456" s="1">
        <v>445</v>
      </c>
      <c r="C456" s="1">
        <v>1.0007724060018361</v>
      </c>
      <c r="D456" s="1">
        <v>1.2151769376191572</v>
      </c>
      <c r="E456" s="1">
        <v>0.82194620002717711</v>
      </c>
      <c r="G456" s="1">
        <v>0.99958717286160825</v>
      </c>
      <c r="H456" s="1">
        <v>5.0686780896960144</v>
      </c>
      <c r="I456" s="1">
        <v>0.15895309863897641</v>
      </c>
      <c r="K456" s="1">
        <v>1.0009846986808848</v>
      </c>
      <c r="L456" s="1">
        <v>3.1472050798233968</v>
      </c>
      <c r="M456" s="1">
        <v>0.28960912327563032</v>
      </c>
      <c r="O456" s="1">
        <v>2.3868102652572443E-2</v>
      </c>
      <c r="P456" s="1">
        <v>0.41266926965494488</v>
      </c>
      <c r="R456" s="1">
        <v>4.6103844059809947E-2</v>
      </c>
      <c r="S456" s="2">
        <f t="shared" si="84"/>
        <v>0.89623407462327598</v>
      </c>
      <c r="T456" s="4">
        <f t="shared" si="85"/>
        <v>0.8032355165158398</v>
      </c>
      <c r="U456" s="1">
        <f t="shared" si="89"/>
        <v>0.61222958454318877</v>
      </c>
      <c r="V456" s="6">
        <f>2*sigma/alpha*corel*(B456/12-1/alpha*(1-EXP(-alpha*Output!B456/12)))</f>
        <v>2.1499381907992738</v>
      </c>
      <c r="W456" s="5">
        <f t="shared" si="86"/>
        <v>-0.19100593197265103</v>
      </c>
      <c r="X456" s="1">
        <f t="shared" si="87"/>
        <v>32.954780800200496</v>
      </c>
      <c r="Y456" s="3">
        <f t="shared" si="88"/>
        <v>4.8413761083597059E-2</v>
      </c>
      <c r="Z456" s="1">
        <f t="shared" si="78"/>
        <v>0.14717433061318258</v>
      </c>
      <c r="AA456" s="8">
        <f t="shared" si="83"/>
        <v>36.999999999999957</v>
      </c>
      <c r="AB456" s="1">
        <v>37.08</v>
      </c>
      <c r="AC456" s="1">
        <v>2.41116E-2</v>
      </c>
      <c r="AD456" s="8">
        <f t="shared" si="79"/>
        <v>2.4349734742755773</v>
      </c>
      <c r="AE456" s="3">
        <f t="shared" si="80"/>
        <v>1.0098763558932536E-2</v>
      </c>
      <c r="AF456" s="11">
        <f t="shared" si="81"/>
        <v>36.999999999999957</v>
      </c>
      <c r="AG456" s="1">
        <f t="shared" si="82"/>
        <v>0.14717433061318258</v>
      </c>
    </row>
    <row r="457" spans="2:33" ht="15">
      <c r="B457" s="1">
        <v>446</v>
      </c>
      <c r="C457" s="1">
        <v>1.0007767476005638</v>
      </c>
      <c r="D457" s="1">
        <v>1.2140644760477528</v>
      </c>
      <c r="E457" s="1">
        <v>0.82269737901785611</v>
      </c>
      <c r="G457" s="1">
        <v>0.99979256666024208</v>
      </c>
      <c r="H457" s="1">
        <v>5.0246019721406023</v>
      </c>
      <c r="I457" s="1">
        <v>0.16026984731471852</v>
      </c>
      <c r="K457" s="1">
        <v>1.000951661365455</v>
      </c>
      <c r="L457" s="1">
        <v>3.135836082991446</v>
      </c>
      <c r="M457" s="1">
        <v>0.2905985555109909</v>
      </c>
      <c r="O457" s="1">
        <v>2.3878879683450219E-2</v>
      </c>
      <c r="P457" s="1">
        <v>0.41168435101970446</v>
      </c>
      <c r="R457" s="1">
        <v>4.6164910545683405E-2</v>
      </c>
      <c r="S457" s="2">
        <f t="shared" si="84"/>
        <v>0.89870651779296451</v>
      </c>
      <c r="T457" s="4">
        <f t="shared" si="85"/>
        <v>0.80767340512355601</v>
      </c>
      <c r="U457" s="1">
        <f t="shared" si="89"/>
        <v>0.61537065593369678</v>
      </c>
      <c r="V457" s="6">
        <f>2*sigma/alpha*corel*(B457/12-1/alpha*(1-EXP(-alpha*Output!B457/12)))</f>
        <v>2.1580276271179053</v>
      </c>
      <c r="W457" s="5">
        <f t="shared" si="86"/>
        <v>-0.19230274918985923</v>
      </c>
      <c r="X457" s="1">
        <f t="shared" si="87"/>
        <v>33.246091952296545</v>
      </c>
      <c r="Y457" s="3">
        <f t="shared" si="88"/>
        <v>4.8536970262965308E-2</v>
      </c>
      <c r="Z457" s="1">
        <f t="shared" si="78"/>
        <v>0.1474147991478762</v>
      </c>
      <c r="AA457" s="8">
        <f t="shared" si="83"/>
        <v>37.083333333333293</v>
      </c>
      <c r="AB457" s="1">
        <v>37.17</v>
      </c>
      <c r="AC457" s="1">
        <v>2.41228E-2</v>
      </c>
      <c r="AD457" s="8">
        <f t="shared" si="79"/>
        <v>2.439203165497811</v>
      </c>
      <c r="AE457" s="3">
        <f t="shared" si="80"/>
        <v>1.0111608791258938E-2</v>
      </c>
      <c r="AF457" s="11">
        <f t="shared" si="81"/>
        <v>37.083333333333293</v>
      </c>
      <c r="AG457" s="1">
        <f t="shared" si="82"/>
        <v>0.1474147991478762</v>
      </c>
    </row>
    <row r="458" spans="2:33" ht="15">
      <c r="B458" s="1">
        <v>447</v>
      </c>
      <c r="C458" s="1">
        <v>1.0007840306955498</v>
      </c>
      <c r="D458" s="1">
        <v>1.2173893242527667</v>
      </c>
      <c r="E458" s="1">
        <v>0.82044850669539737</v>
      </c>
      <c r="G458" s="1">
        <v>1.0002275324407277</v>
      </c>
      <c r="H458" s="1">
        <v>5.1433554421320142</v>
      </c>
      <c r="I458" s="1">
        <v>0.15649365252831887</v>
      </c>
      <c r="K458" s="1">
        <v>1.0009409602899859</v>
      </c>
      <c r="L458" s="1">
        <v>3.0522854076483785</v>
      </c>
      <c r="M458" s="1">
        <v>0.29849096217492438</v>
      </c>
      <c r="O458" s="1">
        <v>2.388950450930738E-2</v>
      </c>
      <c r="P458" s="1">
        <v>0.41070337393404099</v>
      </c>
      <c r="R458" s="1">
        <v>4.6198249884648331E-2</v>
      </c>
      <c r="S458" s="2">
        <f t="shared" si="84"/>
        <v>0.9009825679039003</v>
      </c>
      <c r="T458" s="4">
        <f t="shared" si="85"/>
        <v>0.81176958766670626</v>
      </c>
      <c r="U458" s="1">
        <f t="shared" si="89"/>
        <v>0.61851901456261416</v>
      </c>
      <c r="V458" s="6">
        <f>2*sigma/alpha*corel*(B458/12-1/alpha*(1-EXP(-alpha*Output!B458/12)))</f>
        <v>2.1661264416891566</v>
      </c>
      <c r="W458" s="5">
        <f t="shared" si="86"/>
        <v>-0.1932505731040921</v>
      </c>
      <c r="X458" s="1">
        <f t="shared" si="87"/>
        <v>33.486439153894651</v>
      </c>
      <c r="Y458" s="3">
        <f t="shared" si="88"/>
        <v>4.8598931710744316E-2</v>
      </c>
      <c r="Z458" s="1">
        <f t="shared" si="78"/>
        <v>0.14762273589161781</v>
      </c>
      <c r="AA458" s="8">
        <f t="shared" si="83"/>
        <v>37.166666666666629</v>
      </c>
      <c r="AB458" s="1">
        <v>37.25</v>
      </c>
      <c r="AC458" s="1">
        <v>2.41339E-2</v>
      </c>
      <c r="AD458" s="8">
        <f t="shared" si="79"/>
        <v>2.4439549069261988</v>
      </c>
      <c r="AE458" s="3">
        <f t="shared" si="80"/>
        <v>1.0126647193061207E-2</v>
      </c>
      <c r="AF458" s="11">
        <f t="shared" si="81"/>
        <v>37.166666666666629</v>
      </c>
      <c r="AG458" s="1">
        <f t="shared" si="82"/>
        <v>0.14762273589161781</v>
      </c>
    </row>
    <row r="459" spans="2:33" ht="15">
      <c r="B459" s="1">
        <v>448</v>
      </c>
      <c r="C459" s="1">
        <v>1.0007839227387603</v>
      </c>
      <c r="D459" s="1">
        <v>1.2174543035784362</v>
      </c>
      <c r="E459" s="1">
        <v>0.82040273333847247</v>
      </c>
      <c r="G459" s="1">
        <v>1.000063850143124</v>
      </c>
      <c r="H459" s="1">
        <v>5.142849383830761</v>
      </c>
      <c r="I459" s="1">
        <v>0.15643331033902122</v>
      </c>
      <c r="K459" s="1">
        <v>1.0008729665670739</v>
      </c>
      <c r="L459" s="1">
        <v>3.0372268642376219</v>
      </c>
      <c r="M459" s="1">
        <v>0.29990839030867406</v>
      </c>
      <c r="O459" s="1">
        <v>2.390011397915278E-2</v>
      </c>
      <c r="P459" s="1">
        <v>0.40972424370729749</v>
      </c>
      <c r="R459" s="1">
        <v>4.6207471455024546E-2</v>
      </c>
      <c r="S459" s="2">
        <f t="shared" si="84"/>
        <v>0.90309097900180046</v>
      </c>
      <c r="T459" s="4">
        <f t="shared" si="85"/>
        <v>0.81557331635443042</v>
      </c>
      <c r="U459" s="1">
        <f t="shared" si="89"/>
        <v>0.62167464923452165</v>
      </c>
      <c r="V459" s="6">
        <f>2*sigma/alpha*corel*(B459/12-1/alpha*(1-EXP(-alpha*Output!B459/12)))</f>
        <v>2.1742346092828724</v>
      </c>
      <c r="W459" s="5">
        <f t="shared" si="86"/>
        <v>-0.19389866711990877</v>
      </c>
      <c r="X459" s="1">
        <f t="shared" si="87"/>
        <v>33.682830426109824</v>
      </c>
      <c r="Y459" s="3">
        <f t="shared" si="88"/>
        <v>4.8608792334724427E-2</v>
      </c>
      <c r="Z459" s="1">
        <f t="shared" si="78"/>
        <v>0.14780295609669733</v>
      </c>
      <c r="AA459" s="8">
        <f t="shared" si="83"/>
        <v>37.249999999999964</v>
      </c>
      <c r="AB459" s="1">
        <v>37.33</v>
      </c>
      <c r="AC459" s="1">
        <v>2.4145099999999999E-2</v>
      </c>
      <c r="AD459" s="8">
        <f t="shared" si="79"/>
        <v>2.449860208472189</v>
      </c>
      <c r="AE459" s="3">
        <f t="shared" si="80"/>
        <v>1.0146407380678436E-2</v>
      </c>
      <c r="AF459" s="11">
        <f t="shared" si="81"/>
        <v>37.249999999999964</v>
      </c>
      <c r="AG459" s="1">
        <f t="shared" si="82"/>
        <v>0.14780295609669733</v>
      </c>
    </row>
    <row r="460" spans="2:33" ht="15">
      <c r="B460" s="1">
        <v>449</v>
      </c>
      <c r="C460" s="1">
        <v>1.000788954579197</v>
      </c>
      <c r="D460" s="1">
        <v>1.216723655119619</v>
      </c>
      <c r="E460" s="1">
        <v>0.82089340051333692</v>
      </c>
      <c r="G460" s="1">
        <v>1.0003138679971435</v>
      </c>
      <c r="H460" s="1">
        <v>5.1144771509621885</v>
      </c>
      <c r="I460" s="1">
        <v>0.15722498908031499</v>
      </c>
      <c r="K460" s="1">
        <v>1.0008330345636036</v>
      </c>
      <c r="L460" s="1">
        <v>3.0430692599891866</v>
      </c>
      <c r="M460" s="1">
        <v>0.29927024100488403</v>
      </c>
      <c r="O460" s="1">
        <v>2.39107161946331E-2</v>
      </c>
      <c r="P460" s="1">
        <v>0.40874683594177846</v>
      </c>
      <c r="R460" s="1">
        <v>4.6313766571768326E-2</v>
      </c>
      <c r="S460" s="2">
        <f t="shared" si="84"/>
        <v>0.90588869852399068</v>
      </c>
      <c r="T460" s="4">
        <f t="shared" si="85"/>
        <v>0.82063433411348963</v>
      </c>
      <c r="U460" s="1">
        <f t="shared" si="89"/>
        <v>0.62483754873894071</v>
      </c>
      <c r="V460" s="6">
        <f>2*sigma/alpha*corel*(B460/12-1/alpha*(1-EXP(-alpha*Output!B460/12)))</f>
        <v>2.1823521047367755</v>
      </c>
      <c r="W460" s="5">
        <f t="shared" si="86"/>
        <v>-0.19579678537454892</v>
      </c>
      <c r="X460" s="1">
        <f t="shared" si="87"/>
        <v>34.066912920106525</v>
      </c>
      <c r="Y460" s="3">
        <f t="shared" si="88"/>
        <v>4.8832980473602891E-2</v>
      </c>
      <c r="Z460" s="1">
        <f t="shared" si="78"/>
        <v>0.1480956472471267</v>
      </c>
      <c r="AA460" s="8">
        <f t="shared" si="83"/>
        <v>37.3333333333333</v>
      </c>
      <c r="AB460" s="1">
        <v>37.42</v>
      </c>
      <c r="AC460" s="1">
        <v>2.4156199999999999E-2</v>
      </c>
      <c r="AD460" s="8">
        <f t="shared" si="79"/>
        <v>2.4548380536689938</v>
      </c>
      <c r="AE460" s="3">
        <f t="shared" si="80"/>
        <v>1.0162351916563839E-2</v>
      </c>
      <c r="AF460" s="11">
        <f t="shared" si="81"/>
        <v>37.3333333333333</v>
      </c>
      <c r="AG460" s="1">
        <f t="shared" si="82"/>
        <v>0.1480956472471267</v>
      </c>
    </row>
    <row r="461" spans="2:33" ht="15">
      <c r="B461" s="1">
        <v>450</v>
      </c>
      <c r="C461" s="1">
        <v>1.0007889176838791</v>
      </c>
      <c r="D461" s="1">
        <v>1.2153108945726314</v>
      </c>
      <c r="E461" s="1">
        <v>0.82184566732581199</v>
      </c>
      <c r="G461" s="1">
        <v>1.0001541856197529</v>
      </c>
      <c r="H461" s="1">
        <v>5.0595851948487462</v>
      </c>
      <c r="I461" s="1">
        <v>0.15885382477961069</v>
      </c>
      <c r="K461" s="1">
        <v>1.0006802411603728</v>
      </c>
      <c r="L461" s="1">
        <v>3.0252325783397271</v>
      </c>
      <c r="M461" s="1">
        <v>0.30097202042376525</v>
      </c>
      <c r="O461" s="1">
        <v>2.3921305027998829E-2</v>
      </c>
      <c r="P461" s="1">
        <v>0.40777124389252606</v>
      </c>
      <c r="R461" s="1">
        <v>4.634691824700226E-2</v>
      </c>
      <c r="S461" s="2">
        <f t="shared" si="84"/>
        <v>0.9081726006177393</v>
      </c>
      <c r="T461" s="4">
        <f t="shared" si="85"/>
        <v>0.82477747251278777</v>
      </c>
      <c r="U461" s="1">
        <f t="shared" si="89"/>
        <v>0.62800770185060273</v>
      </c>
      <c r="V461" s="6">
        <f>2*sigma/alpha*corel*(B461/12-1/alpha*(1-EXP(-alpha*Output!B461/12)))</f>
        <v>2.1904789029562841</v>
      </c>
      <c r="W461" s="5">
        <f t="shared" si="86"/>
        <v>-0.19676977066218504</v>
      </c>
      <c r="X461" s="1">
        <f t="shared" si="87"/>
        <v>34.31366342362432</v>
      </c>
      <c r="Y461" s="3">
        <f t="shared" si="88"/>
        <v>4.8897435474033635E-2</v>
      </c>
      <c r="Z461" s="1">
        <f t="shared" ref="Z461:Z524" si="90">S461/SQRT(B461/12)</f>
        <v>0.14830396465932508</v>
      </c>
      <c r="AA461" s="8">
        <f t="shared" si="83"/>
        <v>37.416666666666636</v>
      </c>
      <c r="AB461" s="1">
        <v>37.5</v>
      </c>
      <c r="AC461" s="1">
        <v>2.4167399999999999E-2</v>
      </c>
      <c r="AD461" s="8">
        <f t="shared" ref="AD461:AD524" si="91">(AC461-O461)*10000</f>
        <v>2.4609497200116932</v>
      </c>
      <c r="AE461" s="3">
        <f t="shared" ref="AE461:AE524" si="92">AD461/AC461/10000</f>
        <v>1.0182931221445804E-2</v>
      </c>
      <c r="AF461" s="11">
        <f t="shared" ref="AF461:AF524" si="93">AA461</f>
        <v>37.416666666666636</v>
      </c>
      <c r="AG461" s="1">
        <f t="shared" ref="AG461:AG524" si="94">Z461</f>
        <v>0.14830396465932508</v>
      </c>
    </row>
    <row r="462" spans="2:33" ht="15">
      <c r="B462" s="1">
        <v>451</v>
      </c>
      <c r="C462" s="1">
        <v>1.0007903828133318</v>
      </c>
      <c r="D462" s="1">
        <v>1.2185537097868249</v>
      </c>
      <c r="E462" s="1">
        <v>0.81965657695581606</v>
      </c>
      <c r="G462" s="1">
        <v>1.0001297358087509</v>
      </c>
      <c r="H462" s="1">
        <v>5.1824648399698772</v>
      </c>
      <c r="I462" s="1">
        <v>0.15501224157559992</v>
      </c>
      <c r="K462" s="1">
        <v>1.0007713459104102</v>
      </c>
      <c r="L462" s="1">
        <v>3.1702191100171553</v>
      </c>
      <c r="M462" s="1">
        <v>0.28714756291322602</v>
      </c>
      <c r="O462" s="1">
        <v>2.3931939584857381E-2</v>
      </c>
      <c r="P462" s="1">
        <v>0.40679656339937553</v>
      </c>
      <c r="R462" s="1">
        <v>4.6358116358122661E-2</v>
      </c>
      <c r="S462" s="2">
        <f t="shared" si="84"/>
        <v>0.91030531555440231</v>
      </c>
      <c r="T462" s="4">
        <f t="shared" si="85"/>
        <v>0.82865576752659997</v>
      </c>
      <c r="U462" s="1">
        <f t="shared" si="89"/>
        <v>0.63118509732974137</v>
      </c>
      <c r="V462" s="6">
        <f>2*sigma/alpha*corel*(B462/12-1/alpha*(1-EXP(-alpha*Output!B462/12)))</f>
        <v>2.198614978914323</v>
      </c>
      <c r="W462" s="5">
        <f t="shared" si="86"/>
        <v>-0.1974706701968586</v>
      </c>
      <c r="X462" s="1">
        <f t="shared" si="87"/>
        <v>34.520331911767499</v>
      </c>
      <c r="Y462" s="3">
        <f t="shared" si="88"/>
        <v>4.8915107702860824E-2</v>
      </c>
      <c r="Z462" s="1">
        <f t="shared" si="90"/>
        <v>0.14848734117261525</v>
      </c>
      <c r="AA462" s="8">
        <f t="shared" ref="AA462:AA525" si="95">AA461+1/12</f>
        <v>37.499999999999972</v>
      </c>
      <c r="AB462" s="1">
        <v>37.58</v>
      </c>
      <c r="AC462" s="1">
        <v>2.4178600000000001E-2</v>
      </c>
      <c r="AD462" s="8">
        <f t="shared" si="91"/>
        <v>2.4666041514262091</v>
      </c>
      <c r="AE462" s="3">
        <f t="shared" si="92"/>
        <v>1.0201600388054764E-2</v>
      </c>
      <c r="AF462" s="11">
        <f t="shared" si="93"/>
        <v>37.499999999999972</v>
      </c>
      <c r="AG462" s="1">
        <f t="shared" si="94"/>
        <v>0.14848734117261525</v>
      </c>
    </row>
    <row r="463" spans="2:33" ht="15">
      <c r="B463" s="1">
        <v>452</v>
      </c>
      <c r="C463" s="1">
        <v>1.0007918862210883</v>
      </c>
      <c r="D463" s="1">
        <v>1.2128904480721467</v>
      </c>
      <c r="E463" s="1">
        <v>0.8234817318711547</v>
      </c>
      <c r="G463" s="1">
        <v>1.0000712398639562</v>
      </c>
      <c r="H463" s="1">
        <v>4.9677424359261053</v>
      </c>
      <c r="I463" s="1">
        <v>0.16163412644787103</v>
      </c>
      <c r="K463" s="1">
        <v>1.0008282584468919</v>
      </c>
      <c r="L463" s="1">
        <v>3.2212265450360107</v>
      </c>
      <c r="M463" s="1">
        <v>0.28254177352132509</v>
      </c>
      <c r="O463" s="1">
        <v>2.3942558224599619E-2</v>
      </c>
      <c r="P463" s="1">
        <v>0.40582373666548505</v>
      </c>
      <c r="R463" s="1">
        <v>4.6365155784155891E-2</v>
      </c>
      <c r="S463" s="2">
        <f t="shared" si="84"/>
        <v>0.91241057980260321</v>
      </c>
      <c r="T463" s="4">
        <f t="shared" si="85"/>
        <v>0.8324930661357226</v>
      </c>
      <c r="U463" s="1">
        <f t="shared" si="89"/>
        <v>0.63436972392236357</v>
      </c>
      <c r="V463" s="6">
        <f>2*sigma/alpha*corel*(B463/12-1/alpha*(1-EXP(-alpha*Output!B463/12)))</f>
        <v>2.2067603076511513</v>
      </c>
      <c r="W463" s="5">
        <f t="shared" si="86"/>
        <v>-0.19812334221335903</v>
      </c>
      <c r="X463" s="1">
        <f t="shared" si="87"/>
        <v>34.720374615570698</v>
      </c>
      <c r="Y463" s="3">
        <f t="shared" si="88"/>
        <v>4.892441715302763E-2</v>
      </c>
      <c r="Z463" s="1">
        <f t="shared" si="90"/>
        <v>0.14866602108959567</v>
      </c>
      <c r="AA463" s="8">
        <f t="shared" si="95"/>
        <v>37.583333333333307</v>
      </c>
      <c r="AB463" s="1">
        <v>37.67</v>
      </c>
      <c r="AC463" s="1">
        <v>2.4189700000000001E-2</v>
      </c>
      <c r="AD463" s="8">
        <f t="shared" si="91"/>
        <v>2.4714177540038214</v>
      </c>
      <c r="AE463" s="3">
        <f t="shared" si="92"/>
        <v>1.021681853848465E-2</v>
      </c>
      <c r="AF463" s="11">
        <f t="shared" si="93"/>
        <v>37.583333333333307</v>
      </c>
      <c r="AG463" s="1">
        <f t="shared" si="94"/>
        <v>0.14866602108959567</v>
      </c>
    </row>
    <row r="464" spans="2:33" ht="15">
      <c r="B464" s="1">
        <v>453</v>
      </c>
      <c r="C464" s="1">
        <v>1.0007895124676665</v>
      </c>
      <c r="D464" s="1">
        <v>1.2120430103679669</v>
      </c>
      <c r="E464" s="1">
        <v>0.82405548070356482</v>
      </c>
      <c r="G464" s="1">
        <v>0.99973775020947375</v>
      </c>
      <c r="H464" s="1">
        <v>4.9363390253710513</v>
      </c>
      <c r="I464" s="1">
        <v>0.16258366933385829</v>
      </c>
      <c r="K464" s="1">
        <v>1.0008980379258881</v>
      </c>
      <c r="L464" s="1">
        <v>3.2349317205722889</v>
      </c>
      <c r="M464" s="1">
        <v>0.28128614412580621</v>
      </c>
      <c r="O464" s="1">
        <v>2.3953337924375668E-2</v>
      </c>
      <c r="P464" s="1">
        <v>0.40485005838133054</v>
      </c>
      <c r="R464" s="1">
        <v>4.6424012409678292E-2</v>
      </c>
      <c r="S464" s="2">
        <f t="shared" si="84"/>
        <v>0.91489304935585403</v>
      </c>
      <c r="T464" s="4">
        <f t="shared" si="85"/>
        <v>0.83702929175965313</v>
      </c>
      <c r="U464" s="1">
        <f t="shared" si="89"/>
        <v>0.63756157036053063</v>
      </c>
      <c r="V464" s="6">
        <f>2*sigma/alpha*corel*(B464/12-1/alpha*(1-EXP(-alpha*Output!B464/12)))</f>
        <v>2.2149148642741747</v>
      </c>
      <c r="W464" s="5">
        <f t="shared" si="86"/>
        <v>-0.1994677213991225</v>
      </c>
      <c r="X464" s="1">
        <f t="shared" si="87"/>
        <v>35.025473787250185</v>
      </c>
      <c r="Y464" s="3">
        <f t="shared" si="88"/>
        <v>4.9050562320509125E-2</v>
      </c>
      <c r="Z464" s="1">
        <f t="shared" si="90"/>
        <v>0.14890588091514934</v>
      </c>
      <c r="AA464" s="8">
        <f t="shared" si="95"/>
        <v>37.666666666666643</v>
      </c>
      <c r="AB464" s="1">
        <v>37.75</v>
      </c>
      <c r="AC464" s="1">
        <v>2.4200900000000001E-2</v>
      </c>
      <c r="AD464" s="8">
        <f t="shared" si="91"/>
        <v>2.4756207562433294</v>
      </c>
      <c r="AE464" s="3">
        <f t="shared" si="92"/>
        <v>1.022945740135007E-2</v>
      </c>
      <c r="AF464" s="11">
        <f t="shared" si="93"/>
        <v>37.666666666666643</v>
      </c>
      <c r="AG464" s="1">
        <f t="shared" si="94"/>
        <v>0.14890588091514934</v>
      </c>
    </row>
    <row r="465" spans="2:33" ht="15">
      <c r="B465" s="1">
        <v>454</v>
      </c>
      <c r="C465" s="1">
        <v>1.0007926666303222</v>
      </c>
      <c r="D465" s="1">
        <v>1.2172871378609531</v>
      </c>
      <c r="E465" s="1">
        <v>0.8205034028780479</v>
      </c>
      <c r="G465" s="1">
        <v>0.99988566336527951</v>
      </c>
      <c r="H465" s="1">
        <v>5.1301122455549901</v>
      </c>
      <c r="I465" s="1">
        <v>0.15636689052465769</v>
      </c>
      <c r="K465" s="1">
        <v>1.0009558688536433</v>
      </c>
      <c r="L465" s="1">
        <v>3.2262806559868213</v>
      </c>
      <c r="M465" s="1">
        <v>0.28198164260518244</v>
      </c>
      <c r="O465" s="1">
        <v>2.3964114281393532E-2</v>
      </c>
      <c r="P465" s="1">
        <v>0.40387804167138819</v>
      </c>
      <c r="R465" s="1">
        <v>4.6418269146892642E-2</v>
      </c>
      <c r="S465" s="2">
        <f t="shared" si="84"/>
        <v>0.91691798887465392</v>
      </c>
      <c r="T465" s="4">
        <f t="shared" si="85"/>
        <v>0.84073859832193998</v>
      </c>
      <c r="U465" s="1">
        <f t="shared" si="89"/>
        <v>0.64076062536263534</v>
      </c>
      <c r="V465" s="6">
        <f>2*sigma/alpha*corel*(B465/12-1/alpha*(1-EXP(-alpha*Output!B465/12)))</f>
        <v>2.2230786239577691</v>
      </c>
      <c r="W465" s="5">
        <f t="shared" si="86"/>
        <v>-0.19997797295930464</v>
      </c>
      <c r="X465" s="1">
        <f t="shared" si="87"/>
        <v>35.205411809472736</v>
      </c>
      <c r="Y465" s="3">
        <f t="shared" si="88"/>
        <v>4.9035280550754436E-2</v>
      </c>
      <c r="Z465" s="1">
        <f t="shared" si="90"/>
        <v>0.14907100856441707</v>
      </c>
      <c r="AA465" s="8">
        <f t="shared" si="95"/>
        <v>37.749999999999979</v>
      </c>
      <c r="AB465" s="1">
        <v>37.83</v>
      </c>
      <c r="AC465" s="1">
        <v>2.4212000000000001E-2</v>
      </c>
      <c r="AD465" s="8">
        <f t="shared" si="91"/>
        <v>2.4788571860646922</v>
      </c>
      <c r="AE465" s="3">
        <f t="shared" si="92"/>
        <v>1.023813475163015E-2</v>
      </c>
      <c r="AF465" s="11">
        <f t="shared" si="93"/>
        <v>37.749999999999979</v>
      </c>
      <c r="AG465" s="1">
        <f t="shared" si="94"/>
        <v>0.14907100856441707</v>
      </c>
    </row>
    <row r="466" spans="2:33" ht="15">
      <c r="B466" s="1">
        <v>455</v>
      </c>
      <c r="C466" s="1">
        <v>1.0007961311771079</v>
      </c>
      <c r="D466" s="1">
        <v>1.2197434108428031</v>
      </c>
      <c r="E466" s="1">
        <v>0.81884909354318514</v>
      </c>
      <c r="G466" s="1">
        <v>1.000037432919912</v>
      </c>
      <c r="H466" s="1">
        <v>5.2221073108663791</v>
      </c>
      <c r="I466" s="1">
        <v>0.15353791582694801</v>
      </c>
      <c r="K466" s="1">
        <v>1.0006895224715799</v>
      </c>
      <c r="L466" s="1">
        <v>3.1391868691158527</v>
      </c>
      <c r="M466" s="1">
        <v>0.28974458828583988</v>
      </c>
      <c r="O466" s="1">
        <v>2.3974827143114746E-2</v>
      </c>
      <c r="P466" s="1">
        <v>0.40290860507231646</v>
      </c>
      <c r="R466" s="1">
        <v>4.6321071003474296E-2</v>
      </c>
      <c r="S466" s="2">
        <f t="shared" si="84"/>
        <v>0.91828820698678171</v>
      </c>
      <c r="T466" s="4">
        <f t="shared" si="85"/>
        <v>0.84325323109099848</v>
      </c>
      <c r="U466" s="1">
        <f t="shared" si="89"/>
        <v>0.64396687763366867</v>
      </c>
      <c r="V466" s="6">
        <f>2*sigma/alpha*corel*(B466/12-1/alpha*(1-EXP(-alpha*Output!B466/12)))</f>
        <v>2.2312515619430937</v>
      </c>
      <c r="W466" s="5">
        <f t="shared" si="86"/>
        <v>-0.19928635345732981</v>
      </c>
      <c r="X466" s="1">
        <f t="shared" si="87"/>
        <v>35.203580473701848</v>
      </c>
      <c r="Y466" s="3">
        <f t="shared" si="88"/>
        <v>4.8817700629718054E-2</v>
      </c>
      <c r="Z466" s="1">
        <f t="shared" si="90"/>
        <v>0.14912962702007676</v>
      </c>
      <c r="AA466" s="8">
        <f t="shared" si="95"/>
        <v>37.833333333333314</v>
      </c>
      <c r="AB466" s="1">
        <v>37.92</v>
      </c>
      <c r="AC466" s="1">
        <v>2.4223100000000001E-2</v>
      </c>
      <c r="AD466" s="8">
        <f t="shared" si="91"/>
        <v>2.4827285688525449</v>
      </c>
      <c r="AE466" s="3">
        <f t="shared" si="92"/>
        <v>1.0249425419754469E-2</v>
      </c>
      <c r="AF466" s="11">
        <f t="shared" si="93"/>
        <v>37.833333333333314</v>
      </c>
      <c r="AG466" s="1">
        <f t="shared" si="94"/>
        <v>0.14912962702007676</v>
      </c>
    </row>
    <row r="467" spans="2:33" ht="15">
      <c r="B467" s="1">
        <v>456</v>
      </c>
      <c r="C467" s="1">
        <v>1.0007946653978959</v>
      </c>
      <c r="D467" s="1">
        <v>1.2185175218930655</v>
      </c>
      <c r="E467" s="1">
        <v>0.81967087977916075</v>
      </c>
      <c r="G467" s="1">
        <v>0.99977587662390632</v>
      </c>
      <c r="H467" s="1">
        <v>5.172005711102301</v>
      </c>
      <c r="I467" s="1">
        <v>0.15495022166691358</v>
      </c>
      <c r="K467" s="1">
        <v>1.00065292056674</v>
      </c>
      <c r="L467" s="1">
        <v>3.1390754887323888</v>
      </c>
      <c r="M467" s="1">
        <v>0.28969450962193505</v>
      </c>
      <c r="O467" s="1">
        <v>2.3985523305490978E-2</v>
      </c>
      <c r="P467" s="1">
        <v>0.4019410328364994</v>
      </c>
      <c r="R467" s="1">
        <v>4.629611508279205E-2</v>
      </c>
      <c r="S467" s="2">
        <f t="shared" si="84"/>
        <v>0.92017566506274506</v>
      </c>
      <c r="T467" s="4">
        <f t="shared" si="85"/>
        <v>0.84672325457366515</v>
      </c>
      <c r="U467" s="1">
        <f t="shared" si="89"/>
        <v>0.64718031586549718</v>
      </c>
      <c r="V467" s="6">
        <f>2*sigma/alpha*corel*(B467/12-1/alpha*(1-EXP(-alpha*Output!B467/12)))</f>
        <v>2.2394336535379233</v>
      </c>
      <c r="W467" s="5">
        <f t="shared" si="86"/>
        <v>-0.19954293870816797</v>
      </c>
      <c r="X467" s="1">
        <f t="shared" si="87"/>
        <v>35.345589772239748</v>
      </c>
      <c r="Y467" s="3">
        <f t="shared" si="88"/>
        <v>4.8760290143359572E-2</v>
      </c>
      <c r="Z467" s="1">
        <f t="shared" si="90"/>
        <v>0.14927220407642308</v>
      </c>
      <c r="AA467" s="8">
        <f t="shared" si="95"/>
        <v>37.91666666666665</v>
      </c>
      <c r="AB467" s="1">
        <v>38</v>
      </c>
      <c r="AC467" s="1">
        <v>2.4234200000000001E-2</v>
      </c>
      <c r="AD467" s="8">
        <f t="shared" si="91"/>
        <v>2.4867669450902294</v>
      </c>
      <c r="AE467" s="3">
        <f t="shared" si="92"/>
        <v>1.0261394826692151E-2</v>
      </c>
      <c r="AF467" s="11">
        <f t="shared" si="93"/>
        <v>37.91666666666665</v>
      </c>
      <c r="AG467" s="1">
        <f t="shared" si="94"/>
        <v>0.14927220407642308</v>
      </c>
    </row>
    <row r="468" spans="2:33" ht="15">
      <c r="B468" s="1">
        <v>457</v>
      </c>
      <c r="C468" s="1">
        <v>1.0007937933344586</v>
      </c>
      <c r="D468" s="1">
        <v>1.2151105897614378</v>
      </c>
      <c r="E468" s="1">
        <v>0.82196704949541211</v>
      </c>
      <c r="G468" s="1">
        <v>0.99955741710791368</v>
      </c>
      <c r="H468" s="1">
        <v>5.0431424313157152</v>
      </c>
      <c r="I468" s="1">
        <v>0.15883262979033128</v>
      </c>
      <c r="K468" s="1">
        <v>1.0005622484897041</v>
      </c>
      <c r="L468" s="1">
        <v>3.068906732215785</v>
      </c>
      <c r="M468" s="1">
        <v>0.29625647851102294</v>
      </c>
      <c r="O468" s="1">
        <v>2.3996341704121408E-2</v>
      </c>
      <c r="P468" s="1">
        <v>0.40097320277796999</v>
      </c>
      <c r="R468" s="1">
        <v>4.6282111250900496E-2</v>
      </c>
      <c r="S468" s="2">
        <f t="shared" si="84"/>
        <v>0.92214752550443957</v>
      </c>
      <c r="T468" s="4">
        <f t="shared" si="85"/>
        <v>0.85035605879396103</v>
      </c>
      <c r="U468" s="1">
        <f t="shared" si="89"/>
        <v>0.65040092873712951</v>
      </c>
      <c r="V468" s="6">
        <f>2*sigma/alpha*corel*(B468/12-1/alpha*(1-EXP(-alpha*Output!B468/12)))</f>
        <v>2.2476248741164557</v>
      </c>
      <c r="W468" s="5">
        <f t="shared" si="86"/>
        <v>-0.19995513005683152</v>
      </c>
      <c r="X468" s="1">
        <f t="shared" si="87"/>
        <v>35.511649053404348</v>
      </c>
      <c r="Y468" s="3">
        <f t="shared" si="88"/>
        <v>4.8729193738999491E-2</v>
      </c>
      <c r="Z468" s="1">
        <f t="shared" si="90"/>
        <v>0.14942832496195466</v>
      </c>
      <c r="AA468" s="8">
        <f t="shared" si="95"/>
        <v>37.999999999999986</v>
      </c>
      <c r="AB468" s="1">
        <v>38.08</v>
      </c>
      <c r="AC468" s="1">
        <v>2.4245200000000001E-2</v>
      </c>
      <c r="AD468" s="8">
        <f t="shared" si="91"/>
        <v>2.4885829587859356</v>
      </c>
      <c r="AE468" s="3">
        <f t="shared" si="92"/>
        <v>1.0264229450719878E-2</v>
      </c>
      <c r="AF468" s="11">
        <f t="shared" si="93"/>
        <v>37.999999999999986</v>
      </c>
      <c r="AG468" s="1">
        <f t="shared" si="94"/>
        <v>0.14942832496195466</v>
      </c>
    </row>
    <row r="469" spans="2:33" ht="15">
      <c r="B469" s="1">
        <v>458</v>
      </c>
      <c r="C469" s="1">
        <v>1.0007931188283457</v>
      </c>
      <c r="D469" s="1">
        <v>1.2150271725544288</v>
      </c>
      <c r="E469" s="1">
        <v>0.8220214496896191</v>
      </c>
      <c r="G469" s="1">
        <v>0.99933861439043792</v>
      </c>
      <c r="H469" s="1">
        <v>5.0362228938849309</v>
      </c>
      <c r="I469" s="1">
        <v>0.1589738817800721</v>
      </c>
      <c r="K469" s="1">
        <v>1.0005074761541362</v>
      </c>
      <c r="L469" s="1">
        <v>3.1209132215620716</v>
      </c>
      <c r="M469" s="1">
        <v>0.29125901411501187</v>
      </c>
      <c r="O469" s="1">
        <v>2.4007280184450357E-2</v>
      </c>
      <c r="P469" s="1">
        <v>0.40000514863352182</v>
      </c>
      <c r="R469" s="1">
        <v>4.6226701157160328E-2</v>
      </c>
      <c r="S469" s="2">
        <f t="shared" si="84"/>
        <v>0.92382675913670398</v>
      </c>
      <c r="T469" s="4">
        <f t="shared" si="85"/>
        <v>0.85345588089702562</v>
      </c>
      <c r="U469" s="1">
        <f t="shared" si="89"/>
        <v>0.65362870491498359</v>
      </c>
      <c r="V469" s="6">
        <f>2*sigma/alpha*corel*(B469/12-1/alpha*(1-EXP(-alpha*Output!B469/12)))</f>
        <v>2.2558251991191405</v>
      </c>
      <c r="W469" s="5">
        <f t="shared" si="86"/>
        <v>-0.19982717598204203</v>
      </c>
      <c r="X469" s="1">
        <f t="shared" si="87"/>
        <v>35.595696195572664</v>
      </c>
      <c r="Y469" s="3">
        <f t="shared" si="88"/>
        <v>4.8607698948732951E-2</v>
      </c>
      <c r="Z469" s="1">
        <f t="shared" si="90"/>
        <v>0.14953691669891173</v>
      </c>
      <c r="AA469" s="8">
        <f t="shared" si="95"/>
        <v>38.083333333333321</v>
      </c>
      <c r="AB469" s="1">
        <v>38.17</v>
      </c>
      <c r="AC469" s="1">
        <v>2.4256199999999999E-2</v>
      </c>
      <c r="AD469" s="8">
        <f t="shared" si="91"/>
        <v>2.4891981554964193</v>
      </c>
      <c r="AE469" s="3">
        <f t="shared" si="92"/>
        <v>1.0262110946877168E-2</v>
      </c>
      <c r="AF469" s="11">
        <f t="shared" si="93"/>
        <v>38.083333333333321</v>
      </c>
      <c r="AG469" s="1">
        <f t="shared" si="94"/>
        <v>0.14953691669891173</v>
      </c>
    </row>
    <row r="470" spans="2:33" ht="15">
      <c r="B470" s="1">
        <v>459</v>
      </c>
      <c r="C470" s="1">
        <v>1.0007947966171018</v>
      </c>
      <c r="D470" s="1">
        <v>1.2156125003718639</v>
      </c>
      <c r="E470" s="1">
        <v>0.82162360387037781</v>
      </c>
      <c r="G470" s="1">
        <v>0.99931553109225502</v>
      </c>
      <c r="H470" s="1">
        <v>5.0558031299590462</v>
      </c>
      <c r="I470" s="1">
        <v>0.1582815618094976</v>
      </c>
      <c r="K470" s="1">
        <v>1.000523016806449</v>
      </c>
      <c r="L470" s="1">
        <v>3.1141785034823615</v>
      </c>
      <c r="M470" s="1">
        <v>0.29182808651815073</v>
      </c>
      <c r="O470" s="1">
        <v>2.4018291290231843E-2</v>
      </c>
      <c r="P470" s="1">
        <v>0.39903759564722896</v>
      </c>
      <c r="R470" s="1">
        <v>4.6233927434105843E-2</v>
      </c>
      <c r="S470" s="2">
        <f t="shared" si="84"/>
        <v>0.92596170145038692</v>
      </c>
      <c r="T470" s="4">
        <f t="shared" si="85"/>
        <v>0.85740507255289544</v>
      </c>
      <c r="U470" s="1">
        <f t="shared" si="89"/>
        <v>0.65686363305315076</v>
      </c>
      <c r="V470" s="6">
        <f>2*sigma/alpha*corel*(B470/12-1/alpha*(1-EXP(-alpha*Output!B470/12)))</f>
        <v>2.264034604052501</v>
      </c>
      <c r="W470" s="5">
        <f t="shared" si="86"/>
        <v>-0.20054143949974468</v>
      </c>
      <c r="X470" s="1">
        <f t="shared" si="87"/>
        <v>35.808692931808096</v>
      </c>
      <c r="Y470" s="3">
        <f t="shared" si="88"/>
        <v>4.8627475871577924E-2</v>
      </c>
      <c r="Z470" s="1">
        <f t="shared" si="90"/>
        <v>0.14971913334731729</v>
      </c>
      <c r="AA470" s="8">
        <f t="shared" si="95"/>
        <v>38.166666666666657</v>
      </c>
      <c r="AB470" s="1">
        <v>38.25</v>
      </c>
      <c r="AC470" s="1">
        <v>2.4267199999999999E-2</v>
      </c>
      <c r="AD470" s="8">
        <f t="shared" si="91"/>
        <v>2.4890870976815651</v>
      </c>
      <c r="AE470" s="3">
        <f t="shared" si="92"/>
        <v>1.0257001622278487E-2</v>
      </c>
      <c r="AF470" s="11">
        <f t="shared" si="93"/>
        <v>38.166666666666657</v>
      </c>
      <c r="AG470" s="1">
        <f t="shared" si="94"/>
        <v>0.14971913334731729</v>
      </c>
    </row>
    <row r="471" spans="2:33" ht="15">
      <c r="B471" s="1">
        <v>460</v>
      </c>
      <c r="C471" s="1">
        <v>1.0008012226135103</v>
      </c>
      <c r="D471" s="1">
        <v>1.2123441171131026</v>
      </c>
      <c r="E471" s="1">
        <v>0.82383659078283578</v>
      </c>
      <c r="G471" s="1">
        <v>0.99964579071199844</v>
      </c>
      <c r="H471" s="1">
        <v>4.9324347653654916</v>
      </c>
      <c r="I471" s="1">
        <v>0.16216192438683</v>
      </c>
      <c r="K471" s="1">
        <v>1.0006630602721875</v>
      </c>
      <c r="L471" s="1">
        <v>3.1754255656531933</v>
      </c>
      <c r="M471" s="1">
        <v>0.28613973797439962</v>
      </c>
      <c r="O471" s="1">
        <v>2.4029159491112041E-2</v>
      </c>
      <c r="P471" s="1">
        <v>0.39807383314317979</v>
      </c>
      <c r="R471" s="1">
        <v>4.6302446156595491E-2</v>
      </c>
      <c r="S471" s="2">
        <f t="shared" ref="S471:S534" si="96">optim_vol_implied(P471,R471)</f>
        <v>0.92853829204210725</v>
      </c>
      <c r="T471" s="4">
        <f t="shared" ref="T471:T534" si="97">S471*S471</f>
        <v>0.8621833597884736</v>
      </c>
      <c r="U471" s="1">
        <f t="shared" si="89"/>
        <v>0.66010570179366279</v>
      </c>
      <c r="V471" s="6">
        <f>2*sigma/alpha*corel*(B471/12-1/alpha*(1-EXP(-alpha*Output!B471/12)))</f>
        <v>2.2722530644889534</v>
      </c>
      <c r="W471" s="5">
        <f t="shared" ref="W471:W534" si="98">U471-T471</f>
        <v>-0.20207765799481081</v>
      </c>
      <c r="X471" s="1">
        <f t="shared" ref="X471:X534" si="99">V471*V471-4*W471*B471/12</f>
        <v>36.148374881617094</v>
      </c>
      <c r="Y471" s="3">
        <f t="shared" ref="Y471:Y534" si="100">(-V471+SQRT(X471))/2/B471*12</f>
        <v>4.8783897325345896E-2</v>
      </c>
      <c r="Z471" s="1">
        <f t="shared" si="90"/>
        <v>0.14997246354104102</v>
      </c>
      <c r="AA471" s="8">
        <f t="shared" si="95"/>
        <v>38.249999999999993</v>
      </c>
      <c r="AB471" s="1">
        <v>38.33</v>
      </c>
      <c r="AC471" s="1">
        <v>2.4278299999999999E-2</v>
      </c>
      <c r="AD471" s="8">
        <f t="shared" si="91"/>
        <v>2.4914050888795796</v>
      </c>
      <c r="AE471" s="3">
        <f t="shared" si="92"/>
        <v>1.0261859721972211E-2</v>
      </c>
      <c r="AF471" s="11">
        <f t="shared" si="93"/>
        <v>38.249999999999993</v>
      </c>
      <c r="AG471" s="1">
        <f t="shared" si="94"/>
        <v>0.14997246354104102</v>
      </c>
    </row>
    <row r="472" spans="2:33" ht="15">
      <c r="B472" s="1">
        <v>461</v>
      </c>
      <c r="C472" s="1">
        <v>1.0008018549213751</v>
      </c>
      <c r="D472" s="1">
        <v>1.2101324062853824</v>
      </c>
      <c r="E472" s="1">
        <v>0.82534023090197928</v>
      </c>
      <c r="G472" s="1">
        <v>0.99954965303310184</v>
      </c>
      <c r="H472" s="1">
        <v>4.8515171296512358</v>
      </c>
      <c r="I472" s="1">
        <v>0.16478680266789109</v>
      </c>
      <c r="K472" s="1">
        <v>1.0005091184557213</v>
      </c>
      <c r="L472" s="1">
        <v>3.12437480088819</v>
      </c>
      <c r="M472" s="1">
        <v>0.29075454193441086</v>
      </c>
      <c r="O472" s="1">
        <v>2.4040004814417475E-2</v>
      </c>
      <c r="P472" s="1">
        <v>0.39711202803316553</v>
      </c>
      <c r="R472" s="1">
        <v>4.6249136943719286E-2</v>
      </c>
      <c r="S472" s="2">
        <f t="shared" si="96"/>
        <v>0.93023486145650613</v>
      </c>
      <c r="T472" s="4">
        <f t="shared" si="97"/>
        <v>0.86533689746900522</v>
      </c>
      <c r="U472" s="1">
        <f t="shared" si="89"/>
        <v>0.66335489976674678</v>
      </c>
      <c r="V472" s="6">
        <f>2*sigma/alpha*corel*(B472/12-1/alpha*(1-EXP(-alpha*Output!B472/12)))</f>
        <v>2.2804805560666308</v>
      </c>
      <c r="W472" s="5">
        <f t="shared" si="98"/>
        <v>-0.20198199770225844</v>
      </c>
      <c r="X472" s="1">
        <f t="shared" si="99"/>
        <v>36.238491880178351</v>
      </c>
      <c r="Y472" s="3">
        <f t="shared" si="100"/>
        <v>4.8668472366175289E-2</v>
      </c>
      <c r="Z472" s="1">
        <f t="shared" si="90"/>
        <v>0.1500834386127628</v>
      </c>
      <c r="AA472" s="8">
        <f t="shared" si="95"/>
        <v>38.333333333333329</v>
      </c>
      <c r="AB472" s="1">
        <v>38.42</v>
      </c>
      <c r="AC472" s="1">
        <v>2.4289399999999999E-2</v>
      </c>
      <c r="AD472" s="8">
        <f t="shared" si="91"/>
        <v>2.4939518558252454</v>
      </c>
      <c r="AE472" s="3">
        <f t="shared" si="92"/>
        <v>1.026765525630623E-2</v>
      </c>
      <c r="AF472" s="11">
        <f t="shared" si="93"/>
        <v>38.333333333333329</v>
      </c>
      <c r="AG472" s="1">
        <f t="shared" si="94"/>
        <v>0.1500834386127628</v>
      </c>
    </row>
    <row r="473" spans="2:33" ht="15">
      <c r="B473" s="1">
        <v>462</v>
      </c>
      <c r="C473" s="1">
        <v>1.000802595935691</v>
      </c>
      <c r="D473" s="1">
        <v>1.2132457975093485</v>
      </c>
      <c r="E473" s="1">
        <v>0.82322021802345469</v>
      </c>
      <c r="G473" s="1">
        <v>0.99946646654850924</v>
      </c>
      <c r="H473" s="1">
        <v>4.9633203831623494</v>
      </c>
      <c r="I473" s="1">
        <v>0.16099687335910015</v>
      </c>
      <c r="K473" s="1">
        <v>1.0005317768610578</v>
      </c>
      <c r="L473" s="1">
        <v>3.1157053462367346</v>
      </c>
      <c r="M473" s="1">
        <v>0.29150283084088163</v>
      </c>
      <c r="O473" s="1">
        <v>2.4051001152525273E-2</v>
      </c>
      <c r="P473" s="1">
        <v>0.39614952747203225</v>
      </c>
      <c r="R473" s="1">
        <v>4.6260608447907456E-2</v>
      </c>
      <c r="S473" s="2">
        <f t="shared" si="96"/>
        <v>0.93240816890545153</v>
      </c>
      <c r="T473" s="4">
        <f t="shared" si="97"/>
        <v>0.86938499344161702</v>
      </c>
      <c r="U473" s="1">
        <f t="shared" si="89"/>
        <v>0.66661121559109326</v>
      </c>
      <c r="V473" s="6">
        <f>2*sigma/alpha*corel*(B473/12-1/alpha*(1-EXP(-alpha*Output!B473/12)))</f>
        <v>2.2887170544892097</v>
      </c>
      <c r="W473" s="5">
        <f t="shared" si="98"/>
        <v>-0.20277377785052375</v>
      </c>
      <c r="X473" s="1">
        <f t="shared" si="99"/>
        <v>36.465387544490419</v>
      </c>
      <c r="Y473" s="3">
        <f t="shared" si="100"/>
        <v>4.8700528645236316E-2</v>
      </c>
      <c r="Z473" s="1">
        <f t="shared" si="90"/>
        <v>0.15027118286977367</v>
      </c>
      <c r="AA473" s="8">
        <f t="shared" si="95"/>
        <v>38.416666666666664</v>
      </c>
      <c r="AB473" s="1">
        <v>38.5</v>
      </c>
      <c r="AC473" s="1">
        <v>2.4300599999999999E-2</v>
      </c>
      <c r="AD473" s="8">
        <f t="shared" si="91"/>
        <v>2.4959884747472598</v>
      </c>
      <c r="AE473" s="3">
        <f t="shared" si="92"/>
        <v>1.0271303896806087E-2</v>
      </c>
      <c r="AF473" s="11">
        <f t="shared" si="93"/>
        <v>38.416666666666664</v>
      </c>
      <c r="AG473" s="1">
        <f t="shared" si="94"/>
        <v>0.15027118286977367</v>
      </c>
    </row>
    <row r="474" spans="2:33" ht="15">
      <c r="B474" s="1">
        <v>463</v>
      </c>
      <c r="C474" s="1">
        <v>1.0008022005641741</v>
      </c>
      <c r="D474" s="1">
        <v>1.2138463412803875</v>
      </c>
      <c r="E474" s="1">
        <v>0.82281087834689104</v>
      </c>
      <c r="G474" s="1">
        <v>0.99930589172638884</v>
      </c>
      <c r="H474" s="1">
        <v>4.9829548878405463</v>
      </c>
      <c r="I474" s="1">
        <v>0.16028487762847124</v>
      </c>
      <c r="K474" s="1">
        <v>1.0005867771021408</v>
      </c>
      <c r="L474" s="1">
        <v>3.0709855365204723</v>
      </c>
      <c r="M474" s="1">
        <v>0.29568609863542744</v>
      </c>
      <c r="O474" s="1">
        <v>2.4062050544814223E-2</v>
      </c>
      <c r="P474" s="1">
        <v>0.39518782654721096</v>
      </c>
      <c r="R474" s="1">
        <v>4.6337907451003024E-2</v>
      </c>
      <c r="S474" s="2">
        <f t="shared" si="96"/>
        <v>0.93506545589264389</v>
      </c>
      <c r="T474" s="4">
        <f t="shared" si="97"/>
        <v>0.87434740680371792</v>
      </c>
      <c r="U474" s="1">
        <f t="shared" si="89"/>
        <v>0.66987463787410506</v>
      </c>
      <c r="V474" s="6">
        <f>2*sigma/alpha*corel*(B474/12-1/alpha*(1-EXP(-alpha*Output!B474/12)))</f>
        <v>2.2969625355257262</v>
      </c>
      <c r="W474" s="5">
        <f t="shared" si="98"/>
        <v>-0.20447276892961286</v>
      </c>
      <c r="X474" s="1">
        <f t="shared" si="99"/>
        <v>36.833000894412358</v>
      </c>
      <c r="Y474" s="3">
        <f t="shared" si="100"/>
        <v>4.8881951123430953E-2</v>
      </c>
      <c r="Z474" s="1">
        <f t="shared" si="90"/>
        <v>0.15053661309662097</v>
      </c>
      <c r="AA474" s="8">
        <f t="shared" si="95"/>
        <v>38.5</v>
      </c>
      <c r="AB474" s="1">
        <v>38.58</v>
      </c>
      <c r="AC474" s="1">
        <v>2.4311800000000001E-2</v>
      </c>
      <c r="AD474" s="8">
        <f t="shared" si="91"/>
        <v>2.4974945518577845</v>
      </c>
      <c r="AE474" s="3">
        <f t="shared" si="92"/>
        <v>1.0272766935635306E-2</v>
      </c>
      <c r="AF474" s="11">
        <f t="shared" si="93"/>
        <v>38.5</v>
      </c>
      <c r="AG474" s="1">
        <f t="shared" si="94"/>
        <v>0.15053661309662097</v>
      </c>
    </row>
    <row r="475" spans="2:33" ht="15">
      <c r="B475" s="1">
        <v>464</v>
      </c>
      <c r="C475" s="1">
        <v>1.0008021040627879</v>
      </c>
      <c r="D475" s="1">
        <v>1.2079958538922446</v>
      </c>
      <c r="E475" s="1">
        <v>0.82679379231148498</v>
      </c>
      <c r="G475" s="1">
        <v>0.99913049922694586</v>
      </c>
      <c r="H475" s="1">
        <v>4.7667548216286599</v>
      </c>
      <c r="I475" s="1">
        <v>0.1674736335095687</v>
      </c>
      <c r="K475" s="1">
        <v>1.0007034873061311</v>
      </c>
      <c r="L475" s="1">
        <v>3.0307195609755326</v>
      </c>
      <c r="M475" s="1">
        <v>0.29955215480136793</v>
      </c>
      <c r="O475" s="1">
        <v>2.40732889155044E-2</v>
      </c>
      <c r="P475" s="1">
        <v>0.39422485359444831</v>
      </c>
      <c r="R475" s="1">
        <v>4.6342953774518109E-2</v>
      </c>
      <c r="S475" s="2">
        <f t="shared" si="96"/>
        <v>0.93720654735379116</v>
      </c>
      <c r="T475" s="4">
        <f t="shared" si="97"/>
        <v>0.87835611240281397</v>
      </c>
      <c r="U475" s="1">
        <f t="shared" si="89"/>
        <v>0.67314515521215657</v>
      </c>
      <c r="V475" s="6">
        <f>2*sigma/alpha*corel*(B475/12-1/alpha*(1-EXP(-alpha*Output!B475/12)))</f>
        <v>2.3052169750104063</v>
      </c>
      <c r="W475" s="5">
        <f t="shared" si="98"/>
        <v>-0.20521095719065741</v>
      </c>
      <c r="X475" s="1">
        <f t="shared" si="99"/>
        <v>37.053320014031144</v>
      </c>
      <c r="Y475" s="3">
        <f t="shared" si="100"/>
        <v>4.8904226580495765E-2</v>
      </c>
      <c r="Z475" s="1">
        <f t="shared" si="90"/>
        <v>0.15071863307250763</v>
      </c>
      <c r="AA475" s="8">
        <f t="shared" si="95"/>
        <v>38.583333333333336</v>
      </c>
      <c r="AB475" s="1">
        <v>38.67</v>
      </c>
      <c r="AC475" s="1">
        <v>2.43232E-2</v>
      </c>
      <c r="AD475" s="8">
        <f t="shared" si="91"/>
        <v>2.4991108449559998</v>
      </c>
      <c r="AE475" s="3">
        <f t="shared" si="92"/>
        <v>1.0274597277315485E-2</v>
      </c>
      <c r="AF475" s="11">
        <f t="shared" si="93"/>
        <v>38.583333333333336</v>
      </c>
      <c r="AG475" s="1">
        <f t="shared" si="94"/>
        <v>0.15071863307250763</v>
      </c>
    </row>
    <row r="476" spans="2:33" ht="15">
      <c r="B476" s="1">
        <v>465</v>
      </c>
      <c r="C476" s="1">
        <v>1.0008064345048833</v>
      </c>
      <c r="D476" s="1">
        <v>1.2076675670110206</v>
      </c>
      <c r="E476" s="1">
        <v>0.82701646862440314</v>
      </c>
      <c r="G476" s="1">
        <v>0.99932263724144754</v>
      </c>
      <c r="H476" s="1">
        <v>4.7513493541728549</v>
      </c>
      <c r="I476" s="1">
        <v>0.16793531907673126</v>
      </c>
      <c r="K476" s="1">
        <v>1.0007461172574978</v>
      </c>
      <c r="L476" s="1">
        <v>3.0432935339615566</v>
      </c>
      <c r="M476" s="1">
        <v>0.29825235309989068</v>
      </c>
      <c r="O476" s="1">
        <v>2.4084668403228086E-2</v>
      </c>
      <c r="P476" s="1">
        <v>0.39326134008514158</v>
      </c>
      <c r="R476" s="1">
        <v>4.6423643899049377E-2</v>
      </c>
      <c r="S476" s="2">
        <f t="shared" si="96"/>
        <v>0.93990797071411714</v>
      </c>
      <c r="T476" s="4">
        <f t="shared" si="97"/>
        <v>0.88342699341192965</v>
      </c>
      <c r="U476" s="1">
        <f t="shared" si="89"/>
        <v>0.67642275619084791</v>
      </c>
      <c r="V476" s="6">
        <f>2*sigma/alpha*corel*(B476/12-1/alpha*(1-EXP(-alpha*Output!B476/12)))</f>
        <v>2.3134803488424907</v>
      </c>
      <c r="W476" s="5">
        <f t="shared" si="98"/>
        <v>-0.20700423722108174</v>
      </c>
      <c r="X476" s="1">
        <f t="shared" si="99"/>
        <v>37.437848093748045</v>
      </c>
      <c r="Y476" s="3">
        <f t="shared" si="100"/>
        <v>4.9098931894213368E-2</v>
      </c>
      <c r="Z476" s="1">
        <f t="shared" si="90"/>
        <v>0.15099044989342053</v>
      </c>
      <c r="AA476" s="8">
        <f t="shared" si="95"/>
        <v>38.666666666666671</v>
      </c>
      <c r="AB476" s="1">
        <v>38.75</v>
      </c>
      <c r="AC476" s="1">
        <v>2.43348E-2</v>
      </c>
      <c r="AD476" s="8">
        <f t="shared" si="91"/>
        <v>2.5013159677191381</v>
      </c>
      <c r="AE476" s="3">
        <f t="shared" si="92"/>
        <v>1.0278761147488937E-2</v>
      </c>
      <c r="AF476" s="11">
        <f t="shared" si="93"/>
        <v>38.666666666666671</v>
      </c>
      <c r="AG476" s="1">
        <f t="shared" si="94"/>
        <v>0.15099044989342053</v>
      </c>
    </row>
    <row r="477" spans="2:33" ht="15">
      <c r="B477" s="1">
        <v>466</v>
      </c>
      <c r="C477" s="1">
        <v>1.0008119844081482</v>
      </c>
      <c r="D477" s="1">
        <v>1.2041726551986807</v>
      </c>
      <c r="E477" s="1">
        <v>0.82941466107767881</v>
      </c>
      <c r="G477" s="1">
        <v>0.99960698661417247</v>
      </c>
      <c r="H477" s="1">
        <v>4.6902928868165352</v>
      </c>
      <c r="I477" s="1">
        <v>0.17003909845456569</v>
      </c>
      <c r="K477" s="1">
        <v>1.0006911576962756</v>
      </c>
      <c r="L477" s="1">
        <v>3.054386524644443</v>
      </c>
      <c r="M477" s="1">
        <v>0.29710724963534185</v>
      </c>
      <c r="O477" s="1">
        <v>2.4096045399094254E-2</v>
      </c>
      <c r="P477" s="1">
        <v>0.39229947540442156</v>
      </c>
      <c r="R477" s="1">
        <v>4.6486243498172701E-2</v>
      </c>
      <c r="S477" s="2">
        <f t="shared" si="96"/>
        <v>0.94248162291061677</v>
      </c>
      <c r="T477" s="4">
        <f t="shared" si="97"/>
        <v>0.88827160952423001</v>
      </c>
      <c r="U477" s="1">
        <f t="shared" si="89"/>
        <v>0.67970742938525819</v>
      </c>
      <c r="V477" s="6">
        <f>2*sigma/alpha*corel*(B477/12-1/alpha*(1-EXP(-alpha*Output!B477/12)))</f>
        <v>2.3217526329860556</v>
      </c>
      <c r="W477" s="5">
        <f t="shared" si="98"/>
        <v>-0.20856418013897182</v>
      </c>
      <c r="X477" s="1">
        <f t="shared" si="99"/>
        <v>37.787504603697975</v>
      </c>
      <c r="Y477" s="3">
        <f t="shared" si="100"/>
        <v>4.9254097267162303E-2</v>
      </c>
      <c r="Z477" s="1">
        <f t="shared" si="90"/>
        <v>0.1512413535590548</v>
      </c>
      <c r="AA477" s="8">
        <f t="shared" si="95"/>
        <v>38.750000000000007</v>
      </c>
      <c r="AB477" s="1">
        <v>38.83</v>
      </c>
      <c r="AC477" s="1">
        <v>2.43465E-2</v>
      </c>
      <c r="AD477" s="8">
        <f t="shared" si="91"/>
        <v>2.5045460090574596</v>
      </c>
      <c r="AE477" s="3">
        <f t="shared" si="92"/>
        <v>1.0287088530414884E-2</v>
      </c>
      <c r="AF477" s="11">
        <f t="shared" si="93"/>
        <v>38.750000000000007</v>
      </c>
      <c r="AG477" s="1">
        <f t="shared" si="94"/>
        <v>0.1512413535590548</v>
      </c>
    </row>
    <row r="478" spans="2:33" ht="15">
      <c r="B478" s="1">
        <v>467</v>
      </c>
      <c r="C478" s="1">
        <v>1.0008087401647723</v>
      </c>
      <c r="D478" s="1">
        <v>1.2032038274455772</v>
      </c>
      <c r="E478" s="1">
        <v>0.83008041894793649</v>
      </c>
      <c r="G478" s="1">
        <v>0.99918455509571635</v>
      </c>
      <c r="H478" s="1">
        <v>4.6730769630265883</v>
      </c>
      <c r="I478" s="1">
        <v>0.17058293031624505</v>
      </c>
      <c r="K478" s="1">
        <v>1.0007364056754395</v>
      </c>
      <c r="L478" s="1">
        <v>3.0370435476145707</v>
      </c>
      <c r="M478" s="1">
        <v>0.29874163034727419</v>
      </c>
      <c r="O478" s="1">
        <v>2.4107692497413812E-2</v>
      </c>
      <c r="P478" s="1">
        <v>0.39133510773576835</v>
      </c>
      <c r="R478" s="1">
        <v>4.6571054050095088E-2</v>
      </c>
      <c r="S478" s="2">
        <f t="shared" si="96"/>
        <v>0.94523155066084796</v>
      </c>
      <c r="T478" s="4">
        <f t="shared" si="97"/>
        <v>0.89346268436471121</v>
      </c>
      <c r="U478" s="1">
        <f t="shared" si="89"/>
        <v>0.68299916336018784</v>
      </c>
      <c r="V478" s="6">
        <f>2*sigma/alpha*corel*(B478/12-1/alpha*(1-EXP(-alpha*Output!B478/12)))</f>
        <v>2.3300338034698398</v>
      </c>
      <c r="W478" s="5">
        <f t="shared" si="98"/>
        <v>-0.21046352100452337</v>
      </c>
      <c r="X478" s="1">
        <f t="shared" si="99"/>
        <v>38.191212295016271</v>
      </c>
      <c r="Y478" s="3">
        <f t="shared" si="100"/>
        <v>4.9462999183899618E-2</v>
      </c>
      <c r="Z478" s="1">
        <f t="shared" si="90"/>
        <v>0.1515201501951248</v>
      </c>
      <c r="AA478" s="8">
        <f t="shared" si="95"/>
        <v>38.833333333333343</v>
      </c>
      <c r="AB478" s="1">
        <v>38.92</v>
      </c>
      <c r="AC478" s="1">
        <v>2.4358399999999999E-2</v>
      </c>
      <c r="AD478" s="8">
        <f t="shared" si="91"/>
        <v>2.5070750258618726</v>
      </c>
      <c r="AE478" s="3">
        <f t="shared" si="92"/>
        <v>1.0292445422777656E-2</v>
      </c>
      <c r="AF478" s="11">
        <f t="shared" si="93"/>
        <v>38.833333333333343</v>
      </c>
      <c r="AG478" s="1">
        <f t="shared" si="94"/>
        <v>0.1515201501951248</v>
      </c>
    </row>
    <row r="479" spans="2:33" ht="15">
      <c r="B479" s="1">
        <v>468</v>
      </c>
      <c r="C479" s="1">
        <v>1.0008085485439449</v>
      </c>
      <c r="D479" s="1">
        <v>1.2007984216476724</v>
      </c>
      <c r="E479" s="1">
        <v>0.83174111172141896</v>
      </c>
      <c r="G479" s="1">
        <v>0.99902535023048333</v>
      </c>
      <c r="H479" s="1">
        <v>4.5875244580407077</v>
      </c>
      <c r="I479" s="1">
        <v>0.17368001873968503</v>
      </c>
      <c r="K479" s="1">
        <v>1.0007584145442627</v>
      </c>
      <c r="L479" s="1">
        <v>3.0684746509258072</v>
      </c>
      <c r="M479" s="1">
        <v>0.2956199560775763</v>
      </c>
      <c r="O479" s="1">
        <v>2.4119590225743393E-2</v>
      </c>
      <c r="P479" s="1">
        <v>0.39036853722942455</v>
      </c>
      <c r="R479" s="1">
        <v>4.6563822579965067E-2</v>
      </c>
      <c r="S479" s="2">
        <f t="shared" si="96"/>
        <v>0.94731871615364494</v>
      </c>
      <c r="T479" s="4">
        <f t="shared" si="97"/>
        <v>0.8974127499749901</v>
      </c>
      <c r="U479" s="1">
        <f t="shared" si="89"/>
        <v>0.68629794667041844</v>
      </c>
      <c r="V479" s="6">
        <f>2*sigma/alpha*corel*(B479/12-1/alpha*(1-EXP(-alpha*Output!B479/12)))</f>
        <v>2.3383238363870755</v>
      </c>
      <c r="W479" s="5">
        <f t="shared" si="98"/>
        <v>-0.21111480330457166</v>
      </c>
      <c r="X479" s="1">
        <f t="shared" si="99"/>
        <v>38.401667679329151</v>
      </c>
      <c r="Y479" s="3">
        <f t="shared" si="100"/>
        <v>4.9469026620270848E-2</v>
      </c>
      <c r="Z479" s="1">
        <f t="shared" si="90"/>
        <v>0.15169239708268853</v>
      </c>
      <c r="AA479" s="8">
        <f t="shared" si="95"/>
        <v>38.916666666666679</v>
      </c>
      <c r="AB479" s="1">
        <v>39</v>
      </c>
      <c r="AC479" s="1">
        <v>2.4370599999999999E-2</v>
      </c>
      <c r="AD479" s="8">
        <f t="shared" si="91"/>
        <v>2.5100977425660669</v>
      </c>
      <c r="AE479" s="3">
        <f t="shared" si="92"/>
        <v>1.0299696119775742E-2</v>
      </c>
      <c r="AF479" s="11">
        <f t="shared" si="93"/>
        <v>38.916666666666679</v>
      </c>
      <c r="AG479" s="1">
        <f t="shared" si="94"/>
        <v>0.15169239708268853</v>
      </c>
    </row>
    <row r="480" spans="2:33" ht="15">
      <c r="B480" s="1">
        <v>469</v>
      </c>
      <c r="C480" s="1">
        <v>1.0008086042199962</v>
      </c>
      <c r="D480" s="1">
        <v>1.201744121737421</v>
      </c>
      <c r="E480" s="1">
        <v>0.8310844777407399</v>
      </c>
      <c r="G480" s="1">
        <v>0.99886899565608689</v>
      </c>
      <c r="H480" s="1">
        <v>4.6160496207481572</v>
      </c>
      <c r="I480" s="1">
        <v>0.17252320816865446</v>
      </c>
      <c r="K480" s="1">
        <v>1.0007721201344582</v>
      </c>
      <c r="L480" s="1">
        <v>3.0994348067098518</v>
      </c>
      <c r="M480" s="1">
        <v>0.29260605180992411</v>
      </c>
      <c r="O480" s="1">
        <v>2.4131782914658589E-2</v>
      </c>
      <c r="P480" s="1">
        <v>0.38939909287927005</v>
      </c>
      <c r="R480" s="1">
        <v>4.6502940385722953E-2</v>
      </c>
      <c r="S480" s="2">
        <f t="shared" si="96"/>
        <v>0.94902316527356168</v>
      </c>
      <c r="T480" s="4">
        <f t="shared" si="97"/>
        <v>0.90064496822584994</v>
      </c>
      <c r="U480" s="1">
        <f t="shared" si="89"/>
        <v>0.6896037678609479</v>
      </c>
      <c r="V480" s="6">
        <f>2*sigma/alpha*corel*(B480/12-1/alpha*(1-EXP(-alpha*Output!B480/12)))</f>
        <v>2.3466227078953072</v>
      </c>
      <c r="W480" s="5">
        <f t="shared" si="98"/>
        <v>-0.21104120036490204</v>
      </c>
      <c r="X480" s="1">
        <f t="shared" si="99"/>
        <v>38.499412456922919</v>
      </c>
      <c r="Y480" s="3">
        <f t="shared" si="100"/>
        <v>4.9358210268858407E-2</v>
      </c>
      <c r="Z480" s="1">
        <f t="shared" si="90"/>
        <v>0.15180323097818507</v>
      </c>
      <c r="AA480" s="8">
        <f t="shared" si="95"/>
        <v>39.000000000000014</v>
      </c>
      <c r="AB480" s="1">
        <v>39.08</v>
      </c>
      <c r="AC480" s="1">
        <v>2.4382899999999999E-2</v>
      </c>
      <c r="AD480" s="8">
        <f t="shared" si="91"/>
        <v>2.5111708534140966</v>
      </c>
      <c r="AE480" s="3">
        <f t="shared" si="92"/>
        <v>1.0298901498238916E-2</v>
      </c>
      <c r="AF480" s="11">
        <f t="shared" si="93"/>
        <v>39.000000000000014</v>
      </c>
      <c r="AG480" s="1">
        <f t="shared" si="94"/>
        <v>0.15180323097818507</v>
      </c>
    </row>
    <row r="481" spans="2:33" ht="15">
      <c r="B481" s="1">
        <v>470</v>
      </c>
      <c r="C481" s="1">
        <v>1.0008181944672807</v>
      </c>
      <c r="D481" s="1">
        <v>1.2052021229009722</v>
      </c>
      <c r="E481" s="1">
        <v>0.82869780341195376</v>
      </c>
      <c r="G481" s="1">
        <v>0.99953529708419597</v>
      </c>
      <c r="H481" s="1">
        <v>4.7376843538893665</v>
      </c>
      <c r="I481" s="1">
        <v>0.16801250773745663</v>
      </c>
      <c r="K481" s="1">
        <v>1.0006800779317782</v>
      </c>
      <c r="L481" s="1">
        <v>3.0832575295156577</v>
      </c>
      <c r="M481" s="1">
        <v>0.29408002811958378</v>
      </c>
      <c r="O481" s="1">
        <v>2.414406555738205E-2</v>
      </c>
      <c r="P481" s="1">
        <v>0.38842989820217594</v>
      </c>
      <c r="R481" s="1">
        <v>4.6560973695158561E-2</v>
      </c>
      <c r="S481" s="2">
        <f t="shared" si="96"/>
        <v>0.95160917717793203</v>
      </c>
      <c r="T481" s="4">
        <f t="shared" si="97"/>
        <v>0.90556002608926078</v>
      </c>
      <c r="U481" s="1">
        <f t="shared" si="89"/>
        <v>0.69291661546723804</v>
      </c>
      <c r="V481" s="6">
        <f>2*sigma/alpha*corel*(B481/12-1/alpha*(1-EXP(-alpha*Output!B481/12)))</f>
        <v>2.3549303942162227</v>
      </c>
      <c r="W481" s="5">
        <f t="shared" si="98"/>
        <v>-0.21264341062202274</v>
      </c>
      <c r="X481" s="1">
        <f t="shared" si="99"/>
        <v>38.859831492386938</v>
      </c>
      <c r="Y481" s="3">
        <f t="shared" si="100"/>
        <v>4.9517043067472913E-2</v>
      </c>
      <c r="Z481" s="1">
        <f t="shared" si="90"/>
        <v>0.15205486351042052</v>
      </c>
      <c r="AA481" s="8">
        <f t="shared" si="95"/>
        <v>39.08333333333335</v>
      </c>
      <c r="AB481" s="1">
        <v>39.17</v>
      </c>
      <c r="AC481" s="1">
        <v>2.4395400000000001E-2</v>
      </c>
      <c r="AD481" s="8">
        <f t="shared" si="91"/>
        <v>2.5133444261795161</v>
      </c>
      <c r="AE481" s="3">
        <f t="shared" si="92"/>
        <v>1.030253419160791E-2</v>
      </c>
      <c r="AF481" s="11">
        <f t="shared" si="93"/>
        <v>39.08333333333335</v>
      </c>
      <c r="AG481" s="1">
        <f t="shared" si="94"/>
        <v>0.15205486351042052</v>
      </c>
    </row>
    <row r="482" spans="2:33" ht="15">
      <c r="B482" s="1">
        <v>471</v>
      </c>
      <c r="C482" s="1">
        <v>1.0008197919799942</v>
      </c>
      <c r="D482" s="1">
        <v>1.208195440965725</v>
      </c>
      <c r="E482" s="1">
        <v>0.82664259335305323</v>
      </c>
      <c r="G482" s="1">
        <v>0.99952282656527081</v>
      </c>
      <c r="H482" s="1">
        <v>4.8455622644666407</v>
      </c>
      <c r="I482" s="1">
        <v>0.16419249386153378</v>
      </c>
      <c r="K482" s="1">
        <v>1.0006815707315599</v>
      </c>
      <c r="L482" s="1">
        <v>2.9969176027041344</v>
      </c>
      <c r="M482" s="1">
        <v>0.30248932402380624</v>
      </c>
      <c r="O482" s="1">
        <v>2.4156310299457508E-2</v>
      </c>
      <c r="P482" s="1">
        <v>0.38746289901354414</v>
      </c>
      <c r="R482" s="1">
        <v>4.6594226771577131E-2</v>
      </c>
      <c r="S482" s="2">
        <f t="shared" si="96"/>
        <v>0.95401512320571524</v>
      </c>
      <c r="T482" s="4">
        <f t="shared" si="97"/>
        <v>0.91014485530521605</v>
      </c>
      <c r="U482" s="1">
        <f t="shared" si="89"/>
        <v>0.69623647801546307</v>
      </c>
      <c r="V482" s="6">
        <f>2*sigma/alpha*corel*(B482/12-1/alpha*(1-EXP(-alpha*Output!B482/12)))</f>
        <v>2.363246871635484</v>
      </c>
      <c r="W482" s="5">
        <f t="shared" si="98"/>
        <v>-0.21390837728975298</v>
      </c>
      <c r="X482" s="1">
        <f t="shared" si="99"/>
        <v>39.168551010786118</v>
      </c>
      <c r="Y482" s="3">
        <f t="shared" si="100"/>
        <v>4.9620782912874348E-2</v>
      </c>
      <c r="Z482" s="1">
        <f t="shared" si="90"/>
        <v>0.1522773914828488</v>
      </c>
      <c r="AA482" s="8">
        <f t="shared" si="95"/>
        <v>39.166666666666686</v>
      </c>
      <c r="AB482" s="1">
        <v>39.25</v>
      </c>
      <c r="AC482" s="1">
        <v>2.4407999999999999E-2</v>
      </c>
      <c r="AD482" s="8">
        <f t="shared" si="91"/>
        <v>2.5168970054249145</v>
      </c>
      <c r="AE482" s="3">
        <f t="shared" si="92"/>
        <v>1.0311770753133867E-2</v>
      </c>
      <c r="AF482" s="11">
        <f t="shared" si="93"/>
        <v>39.166666666666686</v>
      </c>
      <c r="AG482" s="1">
        <f t="shared" si="94"/>
        <v>0.1522773914828488</v>
      </c>
    </row>
    <row r="483" spans="2:33" ht="15">
      <c r="B483" s="1">
        <v>472</v>
      </c>
      <c r="C483" s="1">
        <v>1.0008228557090981</v>
      </c>
      <c r="D483" s="1">
        <v>1.2046576439853927</v>
      </c>
      <c r="E483" s="1">
        <v>0.82906813608790075</v>
      </c>
      <c r="G483" s="1">
        <v>0.99961616363998962</v>
      </c>
      <c r="H483" s="1">
        <v>4.7190336988268342</v>
      </c>
      <c r="I483" s="1">
        <v>0.16851328251477599</v>
      </c>
      <c r="K483" s="1">
        <v>1.0006753035601825</v>
      </c>
      <c r="L483" s="1">
        <v>2.9399478815258653</v>
      </c>
      <c r="M483" s="1">
        <v>0.30828666842558855</v>
      </c>
      <c r="O483" s="1">
        <v>2.4168531751572568E-2</v>
      </c>
      <c r="P483" s="1">
        <v>0.3864978724751752</v>
      </c>
      <c r="R483" s="1">
        <v>4.6522028733266392E-2</v>
      </c>
      <c r="S483" s="2">
        <f t="shared" si="96"/>
        <v>0.95564260939892987</v>
      </c>
      <c r="T483" s="4">
        <f t="shared" si="97"/>
        <v>0.91325279689879568</v>
      </c>
      <c r="U483" s="1">
        <f t="shared" si="89"/>
        <v>0.69956334402274301</v>
      </c>
      <c r="V483" s="6">
        <f>2*sigma/alpha*corel*(B483/12-1/alpha*(1-EXP(-alpha*Output!B483/12)))</f>
        <v>2.3715721165025472</v>
      </c>
      <c r="W483" s="5">
        <f t="shared" si="98"/>
        <v>-0.21368945287605268</v>
      </c>
      <c r="X483" s="1">
        <f t="shared" si="99"/>
        <v>39.24482822293799</v>
      </c>
      <c r="Y483" s="3">
        <f t="shared" si="100"/>
        <v>4.9487252036778048E-2</v>
      </c>
      <c r="Z483" s="1">
        <f t="shared" si="90"/>
        <v>0.15237549490183633</v>
      </c>
      <c r="AA483" s="8">
        <f t="shared" si="95"/>
        <v>39.250000000000021</v>
      </c>
      <c r="AB483" s="1">
        <v>39.33</v>
      </c>
      <c r="AC483" s="1">
        <v>2.4420600000000001E-2</v>
      </c>
      <c r="AD483" s="8">
        <f t="shared" si="91"/>
        <v>2.5206824842743254</v>
      </c>
      <c r="AE483" s="3">
        <f t="shared" si="92"/>
        <v>1.0321951484706868E-2</v>
      </c>
      <c r="AF483" s="11">
        <f t="shared" si="93"/>
        <v>39.250000000000021</v>
      </c>
      <c r="AG483" s="1">
        <f t="shared" si="94"/>
        <v>0.15237549490183633</v>
      </c>
    </row>
    <row r="484" spans="2:33" ht="15">
      <c r="B484" s="1">
        <v>473</v>
      </c>
      <c r="C484" s="1">
        <v>1.0008276576971791</v>
      </c>
      <c r="D484" s="1">
        <v>1.2062137355756952</v>
      </c>
      <c r="E484" s="1">
        <v>0.82799647155358824</v>
      </c>
      <c r="G484" s="1">
        <v>0.99986247215134749</v>
      </c>
      <c r="H484" s="1">
        <v>4.7679970544645176</v>
      </c>
      <c r="I484" s="1">
        <v>0.16670206374029914</v>
      </c>
      <c r="K484" s="1">
        <v>1.0007901899068055</v>
      </c>
      <c r="L484" s="1">
        <v>2.9177318736834201</v>
      </c>
      <c r="M484" s="1">
        <v>0.3105692964151982</v>
      </c>
      <c r="O484" s="1">
        <v>2.4180642196361311E-2</v>
      </c>
      <c r="P484" s="1">
        <v>0.38553615108579126</v>
      </c>
      <c r="R484" s="1">
        <v>4.6561868657247422E-2</v>
      </c>
      <c r="S484" s="2">
        <f t="shared" si="96"/>
        <v>0.95809889221382116</v>
      </c>
      <c r="T484" s="4">
        <f t="shared" si="97"/>
        <v>0.91795348726135129</v>
      </c>
      <c r="U484" s="1">
        <f t="shared" si="89"/>
        <v>0.70289720199738259</v>
      </c>
      <c r="V484" s="6">
        <f>2*sigma/alpha*corel*(B484/12-1/alpha*(1-EXP(-alpha*Output!B484/12)))</f>
        <v>2.3799061052304937</v>
      </c>
      <c r="W484" s="5">
        <f t="shared" si="98"/>
        <v>-0.21505628526396869</v>
      </c>
      <c r="X484" s="1">
        <f t="shared" si="99"/>
        <v>39.571160712999109</v>
      </c>
      <c r="Y484" s="3">
        <f t="shared" si="100"/>
        <v>4.9606619044500921E-2</v>
      </c>
      <c r="Z484" s="1">
        <f t="shared" si="90"/>
        <v>0.15260557186672449</v>
      </c>
      <c r="AA484" s="8">
        <f t="shared" si="95"/>
        <v>39.333333333333357</v>
      </c>
      <c r="AB484" s="1">
        <v>39.42</v>
      </c>
      <c r="AC484" s="1">
        <v>2.4433E-2</v>
      </c>
      <c r="AD484" s="8">
        <f t="shared" si="91"/>
        <v>2.5235780363868852</v>
      </c>
      <c r="AE484" s="3">
        <f t="shared" si="92"/>
        <v>1.0328563976535362E-2</v>
      </c>
      <c r="AF484" s="11">
        <f t="shared" si="93"/>
        <v>39.333333333333357</v>
      </c>
      <c r="AG484" s="1">
        <f t="shared" si="94"/>
        <v>0.15260557186672449</v>
      </c>
    </row>
    <row r="485" spans="2:33" ht="15">
      <c r="B485" s="1">
        <v>474</v>
      </c>
      <c r="C485" s="1">
        <v>1.0008273079685073</v>
      </c>
      <c r="D485" s="1">
        <v>1.2068027275684243</v>
      </c>
      <c r="E485" s="1">
        <v>0.82759024163891859</v>
      </c>
      <c r="G485" s="1">
        <v>0.9996731264927694</v>
      </c>
      <c r="H485" s="1">
        <v>4.7872333570486605</v>
      </c>
      <c r="I485" s="1">
        <v>0.16595184795458287</v>
      </c>
      <c r="K485" s="1">
        <v>1.0005435557024598</v>
      </c>
      <c r="L485" s="1">
        <v>3.0134693489974564</v>
      </c>
      <c r="M485" s="1">
        <v>0.30063991607938667</v>
      </c>
      <c r="O485" s="1">
        <v>2.4192549488978296E-2</v>
      </c>
      <c r="P485" s="1">
        <v>0.38457913255965681</v>
      </c>
      <c r="R485" s="1">
        <v>4.6512718691860265E-2</v>
      </c>
      <c r="S485" s="2">
        <f t="shared" si="96"/>
        <v>0.95988983993821098</v>
      </c>
      <c r="T485" s="4">
        <f t="shared" si="97"/>
        <v>0.92138850481660428</v>
      </c>
      <c r="U485" s="1">
        <f t="shared" si="89"/>
        <v>0.70623804043911576</v>
      </c>
      <c r="V485" s="6">
        <f>2*sigma/alpha*corel*(B485/12-1/alpha*(1-EXP(-alpha*Output!B485/12)))</f>
        <v>2.3882488142958671</v>
      </c>
      <c r="W485" s="5">
        <f t="shared" si="98"/>
        <v>-0.21515046437748853</v>
      </c>
      <c r="X485" s="1">
        <f t="shared" si="99"/>
        <v>39.697505770628801</v>
      </c>
      <c r="Y485" s="3">
        <f t="shared" si="100"/>
        <v>4.9523377893992963E-2</v>
      </c>
      <c r="Z485" s="1">
        <f t="shared" si="90"/>
        <v>0.15272947083382385</v>
      </c>
      <c r="AA485" s="8">
        <f t="shared" si="95"/>
        <v>39.416666666666693</v>
      </c>
      <c r="AB485" s="1">
        <v>39.5</v>
      </c>
      <c r="AC485" s="1">
        <v>2.44452E-2</v>
      </c>
      <c r="AD485" s="8">
        <f t="shared" si="91"/>
        <v>2.5265051102170419</v>
      </c>
      <c r="AE485" s="3">
        <f t="shared" si="92"/>
        <v>1.0335383266314212E-2</v>
      </c>
      <c r="AF485" s="11">
        <f t="shared" si="93"/>
        <v>39.416666666666693</v>
      </c>
      <c r="AG485" s="1">
        <f t="shared" si="94"/>
        <v>0.15272947083382385</v>
      </c>
    </row>
    <row r="486" spans="2:33" ht="15">
      <c r="B486" s="1">
        <v>475</v>
      </c>
      <c r="C486" s="1">
        <v>1.0008341531088902</v>
      </c>
      <c r="D486" s="1">
        <v>1.2075232409715073</v>
      </c>
      <c r="E486" s="1">
        <v>0.82709430812773177</v>
      </c>
      <c r="G486" s="1">
        <v>1.0000679529620133</v>
      </c>
      <c r="H486" s="1">
        <v>4.8091283278053085</v>
      </c>
      <c r="I486" s="1">
        <v>0.16511634225104257</v>
      </c>
      <c r="K486" s="1">
        <v>1.000600064785824</v>
      </c>
      <c r="L486" s="1">
        <v>3.0350937231399864</v>
      </c>
      <c r="M486" s="1">
        <v>0.29843574218044483</v>
      </c>
      <c r="O486" s="1">
        <v>2.4204178912839769E-2</v>
      </c>
      <c r="P486" s="1">
        <v>0.38362794781485166</v>
      </c>
      <c r="R486" s="1">
        <v>4.6398213161139457E-2</v>
      </c>
      <c r="S486" s="2">
        <f t="shared" si="96"/>
        <v>0.96118451856837406</v>
      </c>
      <c r="T486" s="4">
        <f t="shared" si="97"/>
        <v>0.92387567873551701</v>
      </c>
      <c r="U486" s="1">
        <f t="shared" si="89"/>
        <v>0.70958584783932988</v>
      </c>
      <c r="V486" s="6">
        <f>2*sigma/alpha*corel*(B486/12-1/alpha*(1-EXP(-alpha*Output!B486/12)))</f>
        <v>2.3966002202384891</v>
      </c>
      <c r="W486" s="5">
        <f t="shared" si="98"/>
        <v>-0.21428983089618714</v>
      </c>
      <c r="X486" s="1">
        <f t="shared" si="99"/>
        <v>39.672915840876804</v>
      </c>
      <c r="Y486" s="3">
        <f t="shared" si="100"/>
        <v>4.9288973661203196E-2</v>
      </c>
      <c r="Z486" s="1">
        <f t="shared" si="90"/>
        <v>0.15277439951445573</v>
      </c>
      <c r="AA486" s="8">
        <f t="shared" si="95"/>
        <v>39.500000000000028</v>
      </c>
      <c r="AB486" s="1">
        <v>39.58</v>
      </c>
      <c r="AC486" s="1">
        <v>2.4457199999999998E-2</v>
      </c>
      <c r="AD486" s="8">
        <f t="shared" si="91"/>
        <v>2.5302108716022955</v>
      </c>
      <c r="AE486" s="3">
        <f t="shared" si="92"/>
        <v>1.0345464205233206E-2</v>
      </c>
      <c r="AF486" s="11">
        <f t="shared" si="93"/>
        <v>39.500000000000028</v>
      </c>
      <c r="AG486" s="1">
        <f t="shared" si="94"/>
        <v>0.15277439951445573</v>
      </c>
    </row>
    <row r="487" spans="2:33" ht="15">
      <c r="B487" s="1">
        <v>476</v>
      </c>
      <c r="C487" s="1">
        <v>1.0008365596751814</v>
      </c>
      <c r="D487" s="1">
        <v>1.205558663062005</v>
      </c>
      <c r="E487" s="1">
        <v>0.82844001123143307</v>
      </c>
      <c r="G487" s="1">
        <v>1.0000943601344066</v>
      </c>
      <c r="H487" s="1">
        <v>4.7382125299170408</v>
      </c>
      <c r="I487" s="1">
        <v>0.16750648341053986</v>
      </c>
      <c r="K487" s="1">
        <v>1.0007070132884597</v>
      </c>
      <c r="L487" s="1">
        <v>3.0094443029581686</v>
      </c>
      <c r="M487" s="1">
        <v>0.30091660528753228</v>
      </c>
      <c r="O487" s="1">
        <v>2.421537777959519E-2</v>
      </c>
      <c r="P487" s="1">
        <v>0.38268490965576629</v>
      </c>
      <c r="R487" s="1">
        <v>4.6406326341876789E-2</v>
      </c>
      <c r="S487" s="2">
        <f t="shared" si="96"/>
        <v>0.96338045356667834</v>
      </c>
      <c r="T487" s="4">
        <f t="shared" si="97"/>
        <v>0.92810189831433887</v>
      </c>
      <c r="U487" s="1">
        <f t="shared" si="89"/>
        <v>0.71294061268131115</v>
      </c>
      <c r="V487" s="6">
        <f>2*sigma/alpha*corel*(B487/12-1/alpha*(1-EXP(-alpha*Output!B487/12)))</f>
        <v>2.4049602996612993</v>
      </c>
      <c r="W487" s="5">
        <f t="shared" si="98"/>
        <v>-0.21516128563302772</v>
      </c>
      <c r="X487" s="1">
        <f t="shared" si="99"/>
        <v>39.922758030054027</v>
      </c>
      <c r="Y487" s="3">
        <f t="shared" si="100"/>
        <v>4.9329649864678984E-2</v>
      </c>
      <c r="Z487" s="1">
        <f t="shared" si="90"/>
        <v>0.15296250144483337</v>
      </c>
      <c r="AA487" s="8">
        <f t="shared" si="95"/>
        <v>39.583333333333364</v>
      </c>
      <c r="AB487" s="1">
        <v>39.67</v>
      </c>
      <c r="AC487" s="1">
        <v>2.4468799999999999E-2</v>
      </c>
      <c r="AD487" s="8">
        <f t="shared" si="91"/>
        <v>2.5342222040480866</v>
      </c>
      <c r="AE487" s="3">
        <f t="shared" si="92"/>
        <v>1.0356953361211367E-2</v>
      </c>
      <c r="AF487" s="11">
        <f t="shared" si="93"/>
        <v>39.583333333333364</v>
      </c>
      <c r="AG487" s="1">
        <f t="shared" si="94"/>
        <v>0.15296250144483337</v>
      </c>
    </row>
    <row r="488" spans="2:33" ht="15">
      <c r="B488" s="1">
        <v>477</v>
      </c>
      <c r="C488" s="1">
        <v>1.0008359090253047</v>
      </c>
      <c r="D488" s="1">
        <v>1.2007285402056469</v>
      </c>
      <c r="E488" s="1">
        <v>0.83177040150746862</v>
      </c>
      <c r="G488" s="1">
        <v>0.99987988351924673</v>
      </c>
      <c r="H488" s="1">
        <v>4.5673331034279316</v>
      </c>
      <c r="I488" s="1">
        <v>0.17368935514623771</v>
      </c>
      <c r="K488" s="1">
        <v>1.0006825835083084</v>
      </c>
      <c r="L488" s="1">
        <v>3.0160970497958561</v>
      </c>
      <c r="M488" s="1">
        <v>0.30019031320484857</v>
      </c>
      <c r="O488" s="1">
        <v>2.4226145578330038E-2</v>
      </c>
      <c r="P488" s="1">
        <v>0.38175001837926881</v>
      </c>
      <c r="R488" s="1">
        <v>4.639094917858691E-2</v>
      </c>
      <c r="S488" s="2">
        <f t="shared" si="96"/>
        <v>0.9653882817644317</v>
      </c>
      <c r="T488" s="4">
        <f t="shared" si="97"/>
        <v>0.93197453456808177</v>
      </c>
      <c r="U488" s="1">
        <f t="shared" si="89"/>
        <v>0.71630232344046563</v>
      </c>
      <c r="V488" s="6">
        <f>2*sigma/alpha*corel*(B488/12-1/alpha*(1-EXP(-alpha*Output!B488/12)))</f>
        <v>2.4133290292301823</v>
      </c>
      <c r="W488" s="5">
        <f t="shared" si="98"/>
        <v>-0.21567221112761614</v>
      </c>
      <c r="X488" s="1">
        <f t="shared" si="99"/>
        <v>40.116038572616063</v>
      </c>
      <c r="Y488" s="3">
        <f t="shared" si="100"/>
        <v>4.9313123299065162E-2</v>
      </c>
      <c r="Z488" s="1">
        <f t="shared" si="90"/>
        <v>0.1531205415373994</v>
      </c>
      <c r="AA488" s="8">
        <f t="shared" si="95"/>
        <v>39.6666666666667</v>
      </c>
      <c r="AB488" s="1">
        <v>39.75</v>
      </c>
      <c r="AC488" s="1">
        <v>2.4479899999999999E-2</v>
      </c>
      <c r="AD488" s="8">
        <f t="shared" si="91"/>
        <v>2.5375442166996125</v>
      </c>
      <c r="AE488" s="3">
        <f t="shared" si="92"/>
        <v>1.0365827543003086E-2</v>
      </c>
      <c r="AF488" s="11">
        <f t="shared" si="93"/>
        <v>39.6666666666667</v>
      </c>
      <c r="AG488" s="1">
        <f t="shared" si="94"/>
        <v>0.1531205415373994</v>
      </c>
    </row>
    <row r="489" spans="2:33" ht="15">
      <c r="B489" s="1">
        <v>478</v>
      </c>
      <c r="C489" s="1">
        <v>1.0008414680860591</v>
      </c>
      <c r="D489" s="1">
        <v>1.2023452915292794</v>
      </c>
      <c r="E489" s="1">
        <v>0.83064980486430029</v>
      </c>
      <c r="G489" s="1">
        <v>1.0002196910499326</v>
      </c>
      <c r="H489" s="1">
        <v>4.6202222567729487</v>
      </c>
      <c r="I489" s="1">
        <v>0.17161796620505954</v>
      </c>
      <c r="K489" s="1">
        <v>1.0006785510622678</v>
      </c>
      <c r="L489" s="1">
        <v>3.0064033444996632</v>
      </c>
      <c r="M489" s="1">
        <v>0.30109549796269863</v>
      </c>
      <c r="O489" s="1">
        <v>2.4236301346096334E-2</v>
      </c>
      <c r="P489" s="1">
        <v>0.38082601172891589</v>
      </c>
      <c r="R489" s="1">
        <v>4.6371040785210538E-2</v>
      </c>
      <c r="S489" s="2">
        <f t="shared" si="96"/>
        <v>0.96734294334983684</v>
      </c>
      <c r="T489" s="4">
        <f t="shared" si="97"/>
        <v>0.93575237004872569</v>
      </c>
      <c r="U489" s="1">
        <f t="shared" si="89"/>
        <v>0.71967096858455715</v>
      </c>
      <c r="V489" s="6">
        <f>2*sigma/alpha*corel*(B489/12-1/alpha*(1-EXP(-alpha*Output!B489/12)))</f>
        <v>2.421706385673795</v>
      </c>
      <c r="W489" s="5">
        <f t="shared" si="98"/>
        <v>-0.21608140146416854</v>
      </c>
      <c r="X489" s="1">
        <f t="shared" si="99"/>
        <v>40.293631785037419</v>
      </c>
      <c r="Y489" s="3">
        <f t="shared" si="100"/>
        <v>4.9280587274603861E-2</v>
      </c>
      <c r="Z489" s="1">
        <f t="shared" si="90"/>
        <v>0.15326999477488856</v>
      </c>
      <c r="AA489" s="8">
        <f t="shared" si="95"/>
        <v>39.750000000000036</v>
      </c>
      <c r="AB489" s="1">
        <v>39.83</v>
      </c>
      <c r="AC489" s="1">
        <v>2.4490499999999998E-2</v>
      </c>
      <c r="AD489" s="8">
        <f t="shared" si="91"/>
        <v>2.5419865390366447</v>
      </c>
      <c r="AE489" s="3">
        <f t="shared" si="92"/>
        <v>1.0379479957684184E-2</v>
      </c>
      <c r="AF489" s="11">
        <f t="shared" si="93"/>
        <v>39.750000000000036</v>
      </c>
      <c r="AG489" s="1">
        <f t="shared" si="94"/>
        <v>0.15326999477488856</v>
      </c>
    </row>
    <row r="490" spans="2:33" ht="15">
      <c r="B490" s="1">
        <v>479</v>
      </c>
      <c r="C490" s="1">
        <v>1.0008425347055478</v>
      </c>
      <c r="D490" s="1">
        <v>1.2002079547129099</v>
      </c>
      <c r="E490" s="1">
        <v>0.8321268780027935</v>
      </c>
      <c r="G490" s="1">
        <v>1.000140583115811</v>
      </c>
      <c r="H490" s="1">
        <v>4.504994858649586</v>
      </c>
      <c r="I490" s="1">
        <v>0.17592236188871724</v>
      </c>
      <c r="K490" s="1">
        <v>1.0006856081024114</v>
      </c>
      <c r="L490" s="1">
        <v>2.9915385933389373</v>
      </c>
      <c r="M490" s="1">
        <v>0.30252858764646517</v>
      </c>
      <c r="O490" s="1">
        <v>2.4245784832260191E-2</v>
      </c>
      <c r="P490" s="1">
        <v>0.37991379349529764</v>
      </c>
      <c r="R490" s="1">
        <v>4.6270255208802721E-2</v>
      </c>
      <c r="S490" s="2">
        <f t="shared" si="96"/>
        <v>0.96866702139281236</v>
      </c>
      <c r="T490" s="4">
        <f t="shared" si="97"/>
        <v>0.93831579833402323</v>
      </c>
      <c r="U490" s="1">
        <f t="shared" si="89"/>
        <v>0.72304653657392992</v>
      </c>
      <c r="V490" s="6">
        <f>2*sigma/alpha*corel*(B490/12-1/alpha*(1-EXP(-alpha*Output!B490/12)))</f>
        <v>2.4300923457834034</v>
      </c>
      <c r="W490" s="5">
        <f t="shared" si="98"/>
        <v>-0.21526926176009331</v>
      </c>
      <c r="X490" s="1">
        <f t="shared" si="99"/>
        <v>40.27667427006331</v>
      </c>
      <c r="Y490" s="3">
        <f t="shared" si="100"/>
        <v>4.9055928641888097E-2</v>
      </c>
      <c r="Z490" s="1">
        <f t="shared" si="90"/>
        <v>0.1533194951699953</v>
      </c>
      <c r="AA490" s="8">
        <f t="shared" si="95"/>
        <v>39.833333333333371</v>
      </c>
      <c r="AB490" s="1">
        <v>39.92</v>
      </c>
      <c r="AC490" s="1">
        <v>2.4500500000000001E-2</v>
      </c>
      <c r="AD490" s="8">
        <f t="shared" si="91"/>
        <v>2.5471516773981073</v>
      </c>
      <c r="AE490" s="3">
        <f t="shared" si="92"/>
        <v>1.0396325288863931E-2</v>
      </c>
      <c r="AF490" s="11">
        <f t="shared" si="93"/>
        <v>39.833333333333371</v>
      </c>
      <c r="AG490" s="1">
        <f t="shared" si="94"/>
        <v>0.1533194951699953</v>
      </c>
    </row>
    <row r="491" spans="2:33" ht="15">
      <c r="B491" s="1">
        <v>480</v>
      </c>
      <c r="C491" s="1">
        <v>1.0008439125878597</v>
      </c>
      <c r="D491" s="1">
        <v>1.200344567132188</v>
      </c>
      <c r="E491" s="1">
        <v>0.83203001575930757</v>
      </c>
      <c r="G491" s="1">
        <v>1.0001233139786987</v>
      </c>
      <c r="H491" s="1">
        <v>4.4579573906631556</v>
      </c>
      <c r="I491" s="1">
        <v>0.17769252543802216</v>
      </c>
      <c r="K491" s="1">
        <v>1.0005840930419232</v>
      </c>
      <c r="L491" s="1">
        <v>3.001881882190931</v>
      </c>
      <c r="M491" s="1">
        <v>0.30142339162387211</v>
      </c>
      <c r="O491" s="1">
        <v>2.4254588229609735E-2</v>
      </c>
      <c r="P491" s="1">
        <v>0.37901347168652894</v>
      </c>
      <c r="R491" s="1">
        <v>4.63128163415552E-2</v>
      </c>
      <c r="S491" s="2">
        <f t="shared" si="96"/>
        <v>0.97104841008999565</v>
      </c>
      <c r="T491" s="4">
        <f t="shared" si="97"/>
        <v>0.94293501473830832</v>
      </c>
      <c r="U491" s="1">
        <f t="shared" si="89"/>
        <v>0.72642901586174058</v>
      </c>
      <c r="V491" s="6">
        <f>2*sigma/alpha*corel*(B491/12-1/alpha*(1-EXP(-alpha*Output!B491/12)))</f>
        <v>2.4384868864127127</v>
      </c>
      <c r="W491" s="5">
        <f t="shared" si="98"/>
        <v>-0.21650599887656774</v>
      </c>
      <c r="X491" s="1">
        <f t="shared" si="99"/>
        <v>40.587178115457604</v>
      </c>
      <c r="Y491" s="3">
        <f t="shared" si="100"/>
        <v>4.9153997774510641E-2</v>
      </c>
      <c r="Z491" s="1">
        <f t="shared" si="90"/>
        <v>0.1535362347084808</v>
      </c>
      <c r="AA491" s="8">
        <f t="shared" si="95"/>
        <v>39.916666666666707</v>
      </c>
      <c r="AB491" s="1">
        <v>40</v>
      </c>
      <c r="AC491" s="1">
        <v>2.4509699999999999E-2</v>
      </c>
      <c r="AD491" s="8">
        <f t="shared" si="91"/>
        <v>2.5511177039026429</v>
      </c>
      <c r="AE491" s="3">
        <f t="shared" si="92"/>
        <v>1.0408604364405289E-2</v>
      </c>
      <c r="AF491" s="11">
        <f t="shared" si="93"/>
        <v>39.916666666666707</v>
      </c>
      <c r="AG491" s="1">
        <f t="shared" si="94"/>
        <v>0.1535362347084808</v>
      </c>
    </row>
    <row r="492" spans="2:33" ht="15">
      <c r="B492" s="1">
        <v>481</v>
      </c>
      <c r="C492" s="1">
        <v>1.0008447594444856</v>
      </c>
      <c r="D492" s="1">
        <v>1.1992506142237878</v>
      </c>
      <c r="E492" s="1">
        <v>0.8327868276010636</v>
      </c>
      <c r="G492" s="1">
        <v>1.0000336756917816</v>
      </c>
      <c r="H492" s="1">
        <v>4.479088000323622</v>
      </c>
      <c r="I492" s="1">
        <v>0.17676863259307307</v>
      </c>
      <c r="K492" s="1">
        <v>1.0005012653779595</v>
      </c>
      <c r="L492" s="1">
        <v>2.9837478175591827</v>
      </c>
      <c r="M492" s="1">
        <v>0.30319215461575272</v>
      </c>
      <c r="O492" s="1">
        <v>2.4262633332798142E-2</v>
      </c>
      <c r="P492" s="1">
        <v>0.37812622163840681</v>
      </c>
      <c r="R492" s="1">
        <v>4.6313272600759542E-2</v>
      </c>
      <c r="S492" s="2">
        <f t="shared" si="96"/>
        <v>0.9730884774643378</v>
      </c>
      <c r="T492" s="4">
        <f t="shared" si="97"/>
        <v>0.946901184973863</v>
      </c>
      <c r="U492" s="1">
        <f t="shared" si="89"/>
        <v>0.72981839489417688</v>
      </c>
      <c r="V492" s="6">
        <f>2*sigma/alpha*corel*(B492/12-1/alpha*(1-EXP(-alpha*Output!B492/12)))</f>
        <v>2.4468899844776941</v>
      </c>
      <c r="W492" s="5">
        <f t="shared" si="98"/>
        <v>-0.21708279007968612</v>
      </c>
      <c r="X492" s="1">
        <f t="shared" si="99"/>
        <v>40.792877938913591</v>
      </c>
      <c r="Y492" s="3">
        <f t="shared" si="100"/>
        <v>4.9148111342650208E-2</v>
      </c>
      <c r="Z492" s="1">
        <f t="shared" si="90"/>
        <v>0.15369877808896959</v>
      </c>
      <c r="AA492" s="8">
        <f t="shared" si="95"/>
        <v>40.000000000000043</v>
      </c>
      <c r="AB492" s="1">
        <v>40.08</v>
      </c>
      <c r="AC492" s="1">
        <v>2.45182E-2</v>
      </c>
      <c r="AD492" s="8">
        <f t="shared" si="91"/>
        <v>2.5556666720185848</v>
      </c>
      <c r="AE492" s="3">
        <f t="shared" si="92"/>
        <v>1.0423549330777075E-2</v>
      </c>
      <c r="AF492" s="11">
        <f t="shared" si="93"/>
        <v>40.000000000000043</v>
      </c>
      <c r="AG492" s="1">
        <f t="shared" si="94"/>
        <v>0.15369877808896959</v>
      </c>
    </row>
    <row r="493" spans="2:33" ht="15">
      <c r="B493" s="1">
        <v>482</v>
      </c>
      <c r="C493" s="1">
        <v>1.0008451452655198</v>
      </c>
      <c r="D493" s="1">
        <v>1.1990670986049228</v>
      </c>
      <c r="E493" s="1">
        <v>0.83291211583740132</v>
      </c>
      <c r="G493" s="1">
        <v>0.99992429832169527</v>
      </c>
      <c r="H493" s="1">
        <v>4.456853111858277</v>
      </c>
      <c r="I493" s="1">
        <v>0.17756452318175037</v>
      </c>
      <c r="K493" s="1">
        <v>1.0005552361928878</v>
      </c>
      <c r="L493" s="1">
        <v>3.0300368900548329</v>
      </c>
      <c r="M493" s="1">
        <v>0.29849817472822132</v>
      </c>
      <c r="O493" s="1">
        <v>2.4269988929441041E-2</v>
      </c>
      <c r="P493" s="1">
        <v>0.37725099066041573</v>
      </c>
      <c r="R493" s="1">
        <v>4.6311031404912481E-2</v>
      </c>
      <c r="S493" s="2">
        <f t="shared" si="96"/>
        <v>0.97508611853886817</v>
      </c>
      <c r="T493" s="4">
        <f t="shared" si="97"/>
        <v>0.95079293856719571</v>
      </c>
      <c r="U493" s="1">
        <f t="shared" si="89"/>
        <v>0.73321466211068498</v>
      </c>
      <c r="V493" s="6">
        <f>2*sigma/alpha*corel*(B493/12-1/alpha*(1-EXP(-alpha*Output!B493/12)))</f>
        <v>2.4553016169564246</v>
      </c>
      <c r="W493" s="5">
        <f t="shared" si="98"/>
        <v>-0.21757827645651073</v>
      </c>
      <c r="X493" s="1">
        <f t="shared" si="99"/>
        <v>40.986082447574887</v>
      </c>
      <c r="Y493" s="3">
        <f t="shared" si="100"/>
        <v>4.9129490663578176E-2</v>
      </c>
      <c r="Z493" s="1">
        <f t="shared" si="90"/>
        <v>0.15385445554581603</v>
      </c>
      <c r="AA493" s="8">
        <f t="shared" si="95"/>
        <v>40.083333333333378</v>
      </c>
      <c r="AB493" s="1">
        <v>40.17</v>
      </c>
      <c r="AC493" s="1">
        <v>2.45259E-2</v>
      </c>
      <c r="AD493" s="8">
        <f t="shared" si="91"/>
        <v>2.5591107055895899</v>
      </c>
      <c r="AE493" s="3">
        <f t="shared" si="92"/>
        <v>1.0434319252665917E-2</v>
      </c>
      <c r="AF493" s="11">
        <f t="shared" si="93"/>
        <v>40.083333333333378</v>
      </c>
      <c r="AG493" s="1">
        <f t="shared" si="94"/>
        <v>0.15385445554581603</v>
      </c>
    </row>
    <row r="494" spans="2:33" ht="15">
      <c r="B494" s="1">
        <v>483</v>
      </c>
      <c r="C494" s="1">
        <v>1.0008488248576399</v>
      </c>
      <c r="D494" s="1">
        <v>1.2015442534657659</v>
      </c>
      <c r="E494" s="1">
        <v>0.83119277997258667</v>
      </c>
      <c r="G494" s="1">
        <v>1.0000821006021536</v>
      </c>
      <c r="H494" s="1">
        <v>4.470182901653895</v>
      </c>
      <c r="I494" s="1">
        <v>0.17694934048563182</v>
      </c>
      <c r="K494" s="1">
        <v>1.0006553124906807</v>
      </c>
      <c r="L494" s="1">
        <v>3.1256600071340412</v>
      </c>
      <c r="M494" s="1">
        <v>0.28930596072840264</v>
      </c>
      <c r="O494" s="1">
        <v>2.42766981058464E-2</v>
      </c>
      <c r="P494" s="1">
        <v>0.37638711699346561</v>
      </c>
      <c r="R494" s="1">
        <v>4.6269315455751595E-2</v>
      </c>
      <c r="S494" s="2">
        <f t="shared" si="96"/>
        <v>0.97676334829610445</v>
      </c>
      <c r="T494" s="4">
        <f t="shared" si="97"/>
        <v>0.95406663857461704</v>
      </c>
      <c r="U494" s="1">
        <f t="shared" si="89"/>
        <v>0.73661780594419068</v>
      </c>
      <c r="V494" s="6">
        <f>2*sigma/alpha*corel*(B494/12-1/alpha*(1-EXP(-alpha*Output!B494/12)))</f>
        <v>2.4637217608889173</v>
      </c>
      <c r="W494" s="5">
        <f t="shared" si="98"/>
        <v>-0.21744883263042636</v>
      </c>
      <c r="X494" s="1">
        <f t="shared" si="99"/>
        <v>41.079186968576231</v>
      </c>
      <c r="Y494" s="3">
        <f t="shared" si="100"/>
        <v>4.9013452883754319E-2</v>
      </c>
      <c r="Z494" s="1">
        <f t="shared" si="90"/>
        <v>0.1539594718450214</v>
      </c>
      <c r="AA494" s="8">
        <f t="shared" si="95"/>
        <v>40.166666666666714</v>
      </c>
      <c r="AB494" s="1">
        <v>40.25</v>
      </c>
      <c r="AC494" s="1">
        <v>2.4533099999999999E-2</v>
      </c>
      <c r="AD494" s="8">
        <f t="shared" si="91"/>
        <v>2.5640189415359824</v>
      </c>
      <c r="AE494" s="3">
        <f t="shared" si="92"/>
        <v>1.0451263564474046E-2</v>
      </c>
      <c r="AF494" s="11">
        <f t="shared" si="93"/>
        <v>40.166666666666714</v>
      </c>
      <c r="AG494" s="1">
        <f t="shared" si="94"/>
        <v>0.1539594718450214</v>
      </c>
    </row>
    <row r="495" spans="2:33" ht="15">
      <c r="B495" s="1">
        <v>484</v>
      </c>
      <c r="C495" s="1">
        <v>1.0008522027965903</v>
      </c>
      <c r="D495" s="1">
        <v>1.2038201110368092</v>
      </c>
      <c r="E495" s="1">
        <v>0.82961921622805801</v>
      </c>
      <c r="G495" s="1">
        <v>1.000220317624618</v>
      </c>
      <c r="H495" s="1">
        <v>4.5426024578654376</v>
      </c>
      <c r="I495" s="1">
        <v>0.17404406949408355</v>
      </c>
      <c r="K495" s="1">
        <v>1.0006315517021711</v>
      </c>
      <c r="L495" s="1">
        <v>3.1974769338949423</v>
      </c>
      <c r="M495" s="1">
        <v>0.28274909239287327</v>
      </c>
      <c r="O495" s="1">
        <v>2.4282887995347183E-2</v>
      </c>
      <c r="P495" s="1">
        <v>0.37553266690394549</v>
      </c>
      <c r="R495" s="1">
        <v>4.6253449705821896E-2</v>
      </c>
      <c r="S495" s="2">
        <f t="shared" si="96"/>
        <v>0.97861958293680762</v>
      </c>
      <c r="T495" s="4">
        <f t="shared" si="97"/>
        <v>0.95769628810741125</v>
      </c>
      <c r="U495" s="1">
        <f t="shared" si="89"/>
        <v>0.74002781482131719</v>
      </c>
      <c r="V495" s="6">
        <f>2*sigma/alpha*corel*(B495/12-1/alpha*(1-EXP(-alpha*Output!B495/12)))</f>
        <v>2.4721503933769502</v>
      </c>
      <c r="W495" s="5">
        <f t="shared" si="98"/>
        <v>-0.21766847328609407</v>
      </c>
      <c r="X495" s="1">
        <f t="shared" si="99"/>
        <v>41.228707924296984</v>
      </c>
      <c r="Y495" s="3">
        <f t="shared" si="100"/>
        <v>4.8952166481264728E-2</v>
      </c>
      <c r="Z495" s="1">
        <f t="shared" si="90"/>
        <v>0.15409262172076504</v>
      </c>
      <c r="AA495" s="8">
        <f t="shared" si="95"/>
        <v>40.25000000000005</v>
      </c>
      <c r="AB495" s="1">
        <v>40.33</v>
      </c>
      <c r="AC495" s="1">
        <v>2.4539600000000002E-2</v>
      </c>
      <c r="AD495" s="8">
        <f t="shared" si="91"/>
        <v>2.5671200465281903</v>
      </c>
      <c r="AE495" s="3">
        <f t="shared" si="92"/>
        <v>1.0461132400398499E-2</v>
      </c>
      <c r="AF495" s="11">
        <f t="shared" si="93"/>
        <v>40.25000000000005</v>
      </c>
      <c r="AG495" s="1">
        <f t="shared" si="94"/>
        <v>0.15409262172076504</v>
      </c>
    </row>
    <row r="496" spans="2:33" ht="15">
      <c r="B496" s="1">
        <v>485</v>
      </c>
      <c r="C496" s="1">
        <v>1.000853841582471</v>
      </c>
      <c r="D496" s="1">
        <v>1.2032640210929682</v>
      </c>
      <c r="E496" s="1">
        <v>0.8300004508312272</v>
      </c>
      <c r="G496" s="1">
        <v>1.0002137696634019</v>
      </c>
      <c r="H496" s="1">
        <v>4.6697578830844462</v>
      </c>
      <c r="I496" s="1">
        <v>0.16922297072252687</v>
      </c>
      <c r="K496" s="1">
        <v>1.0006699397599201</v>
      </c>
      <c r="L496" s="1">
        <v>3.2541292757653912</v>
      </c>
      <c r="M496" s="1">
        <v>0.27776873420321557</v>
      </c>
      <c r="O496" s="1">
        <v>2.4288564940016563E-2</v>
      </c>
      <c r="P496" s="1">
        <v>0.37468753775649982</v>
      </c>
      <c r="R496" s="1">
        <v>4.6239303290917501E-2</v>
      </c>
      <c r="S496" s="2">
        <f t="shared" si="96"/>
        <v>0.98047217363997352</v>
      </c>
      <c r="T496" s="4">
        <f t="shared" si="97"/>
        <v>0.9613256832822944</v>
      </c>
      <c r="U496" s="1">
        <f t="shared" si="89"/>
        <v>0.74344467716260398</v>
      </c>
      <c r="V496" s="6">
        <f>2*sigma/alpha*corel*(B496/12-1/alpha*(1-EXP(-alpha*Output!B496/12)))</f>
        <v>2.4805874915839077</v>
      </c>
      <c r="W496" s="5">
        <f t="shared" si="98"/>
        <v>-0.21788100611969041</v>
      </c>
      <c r="X496" s="1">
        <f t="shared" si="99"/>
        <v>41.377410292752494</v>
      </c>
      <c r="Y496" s="3">
        <f t="shared" si="100"/>
        <v>4.8889979730285416E-2</v>
      </c>
      <c r="Z496" s="1">
        <f t="shared" si="90"/>
        <v>0.15422508787708941</v>
      </c>
      <c r="AA496" s="8">
        <f t="shared" si="95"/>
        <v>40.333333333333385</v>
      </c>
      <c r="AB496" s="1">
        <v>40.42</v>
      </c>
      <c r="AC496" s="1">
        <v>2.45457E-2</v>
      </c>
      <c r="AD496" s="8">
        <f t="shared" si="91"/>
        <v>2.5713505998343695</v>
      </c>
      <c r="AE496" s="3">
        <f t="shared" si="92"/>
        <v>1.0475768056459459E-2</v>
      </c>
      <c r="AF496" s="11">
        <f t="shared" si="93"/>
        <v>40.333333333333385</v>
      </c>
      <c r="AG496" s="1">
        <f t="shared" si="94"/>
        <v>0.15422508787708941</v>
      </c>
    </row>
    <row r="497" spans="2:33" ht="15">
      <c r="B497" s="1">
        <v>486</v>
      </c>
      <c r="C497" s="1">
        <v>1.0008568851478672</v>
      </c>
      <c r="D497" s="1">
        <v>1.2031320690905156</v>
      </c>
      <c r="E497" s="1">
        <v>0.83008930030739358</v>
      </c>
      <c r="G497" s="1">
        <v>1.0003321681031183</v>
      </c>
      <c r="H497" s="1">
        <v>4.6582450781144518</v>
      </c>
      <c r="I497" s="1">
        <v>0.16955908374731671</v>
      </c>
      <c r="K497" s="1">
        <v>1.0007007378916712</v>
      </c>
      <c r="L497" s="1">
        <v>3.3582675467407173</v>
      </c>
      <c r="M497" s="1">
        <v>0.26909919038701396</v>
      </c>
      <c r="O497" s="1">
        <v>2.429387237509583E-2</v>
      </c>
      <c r="P497" s="1">
        <v>0.3738495515091842</v>
      </c>
      <c r="R497" s="1">
        <v>4.6227602871489318E-2</v>
      </c>
      <c r="S497" s="2">
        <f t="shared" si="96"/>
        <v>0.98233167968606305</v>
      </c>
      <c r="T497" s="4">
        <f t="shared" si="97"/>
        <v>0.96497552891484195</v>
      </c>
      <c r="U497" s="1">
        <f t="shared" si="89"/>
        <v>0.74686838138272393</v>
      </c>
      <c r="V497" s="6">
        <f>2*sigma/alpha*corel*(B497/12-1/alpha*(1-EXP(-alpha*Output!B497/12)))</f>
        <v>2.4890330327346102</v>
      </c>
      <c r="W497" s="5">
        <f t="shared" si="98"/>
        <v>-0.21810714753211802</v>
      </c>
      <c r="X497" s="1">
        <f t="shared" si="99"/>
        <v>41.528643338247171</v>
      </c>
      <c r="Y497" s="3">
        <f t="shared" si="100"/>
        <v>4.8830112362448899E-2</v>
      </c>
      <c r="Z497" s="1">
        <f t="shared" si="90"/>
        <v>0.15435853157341928</v>
      </c>
      <c r="AA497" s="8">
        <f t="shared" si="95"/>
        <v>40.416666666666721</v>
      </c>
      <c r="AB497" s="1">
        <v>40.5</v>
      </c>
      <c r="AC497" s="1">
        <v>2.4551400000000001E-2</v>
      </c>
      <c r="AD497" s="8">
        <f t="shared" si="91"/>
        <v>2.5752762490417052</v>
      </c>
      <c r="AE497" s="3">
        <f t="shared" si="92"/>
        <v>1.0489325452078924E-2</v>
      </c>
      <c r="AF497" s="11">
        <f t="shared" si="93"/>
        <v>40.416666666666721</v>
      </c>
      <c r="AG497" s="1">
        <f t="shared" si="94"/>
        <v>0.15435853157341928</v>
      </c>
    </row>
    <row r="498" spans="2:33" ht="15">
      <c r="B498" s="1">
        <v>487</v>
      </c>
      <c r="C498" s="1">
        <v>1.0008589325186572</v>
      </c>
      <c r="D498" s="1">
        <v>1.1985866882247489</v>
      </c>
      <c r="E498" s="1">
        <v>0.83323504171282925</v>
      </c>
      <c r="G498" s="1">
        <v>1.0003447036495399</v>
      </c>
      <c r="H498" s="1">
        <v>4.4377526290442901</v>
      </c>
      <c r="I498" s="1">
        <v>0.17789757140326889</v>
      </c>
      <c r="K498" s="1">
        <v>1.000648159589399</v>
      </c>
      <c r="L498" s="1">
        <v>3.3564178111532956</v>
      </c>
      <c r="M498" s="1">
        <v>0.26919140458850888</v>
      </c>
      <c r="O498" s="1">
        <v>2.4298816751386641E-2</v>
      </c>
      <c r="P498" s="1">
        <v>0.37301860552169597</v>
      </c>
      <c r="R498" s="1">
        <v>4.6291534528298775E-2</v>
      </c>
      <c r="S498" s="2">
        <f t="shared" si="96"/>
        <v>0.98475828975138824</v>
      </c>
      <c r="T498" s="4">
        <f t="shared" si="97"/>
        <v>0.96974888923407909</v>
      </c>
      <c r="U498" s="1">
        <f t="shared" si="89"/>
        <v>0.75029891589069708</v>
      </c>
      <c r="V498" s="6">
        <f>2*sigma/alpha*corel*(B498/12-1/alpha*(1-EXP(-alpha*Output!B498/12)))</f>
        <v>2.4974869941151492</v>
      </c>
      <c r="W498" s="5">
        <f t="shared" si="98"/>
        <v>-0.21944997334338201</v>
      </c>
      <c r="X498" s="1">
        <f t="shared" si="99"/>
        <v>41.861486958516672</v>
      </c>
      <c r="Y498" s="3">
        <f t="shared" si="100"/>
        <v>4.894322421849933E-2</v>
      </c>
      <c r="Z498" s="1">
        <f t="shared" si="90"/>
        <v>0.15458088445014811</v>
      </c>
      <c r="AA498" s="8">
        <f t="shared" si="95"/>
        <v>40.500000000000057</v>
      </c>
      <c r="AB498" s="1">
        <v>40.58</v>
      </c>
      <c r="AC498" s="1">
        <v>2.45569E-2</v>
      </c>
      <c r="AD498" s="8">
        <f t="shared" si="91"/>
        <v>2.5808324861335832</v>
      </c>
      <c r="AE498" s="3">
        <f t="shared" si="92"/>
        <v>1.0509602132734927E-2</v>
      </c>
      <c r="AF498" s="11">
        <f t="shared" si="93"/>
        <v>40.500000000000057</v>
      </c>
      <c r="AG498" s="1">
        <f t="shared" si="94"/>
        <v>0.15458088445014811</v>
      </c>
    </row>
    <row r="499" spans="2:33" ht="15">
      <c r="B499" s="1">
        <v>488</v>
      </c>
      <c r="C499" s="1">
        <v>1.0008629367102126</v>
      </c>
      <c r="D499" s="1">
        <v>1.201827163866702</v>
      </c>
      <c r="E499" s="1">
        <v>0.8309862061768547</v>
      </c>
      <c r="G499" s="1">
        <v>1.0005059931315181</v>
      </c>
      <c r="H499" s="1">
        <v>4.5065989511236637</v>
      </c>
      <c r="I499" s="1">
        <v>0.17509506697520758</v>
      </c>
      <c r="K499" s="1">
        <v>1.0007939995217012</v>
      </c>
      <c r="L499" s="1">
        <v>3.2554534949065861</v>
      </c>
      <c r="M499" s="1">
        <v>0.27748226569540357</v>
      </c>
      <c r="O499" s="1">
        <v>2.4303540271991102E-2</v>
      </c>
      <c r="P499" s="1">
        <v>0.37219254256869416</v>
      </c>
      <c r="R499" s="1">
        <v>4.6314791244970177E-2</v>
      </c>
      <c r="S499" s="2">
        <f t="shared" si="96"/>
        <v>0.986868645618316</v>
      </c>
      <c r="T499" s="4">
        <f t="shared" si="97"/>
        <v>0.97390972370452933</v>
      </c>
      <c r="U499" s="1">
        <f t="shared" si="89"/>
        <v>0.75373626909010294</v>
      </c>
      <c r="V499" s="6">
        <f>2*sigma/alpha*corel*(B499/12-1/alpha*(1-EXP(-alpha*Output!B499/12)))</f>
        <v>2.5059493530727228</v>
      </c>
      <c r="W499" s="5">
        <f t="shared" si="98"/>
        <v>-0.22017345461442639</v>
      </c>
      <c r="X499" s="1">
        <f t="shared" si="99"/>
        <v>42.094664110778957</v>
      </c>
      <c r="Y499" s="3">
        <f t="shared" si="100"/>
        <v>4.8960131917910911E-2</v>
      </c>
      <c r="Z499" s="1">
        <f t="shared" si="90"/>
        <v>0.15475335137962645</v>
      </c>
      <c r="AA499" s="8">
        <f t="shared" si="95"/>
        <v>40.583333333333393</v>
      </c>
      <c r="AB499" s="1">
        <v>40.67</v>
      </c>
      <c r="AC499" s="1">
        <v>2.45621E-2</v>
      </c>
      <c r="AD499" s="8">
        <f t="shared" si="91"/>
        <v>2.5855972800889817</v>
      </c>
      <c r="AE499" s="3">
        <f t="shared" si="92"/>
        <v>1.0526776131067709E-2</v>
      </c>
      <c r="AF499" s="11">
        <f t="shared" si="93"/>
        <v>40.583333333333393</v>
      </c>
      <c r="AG499" s="1">
        <f t="shared" si="94"/>
        <v>0.15475335137962645</v>
      </c>
    </row>
    <row r="500" spans="2:33" ht="15">
      <c r="B500" s="1">
        <v>489</v>
      </c>
      <c r="C500" s="1">
        <v>1.0008635638905645</v>
      </c>
      <c r="D500" s="1">
        <v>1.2040977326747371</v>
      </c>
      <c r="E500" s="1">
        <v>0.82941702254304295</v>
      </c>
      <c r="G500" s="1">
        <v>1.0004015887577171</v>
      </c>
      <c r="H500" s="1">
        <v>4.5251729587197262</v>
      </c>
      <c r="I500" s="1">
        <v>0.17429195835289599</v>
      </c>
      <c r="K500" s="1">
        <v>1.0007768293417327</v>
      </c>
      <c r="L500" s="1">
        <v>3.2598126544046564</v>
      </c>
      <c r="M500" s="1">
        <v>0.27705347919990464</v>
      </c>
      <c r="O500" s="1">
        <v>2.4308192695464519E-2</v>
      </c>
      <c r="P500" s="1">
        <v>0.37136909253256584</v>
      </c>
      <c r="R500" s="1">
        <v>4.644879872220118E-2</v>
      </c>
      <c r="S500" s="2">
        <f t="shared" si="96"/>
        <v>0.98982847137024987</v>
      </c>
      <c r="T500" s="4">
        <f t="shared" si="97"/>
        <v>0.97976040273516563</v>
      </c>
      <c r="U500" s="1">
        <f t="shared" si="89"/>
        <v>0.75718042937929497</v>
      </c>
      <c r="V500" s="6">
        <f>2*sigma/alpha*corel*(B500/12-1/alpha*(1-EXP(-alpha*Output!B500/12)))</f>
        <v>2.5144200870154734</v>
      </c>
      <c r="W500" s="5">
        <f t="shared" si="98"/>
        <v>-0.22257997335587065</v>
      </c>
      <c r="X500" s="1">
        <f t="shared" si="99"/>
        <v>42.602844030993815</v>
      </c>
      <c r="Y500" s="3">
        <f t="shared" si="100"/>
        <v>4.9235157413892727E-2</v>
      </c>
      <c r="Z500" s="1">
        <f t="shared" si="90"/>
        <v>0.15505869877927078</v>
      </c>
      <c r="AA500" s="8">
        <f t="shared" si="95"/>
        <v>40.666666666666728</v>
      </c>
      <c r="AB500" s="1">
        <v>40.75</v>
      </c>
      <c r="AC500" s="1">
        <v>2.4567200000000001E-2</v>
      </c>
      <c r="AD500" s="8">
        <f t="shared" si="91"/>
        <v>2.5900730453548224</v>
      </c>
      <c r="AE500" s="3">
        <f t="shared" si="92"/>
        <v>1.054280929595079E-2</v>
      </c>
      <c r="AF500" s="11">
        <f t="shared" si="93"/>
        <v>40.666666666666728</v>
      </c>
      <c r="AG500" s="1">
        <f t="shared" si="94"/>
        <v>0.15505869877927078</v>
      </c>
    </row>
    <row r="501" spans="2:33" ht="15">
      <c r="B501" s="1">
        <v>490</v>
      </c>
      <c r="C501" s="1">
        <v>1.0008583592237517</v>
      </c>
      <c r="D501" s="1">
        <v>1.2026635084680579</v>
      </c>
      <c r="E501" s="1">
        <v>0.83040393614261709</v>
      </c>
      <c r="G501" s="1">
        <v>0.9998556085908058</v>
      </c>
      <c r="H501" s="1">
        <v>4.6164570254482475</v>
      </c>
      <c r="I501" s="1">
        <v>0.17076286989830888</v>
      </c>
      <c r="K501" s="1">
        <v>1.0006020440131711</v>
      </c>
      <c r="L501" s="1">
        <v>3.1778510144432346</v>
      </c>
      <c r="M501" s="1">
        <v>0.28413991029502939</v>
      </c>
      <c r="O501" s="1">
        <v>2.4312938350907691E-2</v>
      </c>
      <c r="P501" s="1">
        <v>0.37054576633827746</v>
      </c>
      <c r="R501" s="1">
        <v>4.640956338014738E-2</v>
      </c>
      <c r="S501" s="2">
        <f t="shared" si="96"/>
        <v>0.99146514646082462</v>
      </c>
      <c r="T501" s="4">
        <f t="shared" si="97"/>
        <v>0.98300313664658445</v>
      </c>
      <c r="U501" s="1">
        <f t="shared" si="89"/>
        <v>0.76063138515160689</v>
      </c>
      <c r="V501" s="6">
        <f>2*sigma/alpha*corel*(B501/12-1/alpha*(1-EXP(-alpha*Output!B501/12)))</f>
        <v>2.5228991734123198</v>
      </c>
      <c r="W501" s="5">
        <f t="shared" si="98"/>
        <v>-0.22237175149497757</v>
      </c>
      <c r="X501" s="1">
        <f t="shared" si="99"/>
        <v>42.685739650050905</v>
      </c>
      <c r="Y501" s="3">
        <f t="shared" si="100"/>
        <v>4.9108570800577116E-2</v>
      </c>
      <c r="Z501" s="1">
        <f t="shared" si="90"/>
        <v>0.15515652162764484</v>
      </c>
      <c r="AA501" s="8">
        <f t="shared" si="95"/>
        <v>40.750000000000064</v>
      </c>
      <c r="AB501" s="1">
        <v>40.83</v>
      </c>
      <c r="AC501" s="1">
        <v>2.4572299999999998E-2</v>
      </c>
      <c r="AD501" s="8">
        <f t="shared" si="91"/>
        <v>2.5936164909230728</v>
      </c>
      <c r="AE501" s="3">
        <f t="shared" si="92"/>
        <v>1.055504161565288E-2</v>
      </c>
      <c r="AF501" s="11">
        <f t="shared" si="93"/>
        <v>40.750000000000064</v>
      </c>
      <c r="AG501" s="1">
        <f t="shared" si="94"/>
        <v>0.15515652162764484</v>
      </c>
    </row>
    <row r="502" spans="2:33" ht="15">
      <c r="B502" s="1">
        <v>491</v>
      </c>
      <c r="C502" s="1">
        <v>1.0008584714408129</v>
      </c>
      <c r="D502" s="1">
        <v>1.206152223002934</v>
      </c>
      <c r="E502" s="1">
        <v>0.82799985090707506</v>
      </c>
      <c r="G502" s="1">
        <v>0.99968671812336818</v>
      </c>
      <c r="H502" s="1">
        <v>4.5947768039874006</v>
      </c>
      <c r="I502" s="1">
        <v>0.17148554959942139</v>
      </c>
      <c r="K502" s="1">
        <v>1.0005522165526586</v>
      </c>
      <c r="L502" s="1">
        <v>3.2274752694396756</v>
      </c>
      <c r="M502" s="1">
        <v>0.27971281914400209</v>
      </c>
      <c r="O502" s="1">
        <v>2.4317916562819959E-2</v>
      </c>
      <c r="P502" s="1">
        <v>0.36972045496175604</v>
      </c>
      <c r="R502" s="1">
        <v>4.6368932401518376E-2</v>
      </c>
      <c r="S502" s="2">
        <f t="shared" si="96"/>
        <v>0.99309972600330121</v>
      </c>
      <c r="T502" s="4">
        <f t="shared" si="97"/>
        <v>0.98624706578783194</v>
      </c>
      <c r="U502" s="1">
        <f t="shared" si="89"/>
        <v>0.76408912479556146</v>
      </c>
      <c r="V502" s="6">
        <f>2*sigma/alpha*corel*(B502/12-1/alpha*(1-EXP(-alpha*Output!B502/12)))</f>
        <v>2.5313865897927958</v>
      </c>
      <c r="W502" s="5">
        <f t="shared" si="98"/>
        <v>-0.22215794099227049</v>
      </c>
      <c r="X502" s="1">
        <f t="shared" si="99"/>
        <v>42.767767742717737</v>
      </c>
      <c r="Y502" s="3">
        <f t="shared" si="100"/>
        <v>4.8981512231528343E-2</v>
      </c>
      <c r="Z502" s="1">
        <f t="shared" si="90"/>
        <v>0.15525397882779518</v>
      </c>
      <c r="AA502" s="8">
        <f t="shared" si="95"/>
        <v>40.8333333333334</v>
      </c>
      <c r="AB502" s="1">
        <v>40.92</v>
      </c>
      <c r="AC502" s="1">
        <v>2.4577499999999999E-2</v>
      </c>
      <c r="AD502" s="8">
        <f t="shared" si="91"/>
        <v>2.5958343718003944</v>
      </c>
      <c r="AE502" s="3">
        <f t="shared" si="92"/>
        <v>1.0561832455702958E-2</v>
      </c>
      <c r="AF502" s="11">
        <f t="shared" si="93"/>
        <v>40.8333333333334</v>
      </c>
      <c r="AG502" s="1">
        <f t="shared" si="94"/>
        <v>0.15525397882779518</v>
      </c>
    </row>
    <row r="503" spans="2:33" ht="15">
      <c r="B503" s="1">
        <v>492</v>
      </c>
      <c r="C503" s="1">
        <v>1.0008576125249931</v>
      </c>
      <c r="D503" s="1">
        <v>1.2052276033933949</v>
      </c>
      <c r="E503" s="1">
        <v>0.82863286736672459</v>
      </c>
      <c r="G503" s="1">
        <v>0.99948197554035745</v>
      </c>
      <c r="H503" s="1">
        <v>4.5616436418855999</v>
      </c>
      <c r="I503" s="1">
        <v>0.1726475025755414</v>
      </c>
      <c r="K503" s="1">
        <v>1.0004531285118736</v>
      </c>
      <c r="L503" s="1">
        <v>3.1666973720538416</v>
      </c>
      <c r="M503" s="1">
        <v>0.28502191515721542</v>
      </c>
      <c r="O503" s="1">
        <v>2.4323152236712099E-2</v>
      </c>
      <c r="P503" s="1">
        <v>0.36889278168417511</v>
      </c>
      <c r="R503" s="1">
        <v>4.6382169560712221E-2</v>
      </c>
      <c r="S503" s="2">
        <f t="shared" si="96"/>
        <v>0.99515964183648098</v>
      </c>
      <c r="T503" s="4">
        <f t="shared" si="97"/>
        <v>0.9903427127401131</v>
      </c>
      <c r="U503" s="1">
        <f t="shared" si="89"/>
        <v>0.76755363669508225</v>
      </c>
      <c r="V503" s="6">
        <f>2*sigma/alpha*corel*(B503/12-1/alpha*(1-EXP(-alpha*Output!B503/12)))</f>
        <v>2.5398823137468898</v>
      </c>
      <c r="W503" s="5">
        <f t="shared" si="98"/>
        <v>-0.22278907604503084</v>
      </c>
      <c r="X503" s="1">
        <f t="shared" si="99"/>
        <v>42.988410639069308</v>
      </c>
      <c r="Y503" s="3">
        <f t="shared" si="100"/>
        <v>4.8983810616075485E-2</v>
      </c>
      <c r="Z503" s="1">
        <f t="shared" si="90"/>
        <v>0.15541782494532108</v>
      </c>
      <c r="AA503" s="8">
        <f t="shared" si="95"/>
        <v>40.916666666666735</v>
      </c>
      <c r="AB503" s="1">
        <v>41</v>
      </c>
      <c r="AC503" s="1">
        <v>2.4582799999999998E-2</v>
      </c>
      <c r="AD503" s="8">
        <f t="shared" si="91"/>
        <v>2.5964776328789991</v>
      </c>
      <c r="AE503" s="3">
        <f t="shared" si="92"/>
        <v>1.0562172058833816E-2</v>
      </c>
      <c r="AF503" s="11">
        <f t="shared" si="93"/>
        <v>40.916666666666735</v>
      </c>
      <c r="AG503" s="1">
        <f t="shared" si="94"/>
        <v>0.15541782494532108</v>
      </c>
    </row>
    <row r="504" spans="2:33" ht="15">
      <c r="B504" s="1">
        <v>493</v>
      </c>
      <c r="C504" s="1">
        <v>1.0008628389724472</v>
      </c>
      <c r="D504" s="1">
        <v>1.2030482266998972</v>
      </c>
      <c r="E504" s="1">
        <v>0.83013176109957432</v>
      </c>
      <c r="G504" s="1">
        <v>0.99970859596406625</v>
      </c>
      <c r="H504" s="1">
        <v>4.5025615014676248</v>
      </c>
      <c r="I504" s="1">
        <v>0.17482828843722764</v>
      </c>
      <c r="K504" s="1">
        <v>1.0004459503442678</v>
      </c>
      <c r="L504" s="1">
        <v>3.2081489057628403</v>
      </c>
      <c r="M504" s="1">
        <v>0.28128062593457626</v>
      </c>
      <c r="O504" s="1">
        <v>2.4328504861267315E-2</v>
      </c>
      <c r="P504" s="1">
        <v>0.36806487164054719</v>
      </c>
      <c r="R504" s="1">
        <v>4.6441518391862079E-2</v>
      </c>
      <c r="S504" s="2">
        <f t="shared" si="96"/>
        <v>0.99758222866955482</v>
      </c>
      <c r="T504" s="4">
        <f t="shared" si="97"/>
        <v>0.9951703029573159</v>
      </c>
      <c r="U504" s="1">
        <f t="shared" si="89"/>
        <v>0.77102490922968758</v>
      </c>
      <c r="V504" s="6">
        <f>2*sigma/alpha*corel*(B504/12-1/alpha*(1-EXP(-alpha*Output!B504/12)))</f>
        <v>2.548386322924876</v>
      </c>
      <c r="W504" s="5">
        <f t="shared" si="98"/>
        <v>-0.22414539372762832</v>
      </c>
      <c r="X504" s="1">
        <f t="shared" si="99"/>
        <v>43.328832553444158</v>
      </c>
      <c r="Y504" s="3">
        <f t="shared" si="100"/>
        <v>4.9096280269394138E-2</v>
      </c>
      <c r="Z504" s="1">
        <f t="shared" si="90"/>
        <v>0.15563808095183115</v>
      </c>
      <c r="AA504" s="8">
        <f t="shared" si="95"/>
        <v>41.000000000000071</v>
      </c>
      <c r="AB504" s="1">
        <v>41.08</v>
      </c>
      <c r="AC504" s="1">
        <v>2.45883E-2</v>
      </c>
      <c r="AD504" s="8">
        <f t="shared" si="91"/>
        <v>2.5979513873268525</v>
      </c>
      <c r="AE504" s="3">
        <f t="shared" si="92"/>
        <v>1.0565803196344817E-2</v>
      </c>
      <c r="AF504" s="11">
        <f t="shared" si="93"/>
        <v>41.000000000000071</v>
      </c>
      <c r="AG504" s="1">
        <f t="shared" si="94"/>
        <v>0.15563808095183115</v>
      </c>
    </row>
    <row r="505" spans="2:33" ht="15">
      <c r="B505" s="1">
        <v>494</v>
      </c>
      <c r="C505" s="1">
        <v>1.0008616908419949</v>
      </c>
      <c r="D505" s="1">
        <v>1.203386908218939</v>
      </c>
      <c r="E505" s="1">
        <v>0.82989591203387447</v>
      </c>
      <c r="G505" s="1">
        <v>0.99948961195897734</v>
      </c>
      <c r="H505" s="1">
        <v>4.6366320352116208</v>
      </c>
      <c r="I505" s="1">
        <v>0.16969085200450096</v>
      </c>
      <c r="K505" s="1">
        <v>1.0005993431244156</v>
      </c>
      <c r="L505" s="1">
        <v>3.1206234905502526</v>
      </c>
      <c r="M505" s="1">
        <v>0.28910958224966543</v>
      </c>
      <c r="O505" s="1">
        <v>2.4334134328011785E-2</v>
      </c>
      <c r="P505" s="1">
        <v>0.36723430679713859</v>
      </c>
      <c r="R505" s="1">
        <v>4.6499477250877615E-2</v>
      </c>
      <c r="S505" s="2">
        <f t="shared" si="96"/>
        <v>1.000007275635755</v>
      </c>
      <c r="T505" s="4">
        <f t="shared" si="97"/>
        <v>1.0000145513244447</v>
      </c>
      <c r="U505" s="1">
        <f t="shared" ref="U505:U568" si="101">sigma*sigma/alpha/alpha*(B505/12+2/alpha*EXP(-alpha*B505/12)-1/2/alpha*EXP(-2*alpha*B505/12)-3/2/alpha)</f>
        <v>0.77450293077470678</v>
      </c>
      <c r="V505" s="6">
        <f>2*sigma/alpha*corel*(B505/12-1/alpha*(1-EXP(-alpha*Output!B505/12)))</f>
        <v>2.5568985950371577</v>
      </c>
      <c r="W505" s="5">
        <f t="shared" si="98"/>
        <v>-0.22551162054973795</v>
      </c>
      <c r="X505" s="1">
        <f t="shared" si="99"/>
        <v>43.671977275826507</v>
      </c>
      <c r="Y505" s="3">
        <f t="shared" si="100"/>
        <v>4.9209462596835604E-2</v>
      </c>
      <c r="Z505" s="1">
        <f t="shared" si="90"/>
        <v>0.15585843400078417</v>
      </c>
      <c r="AA505" s="8">
        <f t="shared" si="95"/>
        <v>41.083333333333407</v>
      </c>
      <c r="AB505" s="1">
        <v>41.17</v>
      </c>
      <c r="AC505" s="1">
        <v>2.4594100000000001E-2</v>
      </c>
      <c r="AD505" s="8">
        <f t="shared" si="91"/>
        <v>2.5996567198821596</v>
      </c>
      <c r="AE505" s="3">
        <f t="shared" si="92"/>
        <v>1.0570245383576385E-2</v>
      </c>
      <c r="AF505" s="11">
        <f t="shared" si="93"/>
        <v>41.083333333333407</v>
      </c>
      <c r="AG505" s="1">
        <f t="shared" si="94"/>
        <v>0.15585843400078417</v>
      </c>
    </row>
    <row r="506" spans="2:33" ht="15">
      <c r="B506" s="1">
        <v>495</v>
      </c>
      <c r="C506" s="1">
        <v>1.0008679894819799</v>
      </c>
      <c r="D506" s="1">
        <v>1.2050740712483421</v>
      </c>
      <c r="E506" s="1">
        <v>0.82873179888234838</v>
      </c>
      <c r="G506" s="1">
        <v>0.9998699608460101</v>
      </c>
      <c r="H506" s="1">
        <v>4.6721262404652117</v>
      </c>
      <c r="I506" s="1">
        <v>0.16832018253830452</v>
      </c>
      <c r="K506" s="1">
        <v>1.000585197179833</v>
      </c>
      <c r="L506" s="1">
        <v>3.120323940384321</v>
      </c>
      <c r="M506" s="1">
        <v>0.28907710607178561</v>
      </c>
      <c r="O506" s="1">
        <v>2.4339951587328098E-2</v>
      </c>
      <c r="P506" s="1">
        <v>0.36640243407835221</v>
      </c>
      <c r="R506" s="1">
        <v>4.6497907559929851E-2</v>
      </c>
      <c r="S506" s="2">
        <f t="shared" si="96"/>
        <v>1.0019807560033309</v>
      </c>
      <c r="T506" s="4">
        <f t="shared" si="97"/>
        <v>1.0039654354010066</v>
      </c>
      <c r="U506" s="1">
        <f t="shared" si="101"/>
        <v>0.77798768970147236</v>
      </c>
      <c r="V506" s="6">
        <f>2*sigma/alpha*corel*(B506/12-1/alpha*(1-EXP(-alpha*Output!B506/12)))</f>
        <v>2.5654191078541042</v>
      </c>
      <c r="W506" s="5">
        <f t="shared" si="98"/>
        <v>-0.22597774569953422</v>
      </c>
      <c r="X506" s="1">
        <f t="shared" si="99"/>
        <v>43.867703239366101</v>
      </c>
      <c r="Y506" s="3">
        <f t="shared" si="100"/>
        <v>4.9186069357859866E-2</v>
      </c>
      <c r="Z506" s="1">
        <f t="shared" si="90"/>
        <v>0.15600819212375153</v>
      </c>
      <c r="AA506" s="8">
        <f t="shared" si="95"/>
        <v>41.166666666666742</v>
      </c>
      <c r="AB506" s="1">
        <v>41.25</v>
      </c>
      <c r="AC506" s="1">
        <v>2.46E-2</v>
      </c>
      <c r="AD506" s="8">
        <f t="shared" si="91"/>
        <v>2.6004841267190244</v>
      </c>
      <c r="AE506" s="3">
        <f t="shared" si="92"/>
        <v>1.0571073685849693E-2</v>
      </c>
      <c r="AF506" s="11">
        <f t="shared" si="93"/>
        <v>41.166666666666742</v>
      </c>
      <c r="AG506" s="1">
        <f t="shared" si="94"/>
        <v>0.15600819212375153</v>
      </c>
    </row>
    <row r="507" spans="2:33" ht="15">
      <c r="B507" s="1">
        <v>496</v>
      </c>
      <c r="C507" s="1">
        <v>1.0008714653396995</v>
      </c>
      <c r="D507" s="1">
        <v>1.2056967409704105</v>
      </c>
      <c r="E507" s="1">
        <v>0.82830158743304194</v>
      </c>
      <c r="G507" s="1">
        <v>1.0000071954919034</v>
      </c>
      <c r="H507" s="1">
        <v>4.6626779909305549</v>
      </c>
      <c r="I507" s="1">
        <v>0.16857960716509887</v>
      </c>
      <c r="K507" s="1">
        <v>1.0007208378202974</v>
      </c>
      <c r="L507" s="1">
        <v>3.153789104157636</v>
      </c>
      <c r="M507" s="1">
        <v>0.28595010156620371</v>
      </c>
      <c r="O507" s="1">
        <v>2.4345807304591467E-2</v>
      </c>
      <c r="P507" s="1">
        <v>0.36557151019910727</v>
      </c>
      <c r="R507" s="1">
        <v>4.6509485259637419E-2</v>
      </c>
      <c r="S507" s="2">
        <f t="shared" si="96"/>
        <v>1.0040595082064641</v>
      </c>
      <c r="T507" s="4">
        <f t="shared" si="97"/>
        <v>1.0081354960198066</v>
      </c>
      <c r="U507" s="1">
        <f t="shared" si="101"/>
        <v>0.7814791743775239</v>
      </c>
      <c r="V507" s="6">
        <f>2*sigma/alpha*corel*(B507/12-1/alpha*(1-EXP(-alpha*Output!B507/12)))</f>
        <v>2.5739478392058852</v>
      </c>
      <c r="W507" s="5">
        <f t="shared" si="98"/>
        <v>-0.22665632164228267</v>
      </c>
      <c r="X507" s="1">
        <f t="shared" si="99"/>
        <v>44.099052657143382</v>
      </c>
      <c r="Y507" s="3">
        <f t="shared" si="100"/>
        <v>4.9194724828042394E-2</v>
      </c>
      <c r="Z507" s="1">
        <f t="shared" si="90"/>
        <v>0.15617418129673352</v>
      </c>
      <c r="AA507" s="8">
        <f t="shared" si="95"/>
        <v>41.250000000000078</v>
      </c>
      <c r="AB507" s="1">
        <v>41.33</v>
      </c>
      <c r="AC507" s="1">
        <v>2.4606099999999999E-2</v>
      </c>
      <c r="AD507" s="8">
        <f t="shared" si="91"/>
        <v>2.6029269540853162</v>
      </c>
      <c r="AE507" s="3">
        <f t="shared" si="92"/>
        <v>1.0578380783973553E-2</v>
      </c>
      <c r="AF507" s="11">
        <f t="shared" si="93"/>
        <v>41.250000000000078</v>
      </c>
      <c r="AG507" s="1">
        <f t="shared" si="94"/>
        <v>0.15617418129673352</v>
      </c>
    </row>
    <row r="508" spans="2:33" ht="15">
      <c r="B508" s="1">
        <v>497</v>
      </c>
      <c r="C508" s="1">
        <v>1.0008738849510492</v>
      </c>
      <c r="D508" s="1">
        <v>1.2055676276327458</v>
      </c>
      <c r="E508" s="1">
        <v>0.82838807008945814</v>
      </c>
      <c r="G508" s="1">
        <v>1.0000490298270448</v>
      </c>
      <c r="H508" s="1">
        <v>4.5603560258904228</v>
      </c>
      <c r="I508" s="1">
        <v>0.17227862973318678</v>
      </c>
      <c r="K508" s="1">
        <v>1.0005511460027532</v>
      </c>
      <c r="L508" s="1">
        <v>3.1963694964475193</v>
      </c>
      <c r="M508" s="1">
        <v>0.2820820479978316</v>
      </c>
      <c r="O508" s="1">
        <v>2.4351781917138764E-2</v>
      </c>
      <c r="P508" s="1">
        <v>0.36474031863406842</v>
      </c>
      <c r="R508" s="1">
        <v>4.6466595987546225E-2</v>
      </c>
      <c r="S508" s="2">
        <f t="shared" si="96"/>
        <v>1.0057206053448489</v>
      </c>
      <c r="T508" s="4">
        <f t="shared" si="97"/>
        <v>1.0114739360152092</v>
      </c>
      <c r="U508" s="1">
        <f t="shared" si="101"/>
        <v>0.78497737316680771</v>
      </c>
      <c r="V508" s="6">
        <f>2*sigma/alpha*corel*(B508/12-1/alpha*(1-EXP(-alpha*Output!B508/12)))</f>
        <v>2.5824847669823181</v>
      </c>
      <c r="W508" s="5">
        <f t="shared" si="98"/>
        <v>-0.22649656284840147</v>
      </c>
      <c r="X508" s="1">
        <f t="shared" si="99"/>
        <v>44.192158150247565</v>
      </c>
      <c r="Y508" s="3">
        <f t="shared" si="100"/>
        <v>4.9077265587275355E-2</v>
      </c>
      <c r="Z508" s="1">
        <f t="shared" si="90"/>
        <v>0.15627509686371532</v>
      </c>
      <c r="AA508" s="8">
        <f t="shared" si="95"/>
        <v>41.333333333333414</v>
      </c>
      <c r="AB508" s="1">
        <v>41.42</v>
      </c>
      <c r="AC508" s="1">
        <v>2.46123E-2</v>
      </c>
      <c r="AD508" s="8">
        <f t="shared" si="91"/>
        <v>2.6051808286123648</v>
      </c>
      <c r="AE508" s="3">
        <f t="shared" si="92"/>
        <v>1.0584873533202361E-2</v>
      </c>
      <c r="AF508" s="11">
        <f t="shared" si="93"/>
        <v>41.333333333333414</v>
      </c>
      <c r="AG508" s="1">
        <f t="shared" si="94"/>
        <v>0.15627509686371532</v>
      </c>
    </row>
    <row r="509" spans="2:33" ht="15">
      <c r="B509" s="1">
        <v>498</v>
      </c>
      <c r="C509" s="1">
        <v>1.0008804091384829</v>
      </c>
      <c r="D509" s="1">
        <v>1.2020186069843639</v>
      </c>
      <c r="E509" s="1">
        <v>0.8308316902217372</v>
      </c>
      <c r="G509" s="1">
        <v>1.0004055551134468</v>
      </c>
      <c r="H509" s="1">
        <v>4.4750443802829816</v>
      </c>
      <c r="I509" s="1">
        <v>0.17547793163580158</v>
      </c>
      <c r="K509" s="1">
        <v>1.0004184531673446</v>
      </c>
      <c r="L509" s="1">
        <v>3.1689021192662747</v>
      </c>
      <c r="M509" s="1">
        <v>0.2844678056054486</v>
      </c>
      <c r="O509" s="1">
        <v>2.435782583330847E-2</v>
      </c>
      <c r="P509" s="1">
        <v>0.36390960791715332</v>
      </c>
      <c r="R509" s="1">
        <v>4.6547345780572132E-2</v>
      </c>
      <c r="S509" s="2">
        <f t="shared" si="96"/>
        <v>1.0083492141110668</v>
      </c>
      <c r="T509" s="4">
        <f t="shared" si="97"/>
        <v>1.0167681375984061</v>
      </c>
      <c r="U509" s="1">
        <f t="shared" si="101"/>
        <v>0.78848227442987184</v>
      </c>
      <c r="V509" s="6">
        <f>2*sigma/alpha*corel*(B509/12-1/alpha*(1-EXP(-alpha*Output!B509/12)))</f>
        <v>2.5910298691327003</v>
      </c>
      <c r="W509" s="5">
        <f t="shared" si="98"/>
        <v>-0.22828586316853428</v>
      </c>
      <c r="X509" s="1">
        <f t="shared" si="99"/>
        <v>44.608889068714511</v>
      </c>
      <c r="Y509" s="3">
        <f t="shared" si="100"/>
        <v>4.9252515145213768E-2</v>
      </c>
      <c r="Z509" s="1">
        <f t="shared" si="90"/>
        <v>0.15652615452557442</v>
      </c>
      <c r="AA509" s="8">
        <f t="shared" si="95"/>
        <v>41.41666666666675</v>
      </c>
      <c r="AB509" s="1">
        <v>41.5</v>
      </c>
      <c r="AC509" s="1">
        <v>2.46187E-2</v>
      </c>
      <c r="AD509" s="8">
        <f t="shared" si="91"/>
        <v>2.6087416669152983</v>
      </c>
      <c r="AE509" s="3">
        <f t="shared" si="92"/>
        <v>1.0596585794194244E-2</v>
      </c>
      <c r="AF509" s="11">
        <f t="shared" si="93"/>
        <v>41.41666666666675</v>
      </c>
      <c r="AG509" s="1">
        <f t="shared" si="94"/>
        <v>0.15652615452557442</v>
      </c>
    </row>
    <row r="510" spans="2:33" ht="15">
      <c r="B510" s="1">
        <v>499</v>
      </c>
      <c r="C510" s="1">
        <v>1.0008857248120622</v>
      </c>
      <c r="D510" s="1">
        <v>1.2020497344574421</v>
      </c>
      <c r="E510" s="1">
        <v>0.83080793321613677</v>
      </c>
      <c r="G510" s="1">
        <v>1.0006999102246268</v>
      </c>
      <c r="H510" s="1">
        <v>4.4689033260492552</v>
      </c>
      <c r="I510" s="1">
        <v>0.17563399788573783</v>
      </c>
      <c r="K510" s="1">
        <v>1.0003438083683156</v>
      </c>
      <c r="L510" s="1">
        <v>3.1834515293558368</v>
      </c>
      <c r="M510" s="1">
        <v>0.28310870788647008</v>
      </c>
      <c r="O510" s="1">
        <v>2.4363815438113612E-2</v>
      </c>
      <c r="P510" s="1">
        <v>0.36308124343814585</v>
      </c>
      <c r="R510" s="1">
        <v>4.6507505912962009E-2</v>
      </c>
      <c r="S510" s="2">
        <f t="shared" si="96"/>
        <v>1.0100376580038144</v>
      </c>
      <c r="T510" s="4">
        <f t="shared" si="97"/>
        <v>1.0201760705858303</v>
      </c>
      <c r="U510" s="1">
        <f t="shared" si="101"/>
        <v>0.79199386652406401</v>
      </c>
      <c r="V510" s="6">
        <f>2*sigma/alpha*corel*(B510/12-1/alpha*(1-EXP(-alpha*Output!B510/12)))</f>
        <v>2.5995831236656515</v>
      </c>
      <c r="W510" s="5">
        <f t="shared" si="98"/>
        <v>-0.22818220406176626</v>
      </c>
      <c r="X510" s="1">
        <f t="shared" si="99"/>
        <v>44.712139025787721</v>
      </c>
      <c r="Y510" s="3">
        <f t="shared" si="100"/>
        <v>4.914385365425275E-2</v>
      </c>
      <c r="Z510" s="1">
        <f t="shared" si="90"/>
        <v>0.15663107060419768</v>
      </c>
      <c r="AA510" s="8">
        <f t="shared" si="95"/>
        <v>41.500000000000085</v>
      </c>
      <c r="AB510" s="1">
        <v>41.58</v>
      </c>
      <c r="AC510" s="1">
        <v>2.46251E-2</v>
      </c>
      <c r="AD510" s="8">
        <f t="shared" si="91"/>
        <v>2.6128456188638864</v>
      </c>
      <c r="AE510" s="3">
        <f t="shared" si="92"/>
        <v>1.0610497495904125E-2</v>
      </c>
      <c r="AF510" s="11">
        <f t="shared" si="93"/>
        <v>41.500000000000085</v>
      </c>
      <c r="AG510" s="1">
        <f t="shared" si="94"/>
        <v>0.15663107060419768</v>
      </c>
    </row>
    <row r="511" spans="2:33" ht="15">
      <c r="B511" s="1">
        <v>500</v>
      </c>
      <c r="C511" s="1">
        <v>1.0008896986586271</v>
      </c>
      <c r="D511" s="1">
        <v>1.204662558390009</v>
      </c>
      <c r="E511" s="1">
        <v>0.82900373021173879</v>
      </c>
      <c r="G511" s="1">
        <v>1.0008515166039689</v>
      </c>
      <c r="H511" s="1">
        <v>4.6514775065641301</v>
      </c>
      <c r="I511" s="1">
        <v>0.16865853107769796</v>
      </c>
      <c r="K511" s="1">
        <v>1.0004211176474542</v>
      </c>
      <c r="L511" s="1">
        <v>3.1754179872762003</v>
      </c>
      <c r="M511" s="1">
        <v>0.28376582519048843</v>
      </c>
      <c r="O511" s="1">
        <v>2.4369766301163092E-2</v>
      </c>
      <c r="P511" s="1">
        <v>0.36225498769744857</v>
      </c>
      <c r="R511" s="1">
        <v>4.6528567322506424E-2</v>
      </c>
      <c r="S511" s="2">
        <f t="shared" si="96"/>
        <v>1.0122021346548944</v>
      </c>
      <c r="T511" s="4">
        <f t="shared" si="97"/>
        <v>1.024553161399925</v>
      </c>
      <c r="U511" s="1">
        <f t="shared" si="101"/>
        <v>0.79551213780372243</v>
      </c>
      <c r="V511" s="6">
        <f>2*sigma/alpha*corel*(B511/12-1/alpha*(1-EXP(-alpha*Output!B511/12)))</f>
        <v>2.6081445086489561</v>
      </c>
      <c r="W511" s="5">
        <f t="shared" si="98"/>
        <v>-0.2290410235962026</v>
      </c>
      <c r="X511" s="1">
        <f t="shared" si="99"/>
        <v>44.975921710696142</v>
      </c>
      <c r="Y511" s="3">
        <f t="shared" si="100"/>
        <v>4.9179173927897266E-2</v>
      </c>
      <c r="Z511" s="1">
        <f t="shared" si="90"/>
        <v>0.15680968042056015</v>
      </c>
      <c r="AA511" s="8">
        <f t="shared" si="95"/>
        <v>41.583333333333421</v>
      </c>
      <c r="AB511" s="1">
        <v>41.67</v>
      </c>
      <c r="AC511" s="1">
        <v>2.46316E-2</v>
      </c>
      <c r="AD511" s="8">
        <f t="shared" si="91"/>
        <v>2.6183369883690801</v>
      </c>
      <c r="AE511" s="3">
        <f t="shared" si="92"/>
        <v>1.0629991508343267E-2</v>
      </c>
      <c r="AF511" s="11">
        <f t="shared" si="93"/>
        <v>41.583333333333421</v>
      </c>
      <c r="AG511" s="1">
        <f t="shared" si="94"/>
        <v>0.15680968042056015</v>
      </c>
    </row>
    <row r="512" spans="2:33" ht="15">
      <c r="B512" s="1">
        <v>501</v>
      </c>
      <c r="C512" s="1">
        <v>1.0008944959966197</v>
      </c>
      <c r="D512" s="1">
        <v>1.2057739888361836</v>
      </c>
      <c r="E512" s="1">
        <v>0.82823734563256157</v>
      </c>
      <c r="G512" s="1">
        <v>1.0011108640997497</v>
      </c>
      <c r="H512" s="1">
        <v>4.7039313531183655</v>
      </c>
      <c r="I512" s="1">
        <v>0.16669706500166973</v>
      </c>
      <c r="K512" s="1">
        <v>1.0003816946124136</v>
      </c>
      <c r="L512" s="1">
        <v>3.1980511038855051</v>
      </c>
      <c r="M512" s="1">
        <v>0.28169887595438492</v>
      </c>
      <c r="O512" s="1">
        <v>2.4375675642482136E-2</v>
      </c>
      <c r="P512" s="1">
        <v>0.36143088032921861</v>
      </c>
      <c r="R512" s="1">
        <v>4.6523396061687233E-2</v>
      </c>
      <c r="S512" s="2">
        <f t="shared" si="96"/>
        <v>1.0141617415689848</v>
      </c>
      <c r="T512" s="4">
        <f t="shared" si="97"/>
        <v>1.0285240380622362</v>
      </c>
      <c r="U512" s="1">
        <f t="shared" si="101"/>
        <v>0.7990370766203726</v>
      </c>
      <c r="V512" s="6">
        <f>2*sigma/alpha*corel*(B512/12-1/alpha*(1-EXP(-alpha*Output!B512/12)))</f>
        <v>2.6167140022094024</v>
      </c>
      <c r="W512" s="5">
        <f t="shared" si="98"/>
        <v>-0.22948696144186365</v>
      </c>
      <c r="X512" s="1">
        <f t="shared" si="99"/>
        <v>45.17151473014998</v>
      </c>
      <c r="Y512" s="3">
        <f t="shared" si="100"/>
        <v>4.9152835033870995E-2</v>
      </c>
      <c r="Z512" s="1">
        <f t="shared" si="90"/>
        <v>0.15695638343467233</v>
      </c>
      <c r="AA512" s="8">
        <f t="shared" si="95"/>
        <v>41.666666666666757</v>
      </c>
      <c r="AB512" s="1">
        <v>41.75</v>
      </c>
      <c r="AC512" s="1">
        <v>2.4638199999999999E-2</v>
      </c>
      <c r="AD512" s="8">
        <f t="shared" si="91"/>
        <v>2.6252435751786263</v>
      </c>
      <c r="AE512" s="3">
        <f t="shared" si="92"/>
        <v>1.0655176007900845E-2</v>
      </c>
      <c r="AF512" s="11">
        <f t="shared" si="93"/>
        <v>41.666666666666757</v>
      </c>
      <c r="AG512" s="1">
        <f t="shared" si="94"/>
        <v>0.15695638343467233</v>
      </c>
    </row>
    <row r="513" spans="2:33" ht="15">
      <c r="B513" s="1">
        <v>502</v>
      </c>
      <c r="C513" s="1">
        <v>1.0008988157520013</v>
      </c>
      <c r="D513" s="1">
        <v>1.2062096221166994</v>
      </c>
      <c r="E513" s="1">
        <v>0.82793597187739687</v>
      </c>
      <c r="G513" s="1">
        <v>1.0013131416041696</v>
      </c>
      <c r="H513" s="1">
        <v>4.718022566898342</v>
      </c>
      <c r="I513" s="1">
        <v>0.16611873027512067</v>
      </c>
      <c r="K513" s="1">
        <v>1.0005313073721478</v>
      </c>
      <c r="L513" s="1">
        <v>3.2747870519143256</v>
      </c>
      <c r="M513" s="1">
        <v>0.27504070386600898</v>
      </c>
      <c r="O513" s="1">
        <v>2.4381676215270202E-2</v>
      </c>
      <c r="P513" s="1">
        <v>0.36060691632893338</v>
      </c>
      <c r="R513" s="1">
        <v>4.6529549155034294E-2</v>
      </c>
      <c r="S513" s="2">
        <f t="shared" si="96"/>
        <v>1.0162153593905001</v>
      </c>
      <c r="T513" s="4">
        <f t="shared" si="97"/>
        <v>1.0326936566611633</v>
      </c>
      <c r="U513" s="1">
        <f t="shared" si="101"/>
        <v>0.80256867132291276</v>
      </c>
      <c r="V513" s="6">
        <f>2*sigma/alpha*corel*(B513/12-1/alpha*(1-EXP(-alpha*Output!B513/12)))</f>
        <v>2.625291582532622</v>
      </c>
      <c r="W513" s="5">
        <f t="shared" si="98"/>
        <v>-0.23012498533825054</v>
      </c>
      <c r="X513" s="1">
        <f t="shared" si="99"/>
        <v>45.399736773250567</v>
      </c>
      <c r="Y513" s="3">
        <f t="shared" si="100"/>
        <v>4.9155072854183177E-2</v>
      </c>
      <c r="Z513" s="1">
        <f t="shared" si="90"/>
        <v>0.15711748516092897</v>
      </c>
      <c r="AA513" s="8">
        <f t="shared" si="95"/>
        <v>41.750000000000092</v>
      </c>
      <c r="AB513" s="1">
        <v>41.83</v>
      </c>
      <c r="AC513" s="1">
        <v>2.4644800000000001E-2</v>
      </c>
      <c r="AD513" s="8">
        <f t="shared" si="91"/>
        <v>2.6312378472979905</v>
      </c>
      <c r="AE513" s="3">
        <f t="shared" si="92"/>
        <v>1.0676645163677492E-2</v>
      </c>
      <c r="AF513" s="11">
        <f t="shared" si="93"/>
        <v>41.750000000000092</v>
      </c>
      <c r="AG513" s="1">
        <f t="shared" si="94"/>
        <v>0.15711748516092897</v>
      </c>
    </row>
    <row r="514" spans="2:33" ht="15">
      <c r="B514" s="1">
        <v>503</v>
      </c>
      <c r="C514" s="1">
        <v>1.0008958928829566</v>
      </c>
      <c r="D514" s="1">
        <v>1.2087581346845491</v>
      </c>
      <c r="E514" s="1">
        <v>0.82618812596389513</v>
      </c>
      <c r="G514" s="1">
        <v>1.0009557178273787</v>
      </c>
      <c r="H514" s="1">
        <v>4.8059876395116143</v>
      </c>
      <c r="I514" s="1">
        <v>0.16299926784839189</v>
      </c>
      <c r="K514" s="1">
        <v>1.0004635141649594</v>
      </c>
      <c r="L514" s="1">
        <v>3.2816015256386151</v>
      </c>
      <c r="M514" s="1">
        <v>0.27441238761407089</v>
      </c>
      <c r="O514" s="1">
        <v>2.4387716703970216E-2</v>
      </c>
      <c r="P514" s="1">
        <v>0.35978386895323355</v>
      </c>
      <c r="R514" s="1">
        <v>4.650387101107286E-2</v>
      </c>
      <c r="S514" s="2">
        <f t="shared" si="96"/>
        <v>1.0180217944271204</v>
      </c>
      <c r="T514" s="4">
        <f t="shared" si="97"/>
        <v>1.036368373928614</v>
      </c>
      <c r="U514" s="1">
        <f t="shared" si="101"/>
        <v>0.80610691025781001</v>
      </c>
      <c r="V514" s="6">
        <f>2*sigma/alpha*corel*(B514/12-1/alpha*(1-EXP(-alpha*Output!B514/12)))</f>
        <v>2.6338772278629339</v>
      </c>
      <c r="W514" s="5">
        <f t="shared" si="98"/>
        <v>-0.23026146367080402</v>
      </c>
      <c r="X514" s="1">
        <f t="shared" si="99"/>
        <v>45.544481326926409</v>
      </c>
      <c r="Y514" s="3">
        <f t="shared" si="100"/>
        <v>4.9082957339479788E-2</v>
      </c>
      <c r="Z514" s="1">
        <f t="shared" si="90"/>
        <v>0.15724024297305506</v>
      </c>
      <c r="AA514" s="8">
        <f t="shared" si="95"/>
        <v>41.833333333333428</v>
      </c>
      <c r="AB514" s="1">
        <v>41.92</v>
      </c>
      <c r="AC514" s="1">
        <v>2.46514E-2</v>
      </c>
      <c r="AD514" s="8">
        <f t="shared" si="91"/>
        <v>2.6368329602978466</v>
      </c>
      <c r="AE514" s="3">
        <f t="shared" si="92"/>
        <v>1.0696483608630125E-2</v>
      </c>
      <c r="AF514" s="11">
        <f t="shared" si="93"/>
        <v>41.833333333333428</v>
      </c>
      <c r="AG514" s="1">
        <f t="shared" si="94"/>
        <v>0.15724024297305506</v>
      </c>
    </row>
    <row r="515" spans="2:33" ht="15">
      <c r="B515" s="1">
        <v>504</v>
      </c>
      <c r="C515" s="1">
        <v>1.0008968116414114</v>
      </c>
      <c r="D515" s="1">
        <v>1.2071236394426212</v>
      </c>
      <c r="E515" s="1">
        <v>0.82730456288193666</v>
      </c>
      <c r="G515" s="1">
        <v>1.0008973692951026</v>
      </c>
      <c r="H515" s="1">
        <v>4.7454525721493059</v>
      </c>
      <c r="I515" s="1">
        <v>0.16499863470648615</v>
      </c>
      <c r="K515" s="1">
        <v>1.0005367192807035</v>
      </c>
      <c r="L515" s="1">
        <v>3.3142861948280853</v>
      </c>
      <c r="M515" s="1">
        <v>0.2716496010471286</v>
      </c>
      <c r="O515" s="1">
        <v>2.4393776746810453E-2</v>
      </c>
      <c r="P515" s="1">
        <v>0.35896204390552588</v>
      </c>
      <c r="R515" s="1">
        <v>4.6522498418074237E-2</v>
      </c>
      <c r="S515" s="2">
        <f t="shared" si="96"/>
        <v>1.0201795990350175</v>
      </c>
      <c r="T515" s="4">
        <f t="shared" si="97"/>
        <v>1.0407664142872493</v>
      </c>
      <c r="U515" s="1">
        <f t="shared" si="101"/>
        <v>0.80965178176928265</v>
      </c>
      <c r="V515" s="6">
        <f>2*sigma/alpha*corel*(B515/12-1/alpha*(1-EXP(-alpha*Output!B515/12)))</f>
        <v>2.6424709165031879</v>
      </c>
      <c r="W515" s="5">
        <f t="shared" si="98"/>
        <v>-0.2311146325179666</v>
      </c>
      <c r="X515" s="1">
        <f t="shared" si="99"/>
        <v>45.809910807583584</v>
      </c>
      <c r="Y515" s="3">
        <f t="shared" si="100"/>
        <v>4.9117035691985396E-2</v>
      </c>
      <c r="Z515" s="1">
        <f t="shared" si="90"/>
        <v>0.15741712969408692</v>
      </c>
      <c r="AA515" s="8">
        <f t="shared" si="95"/>
        <v>41.916666666666764</v>
      </c>
      <c r="AB515" s="1">
        <v>42</v>
      </c>
      <c r="AC515" s="1">
        <v>2.46579E-2</v>
      </c>
      <c r="AD515" s="8">
        <f t="shared" si="91"/>
        <v>2.6412325318954726</v>
      </c>
      <c r="AE515" s="3">
        <f t="shared" si="92"/>
        <v>1.07115063808981E-2</v>
      </c>
      <c r="AF515" s="11">
        <f t="shared" si="93"/>
        <v>41.916666666666764</v>
      </c>
      <c r="AG515" s="1">
        <f t="shared" si="94"/>
        <v>0.15741712969408692</v>
      </c>
    </row>
    <row r="516" spans="2:33" ht="15">
      <c r="B516" s="1">
        <v>505</v>
      </c>
      <c r="C516" s="1">
        <v>1.0008935121467843</v>
      </c>
      <c r="D516" s="1">
        <v>1.2062260600451495</v>
      </c>
      <c r="E516" s="1">
        <v>0.82791791579899365</v>
      </c>
      <c r="G516" s="1">
        <v>1.0004798309463738</v>
      </c>
      <c r="H516" s="1">
        <v>4.5684258006063514</v>
      </c>
      <c r="I516" s="1">
        <v>0.17130936094093835</v>
      </c>
      <c r="K516" s="1">
        <v>1.0004266918733069</v>
      </c>
      <c r="L516" s="1">
        <v>3.2980089073217882</v>
      </c>
      <c r="M516" s="1">
        <v>0.27293345768735522</v>
      </c>
      <c r="O516" s="1">
        <v>2.4399841204931834E-2</v>
      </c>
      <c r="P516" s="1">
        <v>0.35814166781386386</v>
      </c>
      <c r="R516" s="1">
        <v>4.6497297799218344E-2</v>
      </c>
      <c r="S516" s="2">
        <f t="shared" si="96"/>
        <v>1.0219934966226283</v>
      </c>
      <c r="T516" s="4">
        <f t="shared" si="97"/>
        <v>1.0444707071389461</v>
      </c>
      <c r="U516" s="1">
        <f t="shared" si="101"/>
        <v>0.8132032741994909</v>
      </c>
      <c r="V516" s="6">
        <f>2*sigma/alpha*corel*(B516/12-1/alpha*(1-EXP(-alpha*Output!B516/12)))</f>
        <v>2.6510726268146034</v>
      </c>
      <c r="W516" s="5">
        <f t="shared" si="98"/>
        <v>-0.23126743293945518</v>
      </c>
      <c r="X516" s="1">
        <f t="shared" si="99"/>
        <v>45.958203950787301</v>
      </c>
      <c r="Y516" s="3">
        <f t="shared" si="100"/>
        <v>4.9047628639037354E-2</v>
      </c>
      <c r="Z516" s="1">
        <f t="shared" si="90"/>
        <v>0.15754080713330301</v>
      </c>
      <c r="AA516" s="8">
        <f t="shared" si="95"/>
        <v>42.000000000000099</v>
      </c>
      <c r="AB516" s="1">
        <v>42.08</v>
      </c>
      <c r="AC516" s="1">
        <v>2.4664499999999999E-2</v>
      </c>
      <c r="AD516" s="8">
        <f t="shared" si="91"/>
        <v>2.6465879506816501</v>
      </c>
      <c r="AE516" s="3">
        <f t="shared" si="92"/>
        <v>1.0730353141890775E-2</v>
      </c>
      <c r="AF516" s="11">
        <f t="shared" si="93"/>
        <v>42.000000000000099</v>
      </c>
      <c r="AG516" s="1">
        <f t="shared" si="94"/>
        <v>0.15754080713330301</v>
      </c>
    </row>
    <row r="517" spans="2:33" ht="15">
      <c r="B517" s="1">
        <v>506</v>
      </c>
      <c r="C517" s="1">
        <v>1.0008945610367406</v>
      </c>
      <c r="D517" s="1">
        <v>1.2088815406208724</v>
      </c>
      <c r="E517" s="1">
        <v>0.8260970139753232</v>
      </c>
      <c r="G517" s="1">
        <v>1.0004274424884041</v>
      </c>
      <c r="H517" s="1">
        <v>4.8091721005443908</v>
      </c>
      <c r="I517" s="1">
        <v>0.16265485566301183</v>
      </c>
      <c r="K517" s="1">
        <v>1.0004208758775037</v>
      </c>
      <c r="L517" s="1">
        <v>3.2935699228319435</v>
      </c>
      <c r="M517" s="1">
        <v>0.27324437817507385</v>
      </c>
      <c r="O517" s="1">
        <v>2.4406088832993163E-2</v>
      </c>
      <c r="P517" s="1">
        <v>0.35732004562641539</v>
      </c>
      <c r="R517" s="1">
        <v>4.6554168737749715E-2</v>
      </c>
      <c r="S517" s="2">
        <f t="shared" si="96"/>
        <v>1.0244653220732036</v>
      </c>
      <c r="T517" s="4">
        <f t="shared" si="97"/>
        <v>1.0495291961305528</v>
      </c>
      <c r="U517" s="1">
        <f t="shared" si="101"/>
        <v>0.81676137588871844</v>
      </c>
      <c r="V517" s="6">
        <f>2*sigma/alpha*corel*(B517/12-1/alpha*(1-EXP(-alpha*Output!B517/12)))</f>
        <v>2.6596823372166116</v>
      </c>
      <c r="W517" s="5">
        <f t="shared" si="98"/>
        <v>-0.2327678202418344</v>
      </c>
      <c r="X517" s="1">
        <f t="shared" si="99"/>
        <v>46.334082482358085</v>
      </c>
      <c r="Y517" s="3">
        <f t="shared" si="100"/>
        <v>4.9176663760000412E-2</v>
      </c>
      <c r="Z517" s="1">
        <f t="shared" si="90"/>
        <v>0.1577657138341349</v>
      </c>
      <c r="AA517" s="8">
        <f t="shared" si="95"/>
        <v>42.083333333333435</v>
      </c>
      <c r="AB517" s="1">
        <v>42.17</v>
      </c>
      <c r="AC517" s="1">
        <v>2.4670999999999998E-2</v>
      </c>
      <c r="AD517" s="8">
        <f t="shared" si="91"/>
        <v>2.6491116700683506</v>
      </c>
      <c r="AE517" s="3">
        <f t="shared" si="92"/>
        <v>1.0737755543222207E-2</v>
      </c>
      <c r="AF517" s="11">
        <f t="shared" si="93"/>
        <v>42.083333333333435</v>
      </c>
      <c r="AG517" s="1">
        <f t="shared" si="94"/>
        <v>0.1577657138341349</v>
      </c>
    </row>
    <row r="518" spans="2:33" ht="15">
      <c r="B518" s="1">
        <v>507</v>
      </c>
      <c r="C518" s="1">
        <v>1.0008935525331255</v>
      </c>
      <c r="D518" s="1">
        <v>1.2080135151850355</v>
      </c>
      <c r="E518" s="1">
        <v>0.82668834273537872</v>
      </c>
      <c r="G518" s="1">
        <v>1.0001913616322109</v>
      </c>
      <c r="H518" s="1">
        <v>4.7732226252765173</v>
      </c>
      <c r="I518" s="1">
        <v>0.16380054417668238</v>
      </c>
      <c r="K518" s="1">
        <v>1.0005052174540865</v>
      </c>
      <c r="L518" s="1">
        <v>3.4121287824329971</v>
      </c>
      <c r="M518" s="1">
        <v>0.26369520408831715</v>
      </c>
      <c r="O518" s="1">
        <v>2.4412375045272307E-2</v>
      </c>
      <c r="P518" s="1">
        <v>0.35649935597086546</v>
      </c>
      <c r="R518" s="1">
        <v>4.6513575857349408E-2</v>
      </c>
      <c r="S518" s="2">
        <f t="shared" si="96"/>
        <v>1.0261688131676341</v>
      </c>
      <c r="T518" s="4">
        <f t="shared" si="97"/>
        <v>1.0530224331178708</v>
      </c>
      <c r="U518" s="1">
        <f t="shared" si="101"/>
        <v>0.82032607517556033</v>
      </c>
      <c r="V518" s="6">
        <f>2*sigma/alpha*corel*(B518/12-1/alpha*(1-EXP(-alpha*Output!B518/12)))</f>
        <v>2.6683000261867105</v>
      </c>
      <c r="W518" s="5">
        <f t="shared" si="98"/>
        <v>-0.23269635794231047</v>
      </c>
      <c r="X518" s="1">
        <f t="shared" si="99"/>
        <v>46.445509521998467</v>
      </c>
      <c r="Y518" s="3">
        <f t="shared" si="100"/>
        <v>4.9074487756464918E-2</v>
      </c>
      <c r="Z518" s="1">
        <f t="shared" si="90"/>
        <v>0.15787212510271292</v>
      </c>
      <c r="AA518" s="8">
        <f t="shared" si="95"/>
        <v>42.166666666666771</v>
      </c>
      <c r="AB518" s="1">
        <v>42.25</v>
      </c>
      <c r="AC518" s="1">
        <v>2.4677399999999999E-2</v>
      </c>
      <c r="AD518" s="8">
        <f t="shared" si="91"/>
        <v>2.6502495472769185</v>
      </c>
      <c r="AE518" s="3">
        <f t="shared" si="92"/>
        <v>1.0739581752035947E-2</v>
      </c>
      <c r="AF518" s="11">
        <f t="shared" si="93"/>
        <v>42.166666666666771</v>
      </c>
      <c r="AG518" s="1">
        <f t="shared" si="94"/>
        <v>0.15787212510271292</v>
      </c>
    </row>
    <row r="519" spans="2:33" ht="15">
      <c r="B519" s="1">
        <v>508</v>
      </c>
      <c r="C519" s="1">
        <v>1.0008929616056303</v>
      </c>
      <c r="D519" s="1">
        <v>1.208843843367245</v>
      </c>
      <c r="E519" s="1">
        <v>0.82611823703123066</v>
      </c>
      <c r="G519" s="1">
        <v>1.0000263746775397</v>
      </c>
      <c r="H519" s="1">
        <v>4.8065307375937545</v>
      </c>
      <c r="I519" s="1">
        <v>0.16258668797496081</v>
      </c>
      <c r="K519" s="1">
        <v>1.0005282399314712</v>
      </c>
      <c r="L519" s="1">
        <v>3.3664973334668171</v>
      </c>
      <c r="M519" s="1">
        <v>0.26721380579958176</v>
      </c>
      <c r="O519" s="1">
        <v>2.441879633576801E-2</v>
      </c>
      <c r="P519" s="1">
        <v>0.35567814473719944</v>
      </c>
      <c r="R519" s="1">
        <v>4.6450734653032712E-2</v>
      </c>
      <c r="S519" s="2">
        <f t="shared" si="96"/>
        <v>1.027700975296473</v>
      </c>
      <c r="T519" s="4">
        <f t="shared" si="97"/>
        <v>1.0561692946253218</v>
      </c>
      <c r="U519" s="1">
        <f t="shared" si="101"/>
        <v>0.82389736039710026</v>
      </c>
      <c r="V519" s="6">
        <f>2*sigma/alpha*corel*(B519/12-1/alpha*(1-EXP(-alpha*Output!B519/12)))</f>
        <v>2.6769256722602899</v>
      </c>
      <c r="W519" s="5">
        <f t="shared" si="98"/>
        <v>-0.23227193422822157</v>
      </c>
      <c r="X519" s="1">
        <f t="shared" si="99"/>
        <v>46.497311917451725</v>
      </c>
      <c r="Y519" s="3">
        <f t="shared" si="100"/>
        <v>4.8920882759158305E-2</v>
      </c>
      <c r="Z519" s="1">
        <f t="shared" si="90"/>
        <v>0.15795214773912161</v>
      </c>
      <c r="AA519" s="8">
        <f t="shared" si="95"/>
        <v>42.250000000000107</v>
      </c>
      <c r="AB519" s="1">
        <v>42.33</v>
      </c>
      <c r="AC519" s="1">
        <v>2.4683799999999999E-2</v>
      </c>
      <c r="AD519" s="8">
        <f t="shared" si="91"/>
        <v>2.6500366423198862</v>
      </c>
      <c r="AE519" s="3">
        <f t="shared" si="92"/>
        <v>1.0735934670998332E-2</v>
      </c>
      <c r="AF519" s="11">
        <f t="shared" si="93"/>
        <v>42.250000000000107</v>
      </c>
      <c r="AG519" s="1">
        <f t="shared" si="94"/>
        <v>0.15795214773912161</v>
      </c>
    </row>
    <row r="520" spans="2:33" ht="15">
      <c r="B520" s="1">
        <v>509</v>
      </c>
      <c r="C520" s="1">
        <v>1.0008927461047461</v>
      </c>
      <c r="D520" s="1">
        <v>1.2093116893477736</v>
      </c>
      <c r="E520" s="1">
        <v>0.82579636167099268</v>
      </c>
      <c r="G520" s="1">
        <v>0.9998500175927586</v>
      </c>
      <c r="H520" s="1">
        <v>4.8172952579474542</v>
      </c>
      <c r="I520" s="1">
        <v>0.16214483465340643</v>
      </c>
      <c r="K520" s="1">
        <v>1.0004232843398757</v>
      </c>
      <c r="L520" s="1">
        <v>3.3523739718477183</v>
      </c>
      <c r="M520" s="1">
        <v>0.26828366415088689</v>
      </c>
      <c r="O520" s="1">
        <v>2.4425205943543818E-2</v>
      </c>
      <c r="P520" s="1">
        <v>0.35485862127034395</v>
      </c>
      <c r="R520" s="1">
        <v>4.643817820141128E-2</v>
      </c>
      <c r="S520" s="2">
        <f t="shared" si="96"/>
        <v>1.0296333616111915</v>
      </c>
      <c r="T520" s="4">
        <f t="shared" si="97"/>
        <v>1.0601448593427625</v>
      </c>
      <c r="U520" s="1">
        <f t="shared" si="101"/>
        <v>0.82747521988909412</v>
      </c>
      <c r="V520" s="6">
        <f>2*sigma/alpha*corel*(B520/12-1/alpha*(1-EXP(-alpha*Output!B520/12)))</f>
        <v>2.6855592540304896</v>
      </c>
      <c r="W520" s="5">
        <f t="shared" si="98"/>
        <v>-0.23266963945366836</v>
      </c>
      <c r="X520" s="1">
        <f t="shared" si="99"/>
        <v>46.688510667547867</v>
      </c>
      <c r="Y520" s="3">
        <f t="shared" si="100"/>
        <v>4.8888092967125568E-2</v>
      </c>
      <c r="Z520" s="1">
        <f t="shared" si="90"/>
        <v>0.15809361773578376</v>
      </c>
      <c r="AA520" s="8">
        <f t="shared" si="95"/>
        <v>42.333333333333442</v>
      </c>
      <c r="AB520" s="1">
        <v>42.42</v>
      </c>
      <c r="AC520" s="1">
        <v>2.4690299999999998E-2</v>
      </c>
      <c r="AD520" s="8">
        <f t="shared" si="91"/>
        <v>2.6509405645618047</v>
      </c>
      <c r="AE520" s="3">
        <f t="shared" si="92"/>
        <v>1.0736769357042259E-2</v>
      </c>
      <c r="AF520" s="11">
        <f t="shared" si="93"/>
        <v>42.333333333333442</v>
      </c>
      <c r="AG520" s="1">
        <f t="shared" si="94"/>
        <v>0.15809361773578376</v>
      </c>
    </row>
    <row r="521" spans="2:33" ht="15">
      <c r="B521" s="1">
        <v>510</v>
      </c>
      <c r="C521" s="1">
        <v>1.0008952953129913</v>
      </c>
      <c r="D521" s="1">
        <v>1.2162789199242299</v>
      </c>
      <c r="E521" s="1">
        <v>0.82106367191641638</v>
      </c>
      <c r="G521" s="1">
        <v>0.99992624429341903</v>
      </c>
      <c r="H521" s="1">
        <v>5.0699356978304353</v>
      </c>
      <c r="I521" s="1">
        <v>0.15399038555773664</v>
      </c>
      <c r="K521" s="1">
        <v>1.0004429063744134</v>
      </c>
      <c r="L521" s="1">
        <v>3.3477247434624871</v>
      </c>
      <c r="M521" s="1">
        <v>0.26860028498142713</v>
      </c>
      <c r="O521" s="1">
        <v>2.4431657240368866E-2</v>
      </c>
      <c r="P521" s="1">
        <v>0.35403998058649472</v>
      </c>
      <c r="R521" s="1">
        <v>4.6398210533775762E-2</v>
      </c>
      <c r="S521" s="2">
        <f t="shared" si="96"/>
        <v>1.0313499255366441</v>
      </c>
      <c r="T521" s="4">
        <f t="shared" si="97"/>
        <v>1.0636826689044412</v>
      </c>
      <c r="U521" s="1">
        <f t="shared" si="101"/>
        <v>0.83105964198615057</v>
      </c>
      <c r="V521" s="6">
        <f>2*sigma/alpha*corel*(B521/12-1/alpha*(1-EXP(-alpha*Output!B521/12)))</f>
        <v>2.6942007501480401</v>
      </c>
      <c r="W521" s="5">
        <f t="shared" si="98"/>
        <v>-0.23262302691829062</v>
      </c>
      <c r="X521" s="1">
        <f t="shared" si="99"/>
        <v>46.804632258207668</v>
      </c>
      <c r="Y521" s="3">
        <f t="shared" si="100"/>
        <v>4.879047476866874E-2</v>
      </c>
      <c r="Z521" s="1">
        <f t="shared" si="90"/>
        <v>0.15820185682738969</v>
      </c>
      <c r="AA521" s="8">
        <f t="shared" si="95"/>
        <v>42.416666666666778</v>
      </c>
      <c r="AB521" s="1">
        <v>42.5</v>
      </c>
      <c r="AC521" s="1">
        <v>2.4696599999999999E-2</v>
      </c>
      <c r="AD521" s="8">
        <f t="shared" si="91"/>
        <v>2.6494275963113294</v>
      </c>
      <c r="AE521" s="3">
        <f t="shared" si="92"/>
        <v>1.0727904230992645E-2</v>
      </c>
      <c r="AF521" s="11">
        <f t="shared" si="93"/>
        <v>42.416666666666778</v>
      </c>
      <c r="AG521" s="1">
        <f t="shared" si="94"/>
        <v>0.15820185682738969</v>
      </c>
    </row>
    <row r="522" spans="2:33" ht="15">
      <c r="B522" s="1">
        <v>511</v>
      </c>
      <c r="C522" s="1">
        <v>1.0009020762125289</v>
      </c>
      <c r="D522" s="1">
        <v>1.2227945193403074</v>
      </c>
      <c r="E522" s="1">
        <v>0.8166864158485172</v>
      </c>
      <c r="G522" s="1">
        <v>1.0003356588161936</v>
      </c>
      <c r="H522" s="1">
        <v>5.3149026176664247</v>
      </c>
      <c r="I522" s="1">
        <v>0.14682175735370809</v>
      </c>
      <c r="K522" s="1">
        <v>1.0006231065724123</v>
      </c>
      <c r="L522" s="1">
        <v>3.3970648856930858</v>
      </c>
      <c r="M522" s="1">
        <v>0.26464390183038505</v>
      </c>
      <c r="O522" s="1">
        <v>2.4438043600433647E-2</v>
      </c>
      <c r="P522" s="1">
        <v>0.3532238254152541</v>
      </c>
      <c r="R522" s="1">
        <v>4.6426966321610717E-2</v>
      </c>
      <c r="S522" s="2">
        <f t="shared" si="96"/>
        <v>1.0336147011120718</v>
      </c>
      <c r="T522" s="4">
        <f t="shared" si="97"/>
        <v>1.0683593503549975</v>
      </c>
      <c r="U522" s="1">
        <f t="shared" si="101"/>
        <v>0.83465061502190685</v>
      </c>
      <c r="V522" s="6">
        <f>2*sigma/alpha*corel*(B522/12-1/alpha*(1-EXP(-alpha*Output!B522/12)))</f>
        <v>2.7028501393211091</v>
      </c>
      <c r="W522" s="5">
        <f t="shared" si="98"/>
        <v>-0.23370873533309067</v>
      </c>
      <c r="X522" s="1">
        <f t="shared" si="99"/>
        <v>47.113786794031242</v>
      </c>
      <c r="Y522" s="3">
        <f t="shared" si="100"/>
        <v>4.8858295881141253E-2</v>
      </c>
      <c r="Z522" s="1">
        <f t="shared" si="90"/>
        <v>0.15839404530963228</v>
      </c>
      <c r="AA522" s="8">
        <f t="shared" si="95"/>
        <v>42.500000000000114</v>
      </c>
      <c r="AB522" s="1">
        <v>42.58</v>
      </c>
      <c r="AC522" s="1">
        <v>2.4702999999999999E-2</v>
      </c>
      <c r="AD522" s="8">
        <f t="shared" si="91"/>
        <v>2.6495639956635246</v>
      </c>
      <c r="AE522" s="3">
        <f t="shared" si="92"/>
        <v>1.0725677025719648E-2</v>
      </c>
      <c r="AF522" s="11">
        <f t="shared" si="93"/>
        <v>42.500000000000114</v>
      </c>
      <c r="AG522" s="1">
        <f t="shared" si="94"/>
        <v>0.15839404530963228</v>
      </c>
    </row>
    <row r="523" spans="2:33" ht="15">
      <c r="B523" s="1">
        <v>512</v>
      </c>
      <c r="C523" s="1">
        <v>1.0009027065352283</v>
      </c>
      <c r="D523" s="1">
        <v>1.224183263014383</v>
      </c>
      <c r="E523" s="1">
        <v>0.81575768500511614</v>
      </c>
      <c r="G523" s="1">
        <v>1.0002257895940765</v>
      </c>
      <c r="H523" s="1">
        <v>5.3669562900160326</v>
      </c>
      <c r="I523" s="1">
        <v>0.14532734561287627</v>
      </c>
      <c r="K523" s="1">
        <v>1.0006262800440517</v>
      </c>
      <c r="L523" s="1">
        <v>3.3042505007562197</v>
      </c>
      <c r="M523" s="1">
        <v>0.27202091097318937</v>
      </c>
      <c r="O523" s="1">
        <v>2.444441772780688E-2</v>
      </c>
      <c r="P523" s="1">
        <v>0.35240936052625355</v>
      </c>
      <c r="R523" s="1">
        <v>4.6403223783259437E-2</v>
      </c>
      <c r="S523" s="2">
        <f t="shared" si="96"/>
        <v>1.0354609353177564</v>
      </c>
      <c r="T523" s="4">
        <f t="shared" si="97"/>
        <v>1.0721793485691229</v>
      </c>
      <c r="U523" s="1">
        <f t="shared" si="101"/>
        <v>0.8382481273292024</v>
      </c>
      <c r="V523" s="6">
        <f>2*sigma/alpha*corel*(B523/12-1/alpha*(1-EXP(-alpha*Output!B523/12)))</f>
        <v>2.7115074003151398</v>
      </c>
      <c r="W523" s="5">
        <f t="shared" si="98"/>
        <v>-0.23393122123992049</v>
      </c>
      <c r="X523" s="1">
        <f t="shared" si="99"/>
        <v>47.276534140243527</v>
      </c>
      <c r="Y523" s="3">
        <f t="shared" si="100"/>
        <v>4.8800225928845524E-2</v>
      </c>
      <c r="Z523" s="1">
        <f t="shared" si="90"/>
        <v>0.158521933757095</v>
      </c>
      <c r="AA523" s="8">
        <f t="shared" si="95"/>
        <v>42.583333333333449</v>
      </c>
      <c r="AB523" s="1">
        <v>42.67</v>
      </c>
      <c r="AC523" s="1">
        <v>2.4709399999999999E-2</v>
      </c>
      <c r="AD523" s="8">
        <f t="shared" si="91"/>
        <v>2.6498227219311916</v>
      </c>
      <c r="AE523" s="3">
        <f t="shared" si="92"/>
        <v>1.072394603645249E-2</v>
      </c>
      <c r="AF523" s="11">
        <f t="shared" si="93"/>
        <v>42.583333333333449</v>
      </c>
      <c r="AG523" s="1">
        <f t="shared" si="94"/>
        <v>0.158521933757095</v>
      </c>
    </row>
    <row r="524" spans="2:33" ht="15">
      <c r="B524" s="1">
        <v>513</v>
      </c>
      <c r="C524" s="1">
        <v>1.000904906771245</v>
      </c>
      <c r="D524" s="1">
        <v>1.2254725068543757</v>
      </c>
      <c r="E524" s="1">
        <v>0.81489721325513143</v>
      </c>
      <c r="G524" s="1">
        <v>1.0002752118771703</v>
      </c>
      <c r="H524" s="1">
        <v>5.4120367461780585</v>
      </c>
      <c r="I524" s="1">
        <v>0.14404703762061752</v>
      </c>
      <c r="K524" s="1">
        <v>1.0006873946806407</v>
      </c>
      <c r="L524" s="1">
        <v>3.3153074919129382</v>
      </c>
      <c r="M524" s="1">
        <v>0.27105720892172708</v>
      </c>
      <c r="O524" s="1">
        <v>2.4450812802355466E-2</v>
      </c>
      <c r="P524" s="1">
        <v>0.35159608526183295</v>
      </c>
      <c r="R524" s="1">
        <v>4.6420829127243317E-2</v>
      </c>
      <c r="S524" s="2">
        <f t="shared" si="96"/>
        <v>1.0376413278854846</v>
      </c>
      <c r="T524" s="4">
        <f t="shared" si="97"/>
        <v>1.0766995253359517</v>
      </c>
      <c r="U524" s="1">
        <f t="shared" si="101"/>
        <v>0.84185216724026335</v>
      </c>
      <c r="V524" s="6">
        <f>2*sigma/alpha*corel*(B524/12-1/alpha*(1-EXP(-alpha*Output!B524/12)))</f>
        <v>2.720172511952708</v>
      </c>
      <c r="W524" s="5">
        <f t="shared" si="98"/>
        <v>-0.23484735809568835</v>
      </c>
      <c r="X524" s="1">
        <f t="shared" si="99"/>
        <v>47.558236729145818</v>
      </c>
      <c r="Y524" s="3">
        <f t="shared" si="100"/>
        <v>4.8842988377685706E-2</v>
      </c>
      <c r="Z524" s="1">
        <f t="shared" si="90"/>
        <v>0.15870083115418177</v>
      </c>
      <c r="AA524" s="8">
        <f t="shared" si="95"/>
        <v>42.666666666666785</v>
      </c>
      <c r="AB524" s="1">
        <v>42.75</v>
      </c>
      <c r="AC524" s="1">
        <v>2.47158E-2</v>
      </c>
      <c r="AD524" s="8">
        <f t="shared" si="91"/>
        <v>2.6498719764453393</v>
      </c>
      <c r="AE524" s="3">
        <f t="shared" si="92"/>
        <v>1.0721368422002683E-2</v>
      </c>
      <c r="AF524" s="11">
        <f t="shared" si="93"/>
        <v>42.666666666666785</v>
      </c>
      <c r="AG524" s="1">
        <f t="shared" si="94"/>
        <v>0.15870083115418177</v>
      </c>
    </row>
    <row r="525" spans="2:33" ht="15">
      <c r="B525" s="1">
        <v>514</v>
      </c>
      <c r="C525" s="1">
        <v>1.0009053379892521</v>
      </c>
      <c r="D525" s="1">
        <v>1.221308637401467</v>
      </c>
      <c r="E525" s="1">
        <v>0.81767320753951078</v>
      </c>
      <c r="G525" s="1">
        <v>1.0001667414574502</v>
      </c>
      <c r="H525" s="1">
        <v>5.2442057442530388</v>
      </c>
      <c r="I525" s="1">
        <v>0.14858501501714327</v>
      </c>
      <c r="K525" s="1">
        <v>1.0005978395411053</v>
      </c>
      <c r="L525" s="1">
        <v>3.3826562953961075</v>
      </c>
      <c r="M525" s="1">
        <v>0.26560511041724288</v>
      </c>
      <c r="O525" s="1">
        <v>2.4457250155406028E-2</v>
      </c>
      <c r="P525" s="1">
        <v>0.35078367771217783</v>
      </c>
      <c r="R525" s="1">
        <v>4.6393104596986888E-2</v>
      </c>
      <c r="S525" s="2">
        <f t="shared" si="96"/>
        <v>1.0394609654575915</v>
      </c>
      <c r="T525" s="4">
        <f t="shared" si="97"/>
        <v>1.0804790987100281</v>
      </c>
      <c r="U525" s="1">
        <f t="shared" si="101"/>
        <v>0.84546272308686499</v>
      </c>
      <c r="V525" s="6">
        <f>2*sigma/alpha*corel*(B525/12-1/alpha*(1-EXP(-alpha*Output!B525/12)))</f>
        <v>2.7288454531133626</v>
      </c>
      <c r="W525" s="5">
        <f t="shared" si="98"/>
        <v>-0.23501637562316313</v>
      </c>
      <c r="X525" s="1">
        <f t="shared" si="99"/>
        <v>47.712736530412755</v>
      </c>
      <c r="Y525" s="3">
        <f t="shared" si="100"/>
        <v>4.8777376005721171E-2</v>
      </c>
      <c r="Z525" s="1">
        <f t="shared" ref="Z525:Z588" si="102">S525/SQRT(B525/12)</f>
        <v>0.15882440922601562</v>
      </c>
      <c r="AA525" s="8">
        <f t="shared" si="95"/>
        <v>42.750000000000121</v>
      </c>
      <c r="AB525" s="1">
        <v>42.83</v>
      </c>
      <c r="AC525" s="1">
        <v>2.47222E-2</v>
      </c>
      <c r="AD525" s="8">
        <f t="shared" ref="AD525:AD588" si="103">(AC525-O525)*10000</f>
        <v>2.6494984459397157</v>
      </c>
      <c r="AE525" s="3">
        <f t="shared" ref="AE525:AE588" si="104">AD525/AC525/10000</f>
        <v>1.0717081998930985E-2</v>
      </c>
      <c r="AF525" s="11">
        <f t="shared" ref="AF525:AF588" si="105">AA525</f>
        <v>42.750000000000121</v>
      </c>
      <c r="AG525" s="1">
        <f t="shared" ref="AG525:AG588" si="106">Z525</f>
        <v>0.15882440922601562</v>
      </c>
    </row>
    <row r="526" spans="2:33" ht="15">
      <c r="B526" s="1">
        <v>515</v>
      </c>
      <c r="C526" s="1">
        <v>1.0009069010243401</v>
      </c>
      <c r="D526" s="1">
        <v>1.2204958320861241</v>
      </c>
      <c r="E526" s="1">
        <v>0.81821546563650249</v>
      </c>
      <c r="G526" s="1">
        <v>1.0001336093142674</v>
      </c>
      <c r="H526" s="1">
        <v>5.2112469488038773</v>
      </c>
      <c r="I526" s="1">
        <v>0.14945234891639406</v>
      </c>
      <c r="K526" s="1">
        <v>1.0006203186577427</v>
      </c>
      <c r="L526" s="1">
        <v>3.3533455981699958</v>
      </c>
      <c r="M526" s="1">
        <v>0.26787088146994187</v>
      </c>
      <c r="O526" s="1">
        <v>2.4463724311020129E-2</v>
      </c>
      <c r="P526" s="1">
        <v>0.34997221908868886</v>
      </c>
      <c r="R526" s="1">
        <v>4.6391615920185876E-2</v>
      </c>
      <c r="S526" s="2">
        <f t="shared" si="96"/>
        <v>1.0414946874044613</v>
      </c>
      <c r="T526" s="4">
        <f t="shared" si="97"/>
        <v>1.0847111838917165</v>
      </c>
      <c r="U526" s="1">
        <f t="shared" si="101"/>
        <v>0.84907978320050925</v>
      </c>
      <c r="V526" s="6">
        <f>2*sigma/alpha*corel*(B526/12-1/alpha*(1-EXP(-alpha*Output!B526/12)))</f>
        <v>2.7375262027334664</v>
      </c>
      <c r="W526" s="5">
        <f t="shared" si="98"/>
        <v>-0.23563140069120725</v>
      </c>
      <c r="X526" s="1">
        <f t="shared" si="99"/>
        <v>47.944106829309561</v>
      </c>
      <c r="Y526" s="3">
        <f t="shared" si="100"/>
        <v>4.8776412937294664E-2</v>
      </c>
      <c r="Z526" s="1">
        <f t="shared" si="102"/>
        <v>0.15898057649389519</v>
      </c>
      <c r="AA526" s="8">
        <f t="shared" ref="AA526:AA589" si="107">AA525+1/12</f>
        <v>42.833333333333456</v>
      </c>
      <c r="AB526" s="1">
        <v>42.92</v>
      </c>
      <c r="AC526" s="1">
        <v>2.47286E-2</v>
      </c>
      <c r="AD526" s="8">
        <f t="shared" si="103"/>
        <v>2.648756889798709</v>
      </c>
      <c r="AE526" s="3">
        <f t="shared" si="104"/>
        <v>1.0711309535512359E-2</v>
      </c>
      <c r="AF526" s="11">
        <f t="shared" si="105"/>
        <v>42.833333333333456</v>
      </c>
      <c r="AG526" s="1">
        <f t="shared" si="106"/>
        <v>0.15898057649389519</v>
      </c>
    </row>
    <row r="527" spans="2:33" ht="15">
      <c r="B527" s="1">
        <v>516</v>
      </c>
      <c r="C527" s="1">
        <v>1.0009093736468839</v>
      </c>
      <c r="D527" s="1">
        <v>1.2188551130300136</v>
      </c>
      <c r="E527" s="1">
        <v>0.81931458791460443</v>
      </c>
      <c r="G527" s="1">
        <v>1.0001776717126003</v>
      </c>
      <c r="H527" s="1">
        <v>5.1488905229080908</v>
      </c>
      <c r="I527" s="1">
        <v>0.1511890729320495</v>
      </c>
      <c r="K527" s="1">
        <v>1.0005286647057712</v>
      </c>
      <c r="L527" s="1">
        <v>3.3834854048384977</v>
      </c>
      <c r="M527" s="1">
        <v>0.26542940635490003</v>
      </c>
      <c r="O527" s="1">
        <v>2.4470194469097942E-2</v>
      </c>
      <c r="P527" s="1">
        <v>0.3491623208546023</v>
      </c>
      <c r="R527" s="1">
        <v>4.638183482779739E-2</v>
      </c>
      <c r="S527" s="2">
        <f t="shared" si="96"/>
        <v>1.0434631799170353</v>
      </c>
      <c r="T527" s="4">
        <f t="shared" si="97"/>
        <v>1.0888154078425711</v>
      </c>
      <c r="U527" s="1">
        <f t="shared" si="101"/>
        <v>0.85270333591259928</v>
      </c>
      <c r="V527" s="6">
        <f>2*sigma/alpha*corel*(B527/12-1/alpha*(1-EXP(-alpha*Output!B527/12)))</f>
        <v>2.7462147398060561</v>
      </c>
      <c r="W527" s="5">
        <f t="shared" si="98"/>
        <v>-0.23611207192997186</v>
      </c>
      <c r="X527" s="1">
        <f t="shared" si="99"/>
        <v>48.152971769083209</v>
      </c>
      <c r="Y527" s="3">
        <f t="shared" si="100"/>
        <v>4.8756040642533346E-2</v>
      </c>
      <c r="Z527" s="1">
        <f t="shared" si="102"/>
        <v>0.15912664313206132</v>
      </c>
      <c r="AA527" s="8">
        <f t="shared" si="107"/>
        <v>42.916666666666792</v>
      </c>
      <c r="AB527" s="1">
        <v>43</v>
      </c>
      <c r="AC527" s="1">
        <v>2.4735099999999999E-2</v>
      </c>
      <c r="AD527" s="8">
        <f t="shared" si="103"/>
        <v>2.6490553090205773</v>
      </c>
      <c r="AE527" s="3">
        <f t="shared" si="104"/>
        <v>1.0709701230318766E-2</v>
      </c>
      <c r="AF527" s="11">
        <f t="shared" si="105"/>
        <v>42.916666666666792</v>
      </c>
      <c r="AG527" s="1">
        <f t="shared" si="106"/>
        <v>0.15912664313206132</v>
      </c>
    </row>
    <row r="528" spans="2:33" ht="15">
      <c r="B528" s="1">
        <v>517</v>
      </c>
      <c r="C528" s="1">
        <v>1.0009121178211504</v>
      </c>
      <c r="D528" s="1">
        <v>1.2162011372673573</v>
      </c>
      <c r="E528" s="1">
        <v>0.82110018419554442</v>
      </c>
      <c r="G528" s="1">
        <v>1.0002641713664187</v>
      </c>
      <c r="H528" s="1">
        <v>5.0454724904419672</v>
      </c>
      <c r="I528" s="1">
        <v>0.1542133175505136</v>
      </c>
      <c r="K528" s="1">
        <v>1.0005041130004657</v>
      </c>
      <c r="L528" s="1">
        <v>3.3872907331500235</v>
      </c>
      <c r="M528" s="1">
        <v>0.2650759893982596</v>
      </c>
      <c r="O528" s="1">
        <v>2.4476691659988656E-2</v>
      </c>
      <c r="P528" s="1">
        <v>0.34835351550375765</v>
      </c>
      <c r="R528" s="1">
        <v>4.637434403120777E-2</v>
      </c>
      <c r="S528" s="2">
        <f t="shared" si="96"/>
        <v>1.0454529244637187</v>
      </c>
      <c r="T528" s="4">
        <f t="shared" si="97"/>
        <v>1.092971817269742</v>
      </c>
      <c r="U528" s="1">
        <f t="shared" si="101"/>
        <v>0.8563333695546016</v>
      </c>
      <c r="V528" s="6">
        <f>2*sigma/alpha*corel*(B528/12-1/alpha*(1-EXP(-alpha*Output!B528/12)))</f>
        <v>2.7549110433806803</v>
      </c>
      <c r="W528" s="5">
        <f t="shared" si="98"/>
        <v>-0.23663844771514042</v>
      </c>
      <c r="X528" s="1">
        <f t="shared" si="99"/>
        <v>48.370227346516693</v>
      </c>
      <c r="Y528" s="3">
        <f t="shared" si="100"/>
        <v>4.874227915827184E-2</v>
      </c>
      <c r="Z528" s="1">
        <f t="shared" si="102"/>
        <v>0.15927581400500598</v>
      </c>
      <c r="AA528" s="8">
        <f t="shared" si="107"/>
        <v>43.000000000000128</v>
      </c>
      <c r="AB528" s="1">
        <v>43.08</v>
      </c>
      <c r="AC528" s="1">
        <v>2.4741599999999999E-2</v>
      </c>
      <c r="AD528" s="8">
        <f t="shared" si="103"/>
        <v>2.6490834001134318</v>
      </c>
      <c r="AE528" s="3">
        <f t="shared" si="104"/>
        <v>1.0707001164489895E-2</v>
      </c>
      <c r="AF528" s="11">
        <f t="shared" si="105"/>
        <v>43.000000000000128</v>
      </c>
      <c r="AG528" s="1">
        <f t="shared" si="106"/>
        <v>0.15927581400500598</v>
      </c>
    </row>
    <row r="529" spans="2:33" ht="15">
      <c r="B529" s="1">
        <v>518</v>
      </c>
      <c r="C529" s="1">
        <v>1.0009140400775456</v>
      </c>
      <c r="D529" s="1">
        <v>1.2157530904777911</v>
      </c>
      <c r="E529" s="1">
        <v>0.82140048278164157</v>
      </c>
      <c r="G529" s="1">
        <v>1.0002699044277752</v>
      </c>
      <c r="H529" s="1">
        <v>5.0245042607154433</v>
      </c>
      <c r="I529" s="1">
        <v>0.15478189625762728</v>
      </c>
      <c r="K529" s="1">
        <v>1.0005614274949299</v>
      </c>
      <c r="L529" s="1">
        <v>3.3216082889381635</v>
      </c>
      <c r="M529" s="1">
        <v>0.27026136852076604</v>
      </c>
      <c r="O529" s="1">
        <v>2.4483142558319723E-2</v>
      </c>
      <c r="P529" s="1">
        <v>0.34754690183778292</v>
      </c>
      <c r="R529" s="1">
        <v>4.6317661165194431E-2</v>
      </c>
      <c r="S529" s="2">
        <f t="shared" si="96"/>
        <v>1.0470434822872872</v>
      </c>
      <c r="T529" s="4">
        <f t="shared" si="97"/>
        <v>1.0963000538002887</v>
      </c>
      <c r="U529" s="1">
        <f t="shared" si="101"/>
        <v>0.85996987245821765</v>
      </c>
      <c r="V529" s="6">
        <f>2*sigma/alpha*corel*(B529/12-1/alpha*(1-EXP(-alpha*Output!B529/12)))</f>
        <v>2.7636150925632497</v>
      </c>
      <c r="W529" s="5">
        <f t="shared" si="98"/>
        <v>-0.23633018134207107</v>
      </c>
      <c r="X529" s="1">
        <f t="shared" si="99"/>
        <v>48.443913024907651</v>
      </c>
      <c r="Y529" s="3">
        <f t="shared" si="100"/>
        <v>4.8608699664506108E-2</v>
      </c>
      <c r="Z529" s="1">
        <f t="shared" si="102"/>
        <v>0.1593640876836746</v>
      </c>
      <c r="AA529" s="8">
        <f t="shared" si="107"/>
        <v>43.083333333333464</v>
      </c>
      <c r="AB529" s="1">
        <v>43.17</v>
      </c>
      <c r="AC529" s="1">
        <v>2.4748099999999999E-2</v>
      </c>
      <c r="AD529" s="8">
        <f t="shared" si="103"/>
        <v>2.649574416802754</v>
      </c>
      <c r="AE529" s="3">
        <f t="shared" si="104"/>
        <v>1.0706173067034455E-2</v>
      </c>
      <c r="AF529" s="11">
        <f t="shared" si="105"/>
        <v>43.083333333333464</v>
      </c>
      <c r="AG529" s="1">
        <f t="shared" si="106"/>
        <v>0.1593640876836746</v>
      </c>
    </row>
    <row r="530" spans="2:33" ht="15">
      <c r="B530" s="1">
        <v>519</v>
      </c>
      <c r="C530" s="1">
        <v>1.0009115846311134</v>
      </c>
      <c r="D530" s="1">
        <v>1.2150196644129123</v>
      </c>
      <c r="E530" s="1">
        <v>0.82189399628724358</v>
      </c>
      <c r="G530" s="1">
        <v>0.99993745529224631</v>
      </c>
      <c r="H530" s="1">
        <v>4.9916726945408243</v>
      </c>
      <c r="I530" s="1">
        <v>0.15572449754871057</v>
      </c>
      <c r="K530" s="1">
        <v>1.0004813854352097</v>
      </c>
      <c r="L530" s="1">
        <v>3.3085645840665823</v>
      </c>
      <c r="M530" s="1">
        <v>0.27127032800631024</v>
      </c>
      <c r="O530" s="1">
        <v>2.448966292372633E-2</v>
      </c>
      <c r="P530" s="1">
        <v>0.3467407413216308</v>
      </c>
      <c r="R530" s="1">
        <v>4.6345358437603519E-2</v>
      </c>
      <c r="S530" s="2">
        <f t="shared" si="96"/>
        <v>1.0493229601809053</v>
      </c>
      <c r="T530" s="4">
        <f t="shared" si="97"/>
        <v>1.1010786747628178</v>
      </c>
      <c r="U530" s="1">
        <f t="shared" si="101"/>
        <v>0.86361283295555347</v>
      </c>
      <c r="V530" s="6">
        <f>2*sigma/alpha*corel*(B530/12-1/alpha*(1-EXP(-alpha*Output!B530/12)))</f>
        <v>2.7723268665158889</v>
      </c>
      <c r="W530" s="5">
        <f t="shared" si="98"/>
        <v>-0.23746584180726438</v>
      </c>
      <c r="X530" s="1">
        <f t="shared" si="99"/>
        <v>48.767386887462543</v>
      </c>
      <c r="Y530" s="3">
        <f t="shared" si="100"/>
        <v>4.8682521910327278E-2</v>
      </c>
      <c r="Z530" s="1">
        <f t="shared" si="102"/>
        <v>0.15955709469811882</v>
      </c>
      <c r="AA530" s="8">
        <f t="shared" si="107"/>
        <v>43.166666666666799</v>
      </c>
      <c r="AB530" s="1">
        <v>43.25</v>
      </c>
      <c r="AC530" s="1">
        <v>2.4754600000000002E-2</v>
      </c>
      <c r="AD530" s="8">
        <f t="shared" si="103"/>
        <v>2.6493707627367122</v>
      </c>
      <c r="AE530" s="3">
        <f t="shared" si="104"/>
        <v>1.0702539175493493E-2</v>
      </c>
      <c r="AF530" s="11">
        <f t="shared" si="105"/>
        <v>43.166666666666799</v>
      </c>
      <c r="AG530" s="1">
        <f t="shared" si="106"/>
        <v>0.15955709469811882</v>
      </c>
    </row>
    <row r="531" spans="2:33" ht="15">
      <c r="B531" s="1">
        <v>520</v>
      </c>
      <c r="C531" s="1">
        <v>1.0009105562826812</v>
      </c>
      <c r="D531" s="1">
        <v>1.2175426510928373</v>
      </c>
      <c r="E531" s="1">
        <v>0.82018856024936992</v>
      </c>
      <c r="G531" s="1">
        <v>0.99967046673113602</v>
      </c>
      <c r="H531" s="1">
        <v>5.0862822828044374</v>
      </c>
      <c r="I531" s="1">
        <v>0.15275387467880816</v>
      </c>
      <c r="K531" s="1">
        <v>1.0005537799855351</v>
      </c>
      <c r="L531" s="1">
        <v>3.3619351623254778</v>
      </c>
      <c r="M531" s="1">
        <v>0.26690831139584259</v>
      </c>
      <c r="O531" s="1">
        <v>2.4496359551369948E-2</v>
      </c>
      <c r="P531" s="1">
        <v>0.34593343255529874</v>
      </c>
      <c r="R531" s="1">
        <v>4.6351092362450726E-2</v>
      </c>
      <c r="S531" s="2">
        <f t="shared" si="96"/>
        <v>1.0514331529145593</v>
      </c>
      <c r="T531" s="4">
        <f t="shared" si="97"/>
        <v>1.1055116750478511</v>
      </c>
      <c r="U531" s="1">
        <f t="shared" si="101"/>
        <v>0.8672622393792796</v>
      </c>
      <c r="V531" s="6">
        <f>2*sigma/alpha*corel*(B531/12-1/alpha*(1-EXP(-alpha*Output!B531/12)))</f>
        <v>2.7810463444567772</v>
      </c>
      <c r="W531" s="5">
        <f t="shared" si="98"/>
        <v>-0.23824943566857149</v>
      </c>
      <c r="X531" s="1">
        <f t="shared" si="99"/>
        <v>49.030787619235461</v>
      </c>
      <c r="Y531" s="3">
        <f t="shared" si="100"/>
        <v>4.8705604913941991E-2</v>
      </c>
      <c r="Z531" s="1">
        <f t="shared" si="102"/>
        <v>0.15972416187202121</v>
      </c>
      <c r="AA531" s="8">
        <f t="shared" si="107"/>
        <v>43.250000000000135</v>
      </c>
      <c r="AB531" s="1">
        <v>43.33</v>
      </c>
      <c r="AC531" s="1">
        <v>2.4761200000000001E-2</v>
      </c>
      <c r="AD531" s="8">
        <f t="shared" si="103"/>
        <v>2.6484044863005209</v>
      </c>
      <c r="AE531" s="3">
        <f t="shared" si="104"/>
        <v>1.0695784074683461E-2</v>
      </c>
      <c r="AF531" s="11">
        <f t="shared" si="105"/>
        <v>43.250000000000135</v>
      </c>
      <c r="AG531" s="1">
        <f t="shared" si="106"/>
        <v>0.15972416187202121</v>
      </c>
    </row>
    <row r="532" spans="2:33" ht="15">
      <c r="B532" s="1">
        <v>521</v>
      </c>
      <c r="C532" s="1">
        <v>1.0009125566490384</v>
      </c>
      <c r="D532" s="1">
        <v>1.215473011078035</v>
      </c>
      <c r="E532" s="1">
        <v>0.82158281227138219</v>
      </c>
      <c r="G532" s="1">
        <v>0.99964188730953996</v>
      </c>
      <c r="H532" s="1">
        <v>5.0064334250013216</v>
      </c>
      <c r="I532" s="1">
        <v>0.15511503766883575</v>
      </c>
      <c r="K532" s="1">
        <v>1.0003833422225026</v>
      </c>
      <c r="L532" s="1">
        <v>3.3142799446798277</v>
      </c>
      <c r="M532" s="1">
        <v>0.27068972083082654</v>
      </c>
      <c r="O532" s="1">
        <v>2.4503093631065252E-2</v>
      </c>
      <c r="P532" s="1">
        <v>0.34512705703732022</v>
      </c>
      <c r="R532" s="1">
        <v>4.62876736287582E-2</v>
      </c>
      <c r="S532" s="2">
        <f t="shared" si="96"/>
        <v>1.0529825177193068</v>
      </c>
      <c r="T532" s="4">
        <f t="shared" si="97"/>
        <v>1.1087721826224903</v>
      </c>
      <c r="U532" s="1">
        <f t="shared" si="101"/>
        <v>0.87091808006279792</v>
      </c>
      <c r="V532" s="6">
        <f>2*sigma/alpha*corel*(B532/12-1/alpha*(1-EXP(-alpha*Output!B532/12)))</f>
        <v>2.7897735056600075</v>
      </c>
      <c r="W532" s="5">
        <f t="shared" si="98"/>
        <v>-0.23785410255969242</v>
      </c>
      <c r="X532" s="1">
        <f t="shared" si="99"/>
        <v>49.090165357415778</v>
      </c>
      <c r="Y532" s="3">
        <f t="shared" si="100"/>
        <v>4.8560428986371307E-2</v>
      </c>
      <c r="Z532" s="1">
        <f t="shared" si="102"/>
        <v>0.1598059415264623</v>
      </c>
      <c r="AA532" s="8">
        <f t="shared" si="107"/>
        <v>43.333333333333471</v>
      </c>
      <c r="AB532" s="1">
        <v>43.42</v>
      </c>
      <c r="AC532" s="1">
        <v>2.47677E-2</v>
      </c>
      <c r="AD532" s="8">
        <f t="shared" si="103"/>
        <v>2.6460636893474789</v>
      </c>
      <c r="AE532" s="3">
        <f t="shared" si="104"/>
        <v>1.0683526081741458E-2</v>
      </c>
      <c r="AF532" s="11">
        <f t="shared" si="105"/>
        <v>43.333333333333471</v>
      </c>
      <c r="AG532" s="1">
        <f t="shared" si="106"/>
        <v>0.1598059415264623</v>
      </c>
    </row>
    <row r="533" spans="2:33" ht="15">
      <c r="B533" s="1">
        <v>522</v>
      </c>
      <c r="C533" s="1">
        <v>1.000917425185234</v>
      </c>
      <c r="D533" s="1">
        <v>1.215982514555457</v>
      </c>
      <c r="E533" s="1">
        <v>0.82123624127712913</v>
      </c>
      <c r="G533" s="1">
        <v>0.99987412999686798</v>
      </c>
      <c r="H533" s="1">
        <v>5.023704727588135</v>
      </c>
      <c r="I533" s="1">
        <v>0.15450690539623735</v>
      </c>
      <c r="K533" s="1">
        <v>1.0004009113580687</v>
      </c>
      <c r="L533" s="1">
        <v>3.3206333692699337</v>
      </c>
      <c r="M533" s="1">
        <v>0.27011552568535185</v>
      </c>
      <c r="O533" s="1">
        <v>2.4509903125584674E-2</v>
      </c>
      <c r="P533" s="1">
        <v>0.34432104518007034</v>
      </c>
      <c r="R533" s="1">
        <v>4.6288826479390678E-2</v>
      </c>
      <c r="S533" s="2">
        <f t="shared" si="96"/>
        <v>1.0550629757417644</v>
      </c>
      <c r="T533" s="4">
        <f t="shared" si="97"/>
        <v>1.1131578827810671</v>
      </c>
      <c r="U533" s="1">
        <f t="shared" si="101"/>
        <v>0.87458034334040646</v>
      </c>
      <c r="V533" s="6">
        <f>2*sigma/alpha*corel*(B533/12-1/alpha*(1-EXP(-alpha*Output!B533/12)))</f>
        <v>2.7985083294554292</v>
      </c>
      <c r="W533" s="5">
        <f t="shared" si="98"/>
        <v>-0.23857753944066062</v>
      </c>
      <c r="X533" s="1">
        <f t="shared" si="99"/>
        <v>49.344140732706364</v>
      </c>
      <c r="Y533" s="3">
        <f t="shared" si="100"/>
        <v>4.8575059099970314E-2</v>
      </c>
      <c r="Z533" s="1">
        <f t="shared" si="102"/>
        <v>0.15996823555247353</v>
      </c>
      <c r="AA533" s="8">
        <f t="shared" si="107"/>
        <v>43.416666666666806</v>
      </c>
      <c r="AB533" s="1">
        <v>43.5</v>
      </c>
      <c r="AC533" s="1">
        <v>2.4774299999999999E-2</v>
      </c>
      <c r="AD533" s="8">
        <f t="shared" si="103"/>
        <v>2.6439687441532493</v>
      </c>
      <c r="AE533" s="3">
        <f t="shared" si="104"/>
        <v>1.0672223813198555E-2</v>
      </c>
      <c r="AF533" s="11">
        <f t="shared" si="105"/>
        <v>43.416666666666806</v>
      </c>
      <c r="AG533" s="1">
        <f t="shared" si="106"/>
        <v>0.15996823555247353</v>
      </c>
    </row>
    <row r="534" spans="2:33" ht="15">
      <c r="B534" s="1">
        <v>523</v>
      </c>
      <c r="C534" s="1">
        <v>1.0009197780937547</v>
      </c>
      <c r="D534" s="1">
        <v>1.2120119237318991</v>
      </c>
      <c r="E534" s="1">
        <v>0.82392430295964281</v>
      </c>
      <c r="G534" s="1">
        <v>0.99992595981666965</v>
      </c>
      <c r="H534" s="1">
        <v>4.8769866986709518</v>
      </c>
      <c r="I534" s="1">
        <v>0.15907798397239187</v>
      </c>
      <c r="K534" s="1">
        <v>1.0005392360668965</v>
      </c>
      <c r="L534" s="1">
        <v>3.3418628024544144</v>
      </c>
      <c r="M534" s="1">
        <v>0.26834368582662044</v>
      </c>
      <c r="O534" s="1">
        <v>2.4516694953715685E-2</v>
      </c>
      <c r="P534" s="1">
        <v>0.34351679031946297</v>
      </c>
      <c r="R534" s="1">
        <v>4.6292601256586206E-2</v>
      </c>
      <c r="S534" s="2">
        <f t="shared" si="96"/>
        <v>1.0571663596611722</v>
      </c>
      <c r="T534" s="4">
        <f t="shared" si="97"/>
        <v>1.117600711999255</v>
      </c>
      <c r="U534" s="1">
        <f t="shared" si="101"/>
        <v>0.87824901754745766</v>
      </c>
      <c r="V534" s="6">
        <f>2*sigma/alpha*corel*(B534/12-1/alpha*(1-EXP(-alpha*Output!B534/12)))</f>
        <v>2.807250795228502</v>
      </c>
      <c r="W534" s="5">
        <f t="shared" si="98"/>
        <v>-0.23935169445179738</v>
      </c>
      <c r="X534" s="1">
        <f t="shared" si="99"/>
        <v>49.607635760074402</v>
      </c>
      <c r="Y534" s="3">
        <f t="shared" si="100"/>
        <v>4.8596765175260299E-2</v>
      </c>
      <c r="Z534" s="1">
        <f t="shared" si="102"/>
        <v>0.16013383828666211</v>
      </c>
      <c r="AA534" s="8">
        <f t="shared" si="107"/>
        <v>43.500000000000142</v>
      </c>
      <c r="AB534" s="1">
        <v>43.58</v>
      </c>
      <c r="AC534" s="1">
        <v>2.4781000000000001E-2</v>
      </c>
      <c r="AD534" s="8">
        <f t="shared" si="103"/>
        <v>2.6430504628431608</v>
      </c>
      <c r="AE534" s="3">
        <f t="shared" si="104"/>
        <v>1.0665632794653809E-2</v>
      </c>
      <c r="AF534" s="11">
        <f t="shared" si="105"/>
        <v>43.500000000000142</v>
      </c>
      <c r="AG534" s="1">
        <f t="shared" si="106"/>
        <v>0.16013383828666211</v>
      </c>
    </row>
    <row r="535" spans="2:33" ht="15">
      <c r="B535" s="1">
        <v>524</v>
      </c>
      <c r="C535" s="1">
        <v>1.0009226997115923</v>
      </c>
      <c r="D535" s="1">
        <v>1.2127139593369858</v>
      </c>
      <c r="E535" s="1">
        <v>0.82344499737226595</v>
      </c>
      <c r="G535" s="1">
        <v>1.0000281510447242</v>
      </c>
      <c r="H535" s="1">
        <v>4.9014958049907218</v>
      </c>
      <c r="I535" s="1">
        <v>0.15820589506714391</v>
      </c>
      <c r="K535" s="1">
        <v>1.0004597742069812</v>
      </c>
      <c r="L535" s="1">
        <v>3.4330380025424474</v>
      </c>
      <c r="M535" s="1">
        <v>0.26116255464529303</v>
      </c>
      <c r="O535" s="1">
        <v>2.4523458220152235E-2</v>
      </c>
      <c r="P535" s="1">
        <v>0.34271445350190893</v>
      </c>
      <c r="R535" s="1">
        <v>4.6282104190804106E-2</v>
      </c>
      <c r="S535" s="2">
        <f t="shared" ref="S535:S598" si="108">optim_vol_implied(P535,R535)</f>
        <v>1.0591536330897602</v>
      </c>
      <c r="T535" s="4">
        <f t="shared" ref="T535:T598" si="109">S535*S535</f>
        <v>1.1218064184872383</v>
      </c>
      <c r="U535" s="1">
        <f t="shared" si="101"/>
        <v>0.88192409102051772</v>
      </c>
      <c r="V535" s="6">
        <f>2*sigma/alpha*corel*(B535/12-1/alpha*(1-EXP(-alpha*Output!B535/12)))</f>
        <v>2.8160008824201395</v>
      </c>
      <c r="W535" s="5">
        <f t="shared" ref="W535:W598" si="110">U535-T535</f>
        <v>-0.23988232746672056</v>
      </c>
      <c r="X535" s="1">
        <f t="shared" ref="X535:X598" si="111">V535*V535-4*W535*B535/12</f>
        <v>49.829307500644859</v>
      </c>
      <c r="Y535" s="3">
        <f t="shared" ref="Y535:Y598" si="112">(-V535+SQRT(X535))/2/B535*12</f>
        <v>4.8583818645100058E-2</v>
      </c>
      <c r="Z535" s="1">
        <f t="shared" si="102"/>
        <v>0.16028169990406024</v>
      </c>
      <c r="AA535" s="8">
        <f t="shared" si="107"/>
        <v>43.583333333333478</v>
      </c>
      <c r="AB535" s="1">
        <v>43.67</v>
      </c>
      <c r="AC535" s="1">
        <v>2.47876E-2</v>
      </c>
      <c r="AD535" s="8">
        <f t="shared" si="103"/>
        <v>2.6414177984776521</v>
      </c>
      <c r="AE535" s="3">
        <f t="shared" si="104"/>
        <v>1.0656206322829367E-2</v>
      </c>
      <c r="AF535" s="11">
        <f t="shared" si="105"/>
        <v>43.583333333333478</v>
      </c>
      <c r="AG535" s="1">
        <f t="shared" si="106"/>
        <v>0.16028169990406024</v>
      </c>
    </row>
    <row r="536" spans="2:33" ht="15">
      <c r="B536" s="1">
        <v>525</v>
      </c>
      <c r="C536" s="1">
        <v>1.0009233992650897</v>
      </c>
      <c r="D536" s="1">
        <v>1.2116732266452572</v>
      </c>
      <c r="E536" s="1">
        <v>0.8241499269899133</v>
      </c>
      <c r="G536" s="1">
        <v>0.99990910171283942</v>
      </c>
      <c r="H536" s="1">
        <v>4.8602576203503309</v>
      </c>
      <c r="I536" s="1">
        <v>0.15947097652315179</v>
      </c>
      <c r="K536" s="1">
        <v>1.0006091233605696</v>
      </c>
      <c r="L536" s="1">
        <v>3.4145886283705318</v>
      </c>
      <c r="M536" s="1">
        <v>0.26251894565506867</v>
      </c>
      <c r="O536" s="1">
        <v>2.4530324084990559E-2</v>
      </c>
      <c r="P536" s="1">
        <v>0.34191207052024564</v>
      </c>
      <c r="R536" s="1">
        <v>4.6263657526789195E-2</v>
      </c>
      <c r="S536" s="2">
        <f t="shared" si="108"/>
        <v>1.061081209571898</v>
      </c>
      <c r="T536" s="4">
        <f t="shared" si="109"/>
        <v>1.1258933333065622</v>
      </c>
      <c r="U536" s="1">
        <f t="shared" si="101"/>
        <v>0.88560555209753078</v>
      </c>
      <c r="V536" s="6">
        <f>2*sigma/alpha*corel*(B536/12-1/alpha*(1-EXP(-alpha*Output!B536/12)))</f>
        <v>2.8247585705265736</v>
      </c>
      <c r="W536" s="5">
        <f t="shared" si="110"/>
        <v>-0.24028778120903138</v>
      </c>
      <c r="X536" s="1">
        <f t="shared" si="111"/>
        <v>50.029622693343825</v>
      </c>
      <c r="Y536" s="3">
        <f t="shared" si="112"/>
        <v>4.8553183679089285E-2</v>
      </c>
      <c r="Z536" s="1">
        <f t="shared" si="102"/>
        <v>0.16042040007833433</v>
      </c>
      <c r="AA536" s="8">
        <f t="shared" si="107"/>
        <v>43.666666666666814</v>
      </c>
      <c r="AB536" s="1">
        <v>43.75</v>
      </c>
      <c r="AC536" s="1">
        <v>2.4794199999999999E-2</v>
      </c>
      <c r="AD536" s="8">
        <f t="shared" si="103"/>
        <v>2.6387591500943994</v>
      </c>
      <c r="AE536" s="3">
        <f t="shared" si="104"/>
        <v>1.0642646869406554E-2</v>
      </c>
      <c r="AF536" s="11">
        <f t="shared" si="105"/>
        <v>43.666666666666814</v>
      </c>
      <c r="AG536" s="1">
        <f t="shared" si="106"/>
        <v>0.16042040007833433</v>
      </c>
    </row>
    <row r="537" spans="2:33" ht="15">
      <c r="B537" s="1">
        <v>526</v>
      </c>
      <c r="C537" s="1">
        <v>1.0009268661222528</v>
      </c>
      <c r="D537" s="1">
        <v>1.2106334215961538</v>
      </c>
      <c r="E537" s="1">
        <v>0.82485543206501488</v>
      </c>
      <c r="G537" s="1">
        <v>1.000007384858294</v>
      </c>
      <c r="H537" s="1">
        <v>4.818125863367313</v>
      </c>
      <c r="I537" s="1">
        <v>0.16078756084131179</v>
      </c>
      <c r="K537" s="1">
        <v>1.0005574887038666</v>
      </c>
      <c r="L537" s="1">
        <v>3.3880443867076404</v>
      </c>
      <c r="M537" s="1">
        <v>0.2645205832408008</v>
      </c>
      <c r="O537" s="1">
        <v>2.4537224300578267E-2</v>
      </c>
      <c r="P537" s="1">
        <v>0.34111066217340158</v>
      </c>
      <c r="R537" s="1">
        <v>4.6243702490477739E-2</v>
      </c>
      <c r="S537" s="2">
        <f t="shared" si="108"/>
        <v>1.0629991823980702</v>
      </c>
      <c r="T537" s="4">
        <f t="shared" si="109"/>
        <v>1.1299672617789658</v>
      </c>
      <c r="U537" s="1">
        <f t="shared" si="101"/>
        <v>0.88929338911796996</v>
      </c>
      <c r="V537" s="6">
        <f>2*sigma/alpha*corel*(B537/12-1/alpha*(1-EXP(-alpha*Output!B537/12)))</f>
        <v>2.8335238390991893</v>
      </c>
      <c r="W537" s="5">
        <f t="shared" si="110"/>
        <v>-0.24067387266099582</v>
      </c>
      <c r="X537" s="1">
        <f t="shared" si="111"/>
        <v>50.227009686638006</v>
      </c>
      <c r="Y537" s="3">
        <f t="shared" si="112"/>
        <v>4.8519898894496191E-2</v>
      </c>
      <c r="Z537" s="1">
        <f t="shared" si="102"/>
        <v>0.16055753112526688</v>
      </c>
      <c r="AA537" s="8">
        <f t="shared" si="107"/>
        <v>43.750000000000149</v>
      </c>
      <c r="AB537" s="1">
        <v>43.83</v>
      </c>
      <c r="AC537" s="1">
        <v>2.4800900000000001E-2</v>
      </c>
      <c r="AD537" s="8">
        <f t="shared" si="103"/>
        <v>2.6367569942173374</v>
      </c>
      <c r="AE537" s="3">
        <f t="shared" si="104"/>
        <v>1.0631698826322179E-2</v>
      </c>
      <c r="AF537" s="11">
        <f t="shared" si="105"/>
        <v>43.750000000000149</v>
      </c>
      <c r="AG537" s="1">
        <f t="shared" si="106"/>
        <v>0.16055753112526688</v>
      </c>
    </row>
    <row r="538" spans="2:33" ht="15">
      <c r="B538" s="1">
        <v>527</v>
      </c>
      <c r="C538" s="1">
        <v>1.0009299795354811</v>
      </c>
      <c r="D538" s="1">
        <v>1.2126351426772102</v>
      </c>
      <c r="E538" s="1">
        <v>0.82349147365280118</v>
      </c>
      <c r="G538" s="1">
        <v>1.0000974984849478</v>
      </c>
      <c r="H538" s="1">
        <v>4.8917924190586257</v>
      </c>
      <c r="I538" s="1">
        <v>0.15828953757379804</v>
      </c>
      <c r="K538" s="1">
        <v>1.0007053079517862</v>
      </c>
      <c r="L538" s="1">
        <v>3.4482019366548724</v>
      </c>
      <c r="M538" s="1">
        <v>0.25985159899636662</v>
      </c>
      <c r="O538" s="1">
        <v>2.4544117384637854E-2</v>
      </c>
      <c r="P538" s="1">
        <v>0.34031084746222734</v>
      </c>
      <c r="R538" s="1">
        <v>4.6233133641514219E-2</v>
      </c>
      <c r="S538" s="2">
        <f t="shared" si="108"/>
        <v>1.0649958997981466</v>
      </c>
      <c r="T538" s="4">
        <f t="shared" si="109"/>
        <v>1.1342162665868638</v>
      </c>
      <c r="U538" s="1">
        <f t="shared" si="101"/>
        <v>0.89298759042299747</v>
      </c>
      <c r="V538" s="6">
        <f>2*sigma/alpha*corel*(B538/12-1/alpha*(1-EXP(-alpha*Output!B538/12)))</f>
        <v>2.8422966677443866</v>
      </c>
      <c r="W538" s="5">
        <f t="shared" si="110"/>
        <v>-0.24122867616386634</v>
      </c>
      <c r="X538" s="1">
        <f t="shared" si="111"/>
        <v>50.454487793590033</v>
      </c>
      <c r="Y538" s="3">
        <f t="shared" si="112"/>
        <v>4.8510462063192115E-2</v>
      </c>
      <c r="Z538" s="1">
        <f t="shared" si="102"/>
        <v>0.16070642910263144</v>
      </c>
      <c r="AA538" s="8">
        <f t="shared" si="107"/>
        <v>43.833333333333485</v>
      </c>
      <c r="AB538" s="1">
        <v>43.92</v>
      </c>
      <c r="AC538" s="1">
        <v>2.4807599999999999E-2</v>
      </c>
      <c r="AD538" s="8">
        <f t="shared" si="103"/>
        <v>2.6348261536214554</v>
      </c>
      <c r="AE538" s="3">
        <f t="shared" si="104"/>
        <v>1.0621044170421385E-2</v>
      </c>
      <c r="AF538" s="11">
        <f t="shared" si="105"/>
        <v>43.833333333333485</v>
      </c>
      <c r="AG538" s="1">
        <f t="shared" si="106"/>
        <v>0.16070642910263144</v>
      </c>
    </row>
    <row r="539" spans="2:33" ht="15">
      <c r="B539" s="1">
        <v>528</v>
      </c>
      <c r="C539" s="1">
        <v>1.0009282980419216</v>
      </c>
      <c r="D539" s="1">
        <v>1.2153921790175519</v>
      </c>
      <c r="E539" s="1">
        <v>0.821621086011323</v>
      </c>
      <c r="G539" s="1">
        <v>0.99983004031015899</v>
      </c>
      <c r="H539" s="1">
        <v>4.9908325177310946</v>
      </c>
      <c r="I539" s="1">
        <v>0.15507324486634941</v>
      </c>
      <c r="K539" s="1">
        <v>1.0007627167592796</v>
      </c>
      <c r="L539" s="1">
        <v>3.4443723482167061</v>
      </c>
      <c r="M539" s="1">
        <v>0.26008632182918046</v>
      </c>
      <c r="O539" s="1">
        <v>2.4551025973223329E-2</v>
      </c>
      <c r="P539" s="1">
        <v>0.33951228644266623</v>
      </c>
      <c r="R539" s="1">
        <v>4.6223331496899209E-2</v>
      </c>
      <c r="S539" s="2">
        <f t="shared" si="108"/>
        <v>1.0670013491876176</v>
      </c>
      <c r="T539" s="4">
        <f t="shared" si="109"/>
        <v>1.1384918791681962</v>
      </c>
      <c r="U539" s="1">
        <f t="shared" si="101"/>
        <v>0.89668814435562016</v>
      </c>
      <c r="V539" s="6">
        <f>2*sigma/alpha*corel*(B539/12-1/alpha*(1-EXP(-alpha*Output!B539/12)))</f>
        <v>2.8510770361234332</v>
      </c>
      <c r="W539" s="5">
        <f t="shared" si="110"/>
        <v>-0.241803734812576</v>
      </c>
      <c r="X539" s="1">
        <f t="shared" si="111"/>
        <v>50.686097592923758</v>
      </c>
      <c r="Y539" s="3">
        <f t="shared" si="112"/>
        <v>4.8503862565891009E-2</v>
      </c>
      <c r="Z539" s="1">
        <f t="shared" si="102"/>
        <v>0.16085650572992322</v>
      </c>
      <c r="AA539" s="8">
        <f t="shared" si="107"/>
        <v>43.916666666666821</v>
      </c>
      <c r="AB539" s="1">
        <v>44</v>
      </c>
      <c r="AC539" s="1">
        <v>2.4814300000000001E-2</v>
      </c>
      <c r="AD539" s="8">
        <f t="shared" si="103"/>
        <v>2.63274026776672</v>
      </c>
      <c r="AE539" s="3">
        <f t="shared" si="104"/>
        <v>1.0609770445939318E-2</v>
      </c>
      <c r="AF539" s="11">
        <f t="shared" si="105"/>
        <v>43.916666666666821</v>
      </c>
      <c r="AG539" s="1">
        <f t="shared" si="106"/>
        <v>0.16085650572992322</v>
      </c>
    </row>
    <row r="540" spans="2:33" ht="15">
      <c r="B540" s="1">
        <v>529</v>
      </c>
      <c r="C540" s="1">
        <v>1.0009306130990898</v>
      </c>
      <c r="D540" s="1">
        <v>1.2146257944606798</v>
      </c>
      <c r="E540" s="1">
        <v>0.82213714072412269</v>
      </c>
      <c r="G540" s="1">
        <v>0.99989126204600876</v>
      </c>
      <c r="H540" s="1">
        <v>4.9559113423643932</v>
      </c>
      <c r="I540" s="1">
        <v>0.1560903234536537</v>
      </c>
      <c r="K540" s="1">
        <v>1.000851084536273</v>
      </c>
      <c r="L540" s="1">
        <v>3.4699015316557662</v>
      </c>
      <c r="M540" s="1">
        <v>0.25811900264853549</v>
      </c>
      <c r="O540" s="1">
        <v>2.4557867253834395E-2</v>
      </c>
      <c r="P540" s="1">
        <v>0.33871621431336618</v>
      </c>
      <c r="R540" s="1">
        <v>4.6325227493453316E-2</v>
      </c>
      <c r="S540" s="2">
        <f t="shared" si="108"/>
        <v>1.0699324136356776</v>
      </c>
      <c r="T540" s="4">
        <f t="shared" si="109"/>
        <v>1.1447553697482666</v>
      </c>
      <c r="U540" s="1">
        <f t="shared" si="101"/>
        <v>0.90039503926083997</v>
      </c>
      <c r="V540" s="6">
        <f>2*sigma/alpha*corel*(B540/12-1/alpha*(1-EXP(-alpha*Output!B540/12)))</f>
        <v>2.8598649239523102</v>
      </c>
      <c r="W540" s="5">
        <f t="shared" si="110"/>
        <v>-0.24436033048742667</v>
      </c>
      <c r="X540" s="1">
        <f t="shared" si="111"/>
        <v>51.267698992535657</v>
      </c>
      <c r="Y540" s="3">
        <f t="shared" si="112"/>
        <v>4.8774461083989494E-2</v>
      </c>
      <c r="Z540" s="1">
        <f t="shared" si="102"/>
        <v>0.16114585226798203</v>
      </c>
      <c r="AA540" s="8">
        <f t="shared" si="107"/>
        <v>44.000000000000156</v>
      </c>
      <c r="AB540" s="1">
        <v>44.08</v>
      </c>
      <c r="AC540" s="1">
        <v>2.4820999999999999E-2</v>
      </c>
      <c r="AD540" s="8">
        <f t="shared" si="103"/>
        <v>2.6313274616560425</v>
      </c>
      <c r="AE540" s="3">
        <f t="shared" si="104"/>
        <v>1.0601214542750261E-2</v>
      </c>
      <c r="AF540" s="11">
        <f t="shared" si="105"/>
        <v>44.000000000000156</v>
      </c>
      <c r="AG540" s="1">
        <f t="shared" si="106"/>
        <v>0.16114585226798203</v>
      </c>
    </row>
    <row r="541" spans="2:33" ht="15">
      <c r="B541" s="1">
        <v>530</v>
      </c>
      <c r="C541" s="1">
        <v>1.000929914050382</v>
      </c>
      <c r="D541" s="1">
        <v>1.2109105273843634</v>
      </c>
      <c r="E541" s="1">
        <v>0.82465721878181009</v>
      </c>
      <c r="G541" s="1">
        <v>0.99967256562627094</v>
      </c>
      <c r="H541" s="1">
        <v>4.8208119446560573</v>
      </c>
      <c r="I541" s="1">
        <v>0.16038692294449464</v>
      </c>
      <c r="K541" s="1">
        <v>1.0009381933989339</v>
      </c>
      <c r="L541" s="1">
        <v>3.4441247940884856</v>
      </c>
      <c r="M541" s="1">
        <v>0.259996661639603</v>
      </c>
      <c r="O541" s="1">
        <v>2.4564710623758992E-2</v>
      </c>
      <c r="P541" s="1">
        <v>0.33792159229009261</v>
      </c>
      <c r="R541" s="1">
        <v>4.631369748893617E-2</v>
      </c>
      <c r="S541" s="2">
        <f t="shared" si="108"/>
        <v>1.0719264313707282</v>
      </c>
      <c r="T541" s="4">
        <f t="shared" si="109"/>
        <v>1.1490262742711845</v>
      </c>
      <c r="U541" s="1">
        <f t="shared" si="101"/>
        <v>0.90410826348580842</v>
      </c>
      <c r="V541" s="6">
        <f>2*sigma/alpha*corel*(B541/12-1/alpha*(1-EXP(-alpha*Output!B541/12)))</f>
        <v>2.8686603110015674</v>
      </c>
      <c r="W541" s="5">
        <f t="shared" si="110"/>
        <v>-0.24491801078537612</v>
      </c>
      <c r="X541" s="1">
        <f t="shared" si="111"/>
        <v>51.498060551998719</v>
      </c>
      <c r="Y541" s="3">
        <f t="shared" si="112"/>
        <v>4.8764769137939659E-2</v>
      </c>
      <c r="Z541" s="1">
        <f t="shared" si="102"/>
        <v>0.16129379786210485</v>
      </c>
      <c r="AA541" s="8">
        <f t="shared" si="107"/>
        <v>44.083333333333492</v>
      </c>
      <c r="AB541" s="1">
        <v>44.17</v>
      </c>
      <c r="AC541" s="1">
        <v>2.4827700000000001E-2</v>
      </c>
      <c r="AD541" s="8">
        <f t="shared" si="103"/>
        <v>2.6298937624100875</v>
      </c>
      <c r="AE541" s="3">
        <f t="shared" si="104"/>
        <v>1.0592579104830843E-2</v>
      </c>
      <c r="AF541" s="11">
        <f t="shared" si="105"/>
        <v>44.083333333333492</v>
      </c>
      <c r="AG541" s="1">
        <f t="shared" si="106"/>
        <v>0.16129379786210485</v>
      </c>
    </row>
    <row r="542" spans="2:33" ht="15">
      <c r="B542" s="1">
        <v>531</v>
      </c>
      <c r="C542" s="1">
        <v>1.0009282443476855</v>
      </c>
      <c r="D542" s="1">
        <v>1.2116565439582243</v>
      </c>
      <c r="E542" s="1">
        <v>0.8241471040552274</v>
      </c>
      <c r="G542" s="1">
        <v>0.99939828679103271</v>
      </c>
      <c r="H542" s="1">
        <v>4.8441808729515872</v>
      </c>
      <c r="I542" s="1">
        <v>0.15953590121413869</v>
      </c>
      <c r="K542" s="1">
        <v>1.0007744543999577</v>
      </c>
      <c r="L542" s="1">
        <v>3.3855314600829143</v>
      </c>
      <c r="M542" s="1">
        <v>0.2644413216655776</v>
      </c>
      <c r="O542" s="1">
        <v>2.4571765293228531E-2</v>
      </c>
      <c r="P542" s="1">
        <v>0.33712529778159239</v>
      </c>
      <c r="R542" s="1">
        <v>4.6247153844099588E-2</v>
      </c>
      <c r="S542" s="2">
        <f t="shared" si="108"/>
        <v>1.0734724595749443</v>
      </c>
      <c r="T542" s="4">
        <f t="shared" si="109"/>
        <v>1.1523431214658804</v>
      </c>
      <c r="U542" s="1">
        <f t="shared" si="101"/>
        <v>0.90782780537997698</v>
      </c>
      <c r="V542" s="6">
        <f>2*sigma/alpha*corel*(B542/12-1/alpha*(1-EXP(-alpha*Output!B542/12)))</f>
        <v>2.8774631770961818</v>
      </c>
      <c r="W542" s="5">
        <f t="shared" si="110"/>
        <v>-0.24451531608590338</v>
      </c>
      <c r="X542" s="1">
        <f t="shared" si="111"/>
        <v>51.559005282749347</v>
      </c>
      <c r="Y542" s="3">
        <f t="shared" si="112"/>
        <v>4.8621432611052395E-2</v>
      </c>
      <c r="Z542" s="1">
        <f t="shared" si="102"/>
        <v>0.16137426208198682</v>
      </c>
      <c r="AA542" s="8">
        <f t="shared" si="107"/>
        <v>44.166666666666828</v>
      </c>
      <c r="AB542" s="1">
        <v>44.25</v>
      </c>
      <c r="AC542" s="1">
        <v>2.48344E-2</v>
      </c>
      <c r="AD542" s="8">
        <f t="shared" si="103"/>
        <v>2.626347067714689</v>
      </c>
      <c r="AE542" s="3">
        <f t="shared" si="104"/>
        <v>1.0575439985321526E-2</v>
      </c>
      <c r="AF542" s="11">
        <f t="shared" si="105"/>
        <v>44.166666666666828</v>
      </c>
      <c r="AG542" s="1">
        <f t="shared" si="106"/>
        <v>0.16137426208198682</v>
      </c>
    </row>
    <row r="543" spans="2:33" ht="15">
      <c r="B543" s="1">
        <v>532</v>
      </c>
      <c r="C543" s="1">
        <v>1.0009302125406743</v>
      </c>
      <c r="D543" s="1">
        <v>1.2111963079643016</v>
      </c>
      <c r="E543" s="1">
        <v>0.82445788831093814</v>
      </c>
      <c r="G543" s="1">
        <v>0.99941719651402905</v>
      </c>
      <c r="H543" s="1">
        <v>4.8264935605301718</v>
      </c>
      <c r="I543" s="1">
        <v>0.16004299951751921</v>
      </c>
      <c r="K543" s="1">
        <v>1.0007946218319157</v>
      </c>
      <c r="L543" s="1">
        <v>3.4291885659626264</v>
      </c>
      <c r="M543" s="1">
        <v>0.26102032609554082</v>
      </c>
      <c r="O543" s="1">
        <v>2.4578878665524724E-2</v>
      </c>
      <c r="P543" s="1">
        <v>0.33632960895278791</v>
      </c>
      <c r="R543" s="1">
        <v>4.6273390747396913E-2</v>
      </c>
      <c r="S543" s="2">
        <f t="shared" si="108"/>
        <v>1.0757948608478143</v>
      </c>
      <c r="T543" s="4">
        <f t="shared" si="109"/>
        <v>1.1573345826265682</v>
      </c>
      <c r="U543" s="1">
        <f t="shared" si="101"/>
        <v>0.91155365329524862</v>
      </c>
      <c r="V543" s="6">
        <f>2*sigma/alpha*corel*(B543/12-1/alpha*(1-EXP(-alpha*Output!B543/12)))</f>
        <v>2.8862735021154049</v>
      </c>
      <c r="W543" s="5">
        <f t="shared" si="110"/>
        <v>-0.24578092933131956</v>
      </c>
      <c r="X543" s="1">
        <f t="shared" si="111"/>
        <v>51.915726197100852</v>
      </c>
      <c r="Y543" s="3">
        <f t="shared" si="112"/>
        <v>4.8710338449423206E-2</v>
      </c>
      <c r="Z543" s="1">
        <f t="shared" si="102"/>
        <v>0.16157131966237506</v>
      </c>
      <c r="AA543" s="8">
        <f t="shared" si="107"/>
        <v>44.250000000000163</v>
      </c>
      <c r="AB543" s="1">
        <v>44.33</v>
      </c>
      <c r="AC543" s="1">
        <v>2.4841200000000001E-2</v>
      </c>
      <c r="AD543" s="8">
        <f t="shared" si="103"/>
        <v>2.6232133447527675</v>
      </c>
      <c r="AE543" s="3">
        <f t="shared" si="104"/>
        <v>1.0559930054718641E-2</v>
      </c>
      <c r="AF543" s="11">
        <f t="shared" si="105"/>
        <v>44.250000000000163</v>
      </c>
      <c r="AG543" s="1">
        <f t="shared" si="106"/>
        <v>0.16157131966237506</v>
      </c>
    </row>
    <row r="544" spans="2:33" ht="15">
      <c r="B544" s="1">
        <v>533</v>
      </c>
      <c r="C544" s="1">
        <v>1.0009289243180466</v>
      </c>
      <c r="D544" s="1">
        <v>1.2084451436642645</v>
      </c>
      <c r="E544" s="1">
        <v>0.82633247250209219</v>
      </c>
      <c r="G544" s="1">
        <v>0.99916869908193362</v>
      </c>
      <c r="H544" s="1">
        <v>4.7271942309197303</v>
      </c>
      <c r="I544" s="1">
        <v>0.16332572604282314</v>
      </c>
      <c r="K544" s="1">
        <v>1.000759684265752</v>
      </c>
      <c r="L544" s="1">
        <v>3.4205601306905691</v>
      </c>
      <c r="M544" s="1">
        <v>0.2616242446360767</v>
      </c>
      <c r="O544" s="1">
        <v>2.4586009310592065E-2</v>
      </c>
      <c r="P544" s="1">
        <v>0.3355351429016426</v>
      </c>
      <c r="R544" s="1">
        <v>4.6225027463764744E-2</v>
      </c>
      <c r="S544" s="2">
        <f t="shared" si="108"/>
        <v>1.0774973249656858</v>
      </c>
      <c r="T544" s="4">
        <f t="shared" si="109"/>
        <v>1.1610004853082088</v>
      </c>
      <c r="U544" s="1">
        <f t="shared" si="101"/>
        <v>0.91528579558612366</v>
      </c>
      <c r="V544" s="6">
        <f>2*sigma/alpha*corel*(B544/12-1/alpha*(1-EXP(-alpha*Output!B544/12)))</f>
        <v>2.8950912659926158</v>
      </c>
      <c r="W544" s="5">
        <f t="shared" si="110"/>
        <v>-0.2457146897220851</v>
      </c>
      <c r="X544" s="1">
        <f t="shared" si="111"/>
        <v>52.036863312383851</v>
      </c>
      <c r="Y544" s="3">
        <f t="shared" si="112"/>
        <v>4.8614260895990399E-2</v>
      </c>
      <c r="Z544" s="1">
        <f t="shared" si="102"/>
        <v>0.16167513011977672</v>
      </c>
      <c r="AA544" s="8">
        <f t="shared" si="107"/>
        <v>44.333333333333499</v>
      </c>
      <c r="AB544" s="1">
        <v>44.42</v>
      </c>
      <c r="AC544" s="1">
        <v>2.4847899999999999E-2</v>
      </c>
      <c r="AD544" s="8">
        <f t="shared" si="103"/>
        <v>2.6189068940793425</v>
      </c>
      <c r="AE544" s="3">
        <f t="shared" si="104"/>
        <v>1.0539751423980869E-2</v>
      </c>
      <c r="AF544" s="11">
        <f t="shared" si="105"/>
        <v>44.333333333333499</v>
      </c>
      <c r="AG544" s="1">
        <f t="shared" si="106"/>
        <v>0.16167513011977672</v>
      </c>
    </row>
    <row r="545" spans="2:33" ht="15">
      <c r="B545" s="1">
        <v>534</v>
      </c>
      <c r="C545" s="1">
        <v>1.0009288288050584</v>
      </c>
      <c r="D545" s="1">
        <v>1.2090219808215323</v>
      </c>
      <c r="E545" s="1">
        <v>0.82593582819796152</v>
      </c>
      <c r="G545" s="1">
        <v>0.99906875735137879</v>
      </c>
      <c r="H545" s="1">
        <v>4.7486468283971224</v>
      </c>
      <c r="I545" s="1">
        <v>0.16250914398353222</v>
      </c>
      <c r="K545" s="1">
        <v>1.0007276532630749</v>
      </c>
      <c r="L545" s="1">
        <v>3.3614974365517445</v>
      </c>
      <c r="M545" s="1">
        <v>0.26616561789291149</v>
      </c>
      <c r="O545" s="1">
        <v>2.459325473682121E-2</v>
      </c>
      <c r="P545" s="1">
        <v>0.33474044591016278</v>
      </c>
      <c r="R545" s="1">
        <v>4.6109862635214202E-2</v>
      </c>
      <c r="S545" s="2">
        <f t="shared" si="108"/>
        <v>1.0786449083380758</v>
      </c>
      <c r="T545" s="4">
        <f t="shared" si="109"/>
        <v>1.1634748382836559</v>
      </c>
      <c r="U545" s="1">
        <f t="shared" si="101"/>
        <v>0.91902422060985067</v>
      </c>
      <c r="V545" s="6">
        <f>2*sigma/alpha*corel*(B545/12-1/alpha*(1-EXP(-alpha*Output!B545/12)))</f>
        <v>2.9039164487151843</v>
      </c>
      <c r="W545" s="5">
        <f t="shared" si="110"/>
        <v>-0.24445061767380527</v>
      </c>
      <c r="X545" s="1">
        <f t="shared" si="111"/>
        <v>51.944940687055947</v>
      </c>
      <c r="Y545" s="3">
        <f t="shared" si="112"/>
        <v>4.835244286118278E-2</v>
      </c>
      <c r="Z545" s="1">
        <f t="shared" si="102"/>
        <v>0.16169570799468483</v>
      </c>
      <c r="AA545" s="8">
        <f t="shared" si="107"/>
        <v>44.416666666666835</v>
      </c>
      <c r="AB545" s="1">
        <v>44.5</v>
      </c>
      <c r="AC545" s="1">
        <v>2.48547E-2</v>
      </c>
      <c r="AD545" s="8">
        <f t="shared" si="103"/>
        <v>2.6144526317879029</v>
      </c>
      <c r="AE545" s="3">
        <f t="shared" si="104"/>
        <v>1.0518946645052658E-2</v>
      </c>
      <c r="AF545" s="11">
        <f t="shared" si="105"/>
        <v>44.416666666666835</v>
      </c>
      <c r="AG545" s="1">
        <f t="shared" si="106"/>
        <v>0.16169570799468483</v>
      </c>
    </row>
    <row r="546" spans="2:33" ht="15">
      <c r="B546" s="1">
        <v>535</v>
      </c>
      <c r="C546" s="1">
        <v>1.0009334883770853</v>
      </c>
      <c r="D546" s="1">
        <v>1.2109459035137642</v>
      </c>
      <c r="E546" s="1">
        <v>0.82462120720036525</v>
      </c>
      <c r="G546" s="1">
        <v>0.99934863113258487</v>
      </c>
      <c r="H546" s="1">
        <v>4.8138881869106527</v>
      </c>
      <c r="I546" s="1">
        <v>0.1602290664075918</v>
      </c>
      <c r="K546" s="1">
        <v>1.0007092865036553</v>
      </c>
      <c r="L546" s="1">
        <v>3.2835107554527116</v>
      </c>
      <c r="M546" s="1">
        <v>0.27243055658172044</v>
      </c>
      <c r="O546" s="1">
        <v>2.4600402853478233E-2</v>
      </c>
      <c r="P546" s="1">
        <v>0.3339486766454613</v>
      </c>
      <c r="R546" s="1">
        <v>4.6098988400152356E-2</v>
      </c>
      <c r="S546" s="2">
        <f t="shared" si="108"/>
        <v>1.0806627915036009</v>
      </c>
      <c r="T546" s="4">
        <f t="shared" si="109"/>
        <v>1.1678320689403552</v>
      </c>
      <c r="U546" s="1">
        <f t="shared" si="101"/>
        <v>0.92276891672656969</v>
      </c>
      <c r="V546" s="6">
        <f>2*sigma/alpha*corel*(B546/12-1/alpha*(1-EXP(-alpha*Output!B546/12)))</f>
        <v>2.9127490303243162</v>
      </c>
      <c r="W546" s="5">
        <f t="shared" si="110"/>
        <v>-0.2450631522137855</v>
      </c>
      <c r="X546" s="1">
        <f t="shared" si="111"/>
        <v>52.18703572511366</v>
      </c>
      <c r="Y546" s="3">
        <f t="shared" si="112"/>
        <v>4.8351145505206278E-2</v>
      </c>
      <c r="Z546" s="1">
        <f t="shared" si="102"/>
        <v>0.16184673046789716</v>
      </c>
      <c r="AA546" s="8">
        <f t="shared" si="107"/>
        <v>44.500000000000171</v>
      </c>
      <c r="AB546" s="1">
        <v>44.58</v>
      </c>
      <c r="AC546" s="1">
        <v>2.4861399999999999E-2</v>
      </c>
      <c r="AD546" s="8">
        <f t="shared" si="103"/>
        <v>2.6099714652176589</v>
      </c>
      <c r="AE546" s="3">
        <f t="shared" si="104"/>
        <v>1.0498087256621345E-2</v>
      </c>
      <c r="AF546" s="11">
        <f t="shared" si="105"/>
        <v>44.500000000000171</v>
      </c>
      <c r="AG546" s="1">
        <f t="shared" si="106"/>
        <v>0.16184673046789716</v>
      </c>
    </row>
    <row r="547" spans="2:33" ht="15">
      <c r="B547" s="1">
        <v>536</v>
      </c>
      <c r="C547" s="1">
        <v>1.0009349183482663</v>
      </c>
      <c r="D547" s="1">
        <v>1.2099346277288439</v>
      </c>
      <c r="E547" s="1">
        <v>0.82530803408115416</v>
      </c>
      <c r="G547" s="1">
        <v>0.99933573661835384</v>
      </c>
      <c r="H547" s="1">
        <v>4.7853605477675076</v>
      </c>
      <c r="I547" s="1">
        <v>0.1611062027260311</v>
      </c>
      <c r="K547" s="1">
        <v>1.0008228830056551</v>
      </c>
      <c r="L547" s="1">
        <v>3.3394308896846758</v>
      </c>
      <c r="M547" s="1">
        <v>0.26781279552419862</v>
      </c>
      <c r="O547" s="1">
        <v>2.4607565696219604E-2</v>
      </c>
      <c r="P547" s="1">
        <v>0.33315816412149946</v>
      </c>
      <c r="R547" s="1">
        <v>4.6108422257093745E-2</v>
      </c>
      <c r="S547" s="2">
        <f t="shared" si="108"/>
        <v>1.0828540512346454</v>
      </c>
      <c r="T547" s="4">
        <f t="shared" si="109"/>
        <v>1.1725728962752839</v>
      </c>
      <c r="U547" s="1">
        <f t="shared" si="101"/>
        <v>0.9265198722994572</v>
      </c>
      <c r="V547" s="6">
        <f>2*sigma/alpha*corel*(B547/12-1/alpha*(1-EXP(-alpha*Output!B547/12)))</f>
        <v>2.9215889909149095</v>
      </c>
      <c r="W547" s="5">
        <f t="shared" si="110"/>
        <v>-0.24605302397582673</v>
      </c>
      <c r="X547" s="1">
        <f t="shared" si="111"/>
        <v>52.497155848849573</v>
      </c>
      <c r="Y547" s="3">
        <f t="shared" si="112"/>
        <v>4.8401900534845062E-2</v>
      </c>
      <c r="Z547" s="1">
        <f t="shared" si="102"/>
        <v>0.16202355386227976</v>
      </c>
      <c r="AA547" s="8">
        <f t="shared" si="107"/>
        <v>44.583333333333506</v>
      </c>
      <c r="AB547" s="1">
        <v>44.67</v>
      </c>
      <c r="AC547" s="1">
        <v>2.48682E-2</v>
      </c>
      <c r="AD547" s="8">
        <f t="shared" si="103"/>
        <v>2.6063430378039585</v>
      </c>
      <c r="AE547" s="3">
        <f t="shared" si="104"/>
        <v>1.0480626011548718E-2</v>
      </c>
      <c r="AF547" s="11">
        <f t="shared" si="105"/>
        <v>44.583333333333506</v>
      </c>
      <c r="AG547" s="1">
        <f t="shared" si="106"/>
        <v>0.16202355386227976</v>
      </c>
    </row>
    <row r="548" spans="2:33" ht="15">
      <c r="B548" s="1">
        <v>537</v>
      </c>
      <c r="C548" s="1">
        <v>1.0009418458841428</v>
      </c>
      <c r="D548" s="1">
        <v>1.2178347771760618</v>
      </c>
      <c r="E548" s="1">
        <v>0.81995183415200124</v>
      </c>
      <c r="G548" s="1">
        <v>0.99974965203823773</v>
      </c>
      <c r="H548" s="1">
        <v>5.070514882153331</v>
      </c>
      <c r="I548" s="1">
        <v>0.15197231804071834</v>
      </c>
      <c r="K548" s="1">
        <v>1.0007039092088228</v>
      </c>
      <c r="L548" s="1">
        <v>3.2765876455751926</v>
      </c>
      <c r="M548" s="1">
        <v>0.27289244693014914</v>
      </c>
      <c r="O548" s="1">
        <v>2.4614600269498594E-2</v>
      </c>
      <c r="P548" s="1">
        <v>0.33237103391207445</v>
      </c>
      <c r="R548" s="1">
        <v>4.6062288824688477E-2</v>
      </c>
      <c r="S548" s="2">
        <f t="shared" si="108"/>
        <v>1.0845740580599184</v>
      </c>
      <c r="T548" s="4">
        <f t="shared" si="109"/>
        <v>1.1763008874165592</v>
      </c>
      <c r="U548" s="1">
        <f t="shared" si="101"/>
        <v>0.93027707569487417</v>
      </c>
      <c r="V548" s="6">
        <f>2*sigma/alpha*corel*(B548/12-1/alpha*(1-EXP(-alpha*Output!B548/12)))</f>
        <v>2.9304363106354194</v>
      </c>
      <c r="W548" s="5">
        <f t="shared" si="110"/>
        <v>-0.24602381172168508</v>
      </c>
      <c r="X548" s="1">
        <f t="shared" si="111"/>
        <v>52.62571926887216</v>
      </c>
      <c r="Y548" s="3">
        <f t="shared" si="112"/>
        <v>4.8311981326851272E-2</v>
      </c>
      <c r="Z548" s="1">
        <f t="shared" si="102"/>
        <v>0.1621297423364717</v>
      </c>
      <c r="AA548" s="8">
        <f t="shared" si="107"/>
        <v>44.666666666666842</v>
      </c>
      <c r="AB548" s="1">
        <v>44.75</v>
      </c>
      <c r="AC548" s="1">
        <v>2.4875000000000001E-2</v>
      </c>
      <c r="AD548" s="8">
        <f t="shared" si="103"/>
        <v>2.6039973050140732</v>
      </c>
      <c r="AE548" s="3">
        <f t="shared" si="104"/>
        <v>1.0468330874428434E-2</v>
      </c>
      <c r="AF548" s="11">
        <f t="shared" si="105"/>
        <v>44.666666666666842</v>
      </c>
      <c r="AG548" s="1">
        <f t="shared" si="106"/>
        <v>0.1621297423364717</v>
      </c>
    </row>
    <row r="549" spans="2:33" ht="15">
      <c r="B549" s="1">
        <v>538</v>
      </c>
      <c r="C549" s="1">
        <v>1.0009473267581805</v>
      </c>
      <c r="D549" s="1">
        <v>1.2180782657583211</v>
      </c>
      <c r="E549" s="1">
        <v>0.81978553623764916</v>
      </c>
      <c r="G549" s="1">
        <v>1.0000667303358808</v>
      </c>
      <c r="H549" s="1">
        <v>5.0793639199962684</v>
      </c>
      <c r="I549" s="1">
        <v>0.15163408725143707</v>
      </c>
      <c r="K549" s="1">
        <v>1.0006071043791689</v>
      </c>
      <c r="L549" s="1">
        <v>3.2780928800141926</v>
      </c>
      <c r="M549" s="1">
        <v>0.27271031956371256</v>
      </c>
      <c r="O549" s="1">
        <v>2.4621561176335072E-2</v>
      </c>
      <c r="P549" s="1">
        <v>0.33158646977419959</v>
      </c>
      <c r="R549" s="1">
        <v>4.6001918318290563E-2</v>
      </c>
      <c r="S549" s="2">
        <f t="shared" si="108"/>
        <v>1.0861713230633041</v>
      </c>
      <c r="T549" s="4">
        <f t="shared" si="109"/>
        <v>1.1797681430450886</v>
      </c>
      <c r="U549" s="1">
        <f t="shared" si="101"/>
        <v>0.93404051528250198</v>
      </c>
      <c r="V549" s="6">
        <f>2*sigma/alpha*corel*(B549/12-1/alpha*(1-EXP(-alpha*Output!B549/12)))</f>
        <v>2.9392909696877028</v>
      </c>
      <c r="W549" s="5">
        <f t="shared" si="110"/>
        <v>-0.24572762776258661</v>
      </c>
      <c r="X549" s="1">
        <f t="shared" si="111"/>
        <v>52.706585983244871</v>
      </c>
      <c r="Y549" s="3">
        <f t="shared" si="112"/>
        <v>4.818556722057693E-2</v>
      </c>
      <c r="Z549" s="1">
        <f t="shared" si="102"/>
        <v>0.16221754242879424</v>
      </c>
      <c r="AA549" s="8">
        <f t="shared" si="107"/>
        <v>44.750000000000178</v>
      </c>
      <c r="AB549" s="1">
        <v>44.83</v>
      </c>
      <c r="AC549" s="1">
        <v>2.4881799999999999E-2</v>
      </c>
      <c r="AD549" s="8">
        <f t="shared" si="103"/>
        <v>2.6023882366492739</v>
      </c>
      <c r="AE549" s="3">
        <f t="shared" si="104"/>
        <v>1.0459003113316857E-2</v>
      </c>
      <c r="AF549" s="11">
        <f t="shared" si="105"/>
        <v>44.750000000000178</v>
      </c>
      <c r="AG549" s="1">
        <f t="shared" si="106"/>
        <v>0.16221754242879424</v>
      </c>
    </row>
    <row r="550" spans="2:33" ht="15">
      <c r="B550" s="1">
        <v>539</v>
      </c>
      <c r="C550" s="1">
        <v>1.0009475404872641</v>
      </c>
      <c r="D550" s="1">
        <v>1.2224644960615088</v>
      </c>
      <c r="E550" s="1">
        <v>0.81684173777172731</v>
      </c>
      <c r="G550" s="1">
        <v>0.99997285613654407</v>
      </c>
      <c r="H550" s="1">
        <v>5.2471065637845378</v>
      </c>
      <c r="I550" s="1">
        <v>0.14671546900703761</v>
      </c>
      <c r="K550" s="1">
        <v>1.0005978570776819</v>
      </c>
      <c r="L550" s="1">
        <v>3.2481787842634873</v>
      </c>
      <c r="M550" s="1">
        <v>0.27516451293023308</v>
      </c>
      <c r="O550" s="1">
        <v>2.462841910993464E-2</v>
      </c>
      <c r="P550" s="1">
        <v>0.33080490386341549</v>
      </c>
      <c r="R550" s="1">
        <v>4.5963521130940023E-2</v>
      </c>
      <c r="S550" s="2">
        <f t="shared" si="108"/>
        <v>1.0879506822931957</v>
      </c>
      <c r="T550" s="4">
        <f t="shared" si="109"/>
        <v>1.1836366871022301</v>
      </c>
      <c r="U550" s="1">
        <f t="shared" si="101"/>
        <v>0.93781017943548839</v>
      </c>
      <c r="V550" s="6">
        <f>2*sigma/alpha*corel*(B550/12-1/alpha*(1-EXP(-alpha*Output!B550/12)))</f>
        <v>2.9481529483268782</v>
      </c>
      <c r="W550" s="5">
        <f t="shared" si="110"/>
        <v>-0.24582650766674174</v>
      </c>
      <c r="X550" s="1">
        <f t="shared" si="111"/>
        <v>52.858435017519724</v>
      </c>
      <c r="Y550" s="3">
        <f t="shared" si="112"/>
        <v>4.811385213634263E-2</v>
      </c>
      <c r="Z550" s="1">
        <f t="shared" si="102"/>
        <v>0.16233248963057284</v>
      </c>
      <c r="AA550" s="8">
        <f t="shared" si="107"/>
        <v>44.833333333333513</v>
      </c>
      <c r="AB550" s="1">
        <v>44.92</v>
      </c>
      <c r="AC550" s="1">
        <v>2.48887E-2</v>
      </c>
      <c r="AD550" s="8">
        <f t="shared" si="103"/>
        <v>2.6028089006535984</v>
      </c>
      <c r="AE550" s="3">
        <f t="shared" si="104"/>
        <v>1.045779370016754E-2</v>
      </c>
      <c r="AF550" s="11">
        <f t="shared" si="105"/>
        <v>44.833333333333513</v>
      </c>
      <c r="AG550" s="1">
        <f t="shared" si="106"/>
        <v>0.16233248963057284</v>
      </c>
    </row>
    <row r="551" spans="2:33" ht="15">
      <c r="B551" s="1">
        <v>540</v>
      </c>
      <c r="C551" s="1">
        <v>1.0009505942642623</v>
      </c>
      <c r="D551" s="1">
        <v>1.222880277664572</v>
      </c>
      <c r="E551" s="1">
        <v>0.81656161691209739</v>
      </c>
      <c r="G551" s="1">
        <v>1.0001013815320461</v>
      </c>
      <c r="H551" s="1">
        <v>5.2591094434684464</v>
      </c>
      <c r="I551" s="1">
        <v>0.1463097268898792</v>
      </c>
      <c r="K551" s="1">
        <v>1.0006097172272166</v>
      </c>
      <c r="L551" s="1">
        <v>3.3585781692832772</v>
      </c>
      <c r="M551" s="1">
        <v>0.2660641801961437</v>
      </c>
      <c r="O551" s="1">
        <v>2.4635227935643073E-2</v>
      </c>
      <c r="P551" s="1">
        <v>0.33002553223550096</v>
      </c>
      <c r="R551" s="1">
        <v>4.6019219393324214E-2</v>
      </c>
      <c r="S551" s="2">
        <f t="shared" si="108"/>
        <v>1.0905277450747286</v>
      </c>
      <c r="T551" s="4">
        <f t="shared" si="109"/>
        <v>1.1892507627777722</v>
      </c>
      <c r="U551" s="1">
        <f t="shared" si="101"/>
        <v>0.94158605653058847</v>
      </c>
      <c r="V551" s="6">
        <f>2*sigma/alpha*corel*(B551/12-1/alpha*(1-EXP(-alpha*Output!B551/12)))</f>
        <v>2.9570222268611874</v>
      </c>
      <c r="W551" s="5">
        <f t="shared" si="110"/>
        <v>-0.24766470624718373</v>
      </c>
      <c r="X551" s="1">
        <f t="shared" si="111"/>
        <v>53.323627574644163</v>
      </c>
      <c r="Y551" s="3">
        <f t="shared" si="112"/>
        <v>4.8280896315939181E-2</v>
      </c>
      <c r="Z551" s="1">
        <f t="shared" si="102"/>
        <v>0.16256627795577697</v>
      </c>
      <c r="AA551" s="8">
        <f t="shared" si="107"/>
        <v>44.916666666666849</v>
      </c>
      <c r="AB551" s="1">
        <v>45</v>
      </c>
      <c r="AC551" s="1">
        <v>2.4895500000000001E-2</v>
      </c>
      <c r="AD551" s="8">
        <f t="shared" si="103"/>
        <v>2.6027206435692838</v>
      </c>
      <c r="AE551" s="3">
        <f t="shared" si="104"/>
        <v>1.0454582730088906E-2</v>
      </c>
      <c r="AF551" s="11">
        <f t="shared" si="105"/>
        <v>44.916666666666849</v>
      </c>
      <c r="AG551" s="1">
        <f t="shared" si="106"/>
        <v>0.16256627795577697</v>
      </c>
    </row>
    <row r="552" spans="2:33" ht="15">
      <c r="B552" s="1">
        <v>541</v>
      </c>
      <c r="C552" s="1">
        <v>1.0009534126422035</v>
      </c>
      <c r="D552" s="1">
        <v>1.2220135784797044</v>
      </c>
      <c r="E552" s="1">
        <v>0.8171383545184272</v>
      </c>
      <c r="G552" s="1">
        <v>1.0001766252584052</v>
      </c>
      <c r="H552" s="1">
        <v>5.2231342340629778</v>
      </c>
      <c r="I552" s="1">
        <v>0.14724611220497424</v>
      </c>
      <c r="K552" s="1">
        <v>1.0007547817030402</v>
      </c>
      <c r="L552" s="1">
        <v>3.3142978443744577</v>
      </c>
      <c r="M552" s="1">
        <v>0.2695627376784705</v>
      </c>
      <c r="O552" s="1">
        <v>2.4641931091870413E-2</v>
      </c>
      <c r="P552" s="1">
        <v>0.32924919168135136</v>
      </c>
      <c r="R552" s="1">
        <v>4.6049101045049709E-2</v>
      </c>
      <c r="S552" s="2">
        <f t="shared" si="108"/>
        <v>1.0928849387905577</v>
      </c>
      <c r="T552" s="4">
        <f t="shared" si="109"/>
        <v>1.1943974894352412</v>
      </c>
      <c r="U552" s="1">
        <f t="shared" si="101"/>
        <v>0.94536813494829952</v>
      </c>
      <c r="V552" s="6">
        <f>2*sigma/alpha*corel*(B552/12-1/alpha*(1-EXP(-alpha*Output!B552/12)))</f>
        <v>2.9658987856518459</v>
      </c>
      <c r="W552" s="5">
        <f t="shared" si="110"/>
        <v>-0.24902935448694163</v>
      </c>
      <c r="X552" s="1">
        <f t="shared" si="111"/>
        <v>53.704849199209576</v>
      </c>
      <c r="Y552" s="3">
        <f t="shared" si="112"/>
        <v>4.8382186221870252E-2</v>
      </c>
      <c r="Z552" s="1">
        <f t="shared" si="102"/>
        <v>0.16276702714648678</v>
      </c>
      <c r="AA552" s="8">
        <f t="shared" si="107"/>
        <v>45.000000000000185</v>
      </c>
      <c r="AB552" s="1">
        <v>45.08</v>
      </c>
      <c r="AC552" s="1">
        <v>2.4902400000000002E-2</v>
      </c>
      <c r="AD552" s="8">
        <f t="shared" si="103"/>
        <v>2.6046890812958869</v>
      </c>
      <c r="AE552" s="3">
        <f t="shared" si="104"/>
        <v>1.0459590566756164E-2</v>
      </c>
      <c r="AF552" s="11">
        <f t="shared" si="105"/>
        <v>45.000000000000185</v>
      </c>
      <c r="AG552" s="1">
        <f t="shared" si="106"/>
        <v>0.16276702714648678</v>
      </c>
    </row>
    <row r="553" spans="2:33" ht="15">
      <c r="B553" s="1">
        <v>542</v>
      </c>
      <c r="C553" s="1">
        <v>1.0009485473442372</v>
      </c>
      <c r="D553" s="1">
        <v>1.2185076584526418</v>
      </c>
      <c r="E553" s="1">
        <v>0.81948703403439394</v>
      </c>
      <c r="G553" s="1">
        <v>0.99968872631884864</v>
      </c>
      <c r="H553" s="1">
        <v>5.0897400138290187</v>
      </c>
      <c r="I553" s="1">
        <v>0.15103202277965486</v>
      </c>
      <c r="K553" s="1">
        <v>1.0007113247502513</v>
      </c>
      <c r="L553" s="1">
        <v>3.2904664153466996</v>
      </c>
      <c r="M553" s="1">
        <v>0.27145850456546872</v>
      </c>
      <c r="O553" s="1">
        <v>2.4648690401071878E-2</v>
      </c>
      <c r="P553" s="1">
        <v>0.32847347730483867</v>
      </c>
      <c r="R553" s="1">
        <v>4.6077619026083871E-2</v>
      </c>
      <c r="S553" s="2">
        <f t="shared" si="108"/>
        <v>1.0952359000229464</v>
      </c>
      <c r="T553" s="4">
        <f t="shared" si="109"/>
        <v>1.1995416766990734</v>
      </c>
      <c r="U553" s="1">
        <f t="shared" si="101"/>
        <v>0.94915640307300064</v>
      </c>
      <c r="V553" s="6">
        <f>2*sigma/alpha*corel*(B553/12-1/alpha*(1-EXP(-alpha*Output!B553/12)))</f>
        <v>2.9747826051129023</v>
      </c>
      <c r="W553" s="5">
        <f t="shared" si="110"/>
        <v>-0.25038527362607277</v>
      </c>
      <c r="X553" s="1">
        <f t="shared" si="111"/>
        <v>54.085604316126123</v>
      </c>
      <c r="Y553" s="3">
        <f t="shared" si="112"/>
        <v>4.8481648921981084E-2</v>
      </c>
      <c r="Z553" s="1">
        <f t="shared" si="102"/>
        <v>0.16296661714382035</v>
      </c>
      <c r="AA553" s="8">
        <f t="shared" si="107"/>
        <v>45.08333333333352</v>
      </c>
      <c r="AB553" s="1">
        <v>45.17</v>
      </c>
      <c r="AC553" s="1">
        <v>2.4909299999999999E-2</v>
      </c>
      <c r="AD553" s="8">
        <f t="shared" si="103"/>
        <v>2.6060959892812083</v>
      </c>
      <c r="AE553" s="3">
        <f t="shared" si="104"/>
        <v>1.0462341331475427E-2</v>
      </c>
      <c r="AF553" s="11">
        <f t="shared" si="105"/>
        <v>45.08333333333352</v>
      </c>
      <c r="AG553" s="1">
        <f t="shared" si="106"/>
        <v>0.16296661714382035</v>
      </c>
    </row>
    <row r="554" spans="2:33" ht="15">
      <c r="B554" s="1">
        <v>543</v>
      </c>
      <c r="C554" s="1">
        <v>1.0009466304032113</v>
      </c>
      <c r="D554" s="1">
        <v>1.2178852789812373</v>
      </c>
      <c r="E554" s="1">
        <v>0.81990340188442556</v>
      </c>
      <c r="G554" s="1">
        <v>0.9993518111493267</v>
      </c>
      <c r="H554" s="1">
        <v>5.066637201730658</v>
      </c>
      <c r="I554" s="1">
        <v>0.1516472161188461</v>
      </c>
      <c r="K554" s="1">
        <v>1.0006736472199036</v>
      </c>
      <c r="L554" s="1">
        <v>3.2961675756630502</v>
      </c>
      <c r="M554" s="1">
        <v>0.27093253079785562</v>
      </c>
      <c r="O554" s="1">
        <v>2.4655643301460931E-2</v>
      </c>
      <c r="P554" s="1">
        <v>0.32769635071584718</v>
      </c>
      <c r="R554" s="1">
        <v>4.6065069241060123E-2</v>
      </c>
      <c r="S554" s="2">
        <f t="shared" si="108"/>
        <v>1.097247315909182</v>
      </c>
      <c r="T554" s="4">
        <f t="shared" si="109"/>
        <v>1.2039516722699042</v>
      </c>
      <c r="U554" s="1">
        <f t="shared" si="101"/>
        <v>0.95295084929309193</v>
      </c>
      <c r="V554" s="6">
        <f>2*sigma/alpha*corel*(B554/12-1/alpha*(1-EXP(-alpha*Output!B554/12)))</f>
        <v>2.9836736657111014</v>
      </c>
      <c r="W554" s="5">
        <f t="shared" si="110"/>
        <v>-0.25100082297681225</v>
      </c>
      <c r="X554" s="1">
        <f t="shared" si="111"/>
        <v>54.333457502260941</v>
      </c>
      <c r="Y554" s="3">
        <f t="shared" si="112"/>
        <v>4.848010555564182E-2</v>
      </c>
      <c r="Z554" s="1">
        <f t="shared" si="102"/>
        <v>0.16311550138014205</v>
      </c>
      <c r="AA554" s="8">
        <f t="shared" si="107"/>
        <v>45.166666666666856</v>
      </c>
      <c r="AB554" s="1">
        <v>45.25</v>
      </c>
      <c r="AC554" s="1">
        <v>2.4916199999999999E-2</v>
      </c>
      <c r="AD554" s="8">
        <f t="shared" si="103"/>
        <v>2.6055669853906895</v>
      </c>
      <c r="AE554" s="3">
        <f t="shared" si="104"/>
        <v>1.0457320881156395E-2</v>
      </c>
      <c r="AF554" s="11">
        <f t="shared" si="105"/>
        <v>45.166666666666856</v>
      </c>
      <c r="AG554" s="1">
        <f t="shared" si="106"/>
        <v>0.16311550138014205</v>
      </c>
    </row>
    <row r="555" spans="2:33" ht="15">
      <c r="B555" s="1">
        <v>544</v>
      </c>
      <c r="C555" s="1">
        <v>1.0009463255271642</v>
      </c>
      <c r="D555" s="1">
        <v>1.2169943511763941</v>
      </c>
      <c r="E555" s="1">
        <v>0.82050120715835739</v>
      </c>
      <c r="G555" s="1">
        <v>0.99924574500107322</v>
      </c>
      <c r="H555" s="1">
        <v>5.0304205449210269</v>
      </c>
      <c r="I555" s="1">
        <v>0.15266502947982408</v>
      </c>
      <c r="K555" s="1">
        <v>1.0006171083559789</v>
      </c>
      <c r="L555" s="1">
        <v>3.3366307346750892</v>
      </c>
      <c r="M555" s="1">
        <v>0.26759119118753422</v>
      </c>
      <c r="O555" s="1">
        <v>2.4662629859746238E-2</v>
      </c>
      <c r="P555" s="1">
        <v>0.32692018504517811</v>
      </c>
      <c r="R555" s="1">
        <v>4.6040306173368052E-2</v>
      </c>
      <c r="S555" s="2">
        <f t="shared" si="108"/>
        <v>1.0991574372340704</v>
      </c>
      <c r="T555" s="4">
        <f t="shared" si="109"/>
        <v>1.2081470718269696</v>
      </c>
      <c r="U555" s="1">
        <f t="shared" si="101"/>
        <v>0.95675146200112793</v>
      </c>
      <c r="V555" s="6">
        <f>2*sigma/alpha*corel*(B555/12-1/alpha*(1-EXP(-alpha*Output!B555/12)))</f>
        <v>2.992571947965732</v>
      </c>
      <c r="W555" s="5">
        <f t="shared" si="110"/>
        <v>-0.25139560982584164</v>
      </c>
      <c r="X555" s="1">
        <f t="shared" si="111"/>
        <v>54.54189077883737</v>
      </c>
      <c r="Y555" s="3">
        <f t="shared" si="112"/>
        <v>4.8448634985802069E-2</v>
      </c>
      <c r="Z555" s="1">
        <f t="shared" si="102"/>
        <v>0.16324920537327794</v>
      </c>
      <c r="AA555" s="8">
        <f t="shared" si="107"/>
        <v>45.250000000000192</v>
      </c>
      <c r="AB555" s="1">
        <v>45.33</v>
      </c>
      <c r="AC555" s="1">
        <v>2.49231E-2</v>
      </c>
      <c r="AD555" s="8">
        <f t="shared" si="103"/>
        <v>2.6047014025376223</v>
      </c>
      <c r="AE555" s="3">
        <f t="shared" si="104"/>
        <v>1.0450952740781132E-2</v>
      </c>
      <c r="AF555" s="11">
        <f t="shared" si="105"/>
        <v>45.250000000000192</v>
      </c>
      <c r="AG555" s="1">
        <f t="shared" si="106"/>
        <v>0.16324920537327794</v>
      </c>
    </row>
    <row r="556" spans="2:33" ht="15">
      <c r="B556" s="1">
        <v>545</v>
      </c>
      <c r="C556" s="1">
        <v>1.0009493218975263</v>
      </c>
      <c r="D556" s="1">
        <v>1.2149633888024194</v>
      </c>
      <c r="E556" s="1">
        <v>0.82187034528507774</v>
      </c>
      <c r="G556" s="1">
        <v>0.99928560731445881</v>
      </c>
      <c r="H556" s="1">
        <v>4.9446070528188226</v>
      </c>
      <c r="I556" s="1">
        <v>0.15523930287107887</v>
      </c>
      <c r="K556" s="1">
        <v>1.0005893324827444</v>
      </c>
      <c r="L556" s="1">
        <v>3.2866416539085255</v>
      </c>
      <c r="M556" s="1">
        <v>0.27160460289655908</v>
      </c>
      <c r="O556" s="1">
        <v>2.4669641907394374E-2</v>
      </c>
      <c r="P556" s="1">
        <v>0.32614510043077299</v>
      </c>
      <c r="R556" s="1">
        <v>4.5975804625110896E-2</v>
      </c>
      <c r="S556" s="2">
        <f t="shared" si="108"/>
        <v>1.1007293250927594</v>
      </c>
      <c r="T556" s="4">
        <f t="shared" si="109"/>
        <v>1.2116050471191617</v>
      </c>
      <c r="U556" s="1">
        <f t="shared" si="101"/>
        <v>0.96055822959394921</v>
      </c>
      <c r="V556" s="6">
        <f>2*sigma/alpha*corel*(B556/12-1/alpha*(1-EXP(-alpha*Output!B556/12)))</f>
        <v>3.0014774324484947</v>
      </c>
      <c r="W556" s="5">
        <f t="shared" si="110"/>
        <v>-0.25104681752521252</v>
      </c>
      <c r="X556" s="1">
        <f t="shared" si="111"/>
        <v>54.615705294577879</v>
      </c>
      <c r="Y556" s="3">
        <f t="shared" si="112"/>
        <v>4.8316695348404576E-2</v>
      </c>
      <c r="Z556" s="1">
        <f t="shared" si="102"/>
        <v>0.16333261254841239</v>
      </c>
      <c r="AA556" s="8">
        <f t="shared" si="107"/>
        <v>45.333333333333528</v>
      </c>
      <c r="AB556" s="1">
        <v>45.42</v>
      </c>
      <c r="AC556" s="1">
        <v>2.4930000000000001E-2</v>
      </c>
      <c r="AD556" s="8">
        <f t="shared" si="103"/>
        <v>2.6035809260562677</v>
      </c>
      <c r="AE556" s="3">
        <f t="shared" si="104"/>
        <v>1.0443565688151895E-2</v>
      </c>
      <c r="AF556" s="11">
        <f t="shared" si="105"/>
        <v>45.333333333333528</v>
      </c>
      <c r="AG556" s="1">
        <f t="shared" si="106"/>
        <v>0.16333261254841239</v>
      </c>
    </row>
    <row r="557" spans="2:33" ht="15">
      <c r="B557" s="1">
        <v>546</v>
      </c>
      <c r="C557" s="1">
        <v>1.0009499975270661</v>
      </c>
      <c r="D557" s="1">
        <v>1.2185232390516179</v>
      </c>
      <c r="E557" s="1">
        <v>0.81946686595423712</v>
      </c>
      <c r="G557" s="1">
        <v>0.9992228358214772</v>
      </c>
      <c r="H557" s="1">
        <v>5.0760120718533592</v>
      </c>
      <c r="I557" s="1">
        <v>0.15114731187497391</v>
      </c>
      <c r="K557" s="1">
        <v>1.0005300832429227</v>
      </c>
      <c r="L557" s="1">
        <v>3.2961016322957253</v>
      </c>
      <c r="M557" s="1">
        <v>0.27076866788007214</v>
      </c>
      <c r="O557" s="1">
        <v>2.4676684521537529E-2</v>
      </c>
      <c r="P557" s="1">
        <v>0.32537102066773155</v>
      </c>
      <c r="R557" s="1">
        <v>4.599257190064035E-2</v>
      </c>
      <c r="S557" s="2">
        <f t="shared" si="108"/>
        <v>1.1030005248962909</v>
      </c>
      <c r="T557" s="4">
        <f t="shared" si="109"/>
        <v>1.2166101579214932</v>
      </c>
      <c r="U557" s="1">
        <f t="shared" si="101"/>
        <v>0.96437114047282169</v>
      </c>
      <c r="V557" s="6">
        <f>2*sigma/alpha*corel*(B557/12-1/alpha*(1-EXP(-alpha*Output!B557/12)))</f>
        <v>3.0103900997833595</v>
      </c>
      <c r="W557" s="5">
        <f t="shared" si="110"/>
        <v>-0.2522390174486715</v>
      </c>
      <c r="X557" s="1">
        <f t="shared" si="111"/>
        <v>54.969949728531873</v>
      </c>
      <c r="Y557" s="3">
        <f t="shared" si="112"/>
        <v>4.8393210127620157E-2</v>
      </c>
      <c r="Z557" s="1">
        <f t="shared" si="102"/>
        <v>0.16351967707124229</v>
      </c>
      <c r="AA557" s="8">
        <f t="shared" si="107"/>
        <v>45.416666666666863</v>
      </c>
      <c r="AB557" s="1">
        <v>45.5</v>
      </c>
      <c r="AC557" s="1">
        <v>2.4936900000000001E-2</v>
      </c>
      <c r="AD557" s="8">
        <f t="shared" si="103"/>
        <v>2.6021547846247217</v>
      </c>
      <c r="AE557" s="3">
        <f t="shared" si="104"/>
        <v>1.043495696989089E-2</v>
      </c>
      <c r="AF557" s="11">
        <f t="shared" si="105"/>
        <v>45.416666666666863</v>
      </c>
      <c r="AG557" s="1">
        <f t="shared" si="106"/>
        <v>0.16351967707124229</v>
      </c>
    </row>
    <row r="558" spans="2:33" ht="15">
      <c r="B558" s="1">
        <v>547</v>
      </c>
      <c r="C558" s="1">
        <v>1.0009525759574565</v>
      </c>
      <c r="D558" s="1">
        <v>1.2159908714917818</v>
      </c>
      <c r="E558" s="1">
        <v>0.82117101114799329</v>
      </c>
      <c r="G558" s="1">
        <v>0.99928764030938799</v>
      </c>
      <c r="H558" s="1">
        <v>4.9866146288956346</v>
      </c>
      <c r="I558" s="1">
        <v>0.15378248389200147</v>
      </c>
      <c r="K558" s="1">
        <v>1.0004317904157793</v>
      </c>
      <c r="L558" s="1">
        <v>3.2643364631874845</v>
      </c>
      <c r="M558" s="1">
        <v>0.27334655728680274</v>
      </c>
      <c r="O558" s="1">
        <v>2.4683607300046539E-2</v>
      </c>
      <c r="P558" s="1">
        <v>0.32460017024447535</v>
      </c>
      <c r="R558" s="1">
        <v>4.6023796152863505E-2</v>
      </c>
      <c r="S558" s="2">
        <f t="shared" si="108"/>
        <v>1.1053940449438164</v>
      </c>
      <c r="T558" s="4">
        <f t="shared" si="109"/>
        <v>1.2218959945972521</v>
      </c>
      <c r="U558" s="1">
        <f t="shared" si="101"/>
        <v>0.9681901830435623</v>
      </c>
      <c r="V558" s="6">
        <f>2*sigma/alpha*corel*(B558/12-1/alpha*(1-EXP(-alpha*Output!B558/12)))</f>
        <v>3.0193099306464202</v>
      </c>
      <c r="W558" s="5">
        <f t="shared" si="110"/>
        <v>-0.25370581155368976</v>
      </c>
      <c r="X558" s="1">
        <f t="shared" si="111"/>
        <v>55.375258763922858</v>
      </c>
      <c r="Y558" s="3">
        <f t="shared" si="112"/>
        <v>4.8506166242302237E-2</v>
      </c>
      <c r="Z558" s="1">
        <f t="shared" si="102"/>
        <v>0.16372465367656738</v>
      </c>
      <c r="AA558" s="8">
        <f t="shared" si="107"/>
        <v>45.500000000000199</v>
      </c>
      <c r="AB558" s="1">
        <v>45.58</v>
      </c>
      <c r="AC558" s="1">
        <v>2.4943900000000001E-2</v>
      </c>
      <c r="AD558" s="8">
        <f t="shared" si="103"/>
        <v>2.60292699953462</v>
      </c>
      <c r="AE558" s="3">
        <f t="shared" si="104"/>
        <v>1.0435124417330971E-2</v>
      </c>
      <c r="AF558" s="11">
        <f t="shared" si="105"/>
        <v>45.500000000000199</v>
      </c>
      <c r="AG558" s="1">
        <f t="shared" si="106"/>
        <v>0.16372465367656738</v>
      </c>
    </row>
    <row r="559" spans="2:33" ht="15">
      <c r="B559" s="1">
        <v>548</v>
      </c>
      <c r="C559" s="1">
        <v>1.0009568499606858</v>
      </c>
      <c r="D559" s="1">
        <v>1.2199217853601769</v>
      </c>
      <c r="E559" s="1">
        <v>0.8185225431753993</v>
      </c>
      <c r="G559" s="1">
        <v>0.99950729830118212</v>
      </c>
      <c r="H559" s="1">
        <v>5.1297821598327022</v>
      </c>
      <c r="I559" s="1">
        <v>0.14941815092354863</v>
      </c>
      <c r="K559" s="1">
        <v>1.0003616343845581</v>
      </c>
      <c r="L559" s="1">
        <v>3.289186811271481</v>
      </c>
      <c r="M559" s="1">
        <v>0.2712248680036784</v>
      </c>
      <c r="O559" s="1">
        <v>2.4690497478993399E-2</v>
      </c>
      <c r="P559" s="1">
        <v>0.3238312545325267</v>
      </c>
      <c r="R559" s="1">
        <v>4.600303145098255E-2</v>
      </c>
      <c r="S559" s="2">
        <f t="shared" si="108"/>
        <v>1.1073412719141154</v>
      </c>
      <c r="T559" s="4">
        <f t="shared" si="109"/>
        <v>1.2262046924843708</v>
      </c>
      <c r="U559" s="1">
        <f t="shared" si="101"/>
        <v>0.97201534571667558</v>
      </c>
      <c r="V559" s="6">
        <f>2*sigma/alpha*corel*(B559/12-1/alpha*(1-EXP(-alpha*Output!B559/12)))</f>
        <v>3.0282369057657572</v>
      </c>
      <c r="W559" s="5">
        <f t="shared" si="110"/>
        <v>-0.25418934676769522</v>
      </c>
      <c r="X559" s="1">
        <f t="shared" si="111"/>
        <v>55.60213943367409</v>
      </c>
      <c r="Y559" s="3">
        <f t="shared" si="112"/>
        <v>4.8486649335529569E-2</v>
      </c>
      <c r="Z559" s="1">
        <f t="shared" si="102"/>
        <v>0.16386335052611112</v>
      </c>
      <c r="AA559" s="8">
        <f t="shared" si="107"/>
        <v>45.583333333333535</v>
      </c>
      <c r="AB559" s="1">
        <v>45.67</v>
      </c>
      <c r="AC559" s="1">
        <v>2.4950900000000002E-2</v>
      </c>
      <c r="AD559" s="8">
        <f t="shared" si="103"/>
        <v>2.6040252100660228</v>
      </c>
      <c r="AE559" s="3">
        <f t="shared" si="104"/>
        <v>1.0436598319363321E-2</v>
      </c>
      <c r="AF559" s="11">
        <f t="shared" si="105"/>
        <v>45.583333333333535</v>
      </c>
      <c r="AG559" s="1">
        <f t="shared" si="106"/>
        <v>0.16386335052611112</v>
      </c>
    </row>
    <row r="560" spans="2:33" ht="15">
      <c r="B560" s="1">
        <v>549</v>
      </c>
      <c r="C560" s="1">
        <v>1.0009596319600884</v>
      </c>
      <c r="D560" s="1">
        <v>1.2168167575276585</v>
      </c>
      <c r="E560" s="1">
        <v>0.82060877194260851</v>
      </c>
      <c r="G560" s="1">
        <v>0.99963176727052649</v>
      </c>
      <c r="H560" s="1">
        <v>5.0120817219816827</v>
      </c>
      <c r="I560" s="1">
        <v>0.15285291917929922</v>
      </c>
      <c r="K560" s="1">
        <v>1.0004037032638298</v>
      </c>
      <c r="L560" s="1">
        <v>3.3177120355749339</v>
      </c>
      <c r="M560" s="1">
        <v>0.26883690108263814</v>
      </c>
      <c r="O560" s="1">
        <v>2.4697451979462832E-2</v>
      </c>
      <c r="P560" s="1">
        <v>0.32306283855851703</v>
      </c>
      <c r="R560" s="1">
        <v>4.5965675770643158E-2</v>
      </c>
      <c r="S560" s="2">
        <f t="shared" si="108"/>
        <v>1.1091492957452445</v>
      </c>
      <c r="T560" s="4">
        <f t="shared" si="109"/>
        <v>1.2302121602521718</v>
      </c>
      <c r="U560" s="1">
        <f t="shared" si="101"/>
        <v>0.97584661690747942</v>
      </c>
      <c r="V560" s="6">
        <f>2*sigma/alpha*corel*(B560/12-1/alpha*(1-EXP(-alpha*Output!B560/12)))</f>
        <v>3.0371710059213011</v>
      </c>
      <c r="W560" s="5">
        <f t="shared" si="110"/>
        <v>-0.25436554334469241</v>
      </c>
      <c r="X560" s="1">
        <f t="shared" si="111"/>
        <v>55.773302151287723</v>
      </c>
      <c r="Y560" s="3">
        <f t="shared" si="112"/>
        <v>4.8426027541615069E-2</v>
      </c>
      <c r="Z560" s="1">
        <f t="shared" si="102"/>
        <v>0.16398135041583381</v>
      </c>
      <c r="AA560" s="8">
        <f t="shared" si="107"/>
        <v>45.66666666666687</v>
      </c>
      <c r="AB560" s="1">
        <v>45.75</v>
      </c>
      <c r="AC560" s="1">
        <v>2.4957799999999999E-2</v>
      </c>
      <c r="AD560" s="8">
        <f t="shared" si="103"/>
        <v>2.6034802053716626</v>
      </c>
      <c r="AE560" s="3">
        <f t="shared" si="104"/>
        <v>1.0431529242848578E-2</v>
      </c>
      <c r="AF560" s="11">
        <f t="shared" si="105"/>
        <v>45.66666666666687</v>
      </c>
      <c r="AG560" s="1">
        <f t="shared" si="106"/>
        <v>0.16398135041583381</v>
      </c>
    </row>
    <row r="561" spans="2:33" ht="15">
      <c r="B561" s="1">
        <v>550</v>
      </c>
      <c r="C561" s="1">
        <v>1.000955478195904</v>
      </c>
      <c r="D561" s="1">
        <v>1.220710195598709</v>
      </c>
      <c r="E561" s="1">
        <v>0.81798900828007326</v>
      </c>
      <c r="G561" s="1">
        <v>0.99917383064557252</v>
      </c>
      <c r="H561" s="1">
        <v>5.1546312098844762</v>
      </c>
      <c r="I561" s="1">
        <v>0.14855383925440616</v>
      </c>
      <c r="K561" s="1">
        <v>1.0005094140788386</v>
      </c>
      <c r="L561" s="1">
        <v>3.3134470133597489</v>
      </c>
      <c r="M561" s="1">
        <v>0.26912687005367347</v>
      </c>
      <c r="O561" s="1">
        <v>2.4704406408849442E-2</v>
      </c>
      <c r="P561" s="1">
        <v>0.32229587343316751</v>
      </c>
      <c r="R561" s="1">
        <v>4.5965916079387763E-2</v>
      </c>
      <c r="S561" s="2">
        <f t="shared" si="108"/>
        <v>1.1112837936522568</v>
      </c>
      <c r="T561" s="4">
        <f t="shared" si="109"/>
        <v>1.2349516700341516</v>
      </c>
      <c r="U561" s="1">
        <f t="shared" si="101"/>
        <v>0.9796839850362361</v>
      </c>
      <c r="V561" s="6">
        <f>2*sigma/alpha*corel*(B561/12-1/alpha*(1-EXP(-alpha*Output!B561/12)))</f>
        <v>3.0461122119446875</v>
      </c>
      <c r="W561" s="5">
        <f t="shared" si="110"/>
        <v>-0.25526768499791552</v>
      </c>
      <c r="X561" s="1">
        <f t="shared" si="111"/>
        <v>56.07787519070974</v>
      </c>
      <c r="Y561" s="3">
        <f t="shared" si="112"/>
        <v>4.8462589188623312E-2</v>
      </c>
      <c r="Z561" s="1">
        <f t="shared" si="102"/>
        <v>0.1641474948741905</v>
      </c>
      <c r="AA561" s="8">
        <f t="shared" si="107"/>
        <v>45.750000000000206</v>
      </c>
      <c r="AB561" s="1">
        <v>45.83</v>
      </c>
      <c r="AC561" s="1">
        <v>2.4964799999999999E-2</v>
      </c>
      <c r="AD561" s="8">
        <f t="shared" si="103"/>
        <v>2.6039359115055669</v>
      </c>
      <c r="AE561" s="3">
        <f t="shared" si="104"/>
        <v>1.0430429691027233E-2</v>
      </c>
      <c r="AF561" s="11">
        <f t="shared" si="105"/>
        <v>45.750000000000206</v>
      </c>
      <c r="AG561" s="1">
        <f t="shared" si="106"/>
        <v>0.1641474948741905</v>
      </c>
    </row>
    <row r="562" spans="2:33" ht="15">
      <c r="B562" s="1">
        <v>551</v>
      </c>
      <c r="C562" s="1">
        <v>1.0009526881108297</v>
      </c>
      <c r="D562" s="1">
        <v>1.2218932399661733</v>
      </c>
      <c r="E562" s="1">
        <v>0.81719458060886496</v>
      </c>
      <c r="G562" s="1">
        <v>0.99881822196046055</v>
      </c>
      <c r="H562" s="1">
        <v>5.1967642929964457</v>
      </c>
      <c r="I562" s="1">
        <v>0.14727806053060161</v>
      </c>
      <c r="K562" s="1">
        <v>1.0003979508176388</v>
      </c>
      <c r="L562" s="1">
        <v>3.3056899113763536</v>
      </c>
      <c r="M562" s="1">
        <v>0.26970220697606312</v>
      </c>
      <c r="O562" s="1">
        <v>2.4711487861326882E-2</v>
      </c>
      <c r="P562" s="1">
        <v>0.32152848112631194</v>
      </c>
      <c r="R562" s="1">
        <v>4.5973233971288087E-2</v>
      </c>
      <c r="S562" s="2">
        <f t="shared" si="108"/>
        <v>1.113487204490786</v>
      </c>
      <c r="T562" s="4">
        <f t="shared" si="109"/>
        <v>1.2398537545647055</v>
      </c>
      <c r="U562" s="1">
        <f t="shared" si="101"/>
        <v>0.98352743852827762</v>
      </c>
      <c r="V562" s="6">
        <f>2*sigma/alpha*corel*(B562/12-1/alpha*(1-EXP(-alpha*Output!B562/12)))</f>
        <v>3.0550605047191199</v>
      </c>
      <c r="W562" s="5">
        <f t="shared" si="110"/>
        <v>-0.25632631603642786</v>
      </c>
      <c r="X562" s="1">
        <f t="shared" si="111"/>
        <v>56.411994732851902</v>
      </c>
      <c r="Y562" s="3">
        <f t="shared" si="112"/>
        <v>4.8519760941773654E-2</v>
      </c>
      <c r="Z562" s="1">
        <f t="shared" si="102"/>
        <v>0.16432364293534724</v>
      </c>
      <c r="AA562" s="8">
        <f t="shared" si="107"/>
        <v>45.833333333333542</v>
      </c>
      <c r="AB562" s="1">
        <v>45.92</v>
      </c>
      <c r="AC562" s="1">
        <v>2.4971799999999999E-2</v>
      </c>
      <c r="AD562" s="8">
        <f t="shared" si="103"/>
        <v>2.6031213867311678</v>
      </c>
      <c r="AE562" s="3">
        <f t="shared" si="104"/>
        <v>1.0424244094262999E-2</v>
      </c>
      <c r="AF562" s="11">
        <f t="shared" si="105"/>
        <v>45.833333333333542</v>
      </c>
      <c r="AG562" s="1">
        <f t="shared" si="106"/>
        <v>0.16432364293534724</v>
      </c>
    </row>
    <row r="563" spans="2:33" ht="15">
      <c r="B563" s="1">
        <v>552</v>
      </c>
      <c r="C563" s="1">
        <v>1.0009494542858526</v>
      </c>
      <c r="D563" s="1">
        <v>1.2202269032538076</v>
      </c>
      <c r="E563" s="1">
        <v>0.81830808486436224</v>
      </c>
      <c r="G563" s="1">
        <v>0.9983865505885906</v>
      </c>
      <c r="H563" s="1">
        <v>5.1266062346180679</v>
      </c>
      <c r="I563" s="1">
        <v>0.14922126216431711</v>
      </c>
      <c r="K563" s="1">
        <v>1.0003676105609414</v>
      </c>
      <c r="L563" s="1">
        <v>3.3040363186698052</v>
      </c>
      <c r="M563" s="1">
        <v>0.26978097629654374</v>
      </c>
      <c r="O563" s="1">
        <v>2.4718699585273392E-2</v>
      </c>
      <c r="P563" s="1">
        <v>0.3207606152569964</v>
      </c>
      <c r="R563" s="1">
        <v>4.5967231828607444E-2</v>
      </c>
      <c r="S563" s="2">
        <f t="shared" si="108"/>
        <v>1.1155827659499511</v>
      </c>
      <c r="T563" s="4">
        <f t="shared" si="109"/>
        <v>1.2445249076845433</v>
      </c>
      <c r="U563" s="1">
        <f t="shared" si="101"/>
        <v>0.98737696581413592</v>
      </c>
      <c r="V563" s="6">
        <f>2*sigma/alpha*corel*(B563/12-1/alpha*(1-EXP(-alpha*Output!B563/12)))</f>
        <v>3.0640158651792335</v>
      </c>
      <c r="W563" s="5">
        <f t="shared" si="110"/>
        <v>-0.25714794187040735</v>
      </c>
      <c r="X563" s="1">
        <f t="shared" si="111"/>
        <v>56.703414526225004</v>
      </c>
      <c r="Y563" s="3">
        <f t="shared" si="112"/>
        <v>4.854512065415751E-2</v>
      </c>
      <c r="Z563" s="1">
        <f t="shared" si="102"/>
        <v>0.16448370526435155</v>
      </c>
      <c r="AA563" s="8">
        <f t="shared" si="107"/>
        <v>45.916666666666877</v>
      </c>
      <c r="AB563" s="1">
        <v>46</v>
      </c>
      <c r="AC563" s="1">
        <v>2.4978799999999999E-2</v>
      </c>
      <c r="AD563" s="8">
        <f t="shared" si="103"/>
        <v>2.6010041472660643</v>
      </c>
      <c r="AE563" s="3">
        <f t="shared" si="104"/>
        <v>1.0412846683051485E-2</v>
      </c>
      <c r="AF563" s="11">
        <f t="shared" si="105"/>
        <v>45.916666666666877</v>
      </c>
      <c r="AG563" s="1">
        <f t="shared" si="106"/>
        <v>0.16448370526435155</v>
      </c>
    </row>
    <row r="564" spans="2:33" ht="15">
      <c r="B564" s="1">
        <v>553</v>
      </c>
      <c r="C564" s="1">
        <v>1.0009485804683727</v>
      </c>
      <c r="D564" s="1">
        <v>1.2195771515008285</v>
      </c>
      <c r="E564" s="1">
        <v>0.81874159350150333</v>
      </c>
      <c r="G564" s="1">
        <v>0.99817546645153266</v>
      </c>
      <c r="H564" s="1">
        <v>5.100311736483123</v>
      </c>
      <c r="I564" s="1">
        <v>0.14991791769955581</v>
      </c>
      <c r="K564" s="1">
        <v>1.0004515101768974</v>
      </c>
      <c r="L564" s="1">
        <v>3.3072845957987282</v>
      </c>
      <c r="M564" s="1">
        <v>0.26945986539802891</v>
      </c>
      <c r="O564" s="1">
        <v>2.4726030443564907E-2</v>
      </c>
      <c r="P564" s="1">
        <v>0.319992441768435</v>
      </c>
      <c r="R564" s="1">
        <v>4.592305776928253E-2</v>
      </c>
      <c r="S564" s="2">
        <f t="shared" si="108"/>
        <v>1.1173528666837604</v>
      </c>
      <c r="T564" s="4">
        <f t="shared" si="109"/>
        <v>1.2484774286864173</v>
      </c>
      <c r="U564" s="1">
        <f t="shared" si="101"/>
        <v>0.9912325553296637</v>
      </c>
      <c r="V564" s="6">
        <f>2*sigma/alpha*corel*(B564/12-1/alpha*(1-EXP(-alpha*Output!B564/12)))</f>
        <v>3.0729782743109526</v>
      </c>
      <c r="W564" s="5">
        <f t="shared" si="110"/>
        <v>-0.25724487335675361</v>
      </c>
      <c r="X564" s="1">
        <f t="shared" si="111"/>
        <v>56.862000463148703</v>
      </c>
      <c r="Y564" s="3">
        <f t="shared" si="112"/>
        <v>4.8474264521167217E-2</v>
      </c>
      <c r="Z564" s="1">
        <f t="shared" si="102"/>
        <v>0.16459566956041585</v>
      </c>
      <c r="AA564" s="8">
        <f t="shared" si="107"/>
        <v>46.000000000000213</v>
      </c>
      <c r="AB564" s="1">
        <v>46.08</v>
      </c>
      <c r="AC564" s="1">
        <v>2.4985799999999999E-2</v>
      </c>
      <c r="AD564" s="8">
        <f t="shared" si="103"/>
        <v>2.5976955643509241</v>
      </c>
      <c r="AE564" s="3">
        <f t="shared" si="104"/>
        <v>1.0396687575946835E-2</v>
      </c>
      <c r="AF564" s="11">
        <f t="shared" si="105"/>
        <v>46.000000000000213</v>
      </c>
      <c r="AG564" s="1">
        <f t="shared" si="106"/>
        <v>0.16459566956041585</v>
      </c>
    </row>
    <row r="565" spans="2:33" ht="15">
      <c r="B565" s="1">
        <v>554</v>
      </c>
      <c r="C565" s="1">
        <v>1.0009525691257182</v>
      </c>
      <c r="D565" s="1">
        <v>1.2211245867884282</v>
      </c>
      <c r="E565" s="1">
        <v>0.81770160546632364</v>
      </c>
      <c r="G565" s="1">
        <v>0.99840726581446415</v>
      </c>
      <c r="H565" s="1">
        <v>5.1580771893581421</v>
      </c>
      <c r="I565" s="1">
        <v>0.14816718043804367</v>
      </c>
      <c r="K565" s="1">
        <v>1.0004686601583663</v>
      </c>
      <c r="L565" s="1">
        <v>3.3303395156654667</v>
      </c>
      <c r="M565" s="1">
        <v>0.26753873414007334</v>
      </c>
      <c r="O565" s="1">
        <v>2.4733379595873746E-2</v>
      </c>
      <c r="P565" s="1">
        <v>0.31922544829709754</v>
      </c>
      <c r="R565" s="1">
        <v>4.5948783089902551E-2</v>
      </c>
      <c r="S565" s="2">
        <f t="shared" si="108"/>
        <v>1.1197346704323226</v>
      </c>
      <c r="T565" s="4">
        <f t="shared" si="109"/>
        <v>1.2538057321681819</v>
      </c>
      <c r="U565" s="1">
        <f t="shared" si="101"/>
        <v>0.99509419551616252</v>
      </c>
      <c r="V565" s="6">
        <f>2*sigma/alpha*corel*(B565/12-1/alpha*(1-EXP(-alpha*Output!B565/12)))</f>
        <v>3.0819477131513557</v>
      </c>
      <c r="W565" s="5">
        <f t="shared" si="110"/>
        <v>-0.2587115366520194</v>
      </c>
      <c r="X565" s="1">
        <f t="shared" si="111"/>
        <v>57.273798808338448</v>
      </c>
      <c r="Y565" s="3">
        <f t="shared" si="112"/>
        <v>4.8584813373743929E-2</v>
      </c>
      <c r="Z565" s="1">
        <f t="shared" si="102"/>
        <v>0.16479759375115283</v>
      </c>
      <c r="AA565" s="8">
        <f t="shared" si="107"/>
        <v>46.083333333333549</v>
      </c>
      <c r="AB565" s="1">
        <v>46.17</v>
      </c>
      <c r="AC565" s="1">
        <v>2.4992799999999999E-2</v>
      </c>
      <c r="AD565" s="8">
        <f t="shared" si="103"/>
        <v>2.5942040412625307</v>
      </c>
      <c r="AE565" s="3">
        <f t="shared" si="104"/>
        <v>1.037980554904825E-2</v>
      </c>
      <c r="AF565" s="11">
        <f t="shared" si="105"/>
        <v>46.083333333333549</v>
      </c>
      <c r="AG565" s="1">
        <f t="shared" si="106"/>
        <v>0.16479759375115283</v>
      </c>
    </row>
    <row r="566" spans="2:33" ht="15">
      <c r="B566" s="1">
        <v>555</v>
      </c>
      <c r="C566" s="1">
        <v>1.0009518204313999</v>
      </c>
      <c r="D566" s="1">
        <v>1.2154465890664703</v>
      </c>
      <c r="E566" s="1">
        <v>0.82151904748964144</v>
      </c>
      <c r="G566" s="1">
        <v>0.99819641555686789</v>
      </c>
      <c r="H566" s="1">
        <v>4.9440916090741718</v>
      </c>
      <c r="I566" s="1">
        <v>0.15450514037048751</v>
      </c>
      <c r="K566" s="1">
        <v>1.0005586023978932</v>
      </c>
      <c r="L566" s="1">
        <v>3.3025309825738205</v>
      </c>
      <c r="M566" s="1">
        <v>0.26973530870726947</v>
      </c>
      <c r="O566" s="1">
        <v>2.4740742731260992E-2</v>
      </c>
      <c r="P566" s="1">
        <v>0.31845969721889666</v>
      </c>
      <c r="R566" s="1">
        <v>4.5871245717084307E-2</v>
      </c>
      <c r="S566" s="2">
        <f t="shared" si="108"/>
        <v>1.121217077208154</v>
      </c>
      <c r="T566" s="4">
        <f t="shared" si="109"/>
        <v>1.2571277342231955</v>
      </c>
      <c r="U566" s="1">
        <f t="shared" si="101"/>
        <v>0.99896187482050469</v>
      </c>
      <c r="V566" s="6">
        <f>2*sigma/alpha*corel*(B566/12-1/alpha*(1-EXP(-alpha*Output!B566/12)))</f>
        <v>3.0909241627885384</v>
      </c>
      <c r="W566" s="5">
        <f t="shared" si="110"/>
        <v>-0.25816585940269077</v>
      </c>
      <c r="X566" s="1">
        <f t="shared" si="111"/>
        <v>57.314496169607814</v>
      </c>
      <c r="Y566" s="3">
        <f t="shared" si="112"/>
        <v>4.8429293400895357E-2</v>
      </c>
      <c r="Z566" s="1">
        <f t="shared" si="102"/>
        <v>0.16486703794094332</v>
      </c>
      <c r="AA566" s="8">
        <f t="shared" si="107"/>
        <v>46.166666666666885</v>
      </c>
      <c r="AB566" s="1">
        <v>46.25</v>
      </c>
      <c r="AC566" s="1">
        <v>2.4999899999999999E-2</v>
      </c>
      <c r="AD566" s="8">
        <f t="shared" si="103"/>
        <v>2.591572687390062</v>
      </c>
      <c r="AE566" s="3">
        <f t="shared" si="104"/>
        <v>1.0366332214889109E-2</v>
      </c>
      <c r="AF566" s="11">
        <f t="shared" si="105"/>
        <v>46.166666666666885</v>
      </c>
      <c r="AG566" s="1">
        <f t="shared" si="106"/>
        <v>0.16486703794094332</v>
      </c>
    </row>
    <row r="567" spans="2:33" ht="15">
      <c r="B567" s="1">
        <v>556</v>
      </c>
      <c r="C567" s="1">
        <v>1.0009533019379211</v>
      </c>
      <c r="D567" s="1">
        <v>1.2157576583859047</v>
      </c>
      <c r="E567" s="1">
        <v>0.82130636885522235</v>
      </c>
      <c r="G567" s="1">
        <v>0.99816976217430764</v>
      </c>
      <c r="H567" s="1">
        <v>4.9247248528953929</v>
      </c>
      <c r="I567" s="1">
        <v>0.15503760746234763</v>
      </c>
      <c r="K567" s="1">
        <v>1.0006684072543808</v>
      </c>
      <c r="L567" s="1">
        <v>3.3248422762027485</v>
      </c>
      <c r="M567" s="1">
        <v>0.26786944288805831</v>
      </c>
      <c r="O567" s="1">
        <v>2.4748249498196227E-2</v>
      </c>
      <c r="P567" s="1">
        <v>0.31769327890210475</v>
      </c>
      <c r="R567" s="1">
        <v>4.5876134766045185E-2</v>
      </c>
      <c r="S567" s="2">
        <f t="shared" si="108"/>
        <v>1.1234276109218413</v>
      </c>
      <c r="T567" s="4">
        <f t="shared" si="109"/>
        <v>1.262089596981556</v>
      </c>
      <c r="U567" s="1">
        <f t="shared" si="101"/>
        <v>1.0028355816952537</v>
      </c>
      <c r="V567" s="6">
        <f>2*sigma/alpha*corel*(B567/12-1/alpha*(1-EXP(-alpha*Output!B567/12)))</f>
        <v>3.0999076043614719</v>
      </c>
      <c r="W567" s="5">
        <f t="shared" si="110"/>
        <v>-0.25925401528630232</v>
      </c>
      <c r="X567" s="1">
        <f t="shared" si="111"/>
        <v>57.657837988639443</v>
      </c>
      <c r="Y567" s="3">
        <f t="shared" si="112"/>
        <v>4.8489585281159805E-2</v>
      </c>
      <c r="Z567" s="1">
        <f t="shared" si="102"/>
        <v>0.16504346039678705</v>
      </c>
      <c r="AA567" s="8">
        <f t="shared" si="107"/>
        <v>46.25000000000022</v>
      </c>
      <c r="AB567" s="1">
        <v>46.33</v>
      </c>
      <c r="AC567" s="1">
        <v>2.5006899999999999E-2</v>
      </c>
      <c r="AD567" s="8">
        <f t="shared" si="103"/>
        <v>2.5865050180377129</v>
      </c>
      <c r="AE567" s="3">
        <f t="shared" si="104"/>
        <v>1.0343165358511904E-2</v>
      </c>
      <c r="AF567" s="11">
        <f t="shared" si="105"/>
        <v>46.25000000000022</v>
      </c>
      <c r="AG567" s="1">
        <f t="shared" si="106"/>
        <v>0.16504346039678705</v>
      </c>
    </row>
    <row r="568" spans="2:33" ht="15">
      <c r="B568" s="1">
        <v>557</v>
      </c>
      <c r="C568" s="1">
        <v>1.0009576146111361</v>
      </c>
      <c r="D568" s="1">
        <v>1.2165029188236258</v>
      </c>
      <c r="E568" s="1">
        <v>0.82080073153536826</v>
      </c>
      <c r="G568" s="1">
        <v>0.99841186688654071</v>
      </c>
      <c r="H568" s="1">
        <v>4.9776171335238981</v>
      </c>
      <c r="I568" s="1">
        <v>0.1533158747134743</v>
      </c>
      <c r="K568" s="1">
        <v>1.0006553783561905</v>
      </c>
      <c r="L568" s="1">
        <v>3.3645106047183351</v>
      </c>
      <c r="M568" s="1">
        <v>0.26465606017140214</v>
      </c>
      <c r="O568" s="1">
        <v>2.4755806918495347E-2</v>
      </c>
      <c r="P568" s="1">
        <v>0.31692756341296852</v>
      </c>
      <c r="R568" s="1">
        <v>4.5851285278467137E-2</v>
      </c>
      <c r="S568" s="2">
        <f t="shared" si="108"/>
        <v>1.1253816067702693</v>
      </c>
      <c r="T568" s="4">
        <f t="shared" si="109"/>
        <v>1.2664837608568331</v>
      </c>
      <c r="U568" s="1">
        <f t="shared" si="101"/>
        <v>1.0067153045987878</v>
      </c>
      <c r="V568" s="6">
        <f>2*sigma/alpha*corel*(B568/12-1/alpha*(1-EXP(-alpha*Output!B568/12)))</f>
        <v>3.1088980190598696</v>
      </c>
      <c r="W568" s="5">
        <f t="shared" si="110"/>
        <v>-0.25976845625804534</v>
      </c>
      <c r="X568" s="1">
        <f t="shared" si="111"/>
        <v>57.895590271491471</v>
      </c>
      <c r="Y568" s="3">
        <f t="shared" si="112"/>
        <v>4.8474152580517696E-2</v>
      </c>
      <c r="Z568" s="1">
        <f t="shared" si="102"/>
        <v>0.16518204488935123</v>
      </c>
      <c r="AA568" s="8">
        <f t="shared" si="107"/>
        <v>46.333333333333556</v>
      </c>
      <c r="AB568" s="1">
        <v>46.42</v>
      </c>
      <c r="AC568" s="1">
        <v>2.5014000000000002E-2</v>
      </c>
      <c r="AD568" s="8">
        <f t="shared" si="103"/>
        <v>2.5819308150465403</v>
      </c>
      <c r="AE568" s="3">
        <f t="shared" si="104"/>
        <v>1.0321942972121773E-2</v>
      </c>
      <c r="AF568" s="11">
        <f t="shared" si="105"/>
        <v>46.333333333333556</v>
      </c>
      <c r="AG568" s="1">
        <f t="shared" si="106"/>
        <v>0.16518204488935123</v>
      </c>
    </row>
    <row r="569" spans="2:33" ht="15">
      <c r="B569" s="1">
        <v>558</v>
      </c>
      <c r="C569" s="1">
        <v>1.0009607819980622</v>
      </c>
      <c r="D569" s="1">
        <v>1.2186344941228509</v>
      </c>
      <c r="E569" s="1">
        <v>0.8193625427958221</v>
      </c>
      <c r="G569" s="1">
        <v>0.99847844154470966</v>
      </c>
      <c r="H569" s="1">
        <v>5.0667129672725526</v>
      </c>
      <c r="I569" s="1">
        <v>0.15054692686756208</v>
      </c>
      <c r="K569" s="1">
        <v>1.0007242572008692</v>
      </c>
      <c r="L569" s="1">
        <v>3.3900709372567559</v>
      </c>
      <c r="M569" s="1">
        <v>0.26260590083276403</v>
      </c>
      <c r="O569" s="1">
        <v>2.4763345584068445E-2</v>
      </c>
      <c r="P569" s="1">
        <v>0.31616357097257936</v>
      </c>
      <c r="R569" s="1">
        <v>4.5848678053755323E-2</v>
      </c>
      <c r="S569" s="2">
        <f t="shared" si="108"/>
        <v>1.1275321526457398</v>
      </c>
      <c r="T569" s="4">
        <f t="shared" si="109"/>
        <v>1.2713287552499359</v>
      </c>
      <c r="U569" s="1">
        <f t="shared" ref="U569:U632" si="113">sigma*sigma/alpha/alpha*(B569/12+2/alpha*EXP(-alpha*B569/12)-1/2/alpha*EXP(-2*alpha*B569/12)-3/2/alpha)</f>
        <v>1.0106010319954213</v>
      </c>
      <c r="V569" s="6">
        <f>2*sigma/alpha*corel*(B569/12-1/alpha*(1-EXP(-alpha*Output!B569/12)))</f>
        <v>3.1178953881240519</v>
      </c>
      <c r="W569" s="5">
        <f t="shared" si="110"/>
        <v>-0.26072772325451465</v>
      </c>
      <c r="X569" s="1">
        <f t="shared" si="111"/>
        <v>58.216628176624965</v>
      </c>
      <c r="Y569" s="3">
        <f t="shared" si="112"/>
        <v>4.8517062355398641E-2</v>
      </c>
      <c r="Z569" s="1">
        <f t="shared" si="102"/>
        <v>0.16534933727931389</v>
      </c>
      <c r="AA569" s="8">
        <f t="shared" si="107"/>
        <v>46.416666666666892</v>
      </c>
      <c r="AB569" s="1">
        <v>46.5</v>
      </c>
      <c r="AC569" s="1">
        <v>2.5021000000000002E-2</v>
      </c>
      <c r="AD569" s="8">
        <f t="shared" si="103"/>
        <v>2.5765441593155609</v>
      </c>
      <c r="AE569" s="3">
        <f t="shared" si="104"/>
        <v>1.0297526714821792E-2</v>
      </c>
      <c r="AF569" s="11">
        <f t="shared" si="105"/>
        <v>46.416666666666892</v>
      </c>
      <c r="AG569" s="1">
        <f t="shared" si="106"/>
        <v>0.16534933727931389</v>
      </c>
    </row>
    <row r="570" spans="2:33" ht="15">
      <c r="B570" s="1">
        <v>559</v>
      </c>
      <c r="C570" s="1">
        <v>1.0009642520087261</v>
      </c>
      <c r="D570" s="1">
        <v>1.2213382932148178</v>
      </c>
      <c r="E570" s="1">
        <v>0.81754615440086009</v>
      </c>
      <c r="G570" s="1">
        <v>0.99861164713921968</v>
      </c>
      <c r="H570" s="1">
        <v>5.165277599964206</v>
      </c>
      <c r="I570" s="1">
        <v>0.14760263500893137</v>
      </c>
      <c r="K570" s="1">
        <v>1.0006475091009062</v>
      </c>
      <c r="L570" s="1">
        <v>3.3683201573788408</v>
      </c>
      <c r="M570" s="1">
        <v>0.26424660980798592</v>
      </c>
      <c r="O570" s="1">
        <v>2.4770939711573368E-2</v>
      </c>
      <c r="P570" s="1">
        <v>0.31540020907528293</v>
      </c>
      <c r="R570" s="1">
        <v>4.5843643983412605E-2</v>
      </c>
      <c r="S570" s="2">
        <f t="shared" si="108"/>
        <v>1.1296659605464774</v>
      </c>
      <c r="T570" s="4">
        <f t="shared" si="109"/>
        <v>1.2761451824173955</v>
      </c>
      <c r="U570" s="1">
        <f t="shared" si="113"/>
        <v>1.0144927523555181</v>
      </c>
      <c r="V570" s="6">
        <f>2*sigma/alpha*corel*(B570/12-1/alpha*(1-EXP(-alpha*Output!B570/12)))</f>
        <v>3.1268996928448063</v>
      </c>
      <c r="W570" s="5">
        <f t="shared" si="110"/>
        <v>-0.26165243006187744</v>
      </c>
      <c r="X570" s="1">
        <f t="shared" si="111"/>
        <v>58.532071157309446</v>
      </c>
      <c r="Y570" s="3">
        <f t="shared" si="112"/>
        <v>4.8555196931132819E-2</v>
      </c>
      <c r="Z570" s="1">
        <f t="shared" si="102"/>
        <v>0.16551401039448946</v>
      </c>
      <c r="AA570" s="8">
        <f t="shared" si="107"/>
        <v>46.500000000000227</v>
      </c>
      <c r="AB570" s="1">
        <v>46.58</v>
      </c>
      <c r="AC570" s="1">
        <v>2.50282E-2</v>
      </c>
      <c r="AD570" s="8">
        <f t="shared" si="103"/>
        <v>2.57260288426632</v>
      </c>
      <c r="AE570" s="3">
        <f t="shared" si="104"/>
        <v>1.0278817031453799E-2</v>
      </c>
      <c r="AF570" s="11">
        <f t="shared" si="105"/>
        <v>46.500000000000227</v>
      </c>
      <c r="AG570" s="1">
        <f t="shared" si="106"/>
        <v>0.16551401039448946</v>
      </c>
    </row>
    <row r="571" spans="2:33" ht="15">
      <c r="B571" s="1">
        <v>560</v>
      </c>
      <c r="C571" s="1">
        <v>1.0009706640347185</v>
      </c>
      <c r="D571" s="1">
        <v>1.2277658019494002</v>
      </c>
      <c r="E571" s="1">
        <v>0.81326372159933047</v>
      </c>
      <c r="G571" s="1">
        <v>0.99902624568709364</v>
      </c>
      <c r="H571" s="1">
        <v>5.4145513806257863</v>
      </c>
      <c r="I571" s="1">
        <v>0.14073913485543102</v>
      </c>
      <c r="K571" s="1">
        <v>1.0006180880863373</v>
      </c>
      <c r="L571" s="1">
        <v>3.4075764464195477</v>
      </c>
      <c r="M571" s="1">
        <v>0.26114799918197446</v>
      </c>
      <c r="O571" s="1">
        <v>2.4778434197019143E-2</v>
      </c>
      <c r="P571" s="1">
        <v>0.31463975510456837</v>
      </c>
      <c r="R571" s="1">
        <v>4.590314095519759E-2</v>
      </c>
      <c r="S571" s="2">
        <f t="shared" si="108"/>
        <v>1.1323681065687474</v>
      </c>
      <c r="T571" s="4">
        <f t="shared" si="109"/>
        <v>1.28225752877409</v>
      </c>
      <c r="U571" s="1">
        <f t="shared" si="113"/>
        <v>1.0183904541556144</v>
      </c>
      <c r="V571" s="6">
        <f>2*sigma/alpha*corel*(B571/12-1/alpha*(1-EXP(-alpha*Output!B571/12)))</f>
        <v>3.1359109145632513</v>
      </c>
      <c r="W571" s="5">
        <f t="shared" si="110"/>
        <v>-0.26386707461847569</v>
      </c>
      <c r="X571" s="1">
        <f t="shared" si="111"/>
        <v>59.089124526192393</v>
      </c>
      <c r="Y571" s="3">
        <f t="shared" si="112"/>
        <v>4.8761080248666419E-2</v>
      </c>
      <c r="Z571" s="1">
        <f t="shared" si="102"/>
        <v>0.16576171767075495</v>
      </c>
      <c r="AA571" s="8">
        <f t="shared" si="107"/>
        <v>46.583333333333563</v>
      </c>
      <c r="AB571" s="1">
        <v>46.67</v>
      </c>
      <c r="AC571" s="1">
        <v>2.50353E-2</v>
      </c>
      <c r="AD571" s="8">
        <f t="shared" si="103"/>
        <v>2.5686580298085735</v>
      </c>
      <c r="AE571" s="3">
        <f t="shared" si="104"/>
        <v>1.0260144794784059E-2</v>
      </c>
      <c r="AF571" s="11">
        <f t="shared" si="105"/>
        <v>46.583333333333563</v>
      </c>
      <c r="AG571" s="1">
        <f t="shared" si="106"/>
        <v>0.16576171767075495</v>
      </c>
    </row>
    <row r="572" spans="2:33" ht="15">
      <c r="B572" s="1">
        <v>561</v>
      </c>
      <c r="C572" s="1">
        <v>1.000971591814213</v>
      </c>
      <c r="D572" s="1">
        <v>1.2260906271028689</v>
      </c>
      <c r="E572" s="1">
        <v>0.81437237972185905</v>
      </c>
      <c r="G572" s="1">
        <v>0.99894218007690083</v>
      </c>
      <c r="H572" s="1">
        <v>5.3521356558511091</v>
      </c>
      <c r="I572" s="1">
        <v>0.14231144260055448</v>
      </c>
      <c r="K572" s="1">
        <v>1.0006810088236269</v>
      </c>
      <c r="L572" s="1">
        <v>3.3153136269766454</v>
      </c>
      <c r="M572" s="1">
        <v>0.26835964809837715</v>
      </c>
      <c r="O572" s="1">
        <v>2.4785818912165691E-2</v>
      </c>
      <c r="P572" s="1">
        <v>0.31388235334895598</v>
      </c>
      <c r="R572" s="1">
        <v>4.5903765348774821E-2</v>
      </c>
      <c r="S572" s="2">
        <f t="shared" si="108"/>
        <v>1.1345488667503874</v>
      </c>
      <c r="T572" s="4">
        <f t="shared" si="109"/>
        <v>1.2872011310445881</v>
      </c>
      <c r="U572" s="1">
        <f t="shared" si="113"/>
        <v>1.022294125878535</v>
      </c>
      <c r="V572" s="6">
        <f>2*sigma/alpha*corel*(B572/12-1/alpha*(1-EXP(-alpha*Output!B572/12)))</f>
        <v>3.1449290346707097</v>
      </c>
      <c r="W572" s="5">
        <f t="shared" si="110"/>
        <v>-0.26490700516605314</v>
      </c>
      <c r="X572" s="1">
        <f t="shared" si="111"/>
        <v>59.428188599166781</v>
      </c>
      <c r="Y572" s="3">
        <f t="shared" si="112"/>
        <v>4.8813251641836655E-2</v>
      </c>
      <c r="Z572" s="1">
        <f t="shared" si="102"/>
        <v>0.16593286001584892</v>
      </c>
      <c r="AA572" s="8">
        <f t="shared" si="107"/>
        <v>46.666666666666899</v>
      </c>
      <c r="AB572" s="1">
        <v>46.75</v>
      </c>
      <c r="AC572" s="1">
        <v>2.5042499999999999E-2</v>
      </c>
      <c r="AD572" s="8">
        <f t="shared" si="103"/>
        <v>2.5668108783430745</v>
      </c>
      <c r="AE572" s="3">
        <f t="shared" si="104"/>
        <v>1.0249818821375959E-2</v>
      </c>
      <c r="AF572" s="11">
        <f t="shared" si="105"/>
        <v>46.666666666666899</v>
      </c>
      <c r="AG572" s="1">
        <f t="shared" si="106"/>
        <v>0.16593286001584892</v>
      </c>
    </row>
    <row r="573" spans="2:33" ht="15">
      <c r="B573" s="1">
        <v>562</v>
      </c>
      <c r="C573" s="1">
        <v>1.0009795789553491</v>
      </c>
      <c r="D573" s="1">
        <v>1.2246977921771647</v>
      </c>
      <c r="E573" s="1">
        <v>0.81529606510649777</v>
      </c>
      <c r="G573" s="1">
        <v>0.99945250113446271</v>
      </c>
      <c r="H573" s="1">
        <v>5.2995180701011764</v>
      </c>
      <c r="I573" s="1">
        <v>0.14365479642930071</v>
      </c>
      <c r="K573" s="1">
        <v>1.0006244958554757</v>
      </c>
      <c r="L573" s="1">
        <v>3.3320198537701504</v>
      </c>
      <c r="M573" s="1">
        <v>0.26695851260579867</v>
      </c>
      <c r="O573" s="1">
        <v>2.4793138589938618E-2</v>
      </c>
      <c r="P573" s="1">
        <v>0.31312734317978103</v>
      </c>
      <c r="R573" s="1">
        <v>4.5899855136053241E-2</v>
      </c>
      <c r="S573" s="2">
        <f t="shared" si="108"/>
        <v>1.1366890959206668</v>
      </c>
      <c r="T573" s="4">
        <f t="shared" si="109"/>
        <v>1.2920621007849429</v>
      </c>
      <c r="U573" s="1">
        <f t="shared" si="113"/>
        <v>1.0262037560135076</v>
      </c>
      <c r="V573" s="6">
        <f>2*sigma/alpha*corel*(B573/12-1/alpha*(1-EXP(-alpha*Output!B573/12)))</f>
        <v>3.1539540346085606</v>
      </c>
      <c r="W573" s="5">
        <f t="shared" si="110"/>
        <v>-0.26585834477143533</v>
      </c>
      <c r="X573" s="1">
        <f t="shared" si="111"/>
        <v>59.751555972939165</v>
      </c>
      <c r="Y573" s="3">
        <f t="shared" si="112"/>
        <v>4.8853655115255225E-2</v>
      </c>
      <c r="Z573" s="1">
        <f t="shared" si="102"/>
        <v>0.16609790669213045</v>
      </c>
      <c r="AA573" s="8">
        <f t="shared" si="107"/>
        <v>46.750000000000234</v>
      </c>
      <c r="AB573" s="1">
        <v>46.83</v>
      </c>
      <c r="AC573" s="1">
        <v>2.5049700000000001E-2</v>
      </c>
      <c r="AD573" s="8">
        <f t="shared" si="103"/>
        <v>2.5656141006138307</v>
      </c>
      <c r="AE573" s="3">
        <f t="shared" si="104"/>
        <v>1.0242095117362007E-2</v>
      </c>
      <c r="AF573" s="11">
        <f t="shared" si="105"/>
        <v>46.750000000000234</v>
      </c>
      <c r="AG573" s="1">
        <f t="shared" si="106"/>
        <v>0.16609790669213045</v>
      </c>
    </row>
    <row r="574" spans="2:33" ht="15">
      <c r="B574" s="1">
        <v>563</v>
      </c>
      <c r="C574" s="1">
        <v>1.0009798201512963</v>
      </c>
      <c r="D574" s="1">
        <v>1.2325954515743323</v>
      </c>
      <c r="E574" s="1">
        <v>0.81006970636463838</v>
      </c>
      <c r="G574" s="1">
        <v>0.99936804556769421</v>
      </c>
      <c r="H574" s="1">
        <v>5.6168677213162423</v>
      </c>
      <c r="I574" s="1">
        <v>0.13547273084241454</v>
      </c>
      <c r="K574" s="1">
        <v>1.0004611824033602</v>
      </c>
      <c r="L574" s="1">
        <v>3.3801474721014637</v>
      </c>
      <c r="M574" s="1">
        <v>0.26310265340115108</v>
      </c>
      <c r="O574" s="1">
        <v>2.4800511081629735E-2</v>
      </c>
      <c r="P574" s="1">
        <v>0.31237299401141799</v>
      </c>
      <c r="R574" s="1">
        <v>4.5860666377605788E-2</v>
      </c>
      <c r="S574" s="2">
        <f t="shared" si="108"/>
        <v>1.1385202321269421</v>
      </c>
      <c r="T574" s="4">
        <f t="shared" si="109"/>
        <v>1.296228318962386</v>
      </c>
      <c r="U574" s="1">
        <f t="shared" si="113"/>
        <v>1.030119333056277</v>
      </c>
      <c r="V574" s="6">
        <f>2*sigma/alpha*corel*(B574/12-1/alpha*(1-EXP(-alpha*Output!B574/12)))</f>
        <v>3.1629858958681116</v>
      </c>
      <c r="W574" s="5">
        <f t="shared" si="110"/>
        <v>-0.26610898590610899</v>
      </c>
      <c r="X574" s="1">
        <f t="shared" si="111"/>
        <v>59.94426613250706</v>
      </c>
      <c r="Y574" s="3">
        <f t="shared" si="112"/>
        <v>4.8803364352001589E-2</v>
      </c>
      <c r="Z574" s="1">
        <f t="shared" si="102"/>
        <v>0.16621766544114527</v>
      </c>
      <c r="AA574" s="8">
        <f t="shared" si="107"/>
        <v>46.83333333333357</v>
      </c>
      <c r="AB574" s="1">
        <v>46.92</v>
      </c>
      <c r="AC574" s="1">
        <v>2.50569E-2</v>
      </c>
      <c r="AD574" s="8">
        <f t="shared" si="103"/>
        <v>2.5638891837026501</v>
      </c>
      <c r="AE574" s="3">
        <f t="shared" si="104"/>
        <v>1.023226809263177E-2</v>
      </c>
      <c r="AF574" s="11">
        <f t="shared" si="105"/>
        <v>46.83333333333357</v>
      </c>
      <c r="AG574" s="1">
        <f t="shared" si="106"/>
        <v>0.16621766544114527</v>
      </c>
    </row>
    <row r="575" spans="2:33" ht="15">
      <c r="B575" s="1">
        <v>564</v>
      </c>
      <c r="C575" s="1">
        <v>1.0009777900031933</v>
      </c>
      <c r="D575" s="1">
        <v>1.2358725575234817</v>
      </c>
      <c r="E575" s="1">
        <v>0.80791920540194928</v>
      </c>
      <c r="G575" s="1">
        <v>0.99906584327300063</v>
      </c>
      <c r="H575" s="1">
        <v>5.7550953617282676</v>
      </c>
      <c r="I575" s="1">
        <v>0.13215485685741013</v>
      </c>
      <c r="K575" s="1">
        <v>1.0004005642743385</v>
      </c>
      <c r="L575" s="1">
        <v>3.3134198520256564</v>
      </c>
      <c r="M575" s="1">
        <v>0.26834526000806169</v>
      </c>
      <c r="O575" s="1">
        <v>2.4808023276347305E-2</v>
      </c>
      <c r="P575" s="1">
        <v>0.31161803312452635</v>
      </c>
      <c r="R575" s="1">
        <v>4.5828026191010791E-2</v>
      </c>
      <c r="S575" s="2">
        <f t="shared" si="108"/>
        <v>1.1404166189269935</v>
      </c>
      <c r="T575" s="4">
        <f t="shared" si="109"/>
        <v>1.3005500647248756</v>
      </c>
      <c r="U575" s="1">
        <f t="shared" si="113"/>
        <v>1.0340408455092245</v>
      </c>
      <c r="V575" s="6">
        <f>2*sigma/alpha*corel*(B575/12-1/alpha*(1-EXP(-alpha*Output!B575/12)))</f>
        <v>3.1720245999904679</v>
      </c>
      <c r="W575" s="5">
        <f t="shared" si="110"/>
        <v>-0.26650921921565107</v>
      </c>
      <c r="X575" s="1">
        <f t="shared" si="111"/>
        <v>60.165473275487088</v>
      </c>
      <c r="Y575" s="3">
        <f t="shared" si="112"/>
        <v>4.8772510554681528E-2</v>
      </c>
      <c r="Z575" s="1">
        <f t="shared" si="102"/>
        <v>0.16634686042384358</v>
      </c>
      <c r="AA575" s="8">
        <f t="shared" si="107"/>
        <v>46.916666666666906</v>
      </c>
      <c r="AB575" s="1">
        <v>47</v>
      </c>
      <c r="AC575" s="1">
        <v>2.5064199999999998E-2</v>
      </c>
      <c r="AD575" s="8">
        <f t="shared" si="103"/>
        <v>2.5617672365269364</v>
      </c>
      <c r="AE575" s="3">
        <f t="shared" si="104"/>
        <v>1.0220821875531381E-2</v>
      </c>
      <c r="AF575" s="11">
        <f t="shared" si="105"/>
        <v>46.916666666666906</v>
      </c>
      <c r="AG575" s="1">
        <f t="shared" si="106"/>
        <v>0.16634686042384358</v>
      </c>
    </row>
    <row r="576" spans="2:33" ht="15">
      <c r="B576" s="1">
        <v>565</v>
      </c>
      <c r="C576" s="1">
        <v>1.0009800527897974</v>
      </c>
      <c r="D576" s="1">
        <v>1.2377679809307793</v>
      </c>
      <c r="E576" s="1">
        <v>0.80667954163552269</v>
      </c>
      <c r="G576" s="1">
        <v>0.9990980384979572</v>
      </c>
      <c r="H576" s="1">
        <v>5.8326829275179222</v>
      </c>
      <c r="I576" s="1">
        <v>0.13033373878197968</v>
      </c>
      <c r="K576" s="1">
        <v>1.0002288696972392</v>
      </c>
      <c r="L576" s="1">
        <v>3.3836820635132874</v>
      </c>
      <c r="M576" s="1">
        <v>0.26271832777203669</v>
      </c>
      <c r="O576" s="1">
        <v>2.4815548023962335E-2</v>
      </c>
      <c r="P576" s="1">
        <v>0.31086432392661811</v>
      </c>
      <c r="R576" s="1">
        <v>4.5756516337815703E-2</v>
      </c>
      <c r="S576" s="2">
        <f t="shared" si="108"/>
        <v>1.1419676728063124</v>
      </c>
      <c r="T576" s="4">
        <f t="shared" si="109"/>
        <v>1.3040901657346649</v>
      </c>
      <c r="U576" s="1">
        <f t="shared" si="113"/>
        <v>1.0379682818814722</v>
      </c>
      <c r="V576" s="6">
        <f>2*sigma/alpha*corel*(B576/12-1/alpha*(1-EXP(-alpha*Output!B576/12)))</f>
        <v>3.1810701285663905</v>
      </c>
      <c r="W576" s="5">
        <f t="shared" si="110"/>
        <v>-0.26612188385319269</v>
      </c>
      <c r="X576" s="1">
        <f t="shared" si="111"/>
        <v>60.238828621875349</v>
      </c>
      <c r="Y576" s="3">
        <f t="shared" si="112"/>
        <v>4.8640328224555253E-2</v>
      </c>
      <c r="Z576" s="1">
        <f t="shared" si="102"/>
        <v>0.16642562977405853</v>
      </c>
      <c r="AA576" s="8">
        <f t="shared" si="107"/>
        <v>47.000000000000242</v>
      </c>
      <c r="AB576" s="1">
        <v>47.08</v>
      </c>
      <c r="AC576" s="1">
        <v>2.50715E-2</v>
      </c>
      <c r="AD576" s="8">
        <f t="shared" si="103"/>
        <v>2.5595197603766469</v>
      </c>
      <c r="AE576" s="3">
        <f t="shared" si="104"/>
        <v>1.020888164001614E-2</v>
      </c>
      <c r="AF576" s="11">
        <f t="shared" si="105"/>
        <v>47.000000000000242</v>
      </c>
      <c r="AG576" s="1">
        <f t="shared" si="106"/>
        <v>0.16642562977405853</v>
      </c>
    </row>
    <row r="577" spans="2:33" ht="15">
      <c r="B577" s="1">
        <v>566</v>
      </c>
      <c r="C577" s="1">
        <v>1.000983683024804</v>
      </c>
      <c r="D577" s="1">
        <v>1.242489674411513</v>
      </c>
      <c r="E577" s="1">
        <v>0.80361153572235522</v>
      </c>
      <c r="G577" s="1">
        <v>0.99927125293936536</v>
      </c>
      <c r="H577" s="1">
        <v>6.0309109439499169</v>
      </c>
      <c r="I577" s="1">
        <v>0.12598878096018692</v>
      </c>
      <c r="K577" s="1">
        <v>1.0003846021868046</v>
      </c>
      <c r="L577" s="1">
        <v>3.4296706198822435</v>
      </c>
      <c r="M577" s="1">
        <v>0.25914153642038057</v>
      </c>
      <c r="O577" s="1">
        <v>2.482300732095951E-2</v>
      </c>
      <c r="P577" s="1">
        <v>0.31011300614701443</v>
      </c>
      <c r="R577" s="1">
        <v>4.5733247890578789E-2</v>
      </c>
      <c r="S577" s="2">
        <f t="shared" si="108"/>
        <v>1.1439474329634758</v>
      </c>
      <c r="T577" s="4">
        <f t="shared" si="109"/>
        <v>1.3086157293837259</v>
      </c>
      <c r="U577" s="1">
        <f t="shared" si="113"/>
        <v>1.0419016306890003</v>
      </c>
      <c r="V577" s="6">
        <f>2*sigma/alpha*corel*(B577/12-1/alpha*(1-EXP(-alpha*Output!B577/12)))</f>
        <v>3.1901224632361682</v>
      </c>
      <c r="W577" s="5">
        <f t="shared" si="110"/>
        <v>-0.26671409869472562</v>
      </c>
      <c r="X577" s="1">
        <f t="shared" si="111"/>
        <v>60.496941284182228</v>
      </c>
      <c r="Y577" s="3">
        <f t="shared" si="112"/>
        <v>4.8634510660398741E-2</v>
      </c>
      <c r="Z577" s="1">
        <f t="shared" si="102"/>
        <v>0.16656681271031981</v>
      </c>
      <c r="AA577" s="8">
        <f t="shared" si="107"/>
        <v>47.083333333333577</v>
      </c>
      <c r="AB577" s="1">
        <v>47.17</v>
      </c>
      <c r="AC577" s="1">
        <v>2.5078799999999998E-2</v>
      </c>
      <c r="AD577" s="8">
        <f t="shared" si="103"/>
        <v>2.5579267904048826</v>
      </c>
      <c r="AE577" s="3">
        <f t="shared" si="104"/>
        <v>1.0199558154317124E-2</v>
      </c>
      <c r="AF577" s="11">
        <f t="shared" si="105"/>
        <v>47.083333333333577</v>
      </c>
      <c r="AG577" s="1">
        <f t="shared" si="106"/>
        <v>0.16656681271031981</v>
      </c>
    </row>
    <row r="578" spans="2:33" ht="15">
      <c r="B578" s="1">
        <v>567</v>
      </c>
      <c r="C578" s="1">
        <v>1.0009886397343626</v>
      </c>
      <c r="D578" s="1">
        <v>1.2393019146450146</v>
      </c>
      <c r="E578" s="1">
        <v>0.80567611913581916</v>
      </c>
      <c r="G578" s="1">
        <v>0.99953102432344898</v>
      </c>
      <c r="H578" s="1">
        <v>5.8905127512365203</v>
      </c>
      <c r="I578" s="1">
        <v>0.12892918991959934</v>
      </c>
      <c r="K578" s="1">
        <v>1.0003194554630257</v>
      </c>
      <c r="L578" s="1">
        <v>3.4209272969013647</v>
      </c>
      <c r="M578" s="1">
        <v>0.25974973902443482</v>
      </c>
      <c r="O578" s="1">
        <v>2.4830411360217217E-2</v>
      </c>
      <c r="P578" s="1">
        <v>0.30936392732316215</v>
      </c>
      <c r="R578" s="1">
        <v>4.5703066473670513E-2</v>
      </c>
      <c r="S578" s="2">
        <f t="shared" si="108"/>
        <v>1.1458644315434163</v>
      </c>
      <c r="T578" s="4">
        <f t="shared" si="109"/>
        <v>1.3130052954763167</v>
      </c>
      <c r="U578" s="1">
        <f t="shared" si="113"/>
        <v>1.0458408804547594</v>
      </c>
      <c r="V578" s="6">
        <f>2*sigma/alpha*corel*(B578/12-1/alpha*(1-EXP(-alpha*Output!B578/12)))</f>
        <v>3.1991815856894825</v>
      </c>
      <c r="W578" s="5">
        <f t="shared" si="110"/>
        <v>-0.2671644150215573</v>
      </c>
      <c r="X578" s="1">
        <f t="shared" si="111"/>
        <v>60.728837257289001</v>
      </c>
      <c r="Y578" s="3">
        <f t="shared" si="112"/>
        <v>4.861046920148282E-2</v>
      </c>
      <c r="Z578" s="1">
        <f t="shared" si="102"/>
        <v>0.16669874583191269</v>
      </c>
      <c r="AA578" s="8">
        <f t="shared" si="107"/>
        <v>47.166666666666913</v>
      </c>
      <c r="AB578" s="1">
        <v>47.25</v>
      </c>
      <c r="AC578" s="1">
        <v>2.5086199999999999E-2</v>
      </c>
      <c r="AD578" s="8">
        <f t="shared" si="103"/>
        <v>2.5578863978278217</v>
      </c>
      <c r="AE578" s="3">
        <f t="shared" si="104"/>
        <v>1.0196388443956525E-2</v>
      </c>
      <c r="AF578" s="11">
        <f t="shared" si="105"/>
        <v>47.166666666666913</v>
      </c>
      <c r="AG578" s="1">
        <f t="shared" si="106"/>
        <v>0.16669874583191269</v>
      </c>
    </row>
    <row r="579" spans="2:33" ht="15">
      <c r="B579" s="1">
        <v>568</v>
      </c>
      <c r="C579" s="1">
        <v>1.0009986175228622</v>
      </c>
      <c r="D579" s="1">
        <v>1.2462792069706849</v>
      </c>
      <c r="E579" s="1">
        <v>0.80116306834421003</v>
      </c>
      <c r="G579" s="1">
        <v>1.0002523058015667</v>
      </c>
      <c r="H579" s="1">
        <v>6.1935926685787432</v>
      </c>
      <c r="I579" s="1">
        <v>0.12256071271103537</v>
      </c>
      <c r="K579" s="1">
        <v>1.0003369828976945</v>
      </c>
      <c r="L579" s="1">
        <v>3.4297654920054024</v>
      </c>
      <c r="M579" s="1">
        <v>0.2590264179733715</v>
      </c>
      <c r="O579" s="1">
        <v>2.4837626239917143E-2</v>
      </c>
      <c r="P579" s="1">
        <v>0.30861904029091908</v>
      </c>
      <c r="R579" s="1">
        <v>4.5731049729791723E-2</v>
      </c>
      <c r="S579" s="2">
        <f t="shared" si="108"/>
        <v>1.1482974241879116</v>
      </c>
      <c r="T579" s="4">
        <f t="shared" si="109"/>
        <v>1.3185869743965926</v>
      </c>
      <c r="U579" s="1">
        <f t="shared" si="113"/>
        <v>1.0497860197087749</v>
      </c>
      <c r="V579" s="6">
        <f>2*sigma/alpha*corel*(B579/12-1/alpha*(1-EXP(-alpha*Output!B579/12)))</f>
        <v>3.208247477665275</v>
      </c>
      <c r="W579" s="5">
        <f t="shared" si="110"/>
        <v>-0.26880095468781762</v>
      </c>
      <c r="X579" s="1">
        <f t="shared" si="111"/>
        <v>61.185832632172406</v>
      </c>
      <c r="Y579" s="3">
        <f t="shared" si="112"/>
        <v>4.8738273238477833E-2</v>
      </c>
      <c r="Z579" s="1">
        <f t="shared" si="102"/>
        <v>0.16690557597057343</v>
      </c>
      <c r="AA579" s="8">
        <f t="shared" si="107"/>
        <v>47.250000000000249</v>
      </c>
      <c r="AB579" s="1">
        <v>47.33</v>
      </c>
      <c r="AC579" s="1">
        <v>2.5093600000000001E-2</v>
      </c>
      <c r="AD579" s="8">
        <f t="shared" si="103"/>
        <v>2.5597376008285737</v>
      </c>
      <c r="AE579" s="3">
        <f t="shared" si="104"/>
        <v>1.0200758762507466E-2</v>
      </c>
      <c r="AF579" s="11">
        <f t="shared" si="105"/>
        <v>47.250000000000249</v>
      </c>
      <c r="AG579" s="1">
        <f t="shared" si="106"/>
        <v>0.16690557597057343</v>
      </c>
    </row>
    <row r="580" spans="2:33" ht="15">
      <c r="B580" s="1">
        <v>569</v>
      </c>
      <c r="C580" s="1">
        <v>1.0009988359945077</v>
      </c>
      <c r="D580" s="1">
        <v>1.2473781831310917</v>
      </c>
      <c r="E580" s="1">
        <v>0.80045474383650117</v>
      </c>
      <c r="G580" s="1">
        <v>1.0001627003228473</v>
      </c>
      <c r="H580" s="1">
        <v>6.2409209663875265</v>
      </c>
      <c r="I580" s="1">
        <v>0.12157234562588522</v>
      </c>
      <c r="K580" s="1">
        <v>1.0003213549842302</v>
      </c>
      <c r="L580" s="1">
        <v>3.4654855152620723</v>
      </c>
      <c r="M580" s="1">
        <v>0.25630313622488993</v>
      </c>
      <c r="O580" s="1">
        <v>2.4844735033314698E-2</v>
      </c>
      <c r="P580" s="1">
        <v>0.30787712528234457</v>
      </c>
      <c r="R580" s="1">
        <v>4.569774169769196E-2</v>
      </c>
      <c r="S580" s="2">
        <f t="shared" si="108"/>
        <v>1.1501773727604261</v>
      </c>
      <c r="T580" s="4">
        <f t="shared" si="109"/>
        <v>1.3229079888100761</v>
      </c>
      <c r="U580" s="1">
        <f t="shared" si="113"/>
        <v>1.0537370369882595</v>
      </c>
      <c r="V580" s="6">
        <f>2*sigma/alpha*corel*(B580/12-1/alpha*(1-EXP(-alpha*Output!B580/12)))</f>
        <v>3.2173201209516122</v>
      </c>
      <c r="W580" s="5">
        <f t="shared" si="110"/>
        <v>-0.26917095182181661</v>
      </c>
      <c r="X580" s="1">
        <f t="shared" si="111"/>
        <v>61.403905956217976</v>
      </c>
      <c r="Y580" s="3">
        <f t="shared" si="112"/>
        <v>4.8703806560306623E-2</v>
      </c>
      <c r="Z580" s="1">
        <f t="shared" si="102"/>
        <v>0.16703185696232561</v>
      </c>
      <c r="AA580" s="8">
        <f t="shared" si="107"/>
        <v>47.333333333333584</v>
      </c>
      <c r="AB580" s="1">
        <v>47.42</v>
      </c>
      <c r="AC580" s="1">
        <v>2.5100999999999998E-2</v>
      </c>
      <c r="AD580" s="8">
        <f t="shared" si="103"/>
        <v>2.5626496668530034</v>
      </c>
      <c r="AE580" s="3">
        <f t="shared" si="104"/>
        <v>1.0209352881769666E-2</v>
      </c>
      <c r="AF580" s="11">
        <f t="shared" si="105"/>
        <v>47.333333333333584</v>
      </c>
      <c r="AG580" s="1">
        <f t="shared" si="106"/>
        <v>0.16703185696232561</v>
      </c>
    </row>
    <row r="581" spans="2:33" ht="15">
      <c r="B581" s="1">
        <v>570</v>
      </c>
      <c r="C581" s="1">
        <v>1.0010012711083338</v>
      </c>
      <c r="D581" s="1">
        <v>1.241167762873622</v>
      </c>
      <c r="E581" s="1">
        <v>0.80445747873471907</v>
      </c>
      <c r="G581" s="1">
        <v>1.0001908246025706</v>
      </c>
      <c r="H581" s="1">
        <v>5.9685919184434688</v>
      </c>
      <c r="I581" s="1">
        <v>0.12705774745452927</v>
      </c>
      <c r="K581" s="1">
        <v>1.0003683655068978</v>
      </c>
      <c r="L581" s="1">
        <v>3.4533702111677833</v>
      </c>
      <c r="M581" s="1">
        <v>0.25714873479894551</v>
      </c>
      <c r="O581" s="1">
        <v>2.4851918440220788E-2</v>
      </c>
      <c r="P581" s="1">
        <v>0.30713554139588395</v>
      </c>
      <c r="R581" s="1">
        <v>4.5652453741455677E-2</v>
      </c>
      <c r="S581" s="2">
        <f t="shared" si="108"/>
        <v>1.1519535723185201</v>
      </c>
      <c r="T581" s="4">
        <f t="shared" si="109"/>
        <v>1.3269970327774001</v>
      </c>
      <c r="U581" s="1">
        <f t="shared" si="113"/>
        <v>1.0576939208377212</v>
      </c>
      <c r="V581" s="6">
        <f>2*sigma/alpha*corel*(B581/12-1/alpha*(1-EXP(-alpha*Output!B581/12)))</f>
        <v>3.2263994973855614</v>
      </c>
      <c r="W581" s="5">
        <f t="shared" si="110"/>
        <v>-0.26930311193967893</v>
      </c>
      <c r="X581" s="1">
        <f t="shared" si="111"/>
        <v>61.577244985268791</v>
      </c>
      <c r="Y581" s="3">
        <f t="shared" si="112"/>
        <v>4.8639131454604946E-2</v>
      </c>
      <c r="Z581" s="1">
        <f t="shared" si="102"/>
        <v>0.16714299158929444</v>
      </c>
      <c r="AA581" s="8">
        <f t="shared" si="107"/>
        <v>47.41666666666692</v>
      </c>
      <c r="AB581" s="1">
        <v>47.5</v>
      </c>
      <c r="AC581" s="1">
        <v>2.51083E-2</v>
      </c>
      <c r="AD581" s="8">
        <f t="shared" si="103"/>
        <v>2.5638155977921255</v>
      </c>
      <c r="AE581" s="3">
        <f t="shared" si="104"/>
        <v>1.0211028216932748E-2</v>
      </c>
      <c r="AF581" s="11">
        <f t="shared" si="105"/>
        <v>47.41666666666692</v>
      </c>
      <c r="AG581" s="1">
        <f t="shared" si="106"/>
        <v>0.16714299158929444</v>
      </c>
    </row>
    <row r="582" spans="2:33" ht="15">
      <c r="B582" s="1">
        <v>571</v>
      </c>
      <c r="C582" s="1">
        <v>1.0010018693006841</v>
      </c>
      <c r="D582" s="1">
        <v>1.2398624475167797</v>
      </c>
      <c r="E582" s="1">
        <v>0.8053019035306066</v>
      </c>
      <c r="G582" s="1">
        <v>1.0001189820544594</v>
      </c>
      <c r="H582" s="1">
        <v>5.9116173341423801</v>
      </c>
      <c r="I582" s="1">
        <v>0.12822015034394887</v>
      </c>
      <c r="K582" s="1">
        <v>1.0003642654508855</v>
      </c>
      <c r="L582" s="1">
        <v>3.4858959417004569</v>
      </c>
      <c r="M582" s="1">
        <v>0.25469629857953885</v>
      </c>
      <c r="O582" s="1">
        <v>2.4859137906143889E-2</v>
      </c>
      <c r="P582" s="1">
        <v>0.30639485122055654</v>
      </c>
      <c r="R582" s="1">
        <v>4.5594145213832177E-2</v>
      </c>
      <c r="S582" s="2">
        <f t="shared" si="108"/>
        <v>1.1536142388004127</v>
      </c>
      <c r="T582" s="4">
        <f t="shared" si="109"/>
        <v>1.3308258119630556</v>
      </c>
      <c r="U582" s="1">
        <f t="shared" si="113"/>
        <v>1.0616566598090673</v>
      </c>
      <c r="V582" s="6">
        <f>2*sigma/alpha*corel*(B582/12-1/alpha*(1-EXP(-alpha*Output!B582/12)))</f>
        <v>3.2354855888530474</v>
      </c>
      <c r="W582" s="5">
        <f t="shared" si="110"/>
        <v>-0.26916915215398829</v>
      </c>
      <c r="X582" s="1">
        <f t="shared" si="111"/>
        <v>61.700228955651518</v>
      </c>
      <c r="Y582" s="3">
        <f t="shared" si="112"/>
        <v>4.8540774848999692E-2</v>
      </c>
      <c r="Z582" s="1">
        <f t="shared" si="102"/>
        <v>0.16723731129727487</v>
      </c>
      <c r="AA582" s="8">
        <f t="shared" si="107"/>
        <v>47.500000000000256</v>
      </c>
      <c r="AB582" s="1">
        <v>47.58</v>
      </c>
      <c r="AC582" s="1">
        <v>2.5115700000000001E-2</v>
      </c>
      <c r="AD582" s="8">
        <f t="shared" si="103"/>
        <v>2.5656209385611222</v>
      </c>
      <c r="AE582" s="3">
        <f t="shared" si="104"/>
        <v>1.021520777267256E-2</v>
      </c>
      <c r="AF582" s="11">
        <f t="shared" si="105"/>
        <v>47.500000000000256</v>
      </c>
      <c r="AG582" s="1">
        <f t="shared" si="106"/>
        <v>0.16723731129727487</v>
      </c>
    </row>
    <row r="583" spans="2:33" ht="15">
      <c r="B583" s="1">
        <v>572</v>
      </c>
      <c r="C583" s="1">
        <v>1.0010055697164386</v>
      </c>
      <c r="D583" s="1">
        <v>1.2380201339419978</v>
      </c>
      <c r="E583" s="1">
        <v>0.80649777527963662</v>
      </c>
      <c r="G583" s="1">
        <v>1.0002775960453516</v>
      </c>
      <c r="H583" s="1">
        <v>5.8311150631710973</v>
      </c>
      <c r="I583" s="1">
        <v>0.1299273378573147</v>
      </c>
      <c r="K583" s="1">
        <v>1.0003467493464537</v>
      </c>
      <c r="L583" s="1">
        <v>3.5189694465352499</v>
      </c>
      <c r="M583" s="1">
        <v>0.25224994381264676</v>
      </c>
      <c r="O583" s="1">
        <v>2.4866262439898781E-2</v>
      </c>
      <c r="P583" s="1">
        <v>0.30565696264536563</v>
      </c>
      <c r="R583" s="1">
        <v>4.5599766119812292E-2</v>
      </c>
      <c r="S583" s="2">
        <f t="shared" si="108"/>
        <v>1.1558505765646625</v>
      </c>
      <c r="T583" s="4">
        <f t="shared" si="109"/>
        <v>1.3359905553448628</v>
      </c>
      <c r="U583" s="1">
        <f t="shared" si="113"/>
        <v>1.0656252424617141</v>
      </c>
      <c r="V583" s="6">
        <f>2*sigma/alpha*corel*(B583/12-1/alpha*(1-EXP(-alpha*Output!B583/12)))</f>
        <v>3.2445783772887298</v>
      </c>
      <c r="W583" s="5">
        <f t="shared" si="110"/>
        <v>-0.27036531288314869</v>
      </c>
      <c r="X583" s="1">
        <f t="shared" si="111"/>
        <v>62.076941836089915</v>
      </c>
      <c r="Y583" s="3">
        <f t="shared" si="112"/>
        <v>4.8611683146720194E-2</v>
      </c>
      <c r="Z583" s="1">
        <f t="shared" si="102"/>
        <v>0.16741497510185213</v>
      </c>
      <c r="AA583" s="8">
        <f t="shared" si="107"/>
        <v>47.583333333333591</v>
      </c>
      <c r="AB583" s="1">
        <v>47.67</v>
      </c>
      <c r="AC583" s="1">
        <v>2.5122999999999999E-2</v>
      </c>
      <c r="AD583" s="8">
        <f t="shared" si="103"/>
        <v>2.5673756010121882</v>
      </c>
      <c r="AE583" s="3">
        <f t="shared" si="104"/>
        <v>1.0219223822840379E-2</v>
      </c>
      <c r="AF583" s="11">
        <f t="shared" si="105"/>
        <v>47.583333333333591</v>
      </c>
      <c r="AG583" s="1">
        <f t="shared" si="106"/>
        <v>0.16741497510185213</v>
      </c>
    </row>
    <row r="584" spans="2:33" ht="15">
      <c r="B584" s="1">
        <v>573</v>
      </c>
      <c r="C584" s="1">
        <v>1.0010128329919532</v>
      </c>
      <c r="D584" s="1">
        <v>1.2359047594514843</v>
      </c>
      <c r="E584" s="1">
        <v>0.80787565899888181</v>
      </c>
      <c r="G584" s="1">
        <v>1.000748694904078</v>
      </c>
      <c r="H584" s="1">
        <v>5.7374131263850323</v>
      </c>
      <c r="I584" s="1">
        <v>0.13198530549231369</v>
      </c>
      <c r="K584" s="1">
        <v>1.0005179121045553</v>
      </c>
      <c r="L584" s="1">
        <v>3.4936019772800821</v>
      </c>
      <c r="M584" s="1">
        <v>0.25402863319740926</v>
      </c>
      <c r="O584" s="1">
        <v>2.4873208592842623E-2</v>
      </c>
      <c r="P584" s="1">
        <v>0.30492308627981241</v>
      </c>
      <c r="R584" s="1">
        <v>4.5659701959080465E-2</v>
      </c>
      <c r="S584" s="2">
        <f t="shared" si="108"/>
        <v>1.1585750505255941</v>
      </c>
      <c r="T584" s="4">
        <f t="shared" si="109"/>
        <v>1.3422961477003827</v>
      </c>
      <c r="U584" s="1">
        <f t="shared" si="113"/>
        <v>1.0695996573626894</v>
      </c>
      <c r="V584" s="6">
        <f>2*sigma/alpha*corel*(B584/12-1/alpha*(1-EXP(-alpha*Output!B584/12)))</f>
        <v>3.2536778446758698</v>
      </c>
      <c r="W584" s="5">
        <f t="shared" si="110"/>
        <v>-0.27269649033769339</v>
      </c>
      <c r="X584" s="1">
        <f t="shared" si="111"/>
        <v>62.671449171434048</v>
      </c>
      <c r="Y584" s="3">
        <f t="shared" si="112"/>
        <v>4.8825678295860736E-2</v>
      </c>
      <c r="Z584" s="1">
        <f t="shared" si="102"/>
        <v>0.16766309697714082</v>
      </c>
      <c r="AA584" s="8">
        <f t="shared" si="107"/>
        <v>47.666666666666927</v>
      </c>
      <c r="AB584" s="1">
        <v>47.75</v>
      </c>
      <c r="AC584" s="1">
        <v>2.5130199999999998E-2</v>
      </c>
      <c r="AD584" s="8">
        <f t="shared" si="103"/>
        <v>2.5699140715737534</v>
      </c>
      <c r="AE584" s="3">
        <f t="shared" si="104"/>
        <v>1.0226397209627276E-2</v>
      </c>
      <c r="AF584" s="11">
        <f t="shared" si="105"/>
        <v>47.666666666666927</v>
      </c>
      <c r="AG584" s="1">
        <f t="shared" si="106"/>
        <v>0.16766309697714082</v>
      </c>
    </row>
    <row r="585" spans="2:33" ht="15">
      <c r="B585" s="1">
        <v>574</v>
      </c>
      <c r="C585" s="1">
        <v>1.0010095888477866</v>
      </c>
      <c r="D585" s="1">
        <v>1.2360902923871417</v>
      </c>
      <c r="E585" s="1">
        <v>0.80775187795670067</v>
      </c>
      <c r="G585" s="1">
        <v>1.0003733855513017</v>
      </c>
      <c r="H585" s="1">
        <v>5.7448349997057786</v>
      </c>
      <c r="I585" s="1">
        <v>0.13175093213434891</v>
      </c>
      <c r="K585" s="1">
        <v>1.000583021316239</v>
      </c>
      <c r="L585" s="1">
        <v>3.4674573274852376</v>
      </c>
      <c r="M585" s="1">
        <v>0.25589069462824704</v>
      </c>
      <c r="O585" s="1">
        <v>2.4879938179684591E-2</v>
      </c>
      <c r="P585" s="1">
        <v>0.30419377092854694</v>
      </c>
      <c r="R585" s="1">
        <v>4.5618069285460201E-2</v>
      </c>
      <c r="S585" s="2">
        <f t="shared" si="108"/>
        <v>1.1603705220001654</v>
      </c>
      <c r="T585" s="4">
        <f t="shared" si="109"/>
        <v>1.3464597483269365</v>
      </c>
      <c r="U585" s="1">
        <f t="shared" si="113"/>
        <v>1.0735798930867368</v>
      </c>
      <c r="V585" s="6">
        <f>2*sigma/alpha*corel*(B585/12-1/alpha*(1-EXP(-alpha*Output!B585/12)))</f>
        <v>3.2627839730461972</v>
      </c>
      <c r="W585" s="5">
        <f t="shared" si="110"/>
        <v>-0.27287985524019964</v>
      </c>
      <c r="X585" s="1">
        <f t="shared" si="111"/>
        <v>62.856771557391987</v>
      </c>
      <c r="Y585" s="3">
        <f t="shared" si="112"/>
        <v>4.8767689362964398E-2</v>
      </c>
      <c r="Z585" s="1">
        <f t="shared" si="102"/>
        <v>0.1677765903980068</v>
      </c>
      <c r="AA585" s="8">
        <f t="shared" si="107"/>
        <v>47.750000000000263</v>
      </c>
      <c r="AB585" s="1">
        <v>47.83</v>
      </c>
      <c r="AC585" s="1">
        <v>2.5137400000000001E-2</v>
      </c>
      <c r="AD585" s="8">
        <f t="shared" si="103"/>
        <v>2.5746182031540985</v>
      </c>
      <c r="AE585" s="3">
        <f t="shared" si="104"/>
        <v>1.0242181781545023E-2</v>
      </c>
      <c r="AF585" s="11">
        <f t="shared" si="105"/>
        <v>47.750000000000263</v>
      </c>
      <c r="AG585" s="1">
        <f t="shared" si="106"/>
        <v>0.1677765903980068</v>
      </c>
    </row>
    <row r="586" spans="2:33" ht="15">
      <c r="B586" s="1">
        <v>575</v>
      </c>
      <c r="C586" s="1">
        <v>1.001016295292229</v>
      </c>
      <c r="D586" s="1">
        <v>1.2334248235360328</v>
      </c>
      <c r="E586" s="1">
        <v>0.80949492302570736</v>
      </c>
      <c r="G586" s="1">
        <v>1.0007488396291253</v>
      </c>
      <c r="H586" s="1">
        <v>5.6360951346819448</v>
      </c>
      <c r="I586" s="1">
        <v>0.13422780567736833</v>
      </c>
      <c r="K586" s="1">
        <v>1.0002693611745026</v>
      </c>
      <c r="L586" s="1">
        <v>3.5837963249711637</v>
      </c>
      <c r="M586" s="1">
        <v>0.24753226769896547</v>
      </c>
      <c r="O586" s="1">
        <v>2.4886617874888873E-2</v>
      </c>
      <c r="P586" s="1">
        <v>0.30346658506643975</v>
      </c>
      <c r="R586" s="1">
        <v>4.5553263909268907E-2</v>
      </c>
      <c r="S586" s="2">
        <f t="shared" si="108"/>
        <v>1.1619532631601779</v>
      </c>
      <c r="T586" s="4">
        <f t="shared" si="109"/>
        <v>1.3501353857685856</v>
      </c>
      <c r="U586" s="1">
        <f t="shared" si="113"/>
        <v>1.0775659382164189</v>
      </c>
      <c r="V586" s="6">
        <f>2*sigma/alpha*corel*(B586/12-1/alpha*(1-EXP(-alpha*Output!B586/12)))</f>
        <v>3.2718967444797804</v>
      </c>
      <c r="W586" s="5">
        <f t="shared" si="110"/>
        <v>-0.27256944755216672</v>
      </c>
      <c r="X586" s="1">
        <f t="shared" si="111"/>
        <v>62.947785754036005</v>
      </c>
      <c r="Y586" s="3">
        <f t="shared" si="112"/>
        <v>4.8647658976560565E-2</v>
      </c>
      <c r="Z586" s="1">
        <f t="shared" si="102"/>
        <v>0.16785928179759757</v>
      </c>
      <c r="AA586" s="8">
        <f t="shared" si="107"/>
        <v>47.833333333333599</v>
      </c>
      <c r="AB586" s="1">
        <v>47.92</v>
      </c>
      <c r="AC586" s="1">
        <v>2.51446E-2</v>
      </c>
      <c r="AD586" s="8">
        <f t="shared" si="103"/>
        <v>2.5798212511112668</v>
      </c>
      <c r="AE586" s="3">
        <f t="shared" si="104"/>
        <v>1.0259941502792913E-2</v>
      </c>
      <c r="AF586" s="11">
        <f t="shared" si="105"/>
        <v>47.833333333333599</v>
      </c>
      <c r="AG586" s="1">
        <f t="shared" si="106"/>
        <v>0.16785928179759757</v>
      </c>
    </row>
    <row r="587" spans="2:33" ht="15">
      <c r="B587" s="1">
        <v>576</v>
      </c>
      <c r="C587" s="1">
        <v>1.0010153934696633</v>
      </c>
      <c r="D587" s="1">
        <v>1.2318132285584515</v>
      </c>
      <c r="E587" s="1">
        <v>0.81055145455214739</v>
      </c>
      <c r="G587" s="1">
        <v>1.0005286748067848</v>
      </c>
      <c r="H587" s="1">
        <v>5.5653306069244701</v>
      </c>
      <c r="I587" s="1">
        <v>0.13586868887512688</v>
      </c>
      <c r="K587" s="1">
        <v>1.000168004400587</v>
      </c>
      <c r="L587" s="1">
        <v>3.5647038047628858</v>
      </c>
      <c r="M587" s="1">
        <v>0.2488062081996871</v>
      </c>
      <c r="O587" s="1">
        <v>2.489315514349693E-2</v>
      </c>
      <c r="P587" s="1">
        <v>0.30274287021884749</v>
      </c>
      <c r="R587" s="1">
        <v>4.5509277276564016E-2</v>
      </c>
      <c r="S587" s="2">
        <f t="shared" si="108"/>
        <v>1.1637199271906848</v>
      </c>
      <c r="T587" s="4">
        <f t="shared" si="109"/>
        <v>1.3542440689406929</v>
      </c>
      <c r="U587" s="1">
        <f t="shared" si="113"/>
        <v>1.0815577813422197</v>
      </c>
      <c r="V587" s="6">
        <f>2*sigma/alpha*corel*(B587/12-1/alpha*(1-EXP(-alpha*Output!B587/12)))</f>
        <v>3.2810161411049021</v>
      </c>
      <c r="W587" s="5">
        <f t="shared" si="110"/>
        <v>-0.27268628759847324</v>
      </c>
      <c r="X587" s="1">
        <f t="shared" si="111"/>
        <v>63.120834137097766</v>
      </c>
      <c r="Y587" s="3">
        <f t="shared" si="112"/>
        <v>4.8581728967334356E-2</v>
      </c>
      <c r="Z587" s="1">
        <f t="shared" si="102"/>
        <v>0.1679685033062184</v>
      </c>
      <c r="AA587" s="8">
        <f t="shared" si="107"/>
        <v>47.916666666666934</v>
      </c>
      <c r="AB587" s="1">
        <v>48</v>
      </c>
      <c r="AC587" s="1">
        <v>2.51516E-2</v>
      </c>
      <c r="AD587" s="8">
        <f t="shared" si="103"/>
        <v>2.5844485650306988</v>
      </c>
      <c r="AE587" s="3">
        <f t="shared" si="104"/>
        <v>1.027548372680346E-2</v>
      </c>
      <c r="AF587" s="11">
        <f t="shared" si="105"/>
        <v>47.916666666666934</v>
      </c>
      <c r="AG587" s="1">
        <f t="shared" si="106"/>
        <v>0.1679685033062184</v>
      </c>
    </row>
    <row r="588" spans="2:33" ht="15">
      <c r="B588" s="1">
        <v>577</v>
      </c>
      <c r="C588" s="1">
        <v>1.0010168209942536</v>
      </c>
      <c r="D588" s="1">
        <v>1.2355837962048224</v>
      </c>
      <c r="E588" s="1">
        <v>0.80807539990767718</v>
      </c>
      <c r="G588" s="1">
        <v>1.0005419512932201</v>
      </c>
      <c r="H588" s="1">
        <v>5.7162614076106673</v>
      </c>
      <c r="I588" s="1">
        <v>0.13221715789692798</v>
      </c>
      <c r="K588" s="1">
        <v>1.0001166853672037</v>
      </c>
      <c r="L588" s="1">
        <v>3.5567852005638736</v>
      </c>
      <c r="M588" s="1">
        <v>0.24930819004365218</v>
      </c>
      <c r="O588" s="1">
        <v>2.4899642542207584E-2</v>
      </c>
      <c r="P588" s="1">
        <v>0.30202127645902249</v>
      </c>
      <c r="R588" s="1">
        <v>4.5483997969319026E-2</v>
      </c>
      <c r="S588" s="2">
        <f t="shared" si="108"/>
        <v>1.1656564427898026</v>
      </c>
      <c r="T588" s="4">
        <f t="shared" si="109"/>
        <v>1.3587549426173764</v>
      </c>
      <c r="U588" s="1">
        <f t="shared" si="113"/>
        <v>1.0855554110626475</v>
      </c>
      <c r="V588" s="6">
        <f>2*sigma/alpha*corel*(B588/12-1/alpha*(1-EXP(-alpha*Output!B588/12)))</f>
        <v>3.2901421450979207</v>
      </c>
      <c r="W588" s="5">
        <f t="shared" si="110"/>
        <v>-0.27319953155472887</v>
      </c>
      <c r="X588" s="1">
        <f t="shared" si="111"/>
        <v>63.370411903975736</v>
      </c>
      <c r="Y588" s="3">
        <f t="shared" si="112"/>
        <v>4.8565802570693442E-2</v>
      </c>
      <c r="Z588" s="1">
        <f t="shared" si="102"/>
        <v>0.16810215652524399</v>
      </c>
      <c r="AA588" s="8">
        <f t="shared" si="107"/>
        <v>48.00000000000027</v>
      </c>
      <c r="AB588" s="1">
        <v>48.08</v>
      </c>
      <c r="AC588" s="1">
        <v>2.51586E-2</v>
      </c>
      <c r="AD588" s="8">
        <f t="shared" si="103"/>
        <v>2.5895745779241572</v>
      </c>
      <c r="AE588" s="3">
        <f t="shared" si="104"/>
        <v>1.0292999522724465E-2</v>
      </c>
      <c r="AF588" s="11">
        <f t="shared" si="105"/>
        <v>48.00000000000027</v>
      </c>
      <c r="AG588" s="1">
        <f t="shared" si="106"/>
        <v>0.16810215652524399</v>
      </c>
    </row>
    <row r="589" spans="2:33" ht="15">
      <c r="B589" s="1">
        <v>578</v>
      </c>
      <c r="C589" s="1">
        <v>1.0010131652869172</v>
      </c>
      <c r="D589" s="1">
        <v>1.2366028581346646</v>
      </c>
      <c r="E589" s="1">
        <v>0.80740694124050083</v>
      </c>
      <c r="G589" s="1">
        <v>1.000111329609876</v>
      </c>
      <c r="H589" s="1">
        <v>5.759042287572564</v>
      </c>
      <c r="I589" s="1">
        <v>0.13117140631241675</v>
      </c>
      <c r="K589" s="1">
        <v>1.0001719432986951</v>
      </c>
      <c r="L589" s="1">
        <v>3.5685166438835334</v>
      </c>
      <c r="M589" s="1">
        <v>0.24843683024728774</v>
      </c>
      <c r="O589" s="1">
        <v>2.4906148610316696E-2</v>
      </c>
      <c r="P589" s="1">
        <v>0.30130080591298308</v>
      </c>
      <c r="R589" s="1">
        <v>4.5463822425336718E-2</v>
      </c>
      <c r="S589" s="2">
        <f t="shared" si="108"/>
        <v>1.1676420142550425</v>
      </c>
      <c r="T589" s="4">
        <f t="shared" si="109"/>
        <v>1.3633878734535729</v>
      </c>
      <c r="U589" s="1">
        <f t="shared" si="113"/>
        <v>1.0895588159843292</v>
      </c>
      <c r="V589" s="6">
        <f>2*sigma/alpha*corel*(B589/12-1/alpha*(1-EXP(-alpha*Output!B589/12)))</f>
        <v>3.2992747386831449</v>
      </c>
      <c r="W589" s="5">
        <f t="shared" si="110"/>
        <v>-0.27382905746924369</v>
      </c>
      <c r="X589" s="1">
        <f t="shared" si="111"/>
        <v>63.642945540387018</v>
      </c>
      <c r="Y589" s="3">
        <f t="shared" si="112"/>
        <v>4.8564479018947448E-2</v>
      </c>
      <c r="Z589" s="1">
        <f t="shared" ref="Z589:Z652" si="114">S589/SQRT(B589/12)</f>
        <v>0.16824277277414212</v>
      </c>
      <c r="AA589" s="8">
        <f t="shared" si="107"/>
        <v>48.083333333333606</v>
      </c>
      <c r="AB589" s="1">
        <v>48.17</v>
      </c>
      <c r="AC589" s="1">
        <v>2.51655E-2</v>
      </c>
      <c r="AD589" s="8">
        <f t="shared" ref="AD589:AD652" si="115">(AC589-O589)*10000</f>
        <v>2.593513896833044</v>
      </c>
      <c r="AE589" s="3">
        <f t="shared" ref="AE589:AE652" si="116">AD589/AC589/10000</f>
        <v>1.030583098620351E-2</v>
      </c>
      <c r="AF589" s="11">
        <f t="shared" ref="AF589:AF652" si="117">AA589</f>
        <v>48.083333333333606</v>
      </c>
      <c r="AG589" s="1">
        <f t="shared" ref="AG589:AG652" si="118">Z589</f>
        <v>0.16824277277414212</v>
      </c>
    </row>
    <row r="590" spans="2:33" ht="15">
      <c r="B590" s="1">
        <v>579</v>
      </c>
      <c r="C590" s="1">
        <v>1.0010189192960737</v>
      </c>
      <c r="D590" s="1">
        <v>1.2401314131816894</v>
      </c>
      <c r="E590" s="1">
        <v>0.80510708464628855</v>
      </c>
      <c r="G590" s="1">
        <v>1.000402258986602</v>
      </c>
      <c r="H590" s="1">
        <v>5.9051486585596136</v>
      </c>
      <c r="I590" s="1">
        <v>0.12786395944486323</v>
      </c>
      <c r="K590" s="1">
        <v>1.0003278002156608</v>
      </c>
      <c r="L590" s="1">
        <v>3.5763811579228788</v>
      </c>
      <c r="M590" s="1">
        <v>0.24783887548001629</v>
      </c>
      <c r="O590" s="1">
        <v>2.4912578030727852E-2</v>
      </c>
      <c r="P590" s="1">
        <v>0.30058283974103145</v>
      </c>
      <c r="R590" s="1">
        <v>4.5472873144318075E-2</v>
      </c>
      <c r="S590" s="2">
        <f t="shared" si="108"/>
        <v>1.1698946310993812</v>
      </c>
      <c r="T590" s="4">
        <f t="shared" si="109"/>
        <v>1.3686534478751573</v>
      </c>
      <c r="U590" s="1">
        <f t="shared" si="113"/>
        <v>1.0935679847221194</v>
      </c>
      <c r="V590" s="6">
        <f>2*sigma/alpha*corel*(B590/12-1/alpha*(1-EXP(-alpha*Output!B590/12)))</f>
        <v>3.3084139041327103</v>
      </c>
      <c r="W590" s="5">
        <f t="shared" si="110"/>
        <v>-0.27508546315303795</v>
      </c>
      <c r="X590" s="1">
        <f t="shared" si="111"/>
        <v>64.037096949594968</v>
      </c>
      <c r="Y590" s="3">
        <f t="shared" si="112"/>
        <v>4.8641495537118905E-2</v>
      </c>
      <c r="Z590" s="1">
        <f t="shared" si="114"/>
        <v>0.16842171643633363</v>
      </c>
      <c r="AA590" s="8">
        <f t="shared" ref="AA590:AA653" si="119">AA589+1/12</f>
        <v>48.166666666666941</v>
      </c>
      <c r="AB590" s="1">
        <v>48.25</v>
      </c>
      <c r="AC590" s="1">
        <v>2.5172400000000001E-2</v>
      </c>
      <c r="AD590" s="8">
        <f t="shared" si="115"/>
        <v>2.5982196927214902</v>
      </c>
      <c r="AE590" s="3">
        <f t="shared" si="116"/>
        <v>1.0321700325441715E-2</v>
      </c>
      <c r="AF590" s="11">
        <f t="shared" si="117"/>
        <v>48.166666666666941</v>
      </c>
      <c r="AG590" s="1">
        <f t="shared" si="118"/>
        <v>0.16842171643633363</v>
      </c>
    </row>
    <row r="591" spans="2:33" ht="15">
      <c r="B591" s="1">
        <v>580</v>
      </c>
      <c r="C591" s="1">
        <v>1.0010231281817659</v>
      </c>
      <c r="D591" s="1">
        <v>1.2370096276702207</v>
      </c>
      <c r="E591" s="1">
        <v>0.80713635041421128</v>
      </c>
      <c r="G591" s="1">
        <v>1.0005863083977879</v>
      </c>
      <c r="H591" s="1">
        <v>5.7709176980213091</v>
      </c>
      <c r="I591" s="1">
        <v>0.13077467302704876</v>
      </c>
      <c r="K591" s="1">
        <v>1.0002937196380108</v>
      </c>
      <c r="L591" s="1">
        <v>3.6087017717210199</v>
      </c>
      <c r="M591" s="1">
        <v>0.24556799104644073</v>
      </c>
      <c r="O591" s="1">
        <v>2.4918924265736414E-2</v>
      </c>
      <c r="P591" s="1">
        <v>0.29986746872745768</v>
      </c>
      <c r="R591" s="1">
        <v>4.5455527767416015E-2</v>
      </c>
      <c r="S591" s="2">
        <f t="shared" si="108"/>
        <v>1.1719029943228201</v>
      </c>
      <c r="T591" s="4">
        <f t="shared" si="109"/>
        <v>1.3733566281027916</v>
      </c>
      <c r="U591" s="1">
        <f t="shared" si="113"/>
        <v>1.0975829058991868</v>
      </c>
      <c r="V591" s="6">
        <f>2*sigma/alpha*corel*(B591/12-1/alpha*(1-EXP(-alpha*Output!B591/12)))</f>
        <v>3.3175596237664391</v>
      </c>
      <c r="W591" s="5">
        <f t="shared" si="110"/>
        <v>-0.27577372220360474</v>
      </c>
      <c r="X591" s="1">
        <f t="shared" si="111"/>
        <v>64.322454816608911</v>
      </c>
      <c r="Y591" s="3">
        <f t="shared" si="112"/>
        <v>4.8647260148111007E-2</v>
      </c>
      <c r="Z591" s="1">
        <f t="shared" si="114"/>
        <v>0.16856534360358802</v>
      </c>
      <c r="AA591" s="8">
        <f t="shared" si="119"/>
        <v>48.250000000000277</v>
      </c>
      <c r="AB591" s="1">
        <v>48.33</v>
      </c>
      <c r="AC591" s="1">
        <v>2.5179400000000001E-2</v>
      </c>
      <c r="AD591" s="8">
        <f t="shared" si="115"/>
        <v>2.6047573426358701</v>
      </c>
      <c r="AE591" s="3">
        <f t="shared" si="116"/>
        <v>1.0344795120756929E-2</v>
      </c>
      <c r="AF591" s="11">
        <f t="shared" si="117"/>
        <v>48.250000000000277</v>
      </c>
      <c r="AG591" s="1">
        <f t="shared" si="118"/>
        <v>0.16856534360358802</v>
      </c>
    </row>
    <row r="592" spans="2:33" ht="15">
      <c r="B592" s="1">
        <v>581</v>
      </c>
      <c r="C592" s="1">
        <v>1.0010274168139917</v>
      </c>
      <c r="D592" s="1">
        <v>1.2400491607489519</v>
      </c>
      <c r="E592" s="1">
        <v>0.80515540180502232</v>
      </c>
      <c r="G592" s="1">
        <v>1.0008299033550627</v>
      </c>
      <c r="H592" s="1">
        <v>5.8968494575157813</v>
      </c>
      <c r="I592" s="1">
        <v>0.12791987324360105</v>
      </c>
      <c r="K592" s="1">
        <v>1.0002530039295239</v>
      </c>
      <c r="L592" s="1">
        <v>3.5697276234936797</v>
      </c>
      <c r="M592" s="1">
        <v>0.24819737972513897</v>
      </c>
      <c r="O592" s="1">
        <v>2.4925267071554361E-2</v>
      </c>
      <c r="P592" s="1">
        <v>0.29915353351037005</v>
      </c>
      <c r="R592" s="1">
        <v>4.5390786339356184E-2</v>
      </c>
      <c r="S592" s="2">
        <f t="shared" si="108"/>
        <v>1.1734751230696705</v>
      </c>
      <c r="T592" s="4">
        <f t="shared" si="109"/>
        <v>1.3770438644633782</v>
      </c>
      <c r="U592" s="1">
        <f t="shared" si="113"/>
        <v>1.1016035681471232</v>
      </c>
      <c r="V592" s="6">
        <f>2*sigma/alpha*corel*(B592/12-1/alpha*(1-EXP(-alpha*Output!B592/12)))</f>
        <v>3.3267118799517208</v>
      </c>
      <c r="W592" s="5">
        <f t="shared" si="110"/>
        <v>-0.275440296316255</v>
      </c>
      <c r="X592" s="1">
        <f t="shared" si="111"/>
        <v>64.41061598545997</v>
      </c>
      <c r="Y592" s="3">
        <f t="shared" si="112"/>
        <v>4.8525754773284538E-2</v>
      </c>
      <c r="Z592" s="1">
        <f t="shared" si="114"/>
        <v>0.1686461550108157</v>
      </c>
      <c r="AA592" s="8">
        <f t="shared" si="119"/>
        <v>48.333333333333613</v>
      </c>
      <c r="AB592" s="1">
        <v>48.42</v>
      </c>
      <c r="AC592" s="1">
        <v>2.5186400000000001E-2</v>
      </c>
      <c r="AD592" s="8">
        <f t="shared" si="115"/>
        <v>2.6113292844564056</v>
      </c>
      <c r="AE592" s="3">
        <f t="shared" si="116"/>
        <v>1.0368013231173989E-2</v>
      </c>
      <c r="AF592" s="11">
        <f t="shared" si="117"/>
        <v>48.333333333333613</v>
      </c>
      <c r="AG592" s="1">
        <f t="shared" si="118"/>
        <v>0.1686461550108157</v>
      </c>
    </row>
    <row r="593" spans="2:33" ht="15">
      <c r="B593" s="1">
        <v>582</v>
      </c>
      <c r="C593" s="1">
        <v>1.0010334730483079</v>
      </c>
      <c r="D593" s="1">
        <v>1.2342896517790596</v>
      </c>
      <c r="E593" s="1">
        <v>0.80890990021611486</v>
      </c>
      <c r="G593" s="1">
        <v>1.001130316390189</v>
      </c>
      <c r="H593" s="1">
        <v>5.6534943437048835</v>
      </c>
      <c r="I593" s="1">
        <v>0.13336155011157932</v>
      </c>
      <c r="K593" s="1">
        <v>1.0003751384693003</v>
      </c>
      <c r="L593" s="1">
        <v>3.616548277287305</v>
      </c>
      <c r="M593" s="1">
        <v>0.24493312699897421</v>
      </c>
      <c r="O593" s="1">
        <v>2.4931756993107859E-2</v>
      </c>
      <c r="P593" s="1">
        <v>0.29843885316087881</v>
      </c>
      <c r="R593" s="1">
        <v>4.534146020540409E-2</v>
      </c>
      <c r="S593" s="2">
        <f t="shared" si="108"/>
        <v>1.1751962304223016</v>
      </c>
      <c r="T593" s="4">
        <f t="shared" si="109"/>
        <v>1.3810861799987875</v>
      </c>
      <c r="U593" s="1">
        <f t="shared" si="113"/>
        <v>1.1056299601060315</v>
      </c>
      <c r="V593" s="6">
        <f>2*sigma/alpha*corel*(B593/12-1/alpha*(1-EXP(-alpha*Output!B593/12)))</f>
        <v>3.3358706551033839</v>
      </c>
      <c r="W593" s="5">
        <f t="shared" si="110"/>
        <v>-0.27545621989275593</v>
      </c>
      <c r="X593" s="1">
        <f t="shared" si="111"/>
        <v>64.566539686774533</v>
      </c>
      <c r="Y593" s="3">
        <f t="shared" si="112"/>
        <v>4.8448041846490722E-2</v>
      </c>
      <c r="Z593" s="1">
        <f t="shared" si="114"/>
        <v>0.16874834432170055</v>
      </c>
      <c r="AA593" s="8">
        <f t="shared" si="119"/>
        <v>48.416666666666949</v>
      </c>
      <c r="AB593" s="1">
        <v>48.5</v>
      </c>
      <c r="AC593" s="1">
        <v>2.51936E-2</v>
      </c>
      <c r="AD593" s="8">
        <f t="shared" si="115"/>
        <v>2.6184300689214082</v>
      </c>
      <c r="AE593" s="3">
        <f t="shared" si="116"/>
        <v>1.0393235063355011E-2</v>
      </c>
      <c r="AF593" s="11">
        <f t="shared" si="117"/>
        <v>48.416666666666949</v>
      </c>
      <c r="AG593" s="1">
        <f t="shared" si="118"/>
        <v>0.16874834432170055</v>
      </c>
    </row>
    <row r="594" spans="2:33" ht="15">
      <c r="B594" s="1">
        <v>583</v>
      </c>
      <c r="C594" s="1">
        <v>1.0010375124324993</v>
      </c>
      <c r="D594" s="1">
        <v>1.2348566050964684</v>
      </c>
      <c r="E594" s="1">
        <v>0.80853594508951965</v>
      </c>
      <c r="G594" s="1">
        <v>1.0013145133015857</v>
      </c>
      <c r="H594" s="1">
        <v>5.676600277341346</v>
      </c>
      <c r="I594" s="1">
        <v>0.13275436706496335</v>
      </c>
      <c r="K594" s="1">
        <v>1.0003628456603544</v>
      </c>
      <c r="L594" s="1">
        <v>3.6435670952269188</v>
      </c>
      <c r="M594" s="1">
        <v>0.24306618500062729</v>
      </c>
      <c r="O594" s="1">
        <v>2.4938335542604221E-2</v>
      </c>
      <c r="P594" s="1">
        <v>0.29772427619663722</v>
      </c>
      <c r="R594" s="1">
        <v>4.540181725883613E-2</v>
      </c>
      <c r="S594" s="2">
        <f t="shared" si="108"/>
        <v>1.1779391389145377</v>
      </c>
      <c r="T594" s="4">
        <f t="shared" si="109"/>
        <v>1.3875406149867227</v>
      </c>
      <c r="U594" s="1">
        <f t="shared" si="113"/>
        <v>1.1096620704246267</v>
      </c>
      <c r="V594" s="6">
        <f>2*sigma/alpha*corel*(B594/12-1/alpha*(1-EXP(-alpha*Output!B594/12)))</f>
        <v>3.3450359316835616</v>
      </c>
      <c r="W594" s="5">
        <f t="shared" si="110"/>
        <v>-0.27787854456209593</v>
      </c>
      <c r="X594" s="1">
        <f t="shared" si="111"/>
        <v>65.190329210821432</v>
      </c>
      <c r="Y594" s="3">
        <f t="shared" si="112"/>
        <v>4.8669127668043724E-2</v>
      </c>
      <c r="Z594" s="1">
        <f t="shared" si="114"/>
        <v>0.16899707884572679</v>
      </c>
      <c r="AA594" s="8">
        <f t="shared" si="119"/>
        <v>48.500000000000284</v>
      </c>
      <c r="AB594" s="1">
        <v>48.58</v>
      </c>
      <c r="AC594" s="1">
        <v>2.5200899999999998E-2</v>
      </c>
      <c r="AD594" s="8">
        <f t="shared" si="115"/>
        <v>2.6256445739577736</v>
      </c>
      <c r="AE594" s="3">
        <f t="shared" si="116"/>
        <v>1.041885239796108E-2</v>
      </c>
      <c r="AF594" s="11">
        <f t="shared" si="117"/>
        <v>48.500000000000284</v>
      </c>
      <c r="AG594" s="1">
        <f t="shared" si="118"/>
        <v>0.16899707884572679</v>
      </c>
    </row>
    <row r="595" spans="2:33" ht="15">
      <c r="B595" s="1">
        <v>584</v>
      </c>
      <c r="C595" s="1">
        <v>1.0010427253491283</v>
      </c>
      <c r="D595" s="1">
        <v>1.2386828518364978</v>
      </c>
      <c r="E595" s="1">
        <v>0.80603584537257056</v>
      </c>
      <c r="G595" s="1">
        <v>1.0015419299350365</v>
      </c>
      <c r="H595" s="1">
        <v>5.8389674640557407</v>
      </c>
      <c r="I595" s="1">
        <v>0.12900026632017655</v>
      </c>
      <c r="K595" s="1">
        <v>1.0004533735250853</v>
      </c>
      <c r="L595" s="1">
        <v>3.5955716227763328</v>
      </c>
      <c r="M595" s="1">
        <v>0.24625944349055082</v>
      </c>
      <c r="O595" s="1">
        <v>2.4945120294704592E-2</v>
      </c>
      <c r="P595" s="1">
        <v>0.29700810400419447</v>
      </c>
      <c r="R595" s="1">
        <v>4.5400026139010285E-2</v>
      </c>
      <c r="S595" s="2">
        <f t="shared" si="108"/>
        <v>1.1801182384553479</v>
      </c>
      <c r="T595" s="4">
        <f t="shared" si="109"/>
        <v>1.3926790567349534</v>
      </c>
      <c r="U595" s="1">
        <f t="shared" si="113"/>
        <v>1.1136998877603268</v>
      </c>
      <c r="V595" s="6">
        <f>2*sigma/alpha*corel*(B595/12-1/alpha*(1-EXP(-alpha*Output!B595/12)))</f>
        <v>3.3542076922015718</v>
      </c>
      <c r="W595" s="5">
        <f t="shared" si="110"/>
        <v>-0.2789791689746266</v>
      </c>
      <c r="X595" s="1">
        <f t="shared" si="111"/>
        <v>65.558654136151517</v>
      </c>
      <c r="Y595" s="3">
        <f t="shared" si="112"/>
        <v>4.8725570441931251E-2</v>
      </c>
      <c r="Z595" s="1">
        <f t="shared" si="114"/>
        <v>0.16916469178468843</v>
      </c>
      <c r="AA595" s="8">
        <f t="shared" si="119"/>
        <v>48.58333333333362</v>
      </c>
      <c r="AB595" s="1">
        <v>48.67</v>
      </c>
      <c r="AC595" s="1">
        <v>2.5208399999999999E-2</v>
      </c>
      <c r="AD595" s="8">
        <f t="shared" si="115"/>
        <v>2.632797052954071</v>
      </c>
      <c r="AE595" s="3">
        <f t="shared" si="116"/>
        <v>1.0444125977666457E-2</v>
      </c>
      <c r="AF595" s="11">
        <f t="shared" si="117"/>
        <v>48.58333333333362</v>
      </c>
      <c r="AG595" s="1">
        <f t="shared" si="118"/>
        <v>0.16916469178468843</v>
      </c>
    </row>
    <row r="596" spans="2:33" ht="15">
      <c r="B596" s="1">
        <v>585</v>
      </c>
      <c r="C596" s="1">
        <v>1.0010466743875945</v>
      </c>
      <c r="D596" s="1">
        <v>1.2365669142288895</v>
      </c>
      <c r="E596" s="1">
        <v>0.80741251467159414</v>
      </c>
      <c r="G596" s="1">
        <v>1.0017157878498946</v>
      </c>
      <c r="H596" s="1">
        <v>5.7516954564468739</v>
      </c>
      <c r="I596" s="1">
        <v>0.13089417169030451</v>
      </c>
      <c r="K596" s="1">
        <v>1.0004307058958981</v>
      </c>
      <c r="L596" s="1">
        <v>3.6845538394473492</v>
      </c>
      <c r="M596" s="1">
        <v>0.24026220209058918</v>
      </c>
      <c r="O596" s="1">
        <v>2.4952118317207145E-2</v>
      </c>
      <c r="P596" s="1">
        <v>0.29629023898358953</v>
      </c>
      <c r="R596" s="1">
        <v>4.5378259433283032E-2</v>
      </c>
      <c r="S596" s="2">
        <f t="shared" si="108"/>
        <v>1.1821232033351758</v>
      </c>
      <c r="T596" s="4">
        <f t="shared" si="109"/>
        <v>1.3974152678634175</v>
      </c>
      <c r="U596" s="1">
        <f t="shared" si="113"/>
        <v>1.1177434007793521</v>
      </c>
      <c r="V596" s="6">
        <f>2*sigma/alpha*corel*(B596/12-1/alpha*(1-EXP(-alpha*Output!B596/12)))</f>
        <v>3.3633859192137883</v>
      </c>
      <c r="W596" s="5">
        <f t="shared" si="110"/>
        <v>-0.27967186708406544</v>
      </c>
      <c r="X596" s="1">
        <f t="shared" si="111"/>
        <v>65.848378922958332</v>
      </c>
      <c r="Y596" s="3">
        <f t="shared" si="112"/>
        <v>4.8731440899227901E-2</v>
      </c>
      <c r="Z596" s="1">
        <f t="shared" si="114"/>
        <v>0.16930720177109207</v>
      </c>
      <c r="AA596" s="8">
        <f t="shared" si="119"/>
        <v>48.666666666666956</v>
      </c>
      <c r="AB596" s="1">
        <v>48.75</v>
      </c>
      <c r="AC596" s="1">
        <v>2.5216100000000002E-2</v>
      </c>
      <c r="AD596" s="8">
        <f t="shared" si="115"/>
        <v>2.639816827928569</v>
      </c>
      <c r="AE596" s="3">
        <f t="shared" si="116"/>
        <v>1.0468775218723629E-2</v>
      </c>
      <c r="AF596" s="11">
        <f t="shared" si="117"/>
        <v>48.666666666666956</v>
      </c>
      <c r="AG596" s="1">
        <f t="shared" si="118"/>
        <v>0.16930720177109207</v>
      </c>
    </row>
    <row r="597" spans="2:33" ht="15">
      <c r="B597" s="1">
        <v>586</v>
      </c>
      <c r="C597" s="1">
        <v>1.0010457246990434</v>
      </c>
      <c r="D597" s="1">
        <v>1.2357822329029251</v>
      </c>
      <c r="E597" s="1">
        <v>0.8079226192930008</v>
      </c>
      <c r="G597" s="1">
        <v>1.0014999115171461</v>
      </c>
      <c r="H597" s="1">
        <v>5.7154671496074334</v>
      </c>
      <c r="I597" s="1">
        <v>0.13166004125676764</v>
      </c>
      <c r="K597" s="1">
        <v>1.0003461012170929</v>
      </c>
      <c r="L597" s="1">
        <v>3.7679107538417096</v>
      </c>
      <c r="M597" s="1">
        <v>0.23489797581154612</v>
      </c>
      <c r="O597" s="1">
        <v>2.4959396274567659E-2</v>
      </c>
      <c r="P597" s="1">
        <v>0.29556972378453916</v>
      </c>
      <c r="R597" s="1">
        <v>4.5319038718920734E-2</v>
      </c>
      <c r="S597" s="2">
        <f t="shared" si="108"/>
        <v>1.1837927694985024</v>
      </c>
      <c r="T597" s="4">
        <f t="shared" si="109"/>
        <v>1.4013653211169346</v>
      </c>
      <c r="U597" s="1">
        <f t="shared" si="113"/>
        <v>1.1217925981568106</v>
      </c>
      <c r="V597" s="6">
        <f>2*sigma/alpha*corel*(B597/12-1/alpha*(1-EXP(-alpha*Output!B597/12)))</f>
        <v>3.3725705953235097</v>
      </c>
      <c r="W597" s="5">
        <f t="shared" si="110"/>
        <v>-0.27957272296012392</v>
      </c>
      <c r="X597" s="1">
        <f t="shared" si="111"/>
        <v>65.984104305318311</v>
      </c>
      <c r="Y597" s="3">
        <f t="shared" si="112"/>
        <v>4.8639823597484269E-2</v>
      </c>
      <c r="Z597" s="1">
        <f t="shared" si="114"/>
        <v>0.16940159613688893</v>
      </c>
      <c r="AA597" s="8">
        <f t="shared" si="119"/>
        <v>48.750000000000291</v>
      </c>
      <c r="AB597" s="1">
        <v>48.83</v>
      </c>
      <c r="AC597" s="1">
        <v>2.5224199999999999E-2</v>
      </c>
      <c r="AD597" s="8">
        <f t="shared" si="115"/>
        <v>2.6480372543234014</v>
      </c>
      <c r="AE597" s="3">
        <f t="shared" si="116"/>
        <v>1.0498002927043877E-2</v>
      </c>
      <c r="AF597" s="11">
        <f t="shared" si="117"/>
        <v>48.750000000000291</v>
      </c>
      <c r="AG597" s="1">
        <f t="shared" si="118"/>
        <v>0.16940159613688893</v>
      </c>
    </row>
    <row r="598" spans="2:33" ht="15">
      <c r="B598" s="1">
        <v>587</v>
      </c>
      <c r="C598" s="1">
        <v>1.001046681236003</v>
      </c>
      <c r="D598" s="1">
        <v>1.2372063280068302</v>
      </c>
      <c r="E598" s="1">
        <v>0.80699007617232987</v>
      </c>
      <c r="G598" s="1">
        <v>1.0014970253801347</v>
      </c>
      <c r="H598" s="1">
        <v>5.7739947996549539</v>
      </c>
      <c r="I598" s="1">
        <v>0.13026233442477397</v>
      </c>
      <c r="K598" s="1">
        <v>1.0003869738666633</v>
      </c>
      <c r="L598" s="1">
        <v>3.8028885112653255</v>
      </c>
      <c r="M598" s="1">
        <v>0.23268897709110525</v>
      </c>
      <c r="O598" s="1">
        <v>2.4967066421102212E-2</v>
      </c>
      <c r="P598" s="1">
        <v>0.29484494654135285</v>
      </c>
      <c r="R598" s="1">
        <v>4.5280303607916926E-2</v>
      </c>
      <c r="S598" s="2">
        <f t="shared" si="108"/>
        <v>1.1856716345436695</v>
      </c>
      <c r="T598" s="4">
        <f t="shared" si="109"/>
        <v>1.4058172249614571</v>
      </c>
      <c r="U598" s="1">
        <f t="shared" si="113"/>
        <v>1.1258474685767974</v>
      </c>
      <c r="V598" s="6">
        <f>2*sigma/alpha*corel*(B598/12-1/alpha*(1-EXP(-alpha*Output!B598/12)))</f>
        <v>3.381761703180838</v>
      </c>
      <c r="W598" s="5">
        <f t="shared" si="110"/>
        <v>-0.27996975638465971</v>
      </c>
      <c r="X598" s="1">
        <f t="shared" si="111"/>
        <v>66.21706121636565</v>
      </c>
      <c r="Y598" s="3">
        <f t="shared" si="112"/>
        <v>4.860945413874844E-2</v>
      </c>
      <c r="Z598" s="1">
        <f t="shared" si="114"/>
        <v>0.16952587807831579</v>
      </c>
      <c r="AA598" s="8">
        <f t="shared" si="119"/>
        <v>48.833333333333627</v>
      </c>
      <c r="AB598" s="1">
        <v>48.92</v>
      </c>
      <c r="AC598" s="1">
        <v>2.5232500000000001E-2</v>
      </c>
      <c r="AD598" s="8">
        <f t="shared" si="115"/>
        <v>2.6543357889778978</v>
      </c>
      <c r="AE598" s="3">
        <f t="shared" si="116"/>
        <v>1.0519511697128297E-2</v>
      </c>
      <c r="AF598" s="11">
        <f t="shared" si="117"/>
        <v>48.833333333333627</v>
      </c>
      <c r="AG598" s="1">
        <f t="shared" si="118"/>
        <v>0.16952587807831579</v>
      </c>
    </row>
    <row r="599" spans="2:33" ht="15">
      <c r="B599" s="1">
        <v>588</v>
      </c>
      <c r="C599" s="1">
        <v>1.0010475071897682</v>
      </c>
      <c r="D599" s="1">
        <v>1.2352371875572898</v>
      </c>
      <c r="E599" s="1">
        <v>0.80827394470566849</v>
      </c>
      <c r="G599" s="1">
        <v>1.0014040417863166</v>
      </c>
      <c r="H599" s="1">
        <v>5.6852530926689351</v>
      </c>
      <c r="I599" s="1">
        <v>0.13223151260309965</v>
      </c>
      <c r="K599" s="1">
        <v>1.0004817754999538</v>
      </c>
      <c r="L599" s="1">
        <v>3.7759432924029213</v>
      </c>
      <c r="M599" s="1">
        <v>0.23430063345021787</v>
      </c>
      <c r="O599" s="1">
        <v>2.4975065154190908E-2</v>
      </c>
      <c r="P599" s="1">
        <v>0.29411683502075664</v>
      </c>
      <c r="R599" s="1">
        <v>4.5290582219500899E-2</v>
      </c>
      <c r="S599" s="2">
        <f t="shared" ref="S599:S662" si="120">optim_vol_implied(P599,R599)</f>
        <v>1.1880257510531129</v>
      </c>
      <c r="T599" s="4">
        <f t="shared" ref="T599:T662" si="121">S599*S599</f>
        <v>1.4114051851653131</v>
      </c>
      <c r="U599" s="1">
        <f t="shared" si="113"/>
        <v>1.1299080007324815</v>
      </c>
      <c r="V599" s="6">
        <f>2*sigma/alpha*corel*(B599/12-1/alpha*(1-EXP(-alpha*Output!B599/12)))</f>
        <v>3.3909592254825536</v>
      </c>
      <c r="W599" s="5">
        <f t="shared" ref="W599:W662" si="122">U599-T599</f>
        <v>-0.28149718443283156</v>
      </c>
      <c r="X599" s="1">
        <f t="shared" ref="X599:X662" si="123">V599*V599-4*W599*B599/12</f>
        <v>66.672052617720226</v>
      </c>
      <c r="Y599" s="3">
        <f t="shared" ref="Y599:Y662" si="124">(-V599+SQRT(X599))/2/B599*12</f>
        <v>4.8717718346224501E-2</v>
      </c>
      <c r="Z599" s="1">
        <f t="shared" si="114"/>
        <v>0.169717964436159</v>
      </c>
      <c r="AA599" s="8">
        <f t="shared" si="119"/>
        <v>48.916666666666963</v>
      </c>
      <c r="AB599" s="1">
        <v>49</v>
      </c>
      <c r="AC599" s="1">
        <v>2.5241199999999998E-2</v>
      </c>
      <c r="AD599" s="8">
        <f t="shared" si="115"/>
        <v>2.6613484580909064</v>
      </c>
      <c r="AE599" s="3">
        <f t="shared" si="116"/>
        <v>1.0543668518497164E-2</v>
      </c>
      <c r="AF599" s="11">
        <f t="shared" si="117"/>
        <v>48.916666666666963</v>
      </c>
      <c r="AG599" s="1">
        <f t="shared" si="118"/>
        <v>0.169717964436159</v>
      </c>
    </row>
    <row r="600" spans="2:33" ht="15">
      <c r="B600" s="1">
        <v>589</v>
      </c>
      <c r="C600" s="1">
        <v>1.0010507532429</v>
      </c>
      <c r="D600" s="1">
        <v>1.2324311305172739</v>
      </c>
      <c r="E600" s="1">
        <v>0.81011166458988548</v>
      </c>
      <c r="G600" s="1">
        <v>1.0015074142945188</v>
      </c>
      <c r="H600" s="1">
        <v>5.5635177067629655</v>
      </c>
      <c r="I600" s="1">
        <v>0.13505940009812106</v>
      </c>
      <c r="K600" s="1">
        <v>1.0005176462302499</v>
      </c>
      <c r="L600" s="1">
        <v>3.691683594491121</v>
      </c>
      <c r="M600" s="1">
        <v>0.23959843454445781</v>
      </c>
      <c r="O600" s="1">
        <v>2.498334569109267E-2</v>
      </c>
      <c r="P600" s="1">
        <v>0.29338607232024666</v>
      </c>
      <c r="R600" s="1">
        <v>4.5280769139662565E-2</v>
      </c>
      <c r="S600" s="2">
        <f t="shared" si="120"/>
        <v>1.1902069168221268</v>
      </c>
      <c r="T600" s="4">
        <f t="shared" si="121"/>
        <v>1.4165925048512329</v>
      </c>
      <c r="U600" s="1">
        <f t="shared" si="113"/>
        <v>1.1339741833261983</v>
      </c>
      <c r="V600" s="6">
        <f>2*sigma/alpha*corel*(B600/12-1/alpha*(1-EXP(-alpha*Output!B600/12)))</f>
        <v>3.4001631449719851</v>
      </c>
      <c r="W600" s="5">
        <f t="shared" si="122"/>
        <v>-0.28261832152503463</v>
      </c>
      <c r="X600" s="1">
        <f t="shared" si="123"/>
        <v>67.048506538507581</v>
      </c>
      <c r="Y600" s="3">
        <f t="shared" si="124"/>
        <v>4.8775742946363658E-2</v>
      </c>
      <c r="Z600" s="1">
        <f t="shared" si="114"/>
        <v>0.16988516074328608</v>
      </c>
      <c r="AA600" s="8">
        <f t="shared" si="119"/>
        <v>49.000000000000298</v>
      </c>
      <c r="AB600" s="1">
        <v>49.08</v>
      </c>
      <c r="AC600" s="1">
        <v>2.52503E-2</v>
      </c>
      <c r="AD600" s="8">
        <f t="shared" si="115"/>
        <v>2.6695430890733007</v>
      </c>
      <c r="AE600" s="3">
        <f t="shared" si="116"/>
        <v>1.0572322265768331E-2</v>
      </c>
      <c r="AF600" s="11">
        <f t="shared" si="117"/>
        <v>49.000000000000298</v>
      </c>
      <c r="AG600" s="1">
        <f t="shared" si="118"/>
        <v>0.16988516074328608</v>
      </c>
    </row>
    <row r="601" spans="2:33" ht="15">
      <c r="B601" s="1">
        <v>590</v>
      </c>
      <c r="C601" s="1">
        <v>1.0010547004968899</v>
      </c>
      <c r="D601" s="1">
        <v>1.2346259599654272</v>
      </c>
      <c r="E601" s="1">
        <v>0.80866890992017082</v>
      </c>
      <c r="G601" s="1">
        <v>1.0016685245537809</v>
      </c>
      <c r="H601" s="1">
        <v>5.5764387779668505</v>
      </c>
      <c r="I601" s="1">
        <v>0.13468116741564906</v>
      </c>
      <c r="K601" s="1">
        <v>1.0006790228451983</v>
      </c>
      <c r="L601" s="1">
        <v>3.6249940277720172</v>
      </c>
      <c r="M601" s="1">
        <v>0.2439555342108036</v>
      </c>
      <c r="O601" s="1">
        <v>2.499186241987297E-2</v>
      </c>
      <c r="P601" s="1">
        <v>0.29265332284534157</v>
      </c>
      <c r="R601" s="1">
        <v>4.521927311643819E-2</v>
      </c>
      <c r="S601" s="2">
        <f t="shared" si="120"/>
        <v>1.1919145820114745</v>
      </c>
      <c r="T601" s="4">
        <f t="shared" si="121"/>
        <v>1.4206603708115879</v>
      </c>
      <c r="U601" s="1">
        <f t="shared" si="113"/>
        <v>1.1380460050695367</v>
      </c>
      <c r="V601" s="6">
        <f>2*sigma/alpha*corel*(B601/12-1/alpha*(1-EXP(-alpha*Output!B601/12)))</f>
        <v>3.4093734444388866</v>
      </c>
      <c r="W601" s="5">
        <f t="shared" si="122"/>
        <v>-0.28261436574205123</v>
      </c>
      <c r="X601" s="1">
        <f t="shared" si="123"/>
        <v>67.204652546248496</v>
      </c>
      <c r="Y601" s="3">
        <f t="shared" si="124"/>
        <v>4.86963146408253E-2</v>
      </c>
      <c r="Z601" s="1">
        <f t="shared" si="114"/>
        <v>0.16998466755254002</v>
      </c>
      <c r="AA601" s="8">
        <f t="shared" si="119"/>
        <v>49.083333333333634</v>
      </c>
      <c r="AB601" s="1">
        <v>49.17</v>
      </c>
      <c r="AC601" s="1">
        <v>2.52597E-2</v>
      </c>
      <c r="AD601" s="8">
        <f t="shared" si="115"/>
        <v>2.6783758012702967</v>
      </c>
      <c r="AE601" s="3">
        <f t="shared" si="116"/>
        <v>1.0603355547652177E-2</v>
      </c>
      <c r="AF601" s="11">
        <f t="shared" si="117"/>
        <v>49.083333333333634</v>
      </c>
      <c r="AG601" s="1">
        <f t="shared" si="118"/>
        <v>0.16998466755254002</v>
      </c>
    </row>
    <row r="602" spans="2:33" ht="15">
      <c r="B602" s="1">
        <v>591</v>
      </c>
      <c r="C602" s="1">
        <v>1.0010569250250028</v>
      </c>
      <c r="D602" s="1">
        <v>1.2342502490529828</v>
      </c>
      <c r="E602" s="1">
        <v>0.80891247060053717</v>
      </c>
      <c r="G602" s="1">
        <v>1.0017370871196167</v>
      </c>
      <c r="H602" s="1">
        <v>5.610612223036644</v>
      </c>
      <c r="I602" s="1">
        <v>0.13379598313444335</v>
      </c>
      <c r="K602" s="1">
        <v>1.000706599246262</v>
      </c>
      <c r="L602" s="1">
        <v>3.5964991828264603</v>
      </c>
      <c r="M602" s="1">
        <v>0.24583715759994093</v>
      </c>
      <c r="O602" s="1">
        <v>2.5000485268661304E-2</v>
      </c>
      <c r="P602" s="1">
        <v>0.29192046338611166</v>
      </c>
      <c r="R602" s="1">
        <v>4.5116526373505647E-2</v>
      </c>
      <c r="S602" s="2">
        <f t="shared" si="120"/>
        <v>1.1932379299657077</v>
      </c>
      <c r="T602" s="4">
        <f t="shared" si="121"/>
        <v>1.423816757508847</v>
      </c>
      <c r="U602" s="1">
        <f t="shared" si="113"/>
        <v>1.1421234546834313</v>
      </c>
      <c r="V602" s="6">
        <f>2*sigma/alpha*corel*(B602/12-1/alpha*(1-EXP(-alpha*Output!B602/12)))</f>
        <v>3.4185901067193138</v>
      </c>
      <c r="W602" s="5">
        <f t="shared" si="122"/>
        <v>-0.2816933028254156</v>
      </c>
      <c r="X602" s="1">
        <f t="shared" si="123"/>
        <v>67.180338974366038</v>
      </c>
      <c r="Y602" s="3">
        <f t="shared" si="124"/>
        <v>4.8505291558880462E-2</v>
      </c>
      <c r="Z602" s="1">
        <f t="shared" si="114"/>
        <v>0.17002936488747319</v>
      </c>
      <c r="AA602" s="8">
        <f t="shared" si="119"/>
        <v>49.16666666666697</v>
      </c>
      <c r="AB602" s="1">
        <v>49.25</v>
      </c>
      <c r="AC602" s="1">
        <v>2.5269099999999999E-2</v>
      </c>
      <c r="AD602" s="8">
        <f t="shared" si="115"/>
        <v>2.686147313386948</v>
      </c>
      <c r="AE602" s="3">
        <f t="shared" si="116"/>
        <v>1.0630166145161275E-2</v>
      </c>
      <c r="AF602" s="11">
        <f t="shared" si="117"/>
        <v>49.16666666666697</v>
      </c>
      <c r="AG602" s="1">
        <f t="shared" si="118"/>
        <v>0.17002936488747319</v>
      </c>
    </row>
    <row r="603" spans="2:33" ht="15">
      <c r="B603" s="1">
        <v>592</v>
      </c>
      <c r="C603" s="1">
        <v>1.0010525453560073</v>
      </c>
      <c r="D603" s="1">
        <v>1.2380907984710854</v>
      </c>
      <c r="E603" s="1">
        <v>0.80640063140931439</v>
      </c>
      <c r="G603" s="1">
        <v>1.0012215172463328</v>
      </c>
      <c r="H603" s="1">
        <v>5.713891949123191</v>
      </c>
      <c r="I603" s="1">
        <v>0.13131393655747342</v>
      </c>
      <c r="K603" s="1">
        <v>1.0005321846255106</v>
      </c>
      <c r="L603" s="1">
        <v>3.5943482269240872</v>
      </c>
      <c r="M603" s="1">
        <v>0.24593303183809856</v>
      </c>
      <c r="O603" s="1">
        <v>2.5009181456598292E-2</v>
      </c>
      <c r="P603" s="1">
        <v>0.29118796712712991</v>
      </c>
      <c r="R603" s="1">
        <v>4.5060920362298355E-2</v>
      </c>
      <c r="S603" s="2">
        <f t="shared" si="120"/>
        <v>1.1950090088420031</v>
      </c>
      <c r="T603" s="4">
        <f t="shared" si="121"/>
        <v>1.4280465312135466</v>
      </c>
      <c r="U603" s="1">
        <f t="shared" si="113"/>
        <v>1.1462065208982497</v>
      </c>
      <c r="V603" s="6">
        <f>2*sigma/alpha*corel*(B603/12-1/alpha*(1-EXP(-alpha*Output!B603/12)))</f>
        <v>3.4278131146954971</v>
      </c>
      <c r="W603" s="5">
        <f t="shared" si="122"/>
        <v>-0.28184001031529693</v>
      </c>
      <c r="X603" s="1">
        <f t="shared" si="123"/>
        <v>67.366331451497032</v>
      </c>
      <c r="Y603" s="3">
        <f t="shared" si="124"/>
        <v>4.8444794673601854E-2</v>
      </c>
      <c r="Z603" s="1">
        <f t="shared" si="114"/>
        <v>0.1701378533607984</v>
      </c>
      <c r="AA603" s="8">
        <f t="shared" si="119"/>
        <v>49.250000000000306</v>
      </c>
      <c r="AB603" s="1">
        <v>49.33</v>
      </c>
      <c r="AC603" s="1">
        <v>2.5278499999999999E-2</v>
      </c>
      <c r="AD603" s="8">
        <f t="shared" si="115"/>
        <v>2.693185434017066</v>
      </c>
      <c r="AE603" s="3">
        <f t="shared" si="116"/>
        <v>1.0654055557161486E-2</v>
      </c>
      <c r="AF603" s="11">
        <f t="shared" si="117"/>
        <v>49.250000000000306</v>
      </c>
      <c r="AG603" s="1">
        <f t="shared" si="118"/>
        <v>0.1701378533607984</v>
      </c>
    </row>
    <row r="604" spans="2:33" ht="15">
      <c r="B604" s="1">
        <v>593</v>
      </c>
      <c r="C604" s="1">
        <v>1.0010509780405998</v>
      </c>
      <c r="D604" s="1">
        <v>1.2338574776631883</v>
      </c>
      <c r="E604" s="1">
        <v>0.80916475186733938</v>
      </c>
      <c r="G604" s="1">
        <v>1.0009839323203851</v>
      </c>
      <c r="H604" s="1">
        <v>5.5410841619650117</v>
      </c>
      <c r="I604" s="1">
        <v>0.13534356499174291</v>
      </c>
      <c r="K604" s="1">
        <v>1.0005062114959848</v>
      </c>
      <c r="L604" s="1">
        <v>3.5855586515448876</v>
      </c>
      <c r="M604" s="1">
        <v>0.24648455159652116</v>
      </c>
      <c r="O604" s="1">
        <v>2.5017825750408038E-2</v>
      </c>
      <c r="P604" s="1">
        <v>0.29045763275187914</v>
      </c>
      <c r="R604" s="1">
        <v>4.5004094959850464E-2</v>
      </c>
      <c r="S604" s="2">
        <f t="shared" si="120"/>
        <v>1.196766725402892</v>
      </c>
      <c r="T604" s="4">
        <f t="shared" si="121"/>
        <v>1.4322505950315609</v>
      </c>
      <c r="U604" s="1">
        <f t="shared" si="113"/>
        <v>1.1502951924538731</v>
      </c>
      <c r="V604" s="6">
        <f>2*sigma/alpha*corel*(B604/12-1/alpha*(1-EXP(-alpha*Output!B604/12)))</f>
        <v>3.4370424512957172</v>
      </c>
      <c r="W604" s="5">
        <f t="shared" si="122"/>
        <v>-0.28195540257768781</v>
      </c>
      <c r="X604" s="1">
        <f t="shared" si="123"/>
        <v>67.546445388198492</v>
      </c>
      <c r="Y604" s="3">
        <f t="shared" si="124"/>
        <v>4.8380661061047173E-2</v>
      </c>
      <c r="Z604" s="1">
        <f t="shared" si="114"/>
        <v>0.17024437915744164</v>
      </c>
      <c r="AA604" s="8">
        <f t="shared" si="119"/>
        <v>49.333333333333641</v>
      </c>
      <c r="AB604" s="1">
        <v>49.42</v>
      </c>
      <c r="AC604" s="1">
        <v>2.52877E-2</v>
      </c>
      <c r="AD604" s="8">
        <f t="shared" si="115"/>
        <v>2.6987424959196149</v>
      </c>
      <c r="AE604" s="3">
        <f t="shared" si="116"/>
        <v>1.0672154825941525E-2</v>
      </c>
      <c r="AF604" s="11">
        <f t="shared" si="117"/>
        <v>49.333333333333641</v>
      </c>
      <c r="AG604" s="1">
        <f t="shared" si="118"/>
        <v>0.17024437915744164</v>
      </c>
    </row>
    <row r="605" spans="2:33" ht="15">
      <c r="B605" s="1">
        <v>594</v>
      </c>
      <c r="C605" s="1">
        <v>1.0010467236883391</v>
      </c>
      <c r="D605" s="1">
        <v>1.2373539726288167</v>
      </c>
      <c r="E605" s="1">
        <v>0.8068756186438556</v>
      </c>
      <c r="G605" s="1">
        <v>1.0005385336551151</v>
      </c>
      <c r="H605" s="1">
        <v>5.687371371127103</v>
      </c>
      <c r="I605" s="1">
        <v>0.13179844387510034</v>
      </c>
      <c r="K605" s="1">
        <v>1.0003673341412427</v>
      </c>
      <c r="L605" s="1">
        <v>3.6035065451250374</v>
      </c>
      <c r="M605" s="1">
        <v>0.24520580225914856</v>
      </c>
      <c r="O605" s="1">
        <v>2.5026288872555785E-2</v>
      </c>
      <c r="P605" s="1">
        <v>0.28973131102387778</v>
      </c>
      <c r="R605" s="1">
        <v>4.4945664692172774E-2</v>
      </c>
      <c r="S605" s="2">
        <f t="shared" si="120"/>
        <v>1.198501465312974</v>
      </c>
      <c r="T605" s="4">
        <f t="shared" si="121"/>
        <v>1.4364057623573458</v>
      </c>
      <c r="U605" s="1">
        <f t="shared" si="113"/>
        <v>1.1543894580997924</v>
      </c>
      <c r="V605" s="6">
        <f>2*sigma/alpha*corel*(B605/12-1/alpha*(1-EXP(-alpha*Output!B605/12)))</f>
        <v>3.4462780994941875</v>
      </c>
      <c r="W605" s="5">
        <f t="shared" si="122"/>
        <v>-0.28201630425755342</v>
      </c>
      <c r="X605" s="1">
        <f t="shared" si="123"/>
        <v>67.716060982048845</v>
      </c>
      <c r="Y605" s="3">
        <f t="shared" si="124"/>
        <v>4.8310088993004749E-2</v>
      </c>
      <c r="Z605" s="1">
        <f t="shared" si="114"/>
        <v>0.17034758063864991</v>
      </c>
      <c r="AA605" s="8">
        <f t="shared" si="119"/>
        <v>49.416666666666977</v>
      </c>
      <c r="AB605" s="1">
        <v>49.5</v>
      </c>
      <c r="AC605" s="1">
        <v>2.52965E-2</v>
      </c>
      <c r="AD605" s="8">
        <f t="shared" si="115"/>
        <v>2.7021112744421427</v>
      </c>
      <c r="AE605" s="3">
        <f t="shared" si="116"/>
        <v>1.0681759430917884E-2</v>
      </c>
      <c r="AF605" s="11">
        <f t="shared" si="117"/>
        <v>49.416666666666977</v>
      </c>
      <c r="AG605" s="1">
        <f t="shared" si="118"/>
        <v>0.17034758063864991</v>
      </c>
    </row>
    <row r="606" spans="2:33" ht="15">
      <c r="B606" s="1">
        <v>595</v>
      </c>
      <c r="C606" s="1">
        <v>1.001044566323984</v>
      </c>
      <c r="D606" s="1">
        <v>1.2346425927801099</v>
      </c>
      <c r="E606" s="1">
        <v>0.80864496738464853</v>
      </c>
      <c r="G606" s="1">
        <v>1.0002259780059364</v>
      </c>
      <c r="H606" s="1">
        <v>5.5708510043808577</v>
      </c>
      <c r="I606" s="1">
        <v>0.13448995147480611</v>
      </c>
      <c r="K606" s="1">
        <v>1.0003116537595194</v>
      </c>
      <c r="L606" s="1">
        <v>3.6265052552285337</v>
      </c>
      <c r="M606" s="1">
        <v>0.2435999913329463</v>
      </c>
      <c r="O606" s="1">
        <v>2.5034322496333666E-2</v>
      </c>
      <c r="P606" s="1">
        <v>0.28901255262919207</v>
      </c>
      <c r="R606" s="1">
        <v>4.4880103647812794E-2</v>
      </c>
      <c r="S606" s="2">
        <f t="shared" si="120"/>
        <v>1.2001491461199449</v>
      </c>
      <c r="T606" s="4">
        <f t="shared" si="121"/>
        <v>1.440357972932433</v>
      </c>
      <c r="U606" s="1">
        <f t="shared" si="113"/>
        <v>1.158489306595188</v>
      </c>
      <c r="V606" s="6">
        <f>2*sigma/alpha*corel*(B606/12-1/alpha*(1-EXP(-alpha*Output!B606/12)))</f>
        <v>3.4555200423109214</v>
      </c>
      <c r="W606" s="5">
        <f t="shared" si="122"/>
        <v>-0.28186866633724494</v>
      </c>
      <c r="X606" s="1">
        <f t="shared" si="123"/>
        <v>67.844570919699379</v>
      </c>
      <c r="Y606" s="3">
        <f t="shared" si="124"/>
        <v>4.8214402136066863E-2</v>
      </c>
      <c r="Z606" s="1">
        <f t="shared" si="114"/>
        <v>0.17043836548409341</v>
      </c>
      <c r="AA606" s="8">
        <f t="shared" si="119"/>
        <v>49.500000000000313</v>
      </c>
      <c r="AB606" s="1">
        <v>49.58</v>
      </c>
      <c r="AC606" s="1">
        <v>2.5304799999999999E-2</v>
      </c>
      <c r="AD606" s="8">
        <f t="shared" si="115"/>
        <v>2.7047750366633245</v>
      </c>
      <c r="AE606" s="3">
        <f t="shared" si="116"/>
        <v>1.068878251028787E-2</v>
      </c>
      <c r="AF606" s="11">
        <f t="shared" si="117"/>
        <v>49.500000000000313</v>
      </c>
      <c r="AG606" s="1">
        <f t="shared" si="118"/>
        <v>0.17043836548409341</v>
      </c>
    </row>
    <row r="607" spans="2:33" ht="15">
      <c r="B607" s="1">
        <v>596</v>
      </c>
      <c r="C607" s="1">
        <v>1.0010457785563618</v>
      </c>
      <c r="D607" s="1">
        <v>1.2334935040961059</v>
      </c>
      <c r="E607" s="1">
        <v>0.80939565319012907</v>
      </c>
      <c r="G607" s="1">
        <v>1.0001904940044135</v>
      </c>
      <c r="H607" s="1">
        <v>5.5243980159476909</v>
      </c>
      <c r="I607" s="1">
        <v>0.13555512044285084</v>
      </c>
      <c r="K607" s="1">
        <v>1.0003302034919825</v>
      </c>
      <c r="L607" s="1">
        <v>3.6314192460230141</v>
      </c>
      <c r="M607" s="1">
        <v>0.24321967895052904</v>
      </c>
      <c r="O607" s="1">
        <v>2.5041681736375589E-2</v>
      </c>
      <c r="P607" s="1">
        <v>0.28830484773735038</v>
      </c>
      <c r="R607" s="1">
        <v>4.4806629683009663E-2</v>
      </c>
      <c r="S607" s="2">
        <f t="shared" si="120"/>
        <v>1.2016905720436377</v>
      </c>
      <c r="T607" s="4">
        <f t="shared" si="121"/>
        <v>1.4440602309385653</v>
      </c>
      <c r="U607" s="1">
        <f t="shared" si="113"/>
        <v>1.1625947267090126</v>
      </c>
      <c r="V607" s="6">
        <f>2*sigma/alpha*corel*(B607/12-1/alpha*(1-EXP(-alpha*Output!B607/12)))</f>
        <v>3.4647682628116128</v>
      </c>
      <c r="W607" s="5">
        <f t="shared" si="122"/>
        <v>-0.28146550422955263</v>
      </c>
      <c r="X607" s="1">
        <f t="shared" si="123"/>
        <v>67.922432621924386</v>
      </c>
      <c r="Y607" s="3">
        <f t="shared" si="124"/>
        <v>4.8087970804955277E-2</v>
      </c>
      <c r="Z607" s="1">
        <f t="shared" si="114"/>
        <v>0.17051404108406074</v>
      </c>
      <c r="AA607" s="8">
        <f t="shared" si="119"/>
        <v>49.583333333333648</v>
      </c>
      <c r="AB607" s="1">
        <v>49.67</v>
      </c>
      <c r="AC607" s="1">
        <v>2.5312500000000002E-2</v>
      </c>
      <c r="AD607" s="8">
        <f t="shared" si="115"/>
        <v>2.7081826362441301</v>
      </c>
      <c r="AE607" s="3">
        <f t="shared" si="116"/>
        <v>1.0698993130841009E-2</v>
      </c>
      <c r="AF607" s="11">
        <f t="shared" si="117"/>
        <v>49.583333333333648</v>
      </c>
      <c r="AG607" s="1">
        <f t="shared" si="118"/>
        <v>0.17051404108406074</v>
      </c>
    </row>
    <row r="608" spans="2:33" ht="15">
      <c r="B608" s="1">
        <v>597</v>
      </c>
      <c r="C608" s="1">
        <v>1.0010424477899407</v>
      </c>
      <c r="D608" s="1">
        <v>1.2337093214393018</v>
      </c>
      <c r="E608" s="1">
        <v>0.80925143313912473</v>
      </c>
      <c r="G608" s="1">
        <v>0.999848575133092</v>
      </c>
      <c r="H608" s="1">
        <v>5.530266636125357</v>
      </c>
      <c r="I608" s="1">
        <v>0.13534565645308497</v>
      </c>
      <c r="K608" s="1">
        <v>1.0003533424955346</v>
      </c>
      <c r="L608" s="1">
        <v>3.5894346914124862</v>
      </c>
      <c r="M608" s="1">
        <v>0.2460132894691282</v>
      </c>
      <c r="O608" s="1">
        <v>2.5048220464788749E-2</v>
      </c>
      <c r="P608" s="1">
        <v>0.28761026319257266</v>
      </c>
      <c r="R608" s="1">
        <v>4.4806679191238243E-2</v>
      </c>
      <c r="S608" s="2">
        <f t="shared" si="120"/>
        <v>1.2038981106582021</v>
      </c>
      <c r="T608" s="4">
        <f t="shared" si="121"/>
        <v>1.4493706608463885</v>
      </c>
      <c r="U608" s="1">
        <f t="shared" si="113"/>
        <v>1.1667057072200802</v>
      </c>
      <c r="V608" s="6">
        <f>2*sigma/alpha*corel*(B608/12-1/alpha*(1-EXP(-alpha*Output!B608/12)))</f>
        <v>3.4740227441075171</v>
      </c>
      <c r="W608" s="5">
        <f t="shared" si="122"/>
        <v>-0.28266495362630839</v>
      </c>
      <c r="X608" s="1">
        <f t="shared" si="123"/>
        <v>68.3191597982117</v>
      </c>
      <c r="Y608" s="3">
        <f t="shared" si="124"/>
        <v>4.8155957370622934E-2</v>
      </c>
      <c r="Z608" s="1">
        <f t="shared" si="114"/>
        <v>0.17068414867812903</v>
      </c>
      <c r="AA608" s="8">
        <f t="shared" si="119"/>
        <v>49.666666666666984</v>
      </c>
      <c r="AB608" s="1">
        <v>49.75</v>
      </c>
      <c r="AC608" s="1">
        <v>2.53192E-2</v>
      </c>
      <c r="AD608" s="8">
        <f t="shared" si="115"/>
        <v>2.7097953521125135</v>
      </c>
      <c r="AE608" s="3">
        <f t="shared" si="116"/>
        <v>1.0702531486431299E-2</v>
      </c>
      <c r="AF608" s="11">
        <f t="shared" si="117"/>
        <v>49.666666666666984</v>
      </c>
      <c r="AG608" s="1">
        <f t="shared" si="118"/>
        <v>0.17068414867812903</v>
      </c>
    </row>
    <row r="609" spans="2:33" ht="15">
      <c r="B609" s="1">
        <v>598</v>
      </c>
      <c r="C609" s="1">
        <v>1.0010463265402787</v>
      </c>
      <c r="D609" s="1">
        <v>1.2364996334331053</v>
      </c>
      <c r="E609" s="1">
        <v>0.80742263128603498</v>
      </c>
      <c r="G609" s="1">
        <v>1.0000694767788261</v>
      </c>
      <c r="H609" s="1">
        <v>5.6478942214793468</v>
      </c>
      <c r="I609" s="1">
        <v>0.1324626208597911</v>
      </c>
      <c r="K609" s="1">
        <v>1.0005863663796242</v>
      </c>
      <c r="L609" s="1">
        <v>3.6390416403359089</v>
      </c>
      <c r="M609" s="1">
        <v>0.2426091189355469</v>
      </c>
      <c r="O609" s="1">
        <v>2.5053783432415273E-2</v>
      </c>
      <c r="P609" s="1">
        <v>0.28693099116176707</v>
      </c>
      <c r="R609" s="1">
        <v>4.483042310286503E-2</v>
      </c>
      <c r="S609" s="2">
        <f t="shared" si="120"/>
        <v>1.2062908073075767</v>
      </c>
      <c r="T609" s="4">
        <f t="shared" si="121"/>
        <v>1.4551375117947649</v>
      </c>
      <c r="U609" s="1">
        <f t="shared" si="113"/>
        <v>1.1708222369171442</v>
      </c>
      <c r="V609" s="6">
        <f>2*sigma/alpha*corel*(B609/12-1/alpha*(1-EXP(-alpha*Output!B609/12)))</f>
        <v>3.4832834693553214</v>
      </c>
      <c r="W609" s="5">
        <f t="shared" si="122"/>
        <v>-0.28431527487762076</v>
      </c>
      <c r="X609" s="1">
        <f t="shared" si="123"/>
        <v>68.806775186823117</v>
      </c>
      <c r="Y609" s="3">
        <f t="shared" si="124"/>
        <v>4.8277941196387952E-2</v>
      </c>
      <c r="Z609" s="1">
        <f t="shared" si="114"/>
        <v>0.17088032024994682</v>
      </c>
      <c r="AA609" s="8">
        <f t="shared" si="119"/>
        <v>49.75000000000032</v>
      </c>
      <c r="AB609" s="1">
        <v>49.83</v>
      </c>
      <c r="AC609" s="1">
        <v>2.5325E-2</v>
      </c>
      <c r="AD609" s="8">
        <f t="shared" si="115"/>
        <v>2.7121656758472694</v>
      </c>
      <c r="AE609" s="3">
        <f t="shared" si="116"/>
        <v>1.0709439983602249E-2</v>
      </c>
      <c r="AF609" s="11">
        <f t="shared" si="117"/>
        <v>49.75000000000032</v>
      </c>
      <c r="AG609" s="1">
        <f t="shared" si="118"/>
        <v>0.17088032024994682</v>
      </c>
    </row>
    <row r="610" spans="2:33" ht="15">
      <c r="B610" s="1">
        <v>599</v>
      </c>
      <c r="C610" s="1">
        <v>1.0010531832259091</v>
      </c>
      <c r="D610" s="1">
        <v>1.2383326716676917</v>
      </c>
      <c r="E610" s="1">
        <v>0.80622481815529001</v>
      </c>
      <c r="G610" s="1">
        <v>1.0005173360092012</v>
      </c>
      <c r="H610" s="1">
        <v>5.7169020875627954</v>
      </c>
      <c r="I610" s="1">
        <v>0.13080027159398647</v>
      </c>
      <c r="K610" s="1">
        <v>1.0006643638032493</v>
      </c>
      <c r="L610" s="1">
        <v>3.5845255161040233</v>
      </c>
      <c r="M610" s="1">
        <v>0.24624759158856929</v>
      </c>
      <c r="O610" s="1">
        <v>2.5058104003873007E-2</v>
      </c>
      <c r="P610" s="1">
        <v>0.28627081091782963</v>
      </c>
      <c r="R610" s="1">
        <v>4.482843861015591E-2</v>
      </c>
      <c r="S610" s="2">
        <f t="shared" si="120"/>
        <v>1.2083825681170393</v>
      </c>
      <c r="T610" s="4">
        <f t="shared" si="121"/>
        <v>1.4601884309291311</v>
      </c>
      <c r="U610" s="1">
        <f t="shared" si="113"/>
        <v>1.1749443045989814</v>
      </c>
      <c r="V610" s="6">
        <f>2*sigma/alpha*corel*(B610/12-1/alpha*(1-EXP(-alpha*Output!B610/12)))</f>
        <v>3.4925504217570293</v>
      </c>
      <c r="W610" s="5">
        <f t="shared" si="122"/>
        <v>-0.28524412633014973</v>
      </c>
      <c r="X610" s="1">
        <f t="shared" si="123"/>
        <v>69.151652339101773</v>
      </c>
      <c r="Y610" s="3">
        <f t="shared" si="124"/>
        <v>4.8312489105553934E-2</v>
      </c>
      <c r="Z610" s="1">
        <f t="shared" si="114"/>
        <v>0.17103368914716219</v>
      </c>
      <c r="AA610" s="8">
        <f t="shared" si="119"/>
        <v>49.833333333333655</v>
      </c>
      <c r="AB610" s="1">
        <v>49.92</v>
      </c>
      <c r="AC610" s="1">
        <v>2.53297E-2</v>
      </c>
      <c r="AD610" s="8">
        <f t="shared" si="115"/>
        <v>2.7159599612699288</v>
      </c>
      <c r="AE610" s="3">
        <f t="shared" si="116"/>
        <v>1.0722432406502757E-2</v>
      </c>
      <c r="AF610" s="11">
        <f t="shared" si="117"/>
        <v>49.833333333333655</v>
      </c>
      <c r="AG610" s="1">
        <f t="shared" si="118"/>
        <v>0.17103368914716219</v>
      </c>
    </row>
    <row r="611" spans="2:33" ht="15">
      <c r="B611" s="1">
        <v>600</v>
      </c>
      <c r="C611" s="1">
        <v>1.0010554783216421</v>
      </c>
      <c r="D611" s="1">
        <v>1.2388832918408741</v>
      </c>
      <c r="E611" s="1">
        <v>0.80586386048626923</v>
      </c>
      <c r="G611" s="1">
        <v>1.0005870432758701</v>
      </c>
      <c r="H611" s="1">
        <v>5.7376976939023212</v>
      </c>
      <c r="I611" s="1">
        <v>0.13026304837211183</v>
      </c>
      <c r="K611" s="1">
        <v>1.0005273825551313</v>
      </c>
      <c r="L611" s="1">
        <v>3.6453577145532683</v>
      </c>
      <c r="M611" s="1">
        <v>0.24208787490638797</v>
      </c>
      <c r="O611" s="1">
        <v>2.5060980311948183E-2</v>
      </c>
      <c r="P611" s="1">
        <v>0.28563256965872302</v>
      </c>
      <c r="R611" s="1">
        <v>4.4784299483746369E-2</v>
      </c>
      <c r="S611" s="2">
        <f t="shared" si="120"/>
        <v>1.2100041992615094</v>
      </c>
      <c r="T611" s="4">
        <f t="shared" si="121"/>
        <v>1.4641101622304864</v>
      </c>
      <c r="U611" s="1">
        <f t="shared" si="113"/>
        <v>1.179071899074474</v>
      </c>
      <c r="V611" s="6">
        <f>2*sigma/alpha*corel*(B611/12-1/alpha*(1-EXP(-alpha*Output!B611/12)))</f>
        <v>3.5018235845598338</v>
      </c>
      <c r="W611" s="5">
        <f t="shared" si="122"/>
        <v>-0.28503826315601244</v>
      </c>
      <c r="X611" s="1">
        <f t="shared" si="123"/>
        <v>69.270421048581966</v>
      </c>
      <c r="Y611" s="3">
        <f t="shared" si="124"/>
        <v>4.8210617954380183E-2</v>
      </c>
      <c r="Z611" s="1">
        <f t="shared" si="114"/>
        <v>0.17112043491240234</v>
      </c>
      <c r="AA611" s="8">
        <f t="shared" si="119"/>
        <v>49.916666666666991</v>
      </c>
      <c r="AB611" s="1">
        <v>50</v>
      </c>
      <c r="AC611" s="1">
        <v>2.5333000000000001E-2</v>
      </c>
      <c r="AD611" s="8">
        <f t="shared" si="115"/>
        <v>2.7201968805181873</v>
      </c>
      <c r="AE611" s="3">
        <f t="shared" si="116"/>
        <v>1.0737760551526417E-2</v>
      </c>
      <c r="AF611" s="11">
        <f t="shared" si="117"/>
        <v>49.916666666666991</v>
      </c>
      <c r="AG611" s="1">
        <f t="shared" si="118"/>
        <v>0.17112043491240234</v>
      </c>
    </row>
    <row r="612" spans="2:33" ht="15">
      <c r="B612" s="1">
        <v>601</v>
      </c>
      <c r="C612" s="1">
        <v>1.0010530073202608</v>
      </c>
      <c r="D612" s="1">
        <v>1.2362203516604711</v>
      </c>
      <c r="E612" s="1">
        <v>0.80759712858709665</v>
      </c>
      <c r="G612" s="1">
        <v>1.0002712187902216</v>
      </c>
      <c r="H612" s="1">
        <v>5.6250048881424641</v>
      </c>
      <c r="I612" s="1">
        <v>0.13280838434660802</v>
      </c>
      <c r="K612" s="1">
        <v>1.0003999961316814</v>
      </c>
      <c r="L612" s="1">
        <v>3.6269087969808536</v>
      </c>
      <c r="M612" s="1">
        <v>0.24326861175214143</v>
      </c>
      <c r="O612" s="1">
        <v>2.5062557777225814E-2</v>
      </c>
      <c r="P612" s="1">
        <v>0.28501415441214167</v>
      </c>
      <c r="R612" s="1">
        <v>4.4732730192823998E-2</v>
      </c>
      <c r="S612" s="2">
        <f t="shared" si="120"/>
        <v>1.211494524460085</v>
      </c>
      <c r="T612" s="4">
        <f t="shared" si="121"/>
        <v>1.4677189827967674</v>
      </c>
      <c r="U612" s="1">
        <f t="shared" si="113"/>
        <v>1.1832050091626882</v>
      </c>
      <c r="V612" s="6">
        <f>2*sigma/alpha*corel*(B612/12-1/alpha*(1-EXP(-alpha*Output!B612/12)))</f>
        <v>3.5111029410559995</v>
      </c>
      <c r="W612" s="5">
        <f t="shared" si="122"/>
        <v>-0.28451397363407915</v>
      </c>
      <c r="X612" s="1">
        <f t="shared" si="123"/>
        <v>69.325476580719268</v>
      </c>
      <c r="Y612" s="3">
        <f t="shared" si="124"/>
        <v>4.8070774649333285E-2</v>
      </c>
      <c r="Z612" s="1">
        <f t="shared" si="114"/>
        <v>0.17118860094676813</v>
      </c>
      <c r="AA612" s="8">
        <f t="shared" si="119"/>
        <v>50.000000000000327</v>
      </c>
      <c r="AB612" s="1">
        <v>50.08</v>
      </c>
      <c r="AC612" s="1">
        <v>2.53349E-2</v>
      </c>
      <c r="AD612" s="8">
        <f t="shared" si="115"/>
        <v>2.7234222277418634</v>
      </c>
      <c r="AE612" s="3">
        <f t="shared" si="116"/>
        <v>1.0749686115760724E-2</v>
      </c>
      <c r="AF612" s="11">
        <f t="shared" si="117"/>
        <v>50.000000000000327</v>
      </c>
      <c r="AG612" s="1">
        <f t="shared" si="118"/>
        <v>0.17118860094676813</v>
      </c>
    </row>
    <row r="613" spans="2:33" ht="15">
      <c r="B613" s="1">
        <v>602</v>
      </c>
      <c r="C613" s="1">
        <v>1.0010519429596638</v>
      </c>
      <c r="D613" s="1">
        <v>1.2336016628007558</v>
      </c>
      <c r="E613" s="1">
        <v>0.8093088442138705</v>
      </c>
      <c r="G613" s="1">
        <v>1.0000804118730287</v>
      </c>
      <c r="H613" s="1">
        <v>5.512839256981926</v>
      </c>
      <c r="I613" s="1">
        <v>0.13544487116182191</v>
      </c>
      <c r="K613" s="1">
        <v>1.0002173938275354</v>
      </c>
      <c r="L613" s="1">
        <v>3.6762464396484424</v>
      </c>
      <c r="M613" s="1">
        <v>0.23995379166557465</v>
      </c>
      <c r="O613" s="1">
        <v>2.5062957359108559E-2</v>
      </c>
      <c r="P613" s="1">
        <v>0.28441380896137664</v>
      </c>
      <c r="R613" s="1">
        <v>4.4739981903331755E-2</v>
      </c>
      <c r="S613" s="2">
        <f t="shared" si="120"/>
        <v>1.2134987293097204</v>
      </c>
      <c r="T613" s="4">
        <f t="shared" si="121"/>
        <v>1.4725791660363059</v>
      </c>
      <c r="U613" s="1">
        <f t="shared" si="113"/>
        <v>1.1873436236929555</v>
      </c>
      <c r="V613" s="6">
        <f>2*sigma/alpha*corel*(B613/12-1/alpha*(1-EXP(-alpha*Output!B613/12)))</f>
        <v>3.5203884745827354</v>
      </c>
      <c r="W613" s="5">
        <f t="shared" si="122"/>
        <v>-0.28523554234335036</v>
      </c>
      <c r="X613" s="1">
        <f t="shared" si="123"/>
        <v>69.630400508873933</v>
      </c>
      <c r="Y613" s="3">
        <f t="shared" si="124"/>
        <v>4.8080678704923135E-2</v>
      </c>
      <c r="Z613" s="1">
        <f t="shared" si="114"/>
        <v>0.17132932477822618</v>
      </c>
      <c r="AA613" s="8">
        <f t="shared" si="119"/>
        <v>50.083333333333663</v>
      </c>
      <c r="AB613" s="1">
        <v>50.17</v>
      </c>
      <c r="AC613" s="1">
        <v>2.53356E-2</v>
      </c>
      <c r="AD613" s="8">
        <f t="shared" si="115"/>
        <v>2.7264264089144064</v>
      </c>
      <c r="AE613" s="3">
        <f t="shared" si="116"/>
        <v>1.0761246660487245E-2</v>
      </c>
      <c r="AF613" s="11">
        <f t="shared" si="117"/>
        <v>50.083333333333663</v>
      </c>
      <c r="AG613" s="1">
        <f t="shared" si="118"/>
        <v>0.17132932477822618</v>
      </c>
    </row>
    <row r="614" spans="2:33" ht="15">
      <c r="B614" s="1">
        <v>603</v>
      </c>
      <c r="C614" s="1">
        <v>1.001053542069692</v>
      </c>
      <c r="D614" s="1">
        <v>1.2335968005216522</v>
      </c>
      <c r="E614" s="1">
        <v>0.80930937790529645</v>
      </c>
      <c r="G614" s="1">
        <v>1.0000964316591441</v>
      </c>
      <c r="H614" s="1">
        <v>5.5126925328888721</v>
      </c>
      <c r="I614" s="1">
        <v>0.13538283906205431</v>
      </c>
      <c r="K614" s="1">
        <v>1.0003360039269225</v>
      </c>
      <c r="L614" s="1">
        <v>3.6762064896891813</v>
      </c>
      <c r="M614" s="1">
        <v>0.2399064136098899</v>
      </c>
      <c r="O614" s="1">
        <v>2.5062291681545938E-2</v>
      </c>
      <c r="P614" s="1">
        <v>0.28382990196513236</v>
      </c>
      <c r="R614" s="1">
        <v>4.4852978562384134E-2</v>
      </c>
      <c r="S614" s="2">
        <f t="shared" si="120"/>
        <v>1.2164785455232827</v>
      </c>
      <c r="T614" s="4">
        <f t="shared" si="121"/>
        <v>1.4798200517184414</v>
      </c>
      <c r="U614" s="1">
        <f t="shared" si="113"/>
        <v>1.191487731504951</v>
      </c>
      <c r="V614" s="6">
        <f>2*sigma/alpha*corel*(B614/12-1/alpha*(1-EXP(-alpha*Output!B614/12)))</f>
        <v>3.5296801685220842</v>
      </c>
      <c r="W614" s="5">
        <f t="shared" si="122"/>
        <v>-0.28833232021349042</v>
      </c>
      <c r="X614" s="1">
        <f t="shared" si="123"/>
        <v>70.413438454969665</v>
      </c>
      <c r="Y614" s="3">
        <f t="shared" si="124"/>
        <v>4.8374043732644867E-2</v>
      </c>
      <c r="Z614" s="1">
        <f t="shared" si="114"/>
        <v>0.17160756177417835</v>
      </c>
      <c r="AA614" s="8">
        <f t="shared" si="119"/>
        <v>50.166666666666998</v>
      </c>
      <c r="AB614" s="1">
        <v>50.25</v>
      </c>
      <c r="AC614" s="1">
        <v>2.5335E-2</v>
      </c>
      <c r="AD614" s="8">
        <f t="shared" si="115"/>
        <v>2.7270831845406169</v>
      </c>
      <c r="AE614" s="3">
        <f t="shared" si="116"/>
        <v>1.0764093880168213E-2</v>
      </c>
      <c r="AF614" s="11">
        <f t="shared" si="117"/>
        <v>50.166666666666998</v>
      </c>
      <c r="AG614" s="1">
        <f t="shared" si="118"/>
        <v>0.17160756177417835</v>
      </c>
    </row>
    <row r="615" spans="2:33" ht="15">
      <c r="B615" s="1">
        <v>604</v>
      </c>
      <c r="C615" s="1">
        <v>1.0010556972176827</v>
      </c>
      <c r="D615" s="1">
        <v>1.2396057456083198</v>
      </c>
      <c r="E615" s="1">
        <v>0.80538363135762969</v>
      </c>
      <c r="G615" s="1">
        <v>1.0000880562929186</v>
      </c>
      <c r="H615" s="1">
        <v>5.7601099944608061</v>
      </c>
      <c r="I615" s="1">
        <v>0.12950487083856482</v>
      </c>
      <c r="K615" s="1">
        <v>1.0001890871302352</v>
      </c>
      <c r="L615" s="1">
        <v>3.6392458527103875</v>
      </c>
      <c r="M615" s="1">
        <v>0.24229245031136984</v>
      </c>
      <c r="O615" s="1">
        <v>2.5060674601209643E-2</v>
      </c>
      <c r="P615" s="1">
        <v>0.28326078942830857</v>
      </c>
      <c r="R615" s="1">
        <v>4.4809095849533916E-2</v>
      </c>
      <c r="S615" s="2">
        <f t="shared" si="120"/>
        <v>1.217898317835225</v>
      </c>
      <c r="T615" s="4">
        <f t="shared" si="121"/>
        <v>1.4832763125858706</v>
      </c>
      <c r="U615" s="1">
        <f t="shared" si="113"/>
        <v>1.195637321448771</v>
      </c>
      <c r="V615" s="6">
        <f>2*sigma/alpha*corel*(B615/12-1/alpha*(1-EXP(-alpha*Output!B615/12)))</f>
        <v>3.5389780063007912</v>
      </c>
      <c r="W615" s="5">
        <f t="shared" si="122"/>
        <v>-0.28763899113709956</v>
      </c>
      <c r="X615" s="1">
        <f t="shared" si="123"/>
        <v>70.435682211350098</v>
      </c>
      <c r="Y615" s="3">
        <f t="shared" si="124"/>
        <v>4.821475691766397E-2</v>
      </c>
      <c r="Z615" s="1">
        <f t="shared" si="114"/>
        <v>0.17166556385298803</v>
      </c>
      <c r="AA615" s="8">
        <f t="shared" si="119"/>
        <v>50.250000000000334</v>
      </c>
      <c r="AB615" s="1">
        <v>50.33</v>
      </c>
      <c r="AC615" s="1">
        <v>2.5333499999999998E-2</v>
      </c>
      <c r="AD615" s="8">
        <f t="shared" si="115"/>
        <v>2.7282539879035577</v>
      </c>
      <c r="AE615" s="3">
        <f t="shared" si="116"/>
        <v>1.0769352785456245E-2</v>
      </c>
      <c r="AF615" s="11">
        <f t="shared" si="117"/>
        <v>50.250000000000334</v>
      </c>
      <c r="AG615" s="1">
        <f t="shared" si="118"/>
        <v>0.17166556385298803</v>
      </c>
    </row>
    <row r="616" spans="2:33" ht="15">
      <c r="B616" s="1">
        <v>605</v>
      </c>
      <c r="C616" s="1">
        <v>1.0010609792774383</v>
      </c>
      <c r="D616" s="1">
        <v>1.2415875579046849</v>
      </c>
      <c r="E616" s="1">
        <v>0.80409543634907121</v>
      </c>
      <c r="G616" s="1">
        <v>1.0003877138090804</v>
      </c>
      <c r="H616" s="1">
        <v>5.8428006835869546</v>
      </c>
      <c r="I616" s="1">
        <v>0.12761017327259563</v>
      </c>
      <c r="K616" s="1">
        <v>1.0001818007358527</v>
      </c>
      <c r="L616" s="1">
        <v>3.6556216847379219</v>
      </c>
      <c r="M616" s="1">
        <v>0.24115682358659979</v>
      </c>
      <c r="O616" s="1">
        <v>2.5058293995949187E-2</v>
      </c>
      <c r="P616" s="1">
        <v>0.28270377651656547</v>
      </c>
      <c r="R616" s="1">
        <v>4.4828309190029954E-2</v>
      </c>
      <c r="S616" s="2">
        <f t="shared" si="120"/>
        <v>1.2198945871683644</v>
      </c>
      <c r="T616" s="4">
        <f t="shared" si="121"/>
        <v>1.4881428038026743</v>
      </c>
      <c r="U616" s="1">
        <f t="shared" si="113"/>
        <v>1.1997923823850101</v>
      </c>
      <c r="V616" s="6">
        <f>2*sigma/alpha*corel*(B616/12-1/alpha*(1-EXP(-alpha*Output!B616/12)))</f>
        <v>3.5482819713901885</v>
      </c>
      <c r="W616" s="5">
        <f t="shared" si="122"/>
        <v>-0.2883504214176642</v>
      </c>
      <c r="X616" s="1">
        <f t="shared" si="123"/>
        <v>70.740973267721586</v>
      </c>
      <c r="Y616" s="3">
        <f t="shared" si="124"/>
        <v>4.8222975357882059E-2</v>
      </c>
      <c r="Z616" s="1">
        <f t="shared" si="114"/>
        <v>0.17180477891751447</v>
      </c>
      <c r="AA616" s="8">
        <f t="shared" si="119"/>
        <v>50.33333333333367</v>
      </c>
      <c r="AB616" s="1">
        <v>50.42</v>
      </c>
      <c r="AC616" s="1">
        <v>2.5331200000000002E-2</v>
      </c>
      <c r="AD616" s="8">
        <f t="shared" si="115"/>
        <v>2.7290600405081507</v>
      </c>
      <c r="AE616" s="3">
        <f t="shared" si="116"/>
        <v>1.0773512666230381E-2</v>
      </c>
      <c r="AF616" s="11">
        <f t="shared" si="117"/>
        <v>50.33333333333367</v>
      </c>
      <c r="AG616" s="1">
        <f t="shared" si="118"/>
        <v>0.17180477891751447</v>
      </c>
    </row>
    <row r="617" spans="2:33" ht="15">
      <c r="B617" s="1">
        <v>606</v>
      </c>
      <c r="C617" s="1">
        <v>1.0010633716849715</v>
      </c>
      <c r="D617" s="1">
        <v>1.2474358978519429</v>
      </c>
      <c r="E617" s="1">
        <v>0.80032296460468355</v>
      </c>
      <c r="G617" s="1">
        <v>1.0004721806489916</v>
      </c>
      <c r="H617" s="1">
        <v>6.0917800475136747</v>
      </c>
      <c r="I617" s="1">
        <v>0.12233525838282745</v>
      </c>
      <c r="K617" s="1">
        <v>1.0002500931916563</v>
      </c>
      <c r="L617" s="1">
        <v>3.6897147859276651</v>
      </c>
      <c r="M617" s="1">
        <v>0.23887875406616604</v>
      </c>
      <c r="O617" s="1">
        <v>2.5055130986213554E-2</v>
      </c>
      <c r="P617" s="1">
        <v>0.28215911916855174</v>
      </c>
      <c r="R617" s="1">
        <v>4.491208123541552E-2</v>
      </c>
      <c r="S617" s="2">
        <f t="shared" si="120"/>
        <v>1.2224832116440447</v>
      </c>
      <c r="T617" s="4">
        <f t="shared" si="121"/>
        <v>1.4944652027515382</v>
      </c>
      <c r="U617" s="1">
        <f t="shared" si="113"/>
        <v>1.2039529031848393</v>
      </c>
      <c r="V617" s="6">
        <f>2*sigma/alpha*corel*(B617/12-1/alpha*(1-EXP(-alpha*Output!B617/12)))</f>
        <v>3.5575920473060787</v>
      </c>
      <c r="W617" s="5">
        <f t="shared" si="122"/>
        <v>-0.29051229956669888</v>
      </c>
      <c r="X617" s="1">
        <f t="shared" si="123"/>
        <v>71.339945687528626</v>
      </c>
      <c r="Y617" s="3">
        <f t="shared" si="124"/>
        <v>4.8403026762788334E-2</v>
      </c>
      <c r="Z617" s="1">
        <f t="shared" si="114"/>
        <v>0.17202723723735033</v>
      </c>
      <c r="AA617" s="8">
        <f t="shared" si="119"/>
        <v>50.416666666667005</v>
      </c>
      <c r="AB617" s="1">
        <v>50.5</v>
      </c>
      <c r="AC617" s="1">
        <v>2.5328199999999999E-2</v>
      </c>
      <c r="AD617" s="8">
        <f t="shared" si="115"/>
        <v>2.7306901378644497</v>
      </c>
      <c r="AE617" s="3">
        <f t="shared" si="116"/>
        <v>1.0781224634456651E-2</v>
      </c>
      <c r="AF617" s="11">
        <f t="shared" si="117"/>
        <v>50.416666666667005</v>
      </c>
      <c r="AG617" s="1">
        <f t="shared" si="118"/>
        <v>0.17202723723735033</v>
      </c>
    </row>
    <row r="618" spans="2:33" ht="15">
      <c r="B618" s="1">
        <v>607</v>
      </c>
      <c r="C618" s="1">
        <v>1.0010651289506984</v>
      </c>
      <c r="D618" s="1">
        <v>1.2461022388866088</v>
      </c>
      <c r="E618" s="1">
        <v>0.8011768750198428</v>
      </c>
      <c r="G618" s="1">
        <v>1.0004633093270856</v>
      </c>
      <c r="H618" s="1">
        <v>6.0307038768877756</v>
      </c>
      <c r="I618" s="1">
        <v>0.12351432798436376</v>
      </c>
      <c r="K618" s="1">
        <v>1.0001734228524917</v>
      </c>
      <c r="L618" s="1">
        <v>3.6733476839681951</v>
      </c>
      <c r="M618" s="1">
        <v>0.23989312794934664</v>
      </c>
      <c r="O618" s="1">
        <v>2.5051406840062924E-2</v>
      </c>
      <c r="P618" s="1">
        <v>0.28162365315133775</v>
      </c>
      <c r="R618" s="1">
        <v>4.4932545168078285E-2</v>
      </c>
      <c r="S618" s="2">
        <f t="shared" si="120"/>
        <v>1.2244323021112586</v>
      </c>
      <c r="T618" s="4">
        <f t="shared" si="121"/>
        <v>1.4992344624534766</v>
      </c>
      <c r="U618" s="1">
        <f t="shared" si="113"/>
        <v>1.2081188727300802</v>
      </c>
      <c r="V618" s="6">
        <f>2*sigma/alpha*corel*(B618/12-1/alpha*(1-EXP(-alpha*Output!B618/12)))</f>
        <v>3.5669082176086078</v>
      </c>
      <c r="W618" s="5">
        <f t="shared" si="122"/>
        <v>-0.29111558972339635</v>
      </c>
      <c r="X618" s="1">
        <f t="shared" si="123"/>
        <v>71.625221886877682</v>
      </c>
      <c r="Y618" s="3">
        <f t="shared" si="124"/>
        <v>4.8397960440977009E-2</v>
      </c>
      <c r="Z618" s="1">
        <f t="shared" si="114"/>
        <v>0.1721595250295154</v>
      </c>
      <c r="AA618" s="8">
        <f t="shared" si="119"/>
        <v>50.500000000000341</v>
      </c>
      <c r="AB618" s="1">
        <v>50.58</v>
      </c>
      <c r="AC618" s="1">
        <v>2.5324599999999999E-2</v>
      </c>
      <c r="AD618" s="8">
        <f t="shared" si="115"/>
        <v>2.7319315993707542</v>
      </c>
      <c r="AE618" s="3">
        <f t="shared" si="116"/>
        <v>1.078765942747666E-2</v>
      </c>
      <c r="AF618" s="11">
        <f t="shared" si="117"/>
        <v>50.500000000000341</v>
      </c>
      <c r="AG618" s="1">
        <f t="shared" si="118"/>
        <v>0.1721595250295154</v>
      </c>
    </row>
    <row r="619" spans="2:33" ht="15">
      <c r="B619" s="1">
        <v>608</v>
      </c>
      <c r="C619" s="1">
        <v>1.0010626230067088</v>
      </c>
      <c r="D619" s="1">
        <v>1.2496397121203058</v>
      </c>
      <c r="E619" s="1">
        <v>0.798906263982743</v>
      </c>
      <c r="G619" s="1">
        <v>1.000163256862828</v>
      </c>
      <c r="H619" s="1">
        <v>6.1852234633897156</v>
      </c>
      <c r="I619" s="1">
        <v>0.12037032500113162</v>
      </c>
      <c r="K619" s="1">
        <v>1.0002307336194585</v>
      </c>
      <c r="L619" s="1">
        <v>3.7074007609012409</v>
      </c>
      <c r="M619" s="1">
        <v>0.2376401571160538</v>
      </c>
      <c r="O619" s="1">
        <v>2.504741889466057E-2</v>
      </c>
      <c r="P619" s="1">
        <v>0.28109313479919967</v>
      </c>
      <c r="R619" s="1">
        <v>4.5004396721532461E-2</v>
      </c>
      <c r="S619" s="2">
        <f t="shared" si="120"/>
        <v>1.226870794937122</v>
      </c>
      <c r="T619" s="4">
        <f t="shared" si="121"/>
        <v>1.5052119474696457</v>
      </c>
      <c r="U619" s="1">
        <f t="shared" si="113"/>
        <v>1.2122902799132802</v>
      </c>
      <c r="V619" s="6">
        <f>2*sigma/alpha*corel*(B619/12-1/alpha*(1-EXP(-alpha*Output!B619/12)))</f>
        <v>3.5762304659021495</v>
      </c>
      <c r="W619" s="5">
        <f t="shared" si="122"/>
        <v>-0.29292166755636551</v>
      </c>
      <c r="X619" s="1">
        <f t="shared" si="123"/>
        <v>72.154882303336777</v>
      </c>
      <c r="Y619" s="3">
        <f t="shared" si="124"/>
        <v>4.8534597362563492E-2</v>
      </c>
      <c r="Z619" s="1">
        <f t="shared" si="114"/>
        <v>0.17236046687730938</v>
      </c>
      <c r="AA619" s="8">
        <f t="shared" si="119"/>
        <v>50.583333333333677</v>
      </c>
      <c r="AB619" s="1">
        <v>50.67</v>
      </c>
      <c r="AC619" s="1">
        <v>2.5320700000000002E-2</v>
      </c>
      <c r="AD619" s="8">
        <f t="shared" si="115"/>
        <v>2.7328110533943182</v>
      </c>
      <c r="AE619" s="3">
        <f t="shared" si="116"/>
        <v>1.079279424895172E-2</v>
      </c>
      <c r="AF619" s="11">
        <f t="shared" si="117"/>
        <v>50.583333333333677</v>
      </c>
      <c r="AG619" s="1">
        <f t="shared" si="118"/>
        <v>0.17236046687730938</v>
      </c>
    </row>
    <row r="620" spans="2:33" ht="15">
      <c r="B620" s="1">
        <v>609</v>
      </c>
      <c r="C620" s="1">
        <v>1.0010631353338941</v>
      </c>
      <c r="D620" s="1">
        <v>1.2518789920474909</v>
      </c>
      <c r="E620" s="1">
        <v>0.79747458894559153</v>
      </c>
      <c r="G620" s="1">
        <v>1.0000263665466642</v>
      </c>
      <c r="H620" s="1">
        <v>6.2812977245488666</v>
      </c>
      <c r="I620" s="1">
        <v>0.11847178476627465</v>
      </c>
      <c r="K620" s="1">
        <v>1.0002095498181804</v>
      </c>
      <c r="L620" s="1">
        <v>3.713713808005588</v>
      </c>
      <c r="M620" s="1">
        <v>0.23718676677781214</v>
      </c>
      <c r="O620" s="1">
        <v>2.5043276865237132E-2</v>
      </c>
      <c r="P620" s="1">
        <v>0.28056599625957102</v>
      </c>
      <c r="R620" s="1">
        <v>4.5023272341475511E-2</v>
      </c>
      <c r="S620" s="2">
        <f t="shared" si="120"/>
        <v>1.228787420248693</v>
      </c>
      <c r="T620" s="4">
        <f t="shared" si="121"/>
        <v>1.5099185241614381</v>
      </c>
      <c r="U620" s="1">
        <f t="shared" si="113"/>
        <v>1.2164671136377885</v>
      </c>
      <c r="V620" s="6">
        <f>2*sigma/alpha*corel*(B620/12-1/alpha*(1-EXP(-alpha*Output!B620/12)))</f>
        <v>3.585558775835191</v>
      </c>
      <c r="W620" s="5">
        <f t="shared" si="122"/>
        <v>-0.29345141052364965</v>
      </c>
      <c r="X620" s="1">
        <f t="shared" si="123"/>
        <v>72.426868071269638</v>
      </c>
      <c r="Y620" s="3">
        <f t="shared" si="124"/>
        <v>4.8520579989020957E-2</v>
      </c>
      <c r="Z620" s="1">
        <f t="shared" si="114"/>
        <v>0.17248793913209756</v>
      </c>
      <c r="AA620" s="8">
        <f t="shared" si="119"/>
        <v>50.666666666667012</v>
      </c>
      <c r="AB620" s="1">
        <v>50.75</v>
      </c>
      <c r="AC620" s="1">
        <v>2.5316499999999999E-2</v>
      </c>
      <c r="AD620" s="8">
        <f t="shared" si="115"/>
        <v>2.7322313476286704</v>
      </c>
      <c r="AE620" s="3">
        <f t="shared" si="116"/>
        <v>1.0792294936617109E-2</v>
      </c>
      <c r="AF620" s="11">
        <f t="shared" si="117"/>
        <v>50.666666666667012</v>
      </c>
      <c r="AG620" s="1">
        <f t="shared" si="118"/>
        <v>0.17248793913209756</v>
      </c>
    </row>
    <row r="621" spans="2:33" ht="15">
      <c r="B621" s="1">
        <v>610</v>
      </c>
      <c r="C621" s="1">
        <v>1.0010656379852565</v>
      </c>
      <c r="D621" s="1">
        <v>1.2518173846491396</v>
      </c>
      <c r="E621" s="1">
        <v>0.79751118869299786</v>
      </c>
      <c r="G621" s="1">
        <v>1.0001093707302375</v>
      </c>
      <c r="H621" s="1">
        <v>6.2800044443066776</v>
      </c>
      <c r="I621" s="1">
        <v>0.1184387565351455</v>
      </c>
      <c r="K621" s="1">
        <v>1.0001525120493886</v>
      </c>
      <c r="L621" s="1">
        <v>3.6868406950971888</v>
      </c>
      <c r="M621" s="1">
        <v>0.23886583502902678</v>
      </c>
      <c r="O621" s="1">
        <v>2.5039164350068949E-2</v>
      </c>
      <c r="P621" s="1">
        <v>0.28003961944773298</v>
      </c>
      <c r="R621" s="1">
        <v>4.5016811769193865E-2</v>
      </c>
      <c r="S621" s="2">
        <f t="shared" si="120"/>
        <v>1.2304586656495837</v>
      </c>
      <c r="T621" s="4">
        <f t="shared" si="121"/>
        <v>1.5140285278721541</v>
      </c>
      <c r="U621" s="1">
        <f t="shared" si="113"/>
        <v>1.2206493628178259</v>
      </c>
      <c r="V621" s="6">
        <f>2*sigma/alpha*corel*(B621/12-1/alpha*(1-EXP(-alpha*Output!B621/12)))</f>
        <v>3.5948931311002044</v>
      </c>
      <c r="W621" s="5">
        <f t="shared" si="122"/>
        <v>-0.29337916505432826</v>
      </c>
      <c r="X621" s="1">
        <f t="shared" si="123"/>
        <v>72.577020185078183</v>
      </c>
      <c r="Y621" s="3">
        <f t="shared" si="124"/>
        <v>4.8435950481721418E-2</v>
      </c>
      <c r="Z621" s="1">
        <f t="shared" si="114"/>
        <v>0.17258090207615506</v>
      </c>
      <c r="AA621" s="8">
        <f t="shared" si="119"/>
        <v>50.750000000000348</v>
      </c>
      <c r="AB621" s="1">
        <v>50.83</v>
      </c>
      <c r="AC621" s="1">
        <v>2.5312299999999999E-2</v>
      </c>
      <c r="AD621" s="8">
        <f t="shared" si="115"/>
        <v>2.7313564993105071</v>
      </c>
      <c r="AE621" s="3">
        <f t="shared" si="116"/>
        <v>1.0790629454101393E-2</v>
      </c>
      <c r="AF621" s="11">
        <f t="shared" si="117"/>
        <v>50.750000000000348</v>
      </c>
      <c r="AG621" s="1">
        <f t="shared" si="118"/>
        <v>0.17258090207615506</v>
      </c>
    </row>
    <row r="622" spans="2:33" ht="15">
      <c r="B622" s="1">
        <v>611</v>
      </c>
      <c r="C622" s="1">
        <v>1.0010688339419802</v>
      </c>
      <c r="D622" s="1">
        <v>1.2495937656113127</v>
      </c>
      <c r="E622" s="1">
        <v>0.79892768174921569</v>
      </c>
      <c r="G622" s="1">
        <v>1.0002481596347652</v>
      </c>
      <c r="H622" s="1">
        <v>6.1767215028992437</v>
      </c>
      <c r="I622" s="1">
        <v>0.12036085054465631</v>
      </c>
      <c r="K622" s="1">
        <v>1.000053197551239</v>
      </c>
      <c r="L622" s="1">
        <v>3.7348217596575841</v>
      </c>
      <c r="M622" s="1">
        <v>0.23574801852323643</v>
      </c>
      <c r="O622" s="1">
        <v>2.5035102147594114E-2</v>
      </c>
      <c r="P622" s="1">
        <v>0.27951370572249912</v>
      </c>
      <c r="R622" s="1">
        <v>4.5002120441079277E-2</v>
      </c>
      <c r="S622" s="2">
        <f t="shared" si="120"/>
        <v>1.2320517997649889</v>
      </c>
      <c r="T622" s="4">
        <f t="shared" si="121"/>
        <v>1.5179516373041484</v>
      </c>
      <c r="U622" s="1">
        <f t="shared" si="113"/>
        <v>1.2248370163785613</v>
      </c>
      <c r="V622" s="6">
        <f>2*sigma/alpha*corel*(B622/12-1/alpha*(1-EXP(-alpha*Output!B622/12)))</f>
        <v>3.6042335154335343</v>
      </c>
      <c r="W622" s="5">
        <f t="shared" si="122"/>
        <v>-0.29311462092558704</v>
      </c>
      <c r="X622" s="1">
        <f t="shared" si="123"/>
        <v>72.688177028952268</v>
      </c>
      <c r="Y622" s="3">
        <f t="shared" si="124"/>
        <v>4.8328994849393084E-2</v>
      </c>
      <c r="Z622" s="1">
        <f t="shared" si="114"/>
        <v>0.17266288188765663</v>
      </c>
      <c r="AA622" s="8">
        <f t="shared" si="119"/>
        <v>50.833333333333684</v>
      </c>
      <c r="AB622" s="1">
        <v>50.92</v>
      </c>
      <c r="AC622" s="1">
        <v>2.5308199999999999E-2</v>
      </c>
      <c r="AD622" s="8">
        <f t="shared" si="115"/>
        <v>2.730978524058854</v>
      </c>
      <c r="AE622" s="3">
        <f t="shared" si="116"/>
        <v>1.0790884077330091E-2</v>
      </c>
      <c r="AF622" s="11">
        <f t="shared" si="117"/>
        <v>50.833333333333684</v>
      </c>
      <c r="AG622" s="1">
        <f t="shared" si="118"/>
        <v>0.17266288188765663</v>
      </c>
    </row>
    <row r="623" spans="2:33" ht="15">
      <c r="B623" s="1">
        <v>612</v>
      </c>
      <c r="C623" s="1">
        <v>1.0010727767520884</v>
      </c>
      <c r="D623" s="1">
        <v>1.2494753611887799</v>
      </c>
      <c r="E623" s="1">
        <v>0.79900072951388679</v>
      </c>
      <c r="G623" s="1">
        <v>1.0004433462756608</v>
      </c>
      <c r="H623" s="1">
        <v>6.1695222558154361</v>
      </c>
      <c r="I623" s="1">
        <v>0.12044290152090346</v>
      </c>
      <c r="K623" s="1">
        <v>1.0000069193990224</v>
      </c>
      <c r="L623" s="1">
        <v>3.710520117689418</v>
      </c>
      <c r="M623" s="1">
        <v>0.23724259342250026</v>
      </c>
      <c r="O623" s="1">
        <v>2.5031303236400099E-2</v>
      </c>
      <c r="P623" s="1">
        <v>0.27898522234849227</v>
      </c>
      <c r="R623" s="1">
        <v>4.501595696806452E-2</v>
      </c>
      <c r="S623" s="2">
        <f t="shared" si="120"/>
        <v>1.2339368827937298</v>
      </c>
      <c r="T623" s="4">
        <f t="shared" si="121"/>
        <v>1.522600230718707</v>
      </c>
      <c r="U623" s="1">
        <f t="shared" si="113"/>
        <v>1.2290300632561819</v>
      </c>
      <c r="V623" s="6">
        <f>2*sigma/alpha*corel*(B623/12-1/alpha*(1-EXP(-alpha*Output!B623/12)))</f>
        <v>3.6135799126152839</v>
      </c>
      <c r="W623" s="5">
        <f t="shared" si="122"/>
        <v>-0.29357016746252507</v>
      </c>
      <c r="X623" s="1">
        <f t="shared" si="123"/>
        <v>72.946273947211793</v>
      </c>
      <c r="Y623" s="3">
        <f t="shared" si="124"/>
        <v>4.8306658574248026E-2</v>
      </c>
      <c r="Z623" s="1">
        <f t="shared" si="114"/>
        <v>0.17278572419236643</v>
      </c>
      <c r="AA623" s="8">
        <f t="shared" si="119"/>
        <v>50.91666666666702</v>
      </c>
      <c r="AB623" s="1">
        <v>51</v>
      </c>
      <c r="AC623" s="1">
        <v>2.5304299999999998E-2</v>
      </c>
      <c r="AD623" s="8">
        <f t="shared" si="115"/>
        <v>2.7299676359989964</v>
      </c>
      <c r="AE623" s="3">
        <f t="shared" si="116"/>
        <v>1.0788552285575957E-2</v>
      </c>
      <c r="AF623" s="11">
        <f t="shared" si="117"/>
        <v>50.91666666666702</v>
      </c>
      <c r="AG623" s="1">
        <f t="shared" si="118"/>
        <v>0.17278572419236643</v>
      </c>
    </row>
    <row r="624" spans="2:33" ht="15">
      <c r="B624" s="1">
        <v>613</v>
      </c>
      <c r="C624" s="1">
        <v>1.0010748651148678</v>
      </c>
      <c r="D624" s="1">
        <v>1.2451113834892409</v>
      </c>
      <c r="E624" s="1">
        <v>0.80179846305242397</v>
      </c>
      <c r="G624" s="1">
        <v>1.0004525611966795</v>
      </c>
      <c r="H624" s="1">
        <v>5.9747467108839434</v>
      </c>
      <c r="I624" s="1">
        <v>0.12430904200445098</v>
      </c>
      <c r="K624" s="1">
        <v>1.0000166168257829</v>
      </c>
      <c r="L624" s="1">
        <v>3.7487782763006052</v>
      </c>
      <c r="M624" s="1">
        <v>0.23477249806654432</v>
      </c>
      <c r="O624" s="1">
        <v>2.5027832691775616E-2</v>
      </c>
      <c r="P624" s="1">
        <v>0.27845324366667795</v>
      </c>
      <c r="R624" s="1">
        <v>4.4998373752215277E-2</v>
      </c>
      <c r="S624" s="2">
        <f t="shared" si="120"/>
        <v>1.2355297457550038</v>
      </c>
      <c r="T624" s="4">
        <f t="shared" si="121"/>
        <v>1.5265337526454243</v>
      </c>
      <c r="U624" s="1">
        <f t="shared" si="113"/>
        <v>1.2332284923979648</v>
      </c>
      <c r="V624" s="6">
        <f>2*sigma/alpha*corel*(B624/12-1/alpha*(1-EXP(-alpha*Output!B624/12)))</f>
        <v>3.6229323064691878</v>
      </c>
      <c r="W624" s="5">
        <f t="shared" si="122"/>
        <v>-0.29330526024745951</v>
      </c>
      <c r="X624" s="1">
        <f t="shared" si="123"/>
        <v>73.05768000782237</v>
      </c>
      <c r="Y624" s="3">
        <f t="shared" si="124"/>
        <v>4.8200126324477219E-2</v>
      </c>
      <c r="Z624" s="1">
        <f t="shared" si="114"/>
        <v>0.17286759557036452</v>
      </c>
      <c r="AA624" s="8">
        <f t="shared" si="119"/>
        <v>51.000000000000355</v>
      </c>
      <c r="AB624" s="1">
        <v>51.08</v>
      </c>
      <c r="AC624" s="1">
        <v>2.5300799999999998E-2</v>
      </c>
      <c r="AD624" s="8">
        <f t="shared" si="115"/>
        <v>2.7296730822438247</v>
      </c>
      <c r="AE624" s="3">
        <f t="shared" si="116"/>
        <v>1.0788880518575796E-2</v>
      </c>
      <c r="AF624" s="11">
        <f t="shared" si="117"/>
        <v>51.000000000000355</v>
      </c>
      <c r="AG624" s="1">
        <f t="shared" si="118"/>
        <v>0.17286759557036452</v>
      </c>
    </row>
    <row r="625" spans="2:33" ht="15">
      <c r="B625" s="1">
        <v>614</v>
      </c>
      <c r="C625" s="1">
        <v>1.0010796676268208</v>
      </c>
      <c r="D625" s="1">
        <v>1.2493353206437154</v>
      </c>
      <c r="E625" s="1">
        <v>0.79908495459402573</v>
      </c>
      <c r="G625" s="1">
        <v>1.0007226086320542</v>
      </c>
      <c r="H625" s="1">
        <v>6.1612251680502288</v>
      </c>
      <c r="I625" s="1">
        <v>0.12048822596413188</v>
      </c>
      <c r="K625" s="1">
        <v>1.0000947606191821</v>
      </c>
      <c r="L625" s="1">
        <v>3.7263115952304093</v>
      </c>
      <c r="M625" s="1">
        <v>0.23613878777535185</v>
      </c>
      <c r="O625" s="1">
        <v>2.5024659265891085E-2</v>
      </c>
      <c r="P625" s="1">
        <v>0.27791821503245506</v>
      </c>
      <c r="R625" s="1">
        <v>4.5029234048308234E-2</v>
      </c>
      <c r="S625" s="2">
        <f t="shared" si="120"/>
        <v>1.2376129803649174</v>
      </c>
      <c r="T625" s="4">
        <f t="shared" si="121"/>
        <v>1.5316858891677334</v>
      </c>
      <c r="U625" s="1">
        <f t="shared" si="113"/>
        <v>1.237432292762346</v>
      </c>
      <c r="V625" s="6">
        <f>2*sigma/alpha*corel*(B625/12-1/alpha*(1-EXP(-alpha*Output!B625/12)))</f>
        <v>3.6322906808624986</v>
      </c>
      <c r="W625" s="5">
        <f t="shared" si="122"/>
        <v>-0.2942535964053874</v>
      </c>
      <c r="X625" s="1">
        <f t="shared" si="123"/>
        <v>73.417438321249847</v>
      </c>
      <c r="Y625" s="3">
        <f t="shared" si="124"/>
        <v>4.8235573006974883E-2</v>
      </c>
      <c r="Z625" s="1">
        <f t="shared" si="114"/>
        <v>0.17301800225483871</v>
      </c>
      <c r="AA625" s="8">
        <f t="shared" si="119"/>
        <v>51.083333333333691</v>
      </c>
      <c r="AB625" s="1">
        <v>51.17</v>
      </c>
      <c r="AC625" s="1">
        <v>2.52976E-2</v>
      </c>
      <c r="AD625" s="8">
        <f t="shared" si="115"/>
        <v>2.7294073410891531</v>
      </c>
      <c r="AE625" s="3">
        <f t="shared" si="116"/>
        <v>1.0789194789581435E-2</v>
      </c>
      <c r="AF625" s="11">
        <f t="shared" si="117"/>
        <v>51.083333333333691</v>
      </c>
      <c r="AG625" s="1">
        <f t="shared" si="118"/>
        <v>0.17301800225483871</v>
      </c>
    </row>
    <row r="626" spans="2:33" ht="15">
      <c r="B626" s="1">
        <v>615</v>
      </c>
      <c r="C626" s="1">
        <v>1.0010859219334571</v>
      </c>
      <c r="D626" s="1">
        <v>1.2474543294197622</v>
      </c>
      <c r="E626" s="1">
        <v>0.80028718705491619</v>
      </c>
      <c r="G626" s="1">
        <v>1.0011171335241269</v>
      </c>
      <c r="H626" s="1">
        <v>6.0757483326534976</v>
      </c>
      <c r="I626" s="1">
        <v>0.12212410235146004</v>
      </c>
      <c r="K626" s="1">
        <v>0.99997718603242103</v>
      </c>
      <c r="L626" s="1">
        <v>3.6680682983859363</v>
      </c>
      <c r="M626" s="1">
        <v>0.23983833794316406</v>
      </c>
      <c r="O626" s="1">
        <v>2.5021683459200927E-2</v>
      </c>
      <c r="P626" s="1">
        <v>0.27738155179840168</v>
      </c>
      <c r="R626" s="1">
        <v>4.5048049885596068E-2</v>
      </c>
      <c r="S626" s="2">
        <f t="shared" si="120"/>
        <v>1.23958838082093</v>
      </c>
      <c r="T626" s="4">
        <f t="shared" si="121"/>
        <v>1.5365793538662551</v>
      </c>
      <c r="U626" s="1">
        <f t="shared" si="113"/>
        <v>1.2416414533189939</v>
      </c>
      <c r="V626" s="6">
        <f>2*sigma/alpha*corel*(B626/12-1/alpha*(1-EXP(-alpha*Output!B626/12)))</f>
        <v>3.6416550197058766</v>
      </c>
      <c r="W626" s="5">
        <f t="shared" si="122"/>
        <v>-0.29493790054726121</v>
      </c>
      <c r="X626" s="1">
        <f t="shared" si="123"/>
        <v>73.72392089473756</v>
      </c>
      <c r="Y626" s="3">
        <f t="shared" si="124"/>
        <v>4.8240082736454637E-2</v>
      </c>
      <c r="Z626" s="1">
        <f t="shared" si="114"/>
        <v>0.17315321588985894</v>
      </c>
      <c r="AA626" s="8">
        <f t="shared" si="119"/>
        <v>51.166666666667027</v>
      </c>
      <c r="AB626" s="1">
        <v>51.25</v>
      </c>
      <c r="AC626" s="1">
        <v>2.5294799999999999E-2</v>
      </c>
      <c r="AD626" s="8">
        <f t="shared" si="115"/>
        <v>2.731165407990725</v>
      </c>
      <c r="AE626" s="3">
        <f t="shared" si="116"/>
        <v>1.0797339405690993E-2</v>
      </c>
      <c r="AF626" s="11">
        <f t="shared" si="117"/>
        <v>51.166666666667027</v>
      </c>
      <c r="AG626" s="1">
        <f t="shared" si="118"/>
        <v>0.17315321588985894</v>
      </c>
    </row>
    <row r="627" spans="2:33" ht="15">
      <c r="B627" s="1">
        <v>616</v>
      </c>
      <c r="C627" s="1">
        <v>1.0010927258083921</v>
      </c>
      <c r="D627" s="1">
        <v>1.252748408550072</v>
      </c>
      <c r="E627" s="1">
        <v>0.79690252458270372</v>
      </c>
      <c r="G627" s="1">
        <v>1.0015805063791228</v>
      </c>
      <c r="H627" s="1">
        <v>6.309342551572068</v>
      </c>
      <c r="I627" s="1">
        <v>0.11754563923393017</v>
      </c>
      <c r="K627" s="1">
        <v>1.0001090273699327</v>
      </c>
      <c r="L627" s="1">
        <v>3.6282926331817253</v>
      </c>
      <c r="M627" s="1">
        <v>0.24241709041715626</v>
      </c>
      <c r="O627" s="1">
        <v>2.5018855454672695E-2</v>
      </c>
      <c r="P627" s="1">
        <v>0.27684396170156444</v>
      </c>
      <c r="R627" s="1">
        <v>4.5073771597332786E-2</v>
      </c>
      <c r="S627" s="2">
        <f t="shared" si="120"/>
        <v>1.2416400255348157</v>
      </c>
      <c r="T627" s="4">
        <f t="shared" si="121"/>
        <v>1.5416699530100977</v>
      </c>
      <c r="U627" s="1">
        <f t="shared" si="113"/>
        <v>1.245855963048875</v>
      </c>
      <c r="V627" s="6">
        <f>2*sigma/alpha*corel*(B627/12-1/alpha*(1-EXP(-alpha*Output!B627/12)))</f>
        <v>3.6510253069532612</v>
      </c>
      <c r="W627" s="5">
        <f t="shared" si="122"/>
        <v>-0.29581398996122266</v>
      </c>
      <c r="X627" s="1">
        <f t="shared" si="123"/>
        <v>74.070458397384215</v>
      </c>
      <c r="Y627" s="3">
        <f t="shared" si="124"/>
        <v>4.8266827567091504E-2</v>
      </c>
      <c r="Z627" s="1">
        <f t="shared" si="114"/>
        <v>0.17329896581383503</v>
      </c>
      <c r="AA627" s="8">
        <f t="shared" si="119"/>
        <v>51.250000000000362</v>
      </c>
      <c r="AB627" s="1">
        <v>51.33</v>
      </c>
      <c r="AC627" s="1">
        <v>2.5292200000000001E-2</v>
      </c>
      <c r="AD627" s="8">
        <f t="shared" si="115"/>
        <v>2.7334454532730588</v>
      </c>
      <c r="AE627" s="3">
        <f t="shared" si="116"/>
        <v>1.0807464171851633E-2</v>
      </c>
      <c r="AF627" s="11">
        <f t="shared" si="117"/>
        <v>51.250000000000362</v>
      </c>
      <c r="AG627" s="1">
        <f t="shared" si="118"/>
        <v>0.17329896581383503</v>
      </c>
    </row>
    <row r="628" spans="2:33" ht="15">
      <c r="B628" s="1">
        <v>617</v>
      </c>
      <c r="C628" s="1">
        <v>1.0010965242347416</v>
      </c>
      <c r="D628" s="1">
        <v>1.2494540216985743</v>
      </c>
      <c r="E628" s="1">
        <v>0.79900100342036406</v>
      </c>
      <c r="G628" s="1">
        <v>1.0017504923725158</v>
      </c>
      <c r="H628" s="1">
        <v>6.1585847247168415</v>
      </c>
      <c r="I628" s="1">
        <v>0.12036471030345813</v>
      </c>
      <c r="K628" s="1">
        <v>1.0002467914259592</v>
      </c>
      <c r="L628" s="1">
        <v>3.5302862800875467</v>
      </c>
      <c r="M628" s="1">
        <v>0.24909507358818175</v>
      </c>
      <c r="O628" s="1">
        <v>2.5016179787391592E-2</v>
      </c>
      <c r="P628" s="1">
        <v>0.27630537951695322</v>
      </c>
      <c r="R628" s="1">
        <v>4.5142132469009666E-2</v>
      </c>
      <c r="S628" s="2">
        <f t="shared" si="120"/>
        <v>1.2441213719339974</v>
      </c>
      <c r="T628" s="4">
        <f t="shared" si="121"/>
        <v>1.5478379881029318</v>
      </c>
      <c r="U628" s="1">
        <f t="shared" si="113"/>
        <v>1.2500758109443209</v>
      </c>
      <c r="V628" s="6">
        <f>2*sigma/alpha*corel*(B628/12-1/alpha*(1-EXP(-alpha*Output!B628/12)))</f>
        <v>3.6604015266017607</v>
      </c>
      <c r="W628" s="5">
        <f t="shared" si="122"/>
        <v>-0.29776217715861097</v>
      </c>
      <c r="X628" s="1">
        <f t="shared" si="123"/>
        <v>74.638293771569494</v>
      </c>
      <c r="Y628" s="3">
        <f t="shared" si="124"/>
        <v>4.8417609267375677E-2</v>
      </c>
      <c r="Z628" s="1">
        <f t="shared" si="114"/>
        <v>0.17350451937950709</v>
      </c>
      <c r="AA628" s="8">
        <f t="shared" si="119"/>
        <v>51.333333333333698</v>
      </c>
      <c r="AB628" s="1">
        <v>51.42</v>
      </c>
      <c r="AC628" s="1">
        <v>2.5289900000000001E-2</v>
      </c>
      <c r="AD628" s="8">
        <f t="shared" si="115"/>
        <v>2.7372021260840818</v>
      </c>
      <c r="AE628" s="3">
        <f t="shared" si="116"/>
        <v>1.0823301500140695E-2</v>
      </c>
      <c r="AF628" s="11">
        <f t="shared" si="117"/>
        <v>51.333333333333698</v>
      </c>
      <c r="AG628" s="1">
        <f t="shared" si="118"/>
        <v>0.17350451937950709</v>
      </c>
    </row>
    <row r="629" spans="2:33" ht="15">
      <c r="B629" s="1">
        <v>618</v>
      </c>
      <c r="C629" s="1">
        <v>1.0010962586077257</v>
      </c>
      <c r="D629" s="1">
        <v>1.2560992946209815</v>
      </c>
      <c r="E629" s="1">
        <v>0.79477129146858017</v>
      </c>
      <c r="G629" s="1">
        <v>1.001634472365567</v>
      </c>
      <c r="H629" s="1">
        <v>6.4541884039689359</v>
      </c>
      <c r="I629" s="1">
        <v>0.11479630793005922</v>
      </c>
      <c r="K629" s="1">
        <v>1.0002394838961137</v>
      </c>
      <c r="L629" s="1">
        <v>3.5106378406938581</v>
      </c>
      <c r="M629" s="1">
        <v>0.25043703624860497</v>
      </c>
      <c r="O629" s="1">
        <v>2.501362905651287E-2</v>
      </c>
      <c r="P629" s="1">
        <v>0.27576619373928896</v>
      </c>
      <c r="R629" s="1">
        <v>4.5126625491504577E-2</v>
      </c>
      <c r="S629" s="2">
        <f t="shared" si="120"/>
        <v>1.2457818243790924</v>
      </c>
      <c r="T629" s="4">
        <f t="shared" si="121"/>
        <v>1.5519723539532997</v>
      </c>
      <c r="U629" s="1">
        <f t="shared" si="113"/>
        <v>1.2543009860091037</v>
      </c>
      <c r="V629" s="6">
        <f>2*sigma/alpha*corel*(B629/12-1/alpha*(1-EXP(-alpha*Output!B629/12)))</f>
        <v>3.6697836626915388</v>
      </c>
      <c r="W629" s="5">
        <f t="shared" si="122"/>
        <v>-0.29767136794419602</v>
      </c>
      <c r="X629" s="1">
        <f t="shared" si="123"/>
        <v>74.787613927462104</v>
      </c>
      <c r="Y629" s="3">
        <f t="shared" si="124"/>
        <v>4.8332034623454104E-2</v>
      </c>
      <c r="Z629" s="1">
        <f t="shared" si="114"/>
        <v>0.17359546512987115</v>
      </c>
      <c r="AA629" s="8">
        <f t="shared" si="119"/>
        <v>51.416666666667034</v>
      </c>
      <c r="AB629" s="1">
        <v>51.5</v>
      </c>
      <c r="AC629" s="1">
        <v>2.5287799999999999E-2</v>
      </c>
      <c r="AD629" s="8">
        <f t="shared" si="115"/>
        <v>2.7417094348712938</v>
      </c>
      <c r="AE629" s="3">
        <f t="shared" si="116"/>
        <v>1.084202435510916E-2</v>
      </c>
      <c r="AF629" s="11">
        <f t="shared" si="117"/>
        <v>51.416666666667034</v>
      </c>
      <c r="AG629" s="1">
        <f t="shared" si="118"/>
        <v>0.17359546512987115</v>
      </c>
    </row>
    <row r="630" spans="2:33" ht="15">
      <c r="B630" s="1">
        <v>619</v>
      </c>
      <c r="C630" s="1">
        <v>1.0010929916861795</v>
      </c>
      <c r="D630" s="1">
        <v>1.2556165562391155</v>
      </c>
      <c r="E630" s="1">
        <v>0.79507417389078605</v>
      </c>
      <c r="G630" s="1">
        <v>1.0012815296837361</v>
      </c>
      <c r="H630" s="1">
        <v>6.4269883380642563</v>
      </c>
      <c r="I630" s="1">
        <v>0.1152262716955631</v>
      </c>
      <c r="K630" s="1">
        <v>1.0004607909186281</v>
      </c>
      <c r="L630" s="1">
        <v>3.502431879688189</v>
      </c>
      <c r="M630" s="1">
        <v>0.25097150217315051</v>
      </c>
      <c r="O630" s="1">
        <v>2.5011336818184259E-2</v>
      </c>
      <c r="P630" s="1">
        <v>0.27522450729842546</v>
      </c>
      <c r="R630" s="1">
        <v>4.5160309125988236E-2</v>
      </c>
      <c r="S630" s="2">
        <f t="shared" si="120"/>
        <v>1.2479421127757868</v>
      </c>
      <c r="T630" s="4">
        <f t="shared" si="121"/>
        <v>1.5573595168392946</v>
      </c>
      <c r="U630" s="1">
        <f t="shared" si="113"/>
        <v>1.2585314772584919</v>
      </c>
      <c r="V630" s="6">
        <f>2*sigma/alpha*corel*(B630/12-1/alpha*(1-EXP(-alpha*Output!B630/12)))</f>
        <v>3.6791716993056944</v>
      </c>
      <c r="W630" s="5">
        <f t="shared" si="122"/>
        <v>-0.29882803958080273</v>
      </c>
      <c r="X630" s="1">
        <f t="shared" si="123"/>
        <v>75.194489893144251</v>
      </c>
      <c r="Y630" s="3">
        <f t="shared" si="124"/>
        <v>4.8390668311793214E-2</v>
      </c>
      <c r="Z630" s="1">
        <f t="shared" si="114"/>
        <v>0.17375597153681829</v>
      </c>
      <c r="AA630" s="8">
        <f t="shared" si="119"/>
        <v>51.500000000000369</v>
      </c>
      <c r="AB630" s="1">
        <v>51.58</v>
      </c>
      <c r="AC630" s="1">
        <v>2.5285800000000001E-2</v>
      </c>
      <c r="AD630" s="8">
        <f t="shared" si="115"/>
        <v>2.744631818157421</v>
      </c>
      <c r="AE630" s="3">
        <f t="shared" si="116"/>
        <v>1.0854439322297182E-2</v>
      </c>
      <c r="AF630" s="11">
        <f t="shared" si="117"/>
        <v>51.500000000000369</v>
      </c>
      <c r="AG630" s="1">
        <f t="shared" si="118"/>
        <v>0.17375597153681829</v>
      </c>
    </row>
    <row r="631" spans="2:33" ht="15">
      <c r="B631" s="1">
        <v>620</v>
      </c>
      <c r="C631" s="1">
        <v>1.0010948719584229</v>
      </c>
      <c r="D631" s="1">
        <v>1.2577830631844555</v>
      </c>
      <c r="E631" s="1">
        <v>0.79370199555437526</v>
      </c>
      <c r="G631" s="1">
        <v>1.0013463662060329</v>
      </c>
      <c r="H631" s="1">
        <v>6.5248144046489855</v>
      </c>
      <c r="I631" s="1">
        <v>0.1134436833421742</v>
      </c>
      <c r="K631" s="1">
        <v>1.0003834759764516</v>
      </c>
      <c r="L631" s="1">
        <v>3.4807159443281264</v>
      </c>
      <c r="M631" s="1">
        <v>0.25248468885937075</v>
      </c>
      <c r="O631" s="1">
        <v>2.5009211133372782E-2</v>
      </c>
      <c r="P631" s="1">
        <v>0.27468162611189684</v>
      </c>
      <c r="R631" s="1">
        <v>4.5173010576115356E-2</v>
      </c>
      <c r="S631" s="2">
        <f t="shared" si="120"/>
        <v>1.2499039542680579</v>
      </c>
      <c r="T631" s="4">
        <f t="shared" si="121"/>
        <v>1.5622598948949273</v>
      </c>
      <c r="U631" s="1">
        <f t="shared" si="113"/>
        <v>1.2627672737193256</v>
      </c>
      <c r="V631" s="6">
        <f>2*sigma/alpha*corel*(B631/12-1/alpha*(1-EXP(-alpha*Output!B631/12)))</f>
        <v>3.6885656205701456</v>
      </c>
      <c r="W631" s="5">
        <f t="shared" si="122"/>
        <v>-0.29949262117560171</v>
      </c>
      <c r="X631" s="1">
        <f t="shared" si="123"/>
        <v>75.500658046876367</v>
      </c>
      <c r="Y631" s="3">
        <f t="shared" si="124"/>
        <v>4.8392379137239136E-2</v>
      </c>
      <c r="Z631" s="1">
        <f t="shared" si="114"/>
        <v>0.1738887238675611</v>
      </c>
      <c r="AA631" s="8">
        <f t="shared" si="119"/>
        <v>51.583333333333705</v>
      </c>
      <c r="AB631" s="1">
        <v>51.67</v>
      </c>
      <c r="AC631" s="1">
        <v>2.5283900000000002E-2</v>
      </c>
      <c r="AD631" s="8">
        <f t="shared" si="115"/>
        <v>2.7468886662721999</v>
      </c>
      <c r="AE631" s="3">
        <f t="shared" si="116"/>
        <v>1.0864181025364756E-2</v>
      </c>
      <c r="AF631" s="11">
        <f t="shared" si="117"/>
        <v>51.583333333333705</v>
      </c>
      <c r="AG631" s="1">
        <f t="shared" si="118"/>
        <v>0.1738887238675611</v>
      </c>
    </row>
    <row r="632" spans="2:33" ht="15">
      <c r="B632" s="1">
        <v>621</v>
      </c>
      <c r="C632" s="1">
        <v>1.001098244284331</v>
      </c>
      <c r="D632" s="1">
        <v>1.2640753045623265</v>
      </c>
      <c r="E632" s="1">
        <v>0.78974848251815599</v>
      </c>
      <c r="G632" s="1">
        <v>1.0015446022259704</v>
      </c>
      <c r="H632" s="1">
        <v>6.8240773934967791</v>
      </c>
      <c r="I632" s="1">
        <v>0.10841615391363237</v>
      </c>
      <c r="K632" s="1">
        <v>1.0003149902037833</v>
      </c>
      <c r="L632" s="1">
        <v>3.4560784393510651</v>
      </c>
      <c r="M632" s="1">
        <v>0.25423161763917773</v>
      </c>
      <c r="O632" s="1">
        <v>2.5007065321755319E-2</v>
      </c>
      <c r="P632" s="1">
        <v>0.27414019841659032</v>
      </c>
      <c r="R632" s="1">
        <v>4.5208874966666888E-2</v>
      </c>
      <c r="S632" s="2">
        <f t="shared" si="120"/>
        <v>1.2520960897749489</v>
      </c>
      <c r="T632" s="4">
        <f t="shared" si="121"/>
        <v>1.567744618029717</v>
      </c>
      <c r="U632" s="1">
        <f t="shared" si="113"/>
        <v>1.2670083644300776</v>
      </c>
      <c r="V632" s="6">
        <f>2*sigma/alpha*corel*(B632/12-1/alpha*(1-EXP(-alpha*Output!B632/12)))</f>
        <v>3.6979654106535187</v>
      </c>
      <c r="W632" s="5">
        <f t="shared" si="122"/>
        <v>-0.3007362535996394</v>
      </c>
      <c r="X632" s="1">
        <f t="shared" si="123"/>
        <v>75.927352673515202</v>
      </c>
      <c r="Y632" s="3">
        <f t="shared" si="124"/>
        <v>4.8460530148028508E-2</v>
      </c>
      <c r="Z632" s="1">
        <f t="shared" si="114"/>
        <v>0.17405338833505196</v>
      </c>
      <c r="AA632" s="8">
        <f t="shared" si="119"/>
        <v>51.666666666667041</v>
      </c>
      <c r="AB632" s="1">
        <v>51.75</v>
      </c>
      <c r="AC632" s="1">
        <v>2.5282099999999998E-2</v>
      </c>
      <c r="AD632" s="8">
        <f t="shared" si="115"/>
        <v>2.7503467824467958</v>
      </c>
      <c r="AE632" s="3">
        <f t="shared" si="116"/>
        <v>1.0878632639087718E-2</v>
      </c>
      <c r="AF632" s="11">
        <f t="shared" si="117"/>
        <v>51.666666666667041</v>
      </c>
      <c r="AG632" s="1">
        <f t="shared" si="118"/>
        <v>0.17405338833505196</v>
      </c>
    </row>
    <row r="633" spans="2:33" ht="15">
      <c r="B633" s="1">
        <v>622</v>
      </c>
      <c r="C633" s="1">
        <v>1.0011025062432293</v>
      </c>
      <c r="D633" s="1">
        <v>1.2639305542818811</v>
      </c>
      <c r="E633" s="1">
        <v>0.78983625386867495</v>
      </c>
      <c r="G633" s="1">
        <v>1.0017573843464325</v>
      </c>
      <c r="H633" s="1">
        <v>6.8169025859657202</v>
      </c>
      <c r="I633" s="1">
        <v>0.10847766000779406</v>
      </c>
      <c r="K633" s="1">
        <v>1.0005554620118524</v>
      </c>
      <c r="L633" s="1">
        <v>3.4242796794065087</v>
      </c>
      <c r="M633" s="1">
        <v>0.2565390278687269</v>
      </c>
      <c r="O633" s="1">
        <v>2.5004865871256072E-2</v>
      </c>
      <c r="P633" s="1">
        <v>0.27360069646983309</v>
      </c>
      <c r="R633" s="1">
        <v>4.522685650813444E-2</v>
      </c>
      <c r="S633" s="2">
        <f t="shared" si="120"/>
        <v>1.2541095085947924</v>
      </c>
      <c r="T633" s="4">
        <f t="shared" si="121"/>
        <v>1.5727906595478718</v>
      </c>
      <c r="U633" s="1">
        <f t="shared" ref="U633:U696" si="125">sigma*sigma/alpha/alpha*(B633/12+2/alpha*EXP(-alpha*B633/12)-1/2/alpha*EXP(-2*alpha*B633/12)-3/2/alpha)</f>
        <v>1.2712547384409199</v>
      </c>
      <c r="V633" s="6">
        <f>2*sigma/alpha*corel*(B633/12-1/alpha*(1-EXP(-alpha*Output!B633/12)))</f>
        <v>3.7073710537670292</v>
      </c>
      <c r="W633" s="5">
        <f t="shared" si="122"/>
        <v>-0.30153592110695193</v>
      </c>
      <c r="X633" s="1">
        <f t="shared" si="123"/>
        <v>76.26304777315103</v>
      </c>
      <c r="Y633" s="3">
        <f t="shared" si="124"/>
        <v>4.8477497998825822E-2</v>
      </c>
      <c r="Z633" s="1">
        <f t="shared" si="114"/>
        <v>0.17419307724039965</v>
      </c>
      <c r="AA633" s="8">
        <f t="shared" si="119"/>
        <v>51.750000000000377</v>
      </c>
      <c r="AB633" s="1">
        <v>51.83</v>
      </c>
      <c r="AC633" s="1">
        <v>2.5280299999999999E-2</v>
      </c>
      <c r="AD633" s="8">
        <f t="shared" si="115"/>
        <v>2.7543412874392672</v>
      </c>
      <c r="AE633" s="3">
        <f t="shared" si="116"/>
        <v>1.0895208076799988E-2</v>
      </c>
      <c r="AF633" s="11">
        <f t="shared" si="117"/>
        <v>51.750000000000377</v>
      </c>
      <c r="AG633" s="1">
        <f t="shared" si="118"/>
        <v>0.17419307724039965</v>
      </c>
    </row>
    <row r="634" spans="2:33" ht="15">
      <c r="B634" s="1">
        <v>623</v>
      </c>
      <c r="C634" s="1">
        <v>1.0010994836265377</v>
      </c>
      <c r="D634" s="1">
        <v>1.2644913887406495</v>
      </c>
      <c r="E634" s="1">
        <v>0.78948326468198204</v>
      </c>
      <c r="G634" s="1">
        <v>1.0014151660139279</v>
      </c>
      <c r="H634" s="1">
        <v>6.8441891026565207</v>
      </c>
      <c r="I634" s="1">
        <v>0.10799281209978015</v>
      </c>
      <c r="K634" s="1">
        <v>1.000487383127098</v>
      </c>
      <c r="L634" s="1">
        <v>3.3736407818252632</v>
      </c>
      <c r="M634" s="1">
        <v>0.26033547837694415</v>
      </c>
      <c r="O634" s="1">
        <v>2.5002723650703232E-2</v>
      </c>
      <c r="P634" s="1">
        <v>0.27306154503060309</v>
      </c>
      <c r="R634" s="1">
        <v>4.526146039380461E-2</v>
      </c>
      <c r="S634" s="2">
        <f t="shared" si="120"/>
        <v>1.2562926143068964</v>
      </c>
      <c r="T634" s="4">
        <f t="shared" si="121"/>
        <v>1.5782711327620564</v>
      </c>
      <c r="U634" s="1">
        <f t="shared" si="125"/>
        <v>1.2755063848137855</v>
      </c>
      <c r="V634" s="6">
        <f>2*sigma/alpha*corel*(B634/12-1/alpha*(1-EXP(-alpha*Output!B634/12)))</f>
        <v>3.716782534164369</v>
      </c>
      <c r="W634" s="5">
        <f t="shared" si="122"/>
        <v>-0.30276474794827091</v>
      </c>
      <c r="X634" s="1">
        <f t="shared" si="123"/>
        <v>76.688618396860235</v>
      </c>
      <c r="Y634" s="3">
        <f t="shared" si="124"/>
        <v>4.8543382978719143E-2</v>
      </c>
      <c r="Z634" s="1">
        <f t="shared" si="114"/>
        <v>0.17435620443307795</v>
      </c>
      <c r="AA634" s="8">
        <f t="shared" si="119"/>
        <v>51.833333333333712</v>
      </c>
      <c r="AB634" s="1">
        <v>51.92</v>
      </c>
      <c r="AC634" s="1">
        <v>2.5278499999999999E-2</v>
      </c>
      <c r="AD634" s="8">
        <f t="shared" si="115"/>
        <v>2.75776349296767</v>
      </c>
      <c r="AE634" s="3">
        <f t="shared" si="116"/>
        <v>1.0909521897927765E-2</v>
      </c>
      <c r="AF634" s="11">
        <f t="shared" si="117"/>
        <v>51.833333333333712</v>
      </c>
      <c r="AG634" s="1">
        <f t="shared" si="118"/>
        <v>0.17435620443307795</v>
      </c>
    </row>
    <row r="635" spans="2:33" ht="15">
      <c r="B635" s="1">
        <v>624</v>
      </c>
      <c r="C635" s="1">
        <v>1.0010966505315388</v>
      </c>
      <c r="D635" s="1">
        <v>1.2661798230907884</v>
      </c>
      <c r="E635" s="1">
        <v>0.78842782189876726</v>
      </c>
      <c r="G635" s="1">
        <v>1.0010164729186153</v>
      </c>
      <c r="H635" s="1">
        <v>6.9263568569522249</v>
      </c>
      <c r="I635" s="1">
        <v>0.10665996570567134</v>
      </c>
      <c r="K635" s="1">
        <v>1.0004569070188778</v>
      </c>
      <c r="L635" s="1">
        <v>3.4230524137795251</v>
      </c>
      <c r="M635" s="1">
        <v>0.25652409754905375</v>
      </c>
      <c r="O635" s="1">
        <v>2.5000733186648395E-2</v>
      </c>
      <c r="P635" s="1">
        <v>0.27252140276514242</v>
      </c>
      <c r="R635" s="1">
        <v>4.5212414076556573E-2</v>
      </c>
      <c r="S635" s="2">
        <f t="shared" si="120"/>
        <v>1.2576499256151885</v>
      </c>
      <c r="T635" s="4">
        <f t="shared" si="121"/>
        <v>1.5816833353998891</v>
      </c>
      <c r="U635" s="1">
        <f t="shared" si="125"/>
        <v>1.2797632926224356</v>
      </c>
      <c r="V635" s="6">
        <f>2*sigma/alpha*corel*(B635/12-1/alpha*(1-EXP(-alpha*Output!B635/12)))</f>
        <v>3.7261998361415936</v>
      </c>
      <c r="W635" s="5">
        <f t="shared" si="122"/>
        <v>-0.30192004277745355</v>
      </c>
      <c r="X635" s="1">
        <f t="shared" si="123"/>
        <v>76.683934116571976</v>
      </c>
      <c r="Y635" s="3">
        <f t="shared" si="124"/>
        <v>4.8372466412768635E-2</v>
      </c>
      <c r="Z635" s="1">
        <f t="shared" si="114"/>
        <v>0.17440466513034747</v>
      </c>
      <c r="AA635" s="8">
        <f t="shared" si="119"/>
        <v>51.916666666667048</v>
      </c>
      <c r="AB635" s="1">
        <v>52</v>
      </c>
      <c r="AC635" s="1">
        <v>2.5276699999999999E-2</v>
      </c>
      <c r="AD635" s="8">
        <f t="shared" si="115"/>
        <v>2.7596681335160382</v>
      </c>
      <c r="AE635" s="3">
        <f t="shared" si="116"/>
        <v>1.0917833947928482E-2</v>
      </c>
      <c r="AF635" s="11">
        <f t="shared" si="117"/>
        <v>51.916666666667048</v>
      </c>
      <c r="AG635" s="1">
        <f t="shared" si="118"/>
        <v>0.17440466513034747</v>
      </c>
    </row>
    <row r="636" spans="2:33" ht="15">
      <c r="B636" s="1">
        <v>625</v>
      </c>
      <c r="C636" s="1">
        <v>1.0010943459604227</v>
      </c>
      <c r="D636" s="1">
        <v>1.2674411356670123</v>
      </c>
      <c r="E636" s="1">
        <v>0.78764052736097734</v>
      </c>
      <c r="G636" s="1">
        <v>1.0006815980280148</v>
      </c>
      <c r="H636" s="1">
        <v>6.9843707568468281</v>
      </c>
      <c r="I636" s="1">
        <v>0.10572275406040872</v>
      </c>
      <c r="K636" s="1">
        <v>1.0004009034884316</v>
      </c>
      <c r="L636" s="1">
        <v>3.4276672781856865</v>
      </c>
      <c r="M636" s="1">
        <v>0.25612535936041536</v>
      </c>
      <c r="O636" s="1">
        <v>2.4998804512444614E-2</v>
      </c>
      <c r="P636" s="1">
        <v>0.27198154388384782</v>
      </c>
      <c r="R636" s="1">
        <v>4.5164264915613012E-2</v>
      </c>
      <c r="S636" s="2">
        <f t="shared" si="120"/>
        <v>1.2590182474564278</v>
      </c>
      <c r="T636" s="4">
        <f t="shared" si="121"/>
        <v>1.5851269474282548</v>
      </c>
      <c r="U636" s="1">
        <f t="shared" si="125"/>
        <v>1.2840254509525191</v>
      </c>
      <c r="V636" s="6">
        <f>2*sigma/alpha*corel*(B636/12-1/alpha*(1-EXP(-alpha*Output!B636/12)))</f>
        <v>3.7356229440370061</v>
      </c>
      <c r="W636" s="5">
        <f t="shared" si="122"/>
        <v>-0.3011014964757357</v>
      </c>
      <c r="X636" s="1">
        <f t="shared" si="123"/>
        <v>76.684357212460654</v>
      </c>
      <c r="Y636" s="3">
        <f t="shared" si="124"/>
        <v>4.8204840544864055E-2</v>
      </c>
      <c r="Z636" s="1">
        <f t="shared" si="114"/>
        <v>0.17445468578006867</v>
      </c>
      <c r="AA636" s="8">
        <f t="shared" si="119"/>
        <v>52.000000000000384</v>
      </c>
      <c r="AB636" s="1">
        <v>52.08</v>
      </c>
      <c r="AC636" s="1">
        <v>2.52748E-2</v>
      </c>
      <c r="AD636" s="8">
        <f t="shared" si="115"/>
        <v>2.7599548755538605</v>
      </c>
      <c r="AE636" s="3">
        <f t="shared" si="116"/>
        <v>1.0919789179553788E-2</v>
      </c>
      <c r="AF636" s="11">
        <f t="shared" si="117"/>
        <v>52.000000000000384</v>
      </c>
      <c r="AG636" s="1">
        <f t="shared" si="118"/>
        <v>0.17445468578006867</v>
      </c>
    </row>
    <row r="637" spans="2:33" ht="15">
      <c r="B637" s="1">
        <v>626</v>
      </c>
      <c r="C637" s="1">
        <v>1.0010952791975014</v>
      </c>
      <c r="D637" s="1">
        <v>1.2702195808916914</v>
      </c>
      <c r="E637" s="1">
        <v>0.78591498591576092</v>
      </c>
      <c r="G637" s="1">
        <v>1.0007146514052156</v>
      </c>
      <c r="H637" s="1">
        <v>7.1224808675555238</v>
      </c>
      <c r="I637" s="1">
        <v>0.10362246287103642</v>
      </c>
      <c r="K637" s="1">
        <v>1.0003885010292002</v>
      </c>
      <c r="L637" s="1">
        <v>3.510020375175555</v>
      </c>
      <c r="M637" s="1">
        <v>0.25006397126909591</v>
      </c>
      <c r="O637" s="1">
        <v>2.4996810163426468E-2</v>
      </c>
      <c r="P637" s="1">
        <v>0.27144377167977801</v>
      </c>
      <c r="R637" s="1">
        <v>4.523146782833861E-2</v>
      </c>
      <c r="S637" s="2">
        <f t="shared" si="120"/>
        <v>1.2615380739219504</v>
      </c>
      <c r="T637" s="4">
        <f t="shared" si="121"/>
        <v>1.5914783119547045</v>
      </c>
      <c r="U637" s="1">
        <f t="shared" si="125"/>
        <v>1.2882928489016354</v>
      </c>
      <c r="V637" s="6">
        <f>2*sigma/alpha*corel*(B637/12-1/alpha*(1-EXP(-alpha*Output!B637/12)))</f>
        <v>3.745051842231041</v>
      </c>
      <c r="W637" s="5">
        <f t="shared" si="122"/>
        <v>-0.30318546305306904</v>
      </c>
      <c r="X637" s="1">
        <f t="shared" si="123"/>
        <v>77.290113258071855</v>
      </c>
      <c r="Y637" s="3">
        <f t="shared" si="124"/>
        <v>4.8368317004047784E-2</v>
      </c>
      <c r="Z637" s="1">
        <f t="shared" si="114"/>
        <v>0.17466416769094356</v>
      </c>
      <c r="AA637" s="8">
        <f t="shared" si="119"/>
        <v>52.083333333333719</v>
      </c>
      <c r="AB637" s="1">
        <v>52.17</v>
      </c>
      <c r="AC637" s="1">
        <v>2.5272699999999999E-2</v>
      </c>
      <c r="AD637" s="8">
        <f t="shared" si="115"/>
        <v>2.7588983657353059</v>
      </c>
      <c r="AE637" s="3">
        <f t="shared" si="116"/>
        <v>1.0916516105264994E-2</v>
      </c>
      <c r="AF637" s="11">
        <f t="shared" si="117"/>
        <v>52.083333333333719</v>
      </c>
      <c r="AG637" s="1">
        <f t="shared" si="118"/>
        <v>0.17466416769094356</v>
      </c>
    </row>
    <row r="638" spans="2:33" ht="15">
      <c r="B638" s="1">
        <v>627</v>
      </c>
      <c r="C638" s="1">
        <v>1.0010985081277992</v>
      </c>
      <c r="D638" s="1">
        <v>1.2685272235710225</v>
      </c>
      <c r="E638" s="1">
        <v>0.78696080007441738</v>
      </c>
      <c r="G638" s="1">
        <v>1.000833565652268</v>
      </c>
      <c r="H638" s="1">
        <v>7.0338205488700272</v>
      </c>
      <c r="I638" s="1">
        <v>0.10487775058849479</v>
      </c>
      <c r="K638" s="1">
        <v>1.0003223021535701</v>
      </c>
      <c r="L638" s="1">
        <v>3.4944638735661844</v>
      </c>
      <c r="M638" s="1">
        <v>0.25112487193151506</v>
      </c>
      <c r="O638" s="1">
        <v>2.4994700693414411E-2</v>
      </c>
      <c r="P638" s="1">
        <v>0.2709087823573994</v>
      </c>
      <c r="R638" s="1">
        <v>4.5270339130540842E-2</v>
      </c>
      <c r="S638" s="2">
        <f t="shared" si="120"/>
        <v>1.2637708649875348</v>
      </c>
      <c r="T638" s="4">
        <f t="shared" si="121"/>
        <v>1.5971167991913418</v>
      </c>
      <c r="U638" s="1">
        <f t="shared" si="125"/>
        <v>1.292565475579398</v>
      </c>
      <c r="V638" s="6">
        <f>2*sigma/alpha*corel*(B638/12-1/alpha*(1-EXP(-alpha*Output!B638/12)))</f>
        <v>3.7544865151461586</v>
      </c>
      <c r="W638" s="5">
        <f t="shared" si="122"/>
        <v>-0.3045513236119437</v>
      </c>
      <c r="X638" s="1">
        <f t="shared" si="123"/>
        <v>77.747395627310581</v>
      </c>
      <c r="Y638" s="3">
        <f t="shared" si="124"/>
        <v>4.8449395669519564E-2</v>
      </c>
      <c r="Z638" s="1">
        <f t="shared" si="114"/>
        <v>0.17483371726488359</v>
      </c>
      <c r="AA638" s="8">
        <f t="shared" si="119"/>
        <v>52.166666666667055</v>
      </c>
      <c r="AB638" s="1">
        <v>52.25</v>
      </c>
      <c r="AC638" s="1">
        <v>2.5270600000000001E-2</v>
      </c>
      <c r="AD638" s="8">
        <f t="shared" si="115"/>
        <v>2.7589930658558983</v>
      </c>
      <c r="AE638" s="3">
        <f t="shared" si="116"/>
        <v>1.0917798017680223E-2</v>
      </c>
      <c r="AF638" s="11">
        <f t="shared" si="117"/>
        <v>52.166666666667055</v>
      </c>
      <c r="AG638" s="1">
        <f t="shared" si="118"/>
        <v>0.17483371726488359</v>
      </c>
    </row>
    <row r="639" spans="2:33" ht="15">
      <c r="B639" s="1">
        <v>628</v>
      </c>
      <c r="C639" s="1">
        <v>1.0010988617993972</v>
      </c>
      <c r="D639" s="1">
        <v>1.2697243280731256</v>
      </c>
      <c r="E639" s="1">
        <v>0.7862161612389188</v>
      </c>
      <c r="G639" s="1">
        <v>1.0007260498619084</v>
      </c>
      <c r="H639" s="1">
        <v>7.0943553986525529</v>
      </c>
      <c r="I639" s="1">
        <v>0.10393244670082379</v>
      </c>
      <c r="K639" s="1">
        <v>1.0002801902274527</v>
      </c>
      <c r="L639" s="1">
        <v>3.5523593411110417</v>
      </c>
      <c r="M639" s="1">
        <v>0.24698064169076533</v>
      </c>
      <c r="O639" s="1">
        <v>2.4992516779086094E-2</v>
      </c>
      <c r="P639" s="1">
        <v>0.27037599586598066</v>
      </c>
      <c r="R639" s="1">
        <v>4.532005411355839E-2</v>
      </c>
      <c r="S639" s="2">
        <f t="shared" si="120"/>
        <v>1.2661108447087417</v>
      </c>
      <c r="T639" s="4">
        <f t="shared" si="121"/>
        <v>1.6030366710890833</v>
      </c>
      <c r="U639" s="1">
        <f t="shared" si="125"/>
        <v>1.2968433201074925</v>
      </c>
      <c r="V639" s="6">
        <f>2*sigma/alpha*corel*(B639/12-1/alpha*(1-EXP(-alpha*Output!B639/12)))</f>
        <v>3.7639269472467238</v>
      </c>
      <c r="W639" s="5">
        <f t="shared" si="122"/>
        <v>-0.30619335098159084</v>
      </c>
      <c r="X639" s="1">
        <f t="shared" si="123"/>
        <v>78.263620869689717</v>
      </c>
      <c r="Y639" s="3">
        <f t="shared" si="124"/>
        <v>4.8561266778381199E-2</v>
      </c>
      <c r="Z639" s="1">
        <f t="shared" si="114"/>
        <v>0.17501792471017102</v>
      </c>
      <c r="AA639" s="8">
        <f t="shared" si="119"/>
        <v>52.250000000000391</v>
      </c>
      <c r="AB639" s="1">
        <v>52.33</v>
      </c>
      <c r="AC639" s="1">
        <v>2.5268499999999999E-2</v>
      </c>
      <c r="AD639" s="8">
        <f t="shared" si="115"/>
        <v>2.759832209139057</v>
      </c>
      <c r="AE639" s="3">
        <f t="shared" si="116"/>
        <v>1.0922026274369501E-2</v>
      </c>
      <c r="AF639" s="11">
        <f t="shared" si="117"/>
        <v>52.250000000000391</v>
      </c>
      <c r="AG639" s="1">
        <f t="shared" si="118"/>
        <v>0.17501792471017102</v>
      </c>
    </row>
    <row r="640" spans="2:33" ht="15">
      <c r="B640" s="1">
        <v>629</v>
      </c>
      <c r="C640" s="1">
        <v>1.0010963364049059</v>
      </c>
      <c r="D640" s="1">
        <v>1.2714541682550293</v>
      </c>
      <c r="E640" s="1">
        <v>0.78514381066316719</v>
      </c>
      <c r="G640" s="1">
        <v>1.0004024334395707</v>
      </c>
      <c r="H640" s="1">
        <v>7.1754313974223303</v>
      </c>
      <c r="I640" s="1">
        <v>0.10270829461920998</v>
      </c>
      <c r="K640" s="1">
        <v>1.0004519785749282</v>
      </c>
      <c r="L640" s="1">
        <v>3.6079475582570208</v>
      </c>
      <c r="M640" s="1">
        <v>0.24312471567879709</v>
      </c>
      <c r="O640" s="1">
        <v>2.4990321724243508E-2</v>
      </c>
      <c r="P640" s="1">
        <v>0.26984451298122014</v>
      </c>
      <c r="R640" s="1">
        <v>4.5336637239151927E-2</v>
      </c>
      <c r="S640" s="2">
        <f t="shared" si="120"/>
        <v>1.2681192709654081</v>
      </c>
      <c r="T640" s="4">
        <f t="shared" si="121"/>
        <v>1.6081264853938382</v>
      </c>
      <c r="U640" s="1">
        <f t="shared" si="125"/>
        <v>1.3011263716197361</v>
      </c>
      <c r="V640" s="6">
        <f>2*sigma/alpha*corel*(B640/12-1/alpha*(1-EXP(-alpha*Output!B640/12)))</f>
        <v>3.7733731230388976</v>
      </c>
      <c r="W640" s="5">
        <f t="shared" si="122"/>
        <v>-0.30700011377410208</v>
      </c>
      <c r="X640" s="1">
        <f t="shared" si="123"/>
        <v>78.606035246975722</v>
      </c>
      <c r="Y640" s="3">
        <f t="shared" si="124"/>
        <v>4.857835942235697E-2</v>
      </c>
      <c r="Z640" s="1">
        <f t="shared" si="114"/>
        <v>0.17515615483525265</v>
      </c>
      <c r="AA640" s="8">
        <f t="shared" si="119"/>
        <v>52.333333333333727</v>
      </c>
      <c r="AB640" s="1">
        <v>52.42</v>
      </c>
      <c r="AC640" s="1">
        <v>2.5266199999999999E-2</v>
      </c>
      <c r="AD640" s="8">
        <f t="shared" si="115"/>
        <v>2.7587827575649078</v>
      </c>
      <c r="AE640" s="3">
        <f t="shared" si="116"/>
        <v>1.091886693513432E-2</v>
      </c>
      <c r="AF640" s="11">
        <f t="shared" si="117"/>
        <v>52.333333333333727</v>
      </c>
      <c r="AG640" s="1">
        <f t="shared" si="118"/>
        <v>0.17515615483525265</v>
      </c>
    </row>
    <row r="641" spans="2:33" ht="15">
      <c r="B641" s="1">
        <v>630</v>
      </c>
      <c r="C641" s="1">
        <v>1.0010983761120795</v>
      </c>
      <c r="D641" s="1">
        <v>1.2699956402969637</v>
      </c>
      <c r="E641" s="1">
        <v>0.78604281562004552</v>
      </c>
      <c r="G641" s="1">
        <v>1.0004048095945783</v>
      </c>
      <c r="H641" s="1">
        <v>7.1004272943627891</v>
      </c>
      <c r="I641" s="1">
        <v>0.10374292543251296</v>
      </c>
      <c r="K641" s="1">
        <v>1.0004940397056379</v>
      </c>
      <c r="L641" s="1">
        <v>3.571011029976876</v>
      </c>
      <c r="M641" s="1">
        <v>0.24558829131419588</v>
      </c>
      <c r="O641" s="1">
        <v>2.4988198643238875E-2</v>
      </c>
      <c r="P641" s="1">
        <v>0.26931315573257913</v>
      </c>
      <c r="R641" s="1">
        <v>4.5273393246738965E-2</v>
      </c>
      <c r="S641" s="2">
        <f t="shared" si="120"/>
        <v>1.2693281593449675</v>
      </c>
      <c r="T641" s="4">
        <f t="shared" si="121"/>
        <v>1.6111939761060832</v>
      </c>
      <c r="U641" s="1">
        <f t="shared" si="125"/>
        <v>1.3054146192621419</v>
      </c>
      <c r="V641" s="6">
        <f>2*sigma/alpha*corel*(B641/12-1/alpha*(1-EXP(-alpha*Output!B641/12)))</f>
        <v>3.7828250270705235</v>
      </c>
      <c r="W641" s="5">
        <f t="shared" si="122"/>
        <v>-0.30577935684394131</v>
      </c>
      <c r="X641" s="1">
        <f t="shared" si="123"/>
        <v>78.52343012265878</v>
      </c>
      <c r="Y641" s="3">
        <f t="shared" si="124"/>
        <v>4.8366854151733876E-2</v>
      </c>
      <c r="Z641" s="1">
        <f t="shared" si="114"/>
        <v>0.17518392925347717</v>
      </c>
      <c r="AA641" s="8">
        <f t="shared" si="119"/>
        <v>52.416666666667062</v>
      </c>
      <c r="AB641" s="1">
        <v>52.5</v>
      </c>
      <c r="AC641" s="1">
        <v>2.5264000000000002E-2</v>
      </c>
      <c r="AD641" s="8">
        <f t="shared" si="115"/>
        <v>2.7580135676112674</v>
      </c>
      <c r="AE641" s="3">
        <f t="shared" si="116"/>
        <v>1.0916773146023066E-2</v>
      </c>
      <c r="AF641" s="11">
        <f t="shared" si="117"/>
        <v>52.416666666667062</v>
      </c>
      <c r="AG641" s="1">
        <f t="shared" si="118"/>
        <v>0.17518392925347717</v>
      </c>
    </row>
    <row r="642" spans="2:33" ht="15">
      <c r="B642" s="1">
        <v>631</v>
      </c>
      <c r="C642" s="1">
        <v>1.0010937060495508</v>
      </c>
      <c r="D642" s="1">
        <v>1.2700060129747894</v>
      </c>
      <c r="E642" s="1">
        <v>0.78603369766483988</v>
      </c>
      <c r="G642" s="1">
        <v>0.99994152408019821</v>
      </c>
      <c r="H642" s="1">
        <v>7.0987981277912375</v>
      </c>
      <c r="I642" s="1">
        <v>0.10371643674093207</v>
      </c>
      <c r="K642" s="1">
        <v>1.0007131223340902</v>
      </c>
      <c r="L642" s="1">
        <v>3.5821699033530239</v>
      </c>
      <c r="M642" s="1">
        <v>0.24477225599588309</v>
      </c>
      <c r="O642" s="1">
        <v>2.498614540814674E-2</v>
      </c>
      <c r="P642" s="1">
        <v>0.26878195273451433</v>
      </c>
      <c r="R642" s="1">
        <v>4.5260937476580512E-2</v>
      </c>
      <c r="S642" s="2">
        <f t="shared" si="120"/>
        <v>1.2710517345942869</v>
      </c>
      <c r="T642" s="4">
        <f t="shared" si="121"/>
        <v>1.6155725120151454</v>
      </c>
      <c r="U642" s="1">
        <f t="shared" si="125"/>
        <v>1.3097080521929718</v>
      </c>
      <c r="V642" s="6">
        <f>2*sigma/alpha*corel*(B642/12-1/alpha*(1-EXP(-alpha*Output!B642/12)))</f>
        <v>3.7922826439310189</v>
      </c>
      <c r="W642" s="5">
        <f t="shared" si="122"/>
        <v>-0.30586445982217358</v>
      </c>
      <c r="X642" s="1">
        <f t="shared" si="123"/>
        <v>78.714899034057609</v>
      </c>
      <c r="Y642" s="3">
        <f t="shared" si="124"/>
        <v>4.8302939095801523E-2</v>
      </c>
      <c r="Z642" s="1">
        <f t="shared" si="114"/>
        <v>0.17528274710573949</v>
      </c>
      <c r="AA642" s="8">
        <f t="shared" si="119"/>
        <v>52.500000000000398</v>
      </c>
      <c r="AB642" s="1">
        <v>52.58</v>
      </c>
      <c r="AC642" s="1">
        <v>2.5261700000000002E-2</v>
      </c>
      <c r="AD642" s="8">
        <f t="shared" si="115"/>
        <v>2.7555459185326163</v>
      </c>
      <c r="AE642" s="3">
        <f t="shared" si="116"/>
        <v>1.0907998743285749E-2</v>
      </c>
      <c r="AF642" s="11">
        <f t="shared" si="117"/>
        <v>52.500000000000398</v>
      </c>
      <c r="AG642" s="1">
        <f t="shared" si="118"/>
        <v>0.17528274710573949</v>
      </c>
    </row>
    <row r="643" spans="2:33" ht="15">
      <c r="B643" s="1">
        <v>632</v>
      </c>
      <c r="C643" s="1">
        <v>1.0010969093603936</v>
      </c>
      <c r="D643" s="1">
        <v>1.2756349323896379</v>
      </c>
      <c r="E643" s="1">
        <v>0.78256252204290977</v>
      </c>
      <c r="G643" s="1">
        <v>1.0000951032279259</v>
      </c>
      <c r="H643" s="1">
        <v>7.3852267069341284</v>
      </c>
      <c r="I643" s="1">
        <v>9.9645575273180409E-2</v>
      </c>
      <c r="K643" s="1">
        <v>1.0009051602748376</v>
      </c>
      <c r="L643" s="1">
        <v>3.5943268772133425</v>
      </c>
      <c r="M643" s="1">
        <v>0.24389355428004364</v>
      </c>
      <c r="O643" s="1">
        <v>2.4984151667546625E-2</v>
      </c>
      <c r="P643" s="1">
        <v>0.26825104876491335</v>
      </c>
      <c r="R643" s="1">
        <v>4.5295390317301891E-2</v>
      </c>
      <c r="S643" s="2">
        <f t="shared" si="120"/>
        <v>1.2732528860830528</v>
      </c>
      <c r="T643" s="4">
        <f t="shared" si="121"/>
        <v>1.6211729119188234</v>
      </c>
      <c r="U643" s="1">
        <f t="shared" si="125"/>
        <v>1.3140066595827984</v>
      </c>
      <c r="V643" s="6">
        <f>2*sigma/alpha*corel*(B643/12-1/alpha*(1-EXP(-alpha*Output!B643/12)))</f>
        <v>3.8017459582512538</v>
      </c>
      <c r="W643" s="5">
        <f t="shared" si="122"/>
        <v>-0.30716625233602501</v>
      </c>
      <c r="X643" s="1">
        <f t="shared" si="123"/>
        <v>79.162962823202349</v>
      </c>
      <c r="Y643" s="3">
        <f t="shared" si="124"/>
        <v>4.8376054854171902E-2</v>
      </c>
      <c r="Z643" s="1">
        <f t="shared" si="114"/>
        <v>0.17544732585695744</v>
      </c>
      <c r="AA643" s="8">
        <f t="shared" si="119"/>
        <v>52.583333333333734</v>
      </c>
      <c r="AB643" s="1">
        <v>52.67</v>
      </c>
      <c r="AC643" s="1">
        <v>2.5259400000000001E-2</v>
      </c>
      <c r="AD643" s="8">
        <f t="shared" si="115"/>
        <v>2.752483324533761</v>
      </c>
      <c r="AE643" s="3">
        <f t="shared" si="116"/>
        <v>1.0896867401972181E-2</v>
      </c>
      <c r="AF643" s="11">
        <f t="shared" si="117"/>
        <v>52.583333333333734</v>
      </c>
      <c r="AG643" s="1">
        <f t="shared" si="118"/>
        <v>0.17544732585695744</v>
      </c>
    </row>
    <row r="644" spans="2:33" ht="15">
      <c r="B644" s="1">
        <v>633</v>
      </c>
      <c r="C644" s="1">
        <v>1.0011058522047416</v>
      </c>
      <c r="D644" s="1">
        <v>1.2822429418959775</v>
      </c>
      <c r="E644" s="1">
        <v>0.77852692295273673</v>
      </c>
      <c r="G644" s="1">
        <v>1.000748863403097</v>
      </c>
      <c r="H644" s="1">
        <v>7.7421355633185236</v>
      </c>
      <c r="I644" s="1">
        <v>9.5005886180607221E-2</v>
      </c>
      <c r="K644" s="1">
        <v>1.0006683403399241</v>
      </c>
      <c r="L644" s="1">
        <v>3.5409822245838405</v>
      </c>
      <c r="M644" s="1">
        <v>0.24751622260935613</v>
      </c>
      <c r="O644" s="1">
        <v>2.4982068214317678E-2</v>
      </c>
      <c r="P644" s="1">
        <v>0.26772254936096301</v>
      </c>
      <c r="R644" s="1">
        <v>4.524656542711248E-2</v>
      </c>
      <c r="S644" s="2">
        <f t="shared" si="120"/>
        <v>1.2746081286312607</v>
      </c>
      <c r="T644" s="4">
        <f t="shared" si="121"/>
        <v>1.6246258815728845</v>
      </c>
      <c r="U644" s="1">
        <f t="shared" si="125"/>
        <v>1.3183104306145599</v>
      </c>
      <c r="V644" s="6">
        <f>2*sigma/alpha*corel*(B644/12-1/alpha*(1-EXP(-alpha*Output!B644/12)))</f>
        <v>3.8112149547034511</v>
      </c>
      <c r="W644" s="5">
        <f t="shared" si="122"/>
        <v>-0.30631545095832458</v>
      </c>
      <c r="X644" s="1">
        <f t="shared" si="123"/>
        <v>79.157919583161728</v>
      </c>
      <c r="Y644" s="3">
        <f t="shared" si="124"/>
        <v>4.8207191451052928E-2</v>
      </c>
      <c r="Z644" s="1">
        <f t="shared" si="114"/>
        <v>0.17549528458432809</v>
      </c>
      <c r="AA644" s="8">
        <f t="shared" si="119"/>
        <v>52.666666666667069</v>
      </c>
      <c r="AB644" s="1">
        <v>52.75</v>
      </c>
      <c r="AC644" s="1">
        <v>2.5257000000000002E-2</v>
      </c>
      <c r="AD644" s="8">
        <f t="shared" si="115"/>
        <v>2.7493178568232386</v>
      </c>
      <c r="AE644" s="3">
        <f t="shared" si="116"/>
        <v>1.0885369825486949E-2</v>
      </c>
      <c r="AF644" s="11">
        <f t="shared" si="117"/>
        <v>52.666666666667069</v>
      </c>
      <c r="AG644" s="1">
        <f t="shared" si="118"/>
        <v>0.17549528458432809</v>
      </c>
    </row>
    <row r="645" spans="2:33" ht="15">
      <c r="B645" s="1">
        <v>634</v>
      </c>
      <c r="C645" s="1">
        <v>1.0011135041330734</v>
      </c>
      <c r="D645" s="1">
        <v>1.2840015718558437</v>
      </c>
      <c r="E645" s="1">
        <v>0.77745793384830175</v>
      </c>
      <c r="G645" s="1">
        <v>1.0012333188828562</v>
      </c>
      <c r="H645" s="1">
        <v>7.836027471287883</v>
      </c>
      <c r="I645" s="1">
        <v>9.3822017462453638E-2</v>
      </c>
      <c r="K645" s="1">
        <v>1.0007484738489951</v>
      </c>
      <c r="L645" s="1">
        <v>3.5597860160336063</v>
      </c>
      <c r="M645" s="1">
        <v>0.24615748421172517</v>
      </c>
      <c r="O645" s="1">
        <v>2.4979715024632219E-2</v>
      </c>
      <c r="P645" s="1">
        <v>0.26719899181664353</v>
      </c>
      <c r="R645" s="1">
        <v>4.5285370014062465E-2</v>
      </c>
      <c r="S645" s="2">
        <f t="shared" si="120"/>
        <v>1.2768380686987932</v>
      </c>
      <c r="T645" s="4">
        <f t="shared" si="121"/>
        <v>1.6303154536784643</v>
      </c>
      <c r="U645" s="1">
        <f t="shared" si="125"/>
        <v>1.3226193544836202</v>
      </c>
      <c r="V645" s="6">
        <f>2*sigma/alpha*corel*(B645/12-1/alpha*(1-EXP(-alpha*Output!B645/12)))</f>
        <v>3.8206896180010674</v>
      </c>
      <c r="W645" s="5">
        <f t="shared" si="122"/>
        <v>-0.30769609919484409</v>
      </c>
      <c r="X645" s="1">
        <f t="shared" si="123"/>
        <v>79.624111453611519</v>
      </c>
      <c r="Y645" s="3">
        <f t="shared" si="124"/>
        <v>4.8289066964350598E-2</v>
      </c>
      <c r="Z645" s="1">
        <f t="shared" si="114"/>
        <v>0.17566361532160657</v>
      </c>
      <c r="AA645" s="8">
        <f t="shared" si="119"/>
        <v>52.750000000000405</v>
      </c>
      <c r="AB645" s="1">
        <v>52.83</v>
      </c>
      <c r="AC645" s="1">
        <v>2.5254700000000001E-2</v>
      </c>
      <c r="AD645" s="8">
        <f t="shared" si="115"/>
        <v>2.7498497536778204</v>
      </c>
      <c r="AE645" s="3">
        <f t="shared" si="116"/>
        <v>1.0888467309759451E-2</v>
      </c>
      <c r="AF645" s="11">
        <f t="shared" si="117"/>
        <v>52.750000000000405</v>
      </c>
      <c r="AG645" s="1">
        <f t="shared" si="118"/>
        <v>0.17566361532160657</v>
      </c>
    </row>
    <row r="646" spans="2:33" ht="15">
      <c r="B646" s="1">
        <v>635</v>
      </c>
      <c r="C646" s="1">
        <v>1.0011182651268724</v>
      </c>
      <c r="D646" s="1">
        <v>1.2833209768477973</v>
      </c>
      <c r="E646" s="1">
        <v>0.77786756330127882</v>
      </c>
      <c r="G646" s="1">
        <v>1.0015076650963906</v>
      </c>
      <c r="H646" s="1">
        <v>7.7936611298943674</v>
      </c>
      <c r="I646" s="1">
        <v>9.4286307783166462E-2</v>
      </c>
      <c r="K646" s="1">
        <v>1.0008704671490194</v>
      </c>
      <c r="L646" s="1">
        <v>3.6156225523537429</v>
      </c>
      <c r="M646" s="1">
        <v>0.24230555608443202</v>
      </c>
      <c r="O646" s="1">
        <v>2.4977231441791738E-2</v>
      </c>
      <c r="P646" s="1">
        <v>0.2666784027971395</v>
      </c>
      <c r="R646" s="1">
        <v>4.534928934002895E-2</v>
      </c>
      <c r="S646" s="2">
        <f t="shared" si="120"/>
        <v>1.2793185031026042</v>
      </c>
      <c r="T646" s="4">
        <f t="shared" si="121"/>
        <v>1.6366558323806879</v>
      </c>
      <c r="U646" s="1">
        <f t="shared" si="125"/>
        <v>1.3269334203978216</v>
      </c>
      <c r="V646" s="6">
        <f>2*sigma/alpha*corel*(B646/12-1/alpha*(1-EXP(-alpha*Output!B646/12)))</f>
        <v>3.8301699328986838</v>
      </c>
      <c r="W646" s="5">
        <f t="shared" si="122"/>
        <v>-0.30972241198286632</v>
      </c>
      <c r="X646" s="1">
        <f t="shared" si="123"/>
        <v>80.228112251254473</v>
      </c>
      <c r="Y646" s="3">
        <f t="shared" si="124"/>
        <v>4.8442627675934539E-2</v>
      </c>
      <c r="Z646" s="1">
        <f t="shared" si="114"/>
        <v>0.17586622505715963</v>
      </c>
      <c r="AA646" s="8">
        <f t="shared" si="119"/>
        <v>52.833333333333741</v>
      </c>
      <c r="AB646" s="1">
        <v>52.92</v>
      </c>
      <c r="AC646" s="1">
        <v>2.5252400000000001E-2</v>
      </c>
      <c r="AD646" s="8">
        <f t="shared" si="115"/>
        <v>2.7516855820826356</v>
      </c>
      <c r="AE646" s="3">
        <f t="shared" si="116"/>
        <v>1.0896728952822843E-2</v>
      </c>
      <c r="AF646" s="11">
        <f t="shared" si="117"/>
        <v>52.833333333333741</v>
      </c>
      <c r="AG646" s="1">
        <f t="shared" si="118"/>
        <v>0.17586622505715963</v>
      </c>
    </row>
    <row r="647" spans="2:33" ht="15">
      <c r="B647" s="1">
        <v>636</v>
      </c>
      <c r="C647" s="1">
        <v>1.0011174446348916</v>
      </c>
      <c r="D647" s="1">
        <v>1.2790310752596374</v>
      </c>
      <c r="E647" s="1">
        <v>0.78047384982950396</v>
      </c>
      <c r="G647" s="1">
        <v>1.0013257099556638</v>
      </c>
      <c r="H647" s="1">
        <v>7.5600449311299309</v>
      </c>
      <c r="I647" s="1">
        <v>9.7152772699877529E-2</v>
      </c>
      <c r="K647" s="1">
        <v>1.0007267592901985</v>
      </c>
      <c r="L647" s="1">
        <v>3.6402089595238203</v>
      </c>
      <c r="M647" s="1">
        <v>0.24061886108371977</v>
      </c>
      <c r="O647" s="1">
        <v>2.4974727941899501E-2</v>
      </c>
      <c r="P647" s="1">
        <v>0.26615921918119195</v>
      </c>
      <c r="R647" s="1">
        <v>4.5396989002774155E-2</v>
      </c>
      <c r="S647" s="2">
        <f t="shared" si="120"/>
        <v>1.2816355531140686</v>
      </c>
      <c r="T647" s="4">
        <f t="shared" si="121"/>
        <v>1.6425896910060047</v>
      </c>
      <c r="U647" s="1">
        <f t="shared" si="125"/>
        <v>1.3312526175775425</v>
      </c>
      <c r="V647" s="6">
        <f>2*sigma/alpha*corel*(B647/12-1/alpha*(1-EXP(-alpha*Output!B647/12)))</f>
        <v>3.839655884191898</v>
      </c>
      <c r="W647" s="5">
        <f t="shared" si="122"/>
        <v>-0.31133707342846217</v>
      </c>
      <c r="X647" s="1">
        <f t="shared" si="123"/>
        <v>80.746416875843451</v>
      </c>
      <c r="Y647" s="3">
        <f t="shared" si="124"/>
        <v>4.8549482273970573E-2</v>
      </c>
      <c r="Z647" s="1">
        <f t="shared" si="114"/>
        <v>0.17604618235243846</v>
      </c>
      <c r="AA647" s="8">
        <f t="shared" si="119"/>
        <v>52.916666666667076</v>
      </c>
      <c r="AB647" s="1">
        <v>53</v>
      </c>
      <c r="AC647" s="1">
        <v>2.5250100000000001E-2</v>
      </c>
      <c r="AD647" s="8">
        <f t="shared" si="115"/>
        <v>2.7537205810049952</v>
      </c>
      <c r="AE647" s="3">
        <f t="shared" si="116"/>
        <v>1.0905780891976646E-2</v>
      </c>
      <c r="AF647" s="11">
        <f t="shared" si="117"/>
        <v>52.916666666667076</v>
      </c>
      <c r="AG647" s="1">
        <f t="shared" si="118"/>
        <v>0.17604618235243846</v>
      </c>
    </row>
    <row r="648" spans="2:33" ht="15">
      <c r="B648" s="1">
        <v>637</v>
      </c>
      <c r="C648" s="1">
        <v>1.0011216839528121</v>
      </c>
      <c r="D648" s="1">
        <v>1.2808418368444958</v>
      </c>
      <c r="E648" s="1">
        <v>0.77936777198361529</v>
      </c>
      <c r="G648" s="1">
        <v>1.0015430020075611</v>
      </c>
      <c r="H648" s="1">
        <v>7.6524527852606079</v>
      </c>
      <c r="I648" s="1">
        <v>9.5933070318229244E-2</v>
      </c>
      <c r="K648" s="1">
        <v>1.0007949496303803</v>
      </c>
      <c r="L648" s="1">
        <v>3.6056812550273381</v>
      </c>
      <c r="M648" s="1">
        <v>0.24287240375131472</v>
      </c>
      <c r="O648" s="1">
        <v>2.4972285749231916E-2</v>
      </c>
      <c r="P648" s="1">
        <v>0.26564029267909811</v>
      </c>
      <c r="R648" s="1">
        <v>4.5380307931975207E-2</v>
      </c>
      <c r="S648" s="2">
        <f t="shared" si="120"/>
        <v>1.2833020484761384</v>
      </c>
      <c r="T648" s="4">
        <f t="shared" si="121"/>
        <v>1.646864147623053</v>
      </c>
      <c r="U648" s="1">
        <f t="shared" si="125"/>
        <v>1.3355769352557521</v>
      </c>
      <c r="V648" s="6">
        <f>2*sigma/alpha*corel*(B648/12-1/alpha*(1-EXP(-alpha*Output!B648/12)))</f>
        <v>3.8491474567172106</v>
      </c>
      <c r="W648" s="5">
        <f t="shared" si="122"/>
        <v>-0.31128721236730095</v>
      </c>
      <c r="X648" s="1">
        <f t="shared" si="123"/>
        <v>80.912587569542808</v>
      </c>
      <c r="Y648" s="3">
        <f t="shared" si="124"/>
        <v>4.8470910388682814E-2</v>
      </c>
      <c r="Z648" s="1">
        <f t="shared" si="114"/>
        <v>0.17613667525437468</v>
      </c>
      <c r="AA648" s="8">
        <f t="shared" si="119"/>
        <v>53.000000000000412</v>
      </c>
      <c r="AB648" s="1">
        <v>53.08</v>
      </c>
      <c r="AC648" s="1">
        <v>2.52479E-2</v>
      </c>
      <c r="AD648" s="8">
        <f t="shared" si="115"/>
        <v>2.7561425076808379</v>
      </c>
      <c r="AE648" s="3">
        <f t="shared" si="116"/>
        <v>1.0916323764276783E-2</v>
      </c>
      <c r="AF648" s="11">
        <f t="shared" si="117"/>
        <v>53.000000000000412</v>
      </c>
      <c r="AG648" s="1">
        <f t="shared" si="118"/>
        <v>0.17613667525437468</v>
      </c>
    </row>
    <row r="649" spans="2:33" ht="15">
      <c r="B649" s="1">
        <v>638</v>
      </c>
      <c r="C649" s="1">
        <v>1.0011250867977186</v>
      </c>
      <c r="D649" s="1">
        <v>1.2798390031620563</v>
      </c>
      <c r="E649" s="1">
        <v>0.77997574860807228</v>
      </c>
      <c r="G649" s="1">
        <v>1.0017407360461599</v>
      </c>
      <c r="H649" s="1">
        <v>7.5903429042917478</v>
      </c>
      <c r="I649" s="1">
        <v>9.6671182575726128E-2</v>
      </c>
      <c r="K649" s="1">
        <v>1.0007885015841951</v>
      </c>
      <c r="L649" s="1">
        <v>3.6148544229791799</v>
      </c>
      <c r="M649" s="1">
        <v>0.24220561831030835</v>
      </c>
      <c r="O649" s="1">
        <v>2.4969771688373724E-2</v>
      </c>
      <c r="P649" s="1">
        <v>0.26512349886616943</v>
      </c>
      <c r="R649" s="1">
        <v>4.54073842133495E-2</v>
      </c>
      <c r="S649" s="2">
        <f t="shared" si="120"/>
        <v>1.2854115430832624</v>
      </c>
      <c r="T649" s="4">
        <f t="shared" si="121"/>
        <v>1.6522828350916938</v>
      </c>
      <c r="U649" s="1">
        <f t="shared" si="125"/>
        <v>1.3399063626780625</v>
      </c>
      <c r="V649" s="6">
        <f>2*sigma/alpha*corel*(B649/12-1/alpha*(1-EXP(-alpha*Output!B649/12)))</f>
        <v>3.8586446353519142</v>
      </c>
      <c r="W649" s="5">
        <f t="shared" si="122"/>
        <v>-0.31237647241363131</v>
      </c>
      <c r="X649" s="1">
        <f t="shared" si="123"/>
        <v>81.321201555229038</v>
      </c>
      <c r="Y649" s="3">
        <f t="shared" si="124"/>
        <v>4.8518955235844818E-2</v>
      </c>
      <c r="Z649" s="1">
        <f t="shared" si="114"/>
        <v>0.17628788981597271</v>
      </c>
      <c r="AA649" s="8">
        <f t="shared" si="119"/>
        <v>53.083333333333748</v>
      </c>
      <c r="AB649" s="1">
        <v>53.17</v>
      </c>
      <c r="AC649" s="1">
        <v>2.5245699999999999E-2</v>
      </c>
      <c r="AD649" s="8">
        <f t="shared" si="115"/>
        <v>2.7592831162627505</v>
      </c>
      <c r="AE649" s="3">
        <f t="shared" si="116"/>
        <v>1.0929715223831189E-2</v>
      </c>
      <c r="AF649" s="11">
        <f t="shared" si="117"/>
        <v>53.083333333333748</v>
      </c>
      <c r="AG649" s="1">
        <f t="shared" si="118"/>
        <v>0.17628788981597271</v>
      </c>
    </row>
    <row r="650" spans="2:33" ht="15">
      <c r="B650" s="1">
        <v>639</v>
      </c>
      <c r="C650" s="1">
        <v>1.0011305455772364</v>
      </c>
      <c r="D650" s="1">
        <v>1.2765533141277228</v>
      </c>
      <c r="E650" s="1">
        <v>0.78198059148792087</v>
      </c>
      <c r="G650" s="1">
        <v>1.0020596206693408</v>
      </c>
      <c r="H650" s="1">
        <v>7.4097082454334542</v>
      </c>
      <c r="I650" s="1">
        <v>9.8979838803142914E-2</v>
      </c>
      <c r="K650" s="1">
        <v>1.0006664291120992</v>
      </c>
      <c r="L650" s="1">
        <v>3.6710723698260357</v>
      </c>
      <c r="M650" s="1">
        <v>0.23844685629781254</v>
      </c>
      <c r="O650" s="1">
        <v>2.4967265823353922E-2</v>
      </c>
      <c r="P650" s="1">
        <v>0.26460770584835874</v>
      </c>
      <c r="R650" s="1">
        <v>4.5434373570406618E-2</v>
      </c>
      <c r="S650" s="2">
        <f t="shared" si="120"/>
        <v>1.2875220932831593</v>
      </c>
      <c r="T650" s="4">
        <f t="shared" si="121"/>
        <v>1.6577131406922483</v>
      </c>
      <c r="U650" s="1">
        <f t="shared" si="125"/>
        <v>1.3442408891027879</v>
      </c>
      <c r="V650" s="6">
        <f>2*sigma/alpha*corel*(B650/12-1/alpha*(1-EXP(-alpha*Output!B650/12)))</f>
        <v>3.8681474050139912</v>
      </c>
      <c r="W650" s="5">
        <f t="shared" si="122"/>
        <v>-0.31347225158946035</v>
      </c>
      <c r="X650" s="1">
        <f t="shared" si="123"/>
        <v>81.73215393547153</v>
      </c>
      <c r="Y650" s="3">
        <f t="shared" si="124"/>
        <v>4.8567477103376541E-2</v>
      </c>
      <c r="Z650" s="1">
        <f t="shared" si="114"/>
        <v>0.17643912039422616</v>
      </c>
      <c r="AA650" s="8">
        <f t="shared" si="119"/>
        <v>53.166666666667084</v>
      </c>
      <c r="AB650" s="1">
        <v>53.25</v>
      </c>
      <c r="AC650" s="1">
        <v>2.5243499999999999E-2</v>
      </c>
      <c r="AD650" s="8">
        <f t="shared" si="115"/>
        <v>2.7623417664607643</v>
      </c>
      <c r="AE650" s="3">
        <f t="shared" si="116"/>
        <v>1.0942784346309999E-2</v>
      </c>
      <c r="AF650" s="11">
        <f t="shared" si="117"/>
        <v>53.166666666667084</v>
      </c>
      <c r="AG650" s="1">
        <f t="shared" si="118"/>
        <v>0.17643912039422616</v>
      </c>
    </row>
    <row r="651" spans="2:33" ht="15">
      <c r="B651" s="1">
        <v>640</v>
      </c>
      <c r="C651" s="1">
        <v>1.0011315475158098</v>
      </c>
      <c r="D651" s="1">
        <v>1.2777854844924963</v>
      </c>
      <c r="E651" s="1">
        <v>0.78122380696684846</v>
      </c>
      <c r="G651" s="1">
        <v>1.0020997484115286</v>
      </c>
      <c r="H651" s="1">
        <v>7.4706018279795776</v>
      </c>
      <c r="I651" s="1">
        <v>9.8125454430400619E-2</v>
      </c>
      <c r="K651" s="1">
        <v>1.0006672999699235</v>
      </c>
      <c r="L651" s="1">
        <v>3.6078654785355631</v>
      </c>
      <c r="M651" s="1">
        <v>0.24257371134274902</v>
      </c>
      <c r="O651" s="1">
        <v>2.4964747354725814E-2</v>
      </c>
      <c r="P651" s="1">
        <v>0.26409320411491077</v>
      </c>
      <c r="R651" s="1">
        <v>4.5487277149796612E-2</v>
      </c>
      <c r="S651" s="2">
        <f t="shared" si="120"/>
        <v>1.2898986797497998</v>
      </c>
      <c r="T651" s="4">
        <f t="shared" si="121"/>
        <v>1.6638386040202766</v>
      </c>
      <c r="U651" s="1">
        <f t="shared" si="125"/>
        <v>1.3485805038009895</v>
      </c>
      <c r="V651" s="6">
        <f>2*sigma/alpha*corel*(B651/12-1/alpha*(1-EXP(-alpha*Output!B651/12)))</f>
        <v>3.8776557506619933</v>
      </c>
      <c r="W651" s="5">
        <f t="shared" si="122"/>
        <v>-0.31525810021928713</v>
      </c>
      <c r="X651" s="1">
        <f t="shared" si="123"/>
        <v>82.291275500756612</v>
      </c>
      <c r="Y651" s="3">
        <f t="shared" si="124"/>
        <v>4.8691857464501997E-2</v>
      </c>
      <c r="Z651" s="1">
        <f t="shared" si="114"/>
        <v>0.17662665094877439</v>
      </c>
      <c r="AA651" s="8">
        <f t="shared" si="119"/>
        <v>53.250000000000419</v>
      </c>
      <c r="AB651" s="1">
        <v>53.33</v>
      </c>
      <c r="AC651" s="1">
        <v>2.5241300000000001E-2</v>
      </c>
      <c r="AD651" s="8">
        <f t="shared" si="115"/>
        <v>2.7655264527418759</v>
      </c>
      <c r="AE651" s="3">
        <f t="shared" si="116"/>
        <v>1.0956355071814351E-2</v>
      </c>
      <c r="AF651" s="11">
        <f t="shared" si="117"/>
        <v>53.250000000000419</v>
      </c>
      <c r="AG651" s="1">
        <f t="shared" si="118"/>
        <v>0.17662665094877439</v>
      </c>
    </row>
    <row r="652" spans="2:33" ht="15">
      <c r="B652" s="1">
        <v>641</v>
      </c>
      <c r="C652" s="1">
        <v>1.0011344009622667</v>
      </c>
      <c r="D652" s="1">
        <v>1.2774815678586202</v>
      </c>
      <c r="E652" s="1">
        <v>0.78140693873223976</v>
      </c>
      <c r="G652" s="1">
        <v>1.0021869722666663</v>
      </c>
      <c r="H652" s="1">
        <v>7.4546080858195305</v>
      </c>
      <c r="I652" s="1">
        <v>9.8288311324032693E-2</v>
      </c>
      <c r="K652" s="1">
        <v>1.000646503054138</v>
      </c>
      <c r="L652" s="1">
        <v>3.6717959704108369</v>
      </c>
      <c r="M652" s="1">
        <v>0.23830055305251163</v>
      </c>
      <c r="O652" s="1">
        <v>2.4962216149942533E-2</v>
      </c>
      <c r="P652" s="1">
        <v>0.26357999273142052</v>
      </c>
      <c r="R652" s="1">
        <v>4.5519160812826649E-2</v>
      </c>
      <c r="S652" s="2">
        <f t="shared" si="120"/>
        <v>1.292061559694379</v>
      </c>
      <c r="T652" s="4">
        <f t="shared" si="121"/>
        <v>1.6694230740398712</v>
      </c>
      <c r="U652" s="1">
        <f t="shared" si="125"/>
        <v>1.3529251960565361</v>
      </c>
      <c r="V652" s="6">
        <f>2*sigma/alpha*corel*(B652/12-1/alpha*(1-EXP(-alpha*Output!B652/12)))</f>
        <v>3.8871696572949404</v>
      </c>
      <c r="W652" s="5">
        <f t="shared" si="122"/>
        <v>-0.31649787798333517</v>
      </c>
      <c r="X652" s="1">
        <f t="shared" si="123"/>
        <v>82.735134540367085</v>
      </c>
      <c r="Y652" s="3">
        <f t="shared" si="124"/>
        <v>4.8755531286540192E-2</v>
      </c>
      <c r="Z652" s="1">
        <f t="shared" si="114"/>
        <v>0.17678475629993892</v>
      </c>
      <c r="AA652" s="8">
        <f t="shared" si="119"/>
        <v>53.333333333333755</v>
      </c>
      <c r="AB652" s="1">
        <v>53.42</v>
      </c>
      <c r="AC652" s="1">
        <v>2.52392E-2</v>
      </c>
      <c r="AD652" s="8">
        <f t="shared" si="115"/>
        <v>2.7698385005746688</v>
      </c>
      <c r="AE652" s="3">
        <f t="shared" si="116"/>
        <v>1.0974351408026677E-2</v>
      </c>
      <c r="AF652" s="11">
        <f t="shared" si="117"/>
        <v>53.333333333333755</v>
      </c>
      <c r="AG652" s="1">
        <f t="shared" si="118"/>
        <v>0.17678475629993892</v>
      </c>
    </row>
    <row r="653" spans="2:33" ht="15">
      <c r="B653" s="1">
        <v>642</v>
      </c>
      <c r="C653" s="1">
        <v>1.001137536487376</v>
      </c>
      <c r="D653" s="1">
        <v>1.2820456933299378</v>
      </c>
      <c r="E653" s="1">
        <v>0.77862238545913776</v>
      </c>
      <c r="G653" s="1">
        <v>1.0023091178973547</v>
      </c>
      <c r="H653" s="1">
        <v>7.6967700131950814</v>
      </c>
      <c r="I653" s="1">
        <v>9.5149737972659354E-2</v>
      </c>
      <c r="K653" s="1">
        <v>1.0007983388046082</v>
      </c>
      <c r="L653" s="1">
        <v>3.7563694502425409</v>
      </c>
      <c r="M653" s="1">
        <v>0.23288676758659982</v>
      </c>
      <c r="O653" s="1">
        <v>2.4959804896688573E-2</v>
      </c>
      <c r="P653" s="1">
        <v>0.26306620144129328</v>
      </c>
      <c r="R653" s="1">
        <v>4.5517198715507821E-2</v>
      </c>
      <c r="S653" s="2">
        <f t="shared" si="120"/>
        <v>1.2938848988299914</v>
      </c>
      <c r="T653" s="4">
        <f t="shared" si="121"/>
        <v>1.674138131420297</v>
      </c>
      <c r="U653" s="1">
        <f t="shared" si="125"/>
        <v>1.3572749551661505</v>
      </c>
      <c r="V653" s="6">
        <f>2*sigma/alpha*corel*(B653/12-1/alpha*(1-EXP(-alpha*Output!B653/12)))</f>
        <v>3.8966891099522103</v>
      </c>
      <c r="W653" s="5">
        <f t="shared" si="122"/>
        <v>-0.31686317625414651</v>
      </c>
      <c r="X653" s="1">
        <f t="shared" si="123"/>
        <v>82.992905738007494</v>
      </c>
      <c r="Y653" s="3">
        <f t="shared" si="124"/>
        <v>4.8722944978160279E-2</v>
      </c>
      <c r="Z653" s="1">
        <f t="shared" ref="Z653:Z716" si="126">S653/SQRT(B653/12)</f>
        <v>0.17689630160598246</v>
      </c>
      <c r="AA653" s="8">
        <f t="shared" si="119"/>
        <v>53.416666666667091</v>
      </c>
      <c r="AB653" s="1">
        <v>53.5</v>
      </c>
      <c r="AC653" s="1">
        <v>2.5236999999999999E-2</v>
      </c>
      <c r="AD653" s="8">
        <f t="shared" ref="AD653:AD716" si="127">(AC653-O653)*10000</f>
        <v>2.7719510331142629</v>
      </c>
      <c r="AE653" s="3">
        <f t="shared" ref="AE653:AE716" si="128">AD653/AC653/10000</f>
        <v>1.09836788568937E-2</v>
      </c>
      <c r="AF653" s="11">
        <f t="shared" ref="AF653:AF716" si="129">AA653</f>
        <v>53.416666666667091</v>
      </c>
      <c r="AG653" s="1">
        <f t="shared" ref="AG653:AG716" si="130">Z653</f>
        <v>0.17689630160598246</v>
      </c>
    </row>
    <row r="654" spans="2:33" ht="15">
      <c r="B654" s="1">
        <v>643</v>
      </c>
      <c r="C654" s="1">
        <v>1.0011429854495904</v>
      </c>
      <c r="D654" s="1">
        <v>1.281844628854184</v>
      </c>
      <c r="E654" s="1">
        <v>0.77874179408016009</v>
      </c>
      <c r="G654" s="1">
        <v>1.0026656264641582</v>
      </c>
      <c r="H654" s="1">
        <v>7.6856202656716475</v>
      </c>
      <c r="I654" s="1">
        <v>9.5241581491120525E-2</v>
      </c>
      <c r="K654" s="1">
        <v>1.0007545466215109</v>
      </c>
      <c r="L654" s="1">
        <v>3.7737833322721546</v>
      </c>
      <c r="M654" s="1">
        <v>0.2317638374556853</v>
      </c>
      <c r="O654" s="1">
        <v>2.4957390392853326E-2</v>
      </c>
      <c r="P654" s="1">
        <v>0.26255356291901033</v>
      </c>
      <c r="R654" s="1">
        <v>4.5590386960819129E-2</v>
      </c>
      <c r="S654" s="2">
        <f t="shared" si="120"/>
        <v>1.2964810153592052</v>
      </c>
      <c r="T654" s="4">
        <f t="shared" si="121"/>
        <v>1.6808630231868358</v>
      </c>
      <c r="U654" s="1">
        <f t="shared" si="125"/>
        <v>1.3616297704394629</v>
      </c>
      <c r="V654" s="6">
        <f>2*sigma/alpha*corel*(B654/12-1/alpha*(1-EXP(-alpha*Output!B654/12)))</f>
        <v>3.9062140937134275</v>
      </c>
      <c r="W654" s="5">
        <f t="shared" si="122"/>
        <v>-0.31923325274737291</v>
      </c>
      <c r="X654" s="1">
        <f t="shared" si="123"/>
        <v>83.680835718112334</v>
      </c>
      <c r="Y654" s="3">
        <f t="shared" si="124"/>
        <v>4.8909880742593045E-2</v>
      </c>
      <c r="Z654" s="1">
        <f t="shared" si="126"/>
        <v>0.17711335027719005</v>
      </c>
      <c r="AA654" s="8">
        <f t="shared" ref="AA654:AA717" si="131">AA653+1/12</f>
        <v>53.500000000000426</v>
      </c>
      <c r="AB654" s="1">
        <v>53.58</v>
      </c>
      <c r="AC654" s="1">
        <v>2.5234900000000001E-2</v>
      </c>
      <c r="AD654" s="8">
        <f t="shared" si="127"/>
        <v>2.7750960714667539</v>
      </c>
      <c r="AE654" s="3">
        <f t="shared" si="128"/>
        <v>1.0997055948177934E-2</v>
      </c>
      <c r="AF654" s="11">
        <f t="shared" si="129"/>
        <v>53.500000000000426</v>
      </c>
      <c r="AG654" s="1">
        <f t="shared" si="130"/>
        <v>0.17711335027719005</v>
      </c>
    </row>
    <row r="655" spans="2:33" ht="15">
      <c r="B655" s="1">
        <v>644</v>
      </c>
      <c r="C655" s="1">
        <v>1.0011478738451867</v>
      </c>
      <c r="D655" s="1">
        <v>1.2828422103348536</v>
      </c>
      <c r="E655" s="1">
        <v>0.77813349358362283</v>
      </c>
      <c r="G655" s="1">
        <v>1.0029598424675519</v>
      </c>
      <c r="H655" s="1">
        <v>7.7329412668850539</v>
      </c>
      <c r="I655" s="1">
        <v>9.4612871257665196E-2</v>
      </c>
      <c r="K655" s="1">
        <v>1.0006918797564421</v>
      </c>
      <c r="L655" s="1">
        <v>3.8435528988330216</v>
      </c>
      <c r="M655" s="1">
        <v>0.22750937344247635</v>
      </c>
      <c r="O655" s="1">
        <v>2.4954820676272679E-2</v>
      </c>
      <c r="P655" s="1">
        <v>0.26204421158225638</v>
      </c>
      <c r="R655" s="1">
        <v>4.5577241719736414E-2</v>
      </c>
      <c r="S655" s="2">
        <f t="shared" si="120"/>
        <v>1.2981837717241136</v>
      </c>
      <c r="T655" s="4">
        <f t="shared" si="121"/>
        <v>1.6852811051678454</v>
      </c>
      <c r="U655" s="1">
        <f t="shared" si="125"/>
        <v>1.3659896311990616</v>
      </c>
      <c r="V655" s="6">
        <f>2*sigma/alpha*corel*(B655/12-1/alpha*(1-EXP(-alpha*Output!B655/12)))</f>
        <v>3.9157445936983555</v>
      </c>
      <c r="W655" s="5">
        <f t="shared" si="122"/>
        <v>-0.31929147396878377</v>
      </c>
      <c r="X655" s="1">
        <f t="shared" si="123"/>
        <v>83.87429213504349</v>
      </c>
      <c r="Y655" s="3">
        <f t="shared" si="124"/>
        <v>4.8843599089404201E-2</v>
      </c>
      <c r="Z655" s="1">
        <f t="shared" si="126"/>
        <v>0.17720822078121637</v>
      </c>
      <c r="AA655" s="8">
        <f t="shared" si="131"/>
        <v>53.583333333333762</v>
      </c>
      <c r="AB655" s="1">
        <v>53.67</v>
      </c>
      <c r="AC655" s="1">
        <v>2.52328E-2</v>
      </c>
      <c r="AD655" s="8">
        <f t="shared" si="127"/>
        <v>2.7797932372732035</v>
      </c>
      <c r="AE655" s="3">
        <f t="shared" si="128"/>
        <v>1.1016586495645365E-2</v>
      </c>
      <c r="AF655" s="11">
        <f t="shared" si="129"/>
        <v>53.583333333333762</v>
      </c>
      <c r="AG655" s="1">
        <f t="shared" si="130"/>
        <v>0.17720822078121637</v>
      </c>
    </row>
    <row r="656" spans="2:33" ht="15">
      <c r="B656" s="1">
        <v>645</v>
      </c>
      <c r="C656" s="1">
        <v>1.0011474039050301</v>
      </c>
      <c r="D656" s="1">
        <v>1.2851055595747378</v>
      </c>
      <c r="E656" s="1">
        <v>0.77676030786941741</v>
      </c>
      <c r="G656" s="1">
        <v>1.0028336370494295</v>
      </c>
      <c r="H656" s="1">
        <v>7.8549814548719601</v>
      </c>
      <c r="I656" s="1">
        <v>9.3097749098232471E-2</v>
      </c>
      <c r="K656" s="1">
        <v>1.0007687237839031</v>
      </c>
      <c r="L656" s="1">
        <v>3.8383290573769084</v>
      </c>
      <c r="M656" s="1">
        <v>0.22777154897416779</v>
      </c>
      <c r="O656" s="1">
        <v>2.4952276859358812E-2</v>
      </c>
      <c r="P656" s="1">
        <v>0.26153559630848006</v>
      </c>
      <c r="R656" s="1">
        <v>4.5557568889387716E-2</v>
      </c>
      <c r="S656" s="2">
        <f t="shared" si="120"/>
        <v>1.2998207991607116</v>
      </c>
      <c r="T656" s="4">
        <f t="shared" si="121"/>
        <v>1.689534109930791</v>
      </c>
      <c r="U656" s="1">
        <f t="shared" si="125"/>
        <v>1.370354526780541</v>
      </c>
      <c r="V656" s="6">
        <f>2*sigma/alpha*corel*(B656/12-1/alpha*(1-EXP(-alpha*Output!B656/12)))</f>
        <v>3.9252805950667939</v>
      </c>
      <c r="W656" s="5">
        <f t="shared" si="122"/>
        <v>-0.31917958315024997</v>
      </c>
      <c r="X656" s="1">
        <f t="shared" si="123"/>
        <v>84.03143812731166</v>
      </c>
      <c r="Y656" s="3">
        <f t="shared" si="124"/>
        <v>4.8758936975392873E-2</v>
      </c>
      <c r="Z656" s="1">
        <f t="shared" si="126"/>
        <v>0.17729408547071851</v>
      </c>
      <c r="AA656" s="8">
        <f t="shared" si="131"/>
        <v>53.666666666667098</v>
      </c>
      <c r="AB656" s="1">
        <v>53.75</v>
      </c>
      <c r="AC656" s="1">
        <v>2.5230800000000001E-2</v>
      </c>
      <c r="AD656" s="8">
        <f t="shared" si="127"/>
        <v>2.7852314064118895</v>
      </c>
      <c r="AE656" s="3">
        <f t="shared" si="128"/>
        <v>1.1039013453445349E-2</v>
      </c>
      <c r="AF656" s="11">
        <f t="shared" si="129"/>
        <v>53.666666666667098</v>
      </c>
      <c r="AG656" s="1">
        <f t="shared" si="130"/>
        <v>0.17729408547071851</v>
      </c>
    </row>
    <row r="657" spans="2:33" ht="15">
      <c r="B657" s="1">
        <v>646</v>
      </c>
      <c r="C657" s="1">
        <v>1.0011510294025088</v>
      </c>
      <c r="D657" s="1">
        <v>1.2890946100186256</v>
      </c>
      <c r="E657" s="1">
        <v>0.7743539349817149</v>
      </c>
      <c r="G657" s="1">
        <v>1.0030203525979122</v>
      </c>
      <c r="H657" s="1">
        <v>8.0695541842841418</v>
      </c>
      <c r="I657" s="1">
        <v>9.0578309594091772E-2</v>
      </c>
      <c r="K657" s="1">
        <v>1.0008292547026492</v>
      </c>
      <c r="L657" s="1">
        <v>3.8101497414446603</v>
      </c>
      <c r="M657" s="1">
        <v>0.2294083160285478</v>
      </c>
      <c r="O657" s="1">
        <v>2.4949755216063588E-2</v>
      </c>
      <c r="P657" s="1">
        <v>0.26102776731676586</v>
      </c>
      <c r="R657" s="1">
        <v>4.5624631582582682E-2</v>
      </c>
      <c r="S657" s="2">
        <f t="shared" si="120"/>
        <v>1.3023544993889324</v>
      </c>
      <c r="T657" s="4">
        <f t="shared" si="121"/>
        <v>1.6961272420785969</v>
      </c>
      <c r="U657" s="1">
        <f t="shared" si="125"/>
        <v>1.3747244465325561</v>
      </c>
      <c r="V657" s="6">
        <f>2*sigma/alpha*corel*(B657/12-1/alpha*(1-EXP(-alpha*Output!B657/12)))</f>
        <v>3.9348220830184628</v>
      </c>
      <c r="W657" s="5">
        <f t="shared" si="122"/>
        <v>-0.32140279554604079</v>
      </c>
      <c r="X657" s="1">
        <f t="shared" si="123"/>
        <v>84.691560132590539</v>
      </c>
      <c r="Y657" s="3">
        <f t="shared" si="124"/>
        <v>4.8928603759871396E-2</v>
      </c>
      <c r="Z657" s="1">
        <f t="shared" si="126"/>
        <v>0.17750213405137211</v>
      </c>
      <c r="AA657" s="8">
        <f t="shared" si="131"/>
        <v>53.750000000000433</v>
      </c>
      <c r="AB657" s="1">
        <v>53.83</v>
      </c>
      <c r="AC657" s="1">
        <v>2.52287E-2</v>
      </c>
      <c r="AD657" s="8">
        <f t="shared" si="127"/>
        <v>2.7894478393641204</v>
      </c>
      <c r="AE657" s="3">
        <f t="shared" si="128"/>
        <v>1.1056645167464517E-2</v>
      </c>
      <c r="AF657" s="11">
        <f t="shared" si="129"/>
        <v>53.750000000000433</v>
      </c>
      <c r="AG657" s="1">
        <f t="shared" si="130"/>
        <v>0.17750213405137211</v>
      </c>
    </row>
    <row r="658" spans="2:33" ht="15">
      <c r="B658" s="1">
        <v>647</v>
      </c>
      <c r="C658" s="1">
        <v>1.0011467997273276</v>
      </c>
      <c r="D658" s="1">
        <v>1.2933104096175918</v>
      </c>
      <c r="E658" s="1">
        <v>0.7718270614108832</v>
      </c>
      <c r="G658" s="1">
        <v>1.0026313286286455</v>
      </c>
      <c r="H658" s="1">
        <v>8.301754423372385</v>
      </c>
      <c r="I658" s="1">
        <v>8.8002149118785469E-2</v>
      </c>
      <c r="K658" s="1">
        <v>1.0007947533613013</v>
      </c>
      <c r="L658" s="1">
        <v>3.8294128653236594</v>
      </c>
      <c r="M658" s="1">
        <v>0.22820677352795762</v>
      </c>
      <c r="O658" s="1">
        <v>2.4947212458575348E-2</v>
      </c>
      <c r="P658" s="1">
        <v>0.26052133045621972</v>
      </c>
      <c r="R658" s="1">
        <v>4.5647223644888962E-2</v>
      </c>
      <c r="S658" s="2">
        <f t="shared" si="120"/>
        <v>1.3044301356479633</v>
      </c>
      <c r="T658" s="4">
        <f t="shared" si="121"/>
        <v>1.7015379787865639</v>
      </c>
      <c r="U658" s="1">
        <f t="shared" si="125"/>
        <v>1.3790993798168627</v>
      </c>
      <c r="V658" s="6">
        <f>2*sigma/alpha*corel*(B658/12-1/alpha*(1-EXP(-alpha*Output!B658/12)))</f>
        <v>3.944369042792899</v>
      </c>
      <c r="W658" s="5">
        <f t="shared" si="122"/>
        <v>-0.32243859896970117</v>
      </c>
      <c r="X658" s="1">
        <f t="shared" si="123"/>
        <v>85.097304990208528</v>
      </c>
      <c r="Y658" s="3">
        <f t="shared" si="124"/>
        <v>4.8968633778564349E-2</v>
      </c>
      <c r="Z658" s="1">
        <f t="shared" si="126"/>
        <v>0.1776475843135073</v>
      </c>
      <c r="AA658" s="8">
        <f t="shared" si="131"/>
        <v>53.833333333333769</v>
      </c>
      <c r="AB658" s="1">
        <v>53.92</v>
      </c>
      <c r="AC658" s="1">
        <v>2.5226599999999998E-2</v>
      </c>
      <c r="AD658" s="8">
        <f t="shared" si="127"/>
        <v>2.7938754142465063</v>
      </c>
      <c r="AE658" s="3">
        <f t="shared" si="128"/>
        <v>1.1075116798325998E-2</v>
      </c>
      <c r="AF658" s="11">
        <f t="shared" si="129"/>
        <v>53.833333333333769</v>
      </c>
      <c r="AG658" s="1">
        <f t="shared" si="130"/>
        <v>0.1776475843135073</v>
      </c>
    </row>
    <row r="659" spans="2:33" ht="15">
      <c r="B659" s="1">
        <v>648</v>
      </c>
      <c r="C659" s="1">
        <v>1.0011529533960957</v>
      </c>
      <c r="D659" s="1">
        <v>1.2951363324249525</v>
      </c>
      <c r="E659" s="1">
        <v>0.77073620119448683</v>
      </c>
      <c r="G659" s="1">
        <v>1.0030545726482401</v>
      </c>
      <c r="H659" s="1">
        <v>8.4017883573940644</v>
      </c>
      <c r="I659" s="1">
        <v>8.6912216979240745E-2</v>
      </c>
      <c r="K659" s="1">
        <v>1.0007405320099032</v>
      </c>
      <c r="L659" s="1">
        <v>3.7822149320409379</v>
      </c>
      <c r="M659" s="1">
        <v>0.23100641490178847</v>
      </c>
      <c r="O659" s="1">
        <v>2.4944670266458857E-2</v>
      </c>
      <c r="P659" s="1">
        <v>0.26001597842119661</v>
      </c>
      <c r="R659" s="1">
        <v>4.5722700483566012E-2</v>
      </c>
      <c r="S659" s="2">
        <f t="shared" si="120"/>
        <v>1.3070546825088616</v>
      </c>
      <c r="T659" s="4">
        <f t="shared" si="121"/>
        <v>1.708391943068341</v>
      </c>
      <c r="U659" s="1">
        <f t="shared" si="125"/>
        <v>1.3834793160083776</v>
      </c>
      <c r="V659" s="6">
        <f>2*sigma/alpha*corel*(B659/12-1/alpha*(1-EXP(-alpha*Output!B659/12)))</f>
        <v>3.9539214596693535</v>
      </c>
      <c r="W659" s="5">
        <f t="shared" si="122"/>
        <v>-0.32491262705996338</v>
      </c>
      <c r="X659" s="1">
        <f t="shared" si="123"/>
        <v>85.814622354185914</v>
      </c>
      <c r="Y659" s="3">
        <f t="shared" si="124"/>
        <v>4.916385880612581E-2</v>
      </c>
      <c r="Z659" s="1">
        <f t="shared" si="126"/>
        <v>0.17786761322567665</v>
      </c>
      <c r="AA659" s="8">
        <f t="shared" si="131"/>
        <v>53.916666666667105</v>
      </c>
      <c r="AB659" s="1">
        <v>54</v>
      </c>
      <c r="AC659" s="1">
        <v>2.52246E-2</v>
      </c>
      <c r="AD659" s="8">
        <f t="shared" si="127"/>
        <v>2.7992973354114268</v>
      </c>
      <c r="AE659" s="3">
        <f t="shared" si="128"/>
        <v>1.1097489496013522E-2</v>
      </c>
      <c r="AF659" s="11">
        <f t="shared" si="129"/>
        <v>53.916666666667105</v>
      </c>
      <c r="AG659" s="1">
        <f t="shared" si="130"/>
        <v>0.17786761322567665</v>
      </c>
    </row>
    <row r="660" spans="2:33" ht="15">
      <c r="B660" s="1">
        <v>649</v>
      </c>
      <c r="C660" s="1">
        <v>1.0011555030455745</v>
      </c>
      <c r="D660" s="1">
        <v>1.2875839331232328</v>
      </c>
      <c r="E660" s="1">
        <v>0.77525426462580571</v>
      </c>
      <c r="G660" s="1">
        <v>1.0031361109107735</v>
      </c>
      <c r="H660" s="1">
        <v>7.9694480129604033</v>
      </c>
      <c r="I660" s="1">
        <v>9.1582759769419056E-2</v>
      </c>
      <c r="K660" s="1">
        <v>1.0007427810979685</v>
      </c>
      <c r="L660" s="1">
        <v>3.7356029565356432</v>
      </c>
      <c r="M660" s="1">
        <v>0.23384013689689254</v>
      </c>
      <c r="O660" s="1">
        <v>2.4942001525844103E-2</v>
      </c>
      <c r="P660" s="1">
        <v>0.25951349275573959</v>
      </c>
      <c r="R660" s="1">
        <v>4.5714819994648041E-2</v>
      </c>
      <c r="S660" s="2">
        <f t="shared" si="120"/>
        <v>1.3088116158575158</v>
      </c>
      <c r="T660" s="4">
        <f t="shared" si="121"/>
        <v>1.7129878458035614</v>
      </c>
      <c r="U660" s="1">
        <f t="shared" si="125"/>
        <v>1.3878642444952136</v>
      </c>
      <c r="V660" s="6">
        <f>2*sigma/alpha*corel*(B660/12-1/alpha*(1-EXP(-alpha*Output!B660/12)))</f>
        <v>3.9634793189666753</v>
      </c>
      <c r="W660" s="5">
        <f t="shared" si="122"/>
        <v>-0.32512360130834783</v>
      </c>
      <c r="X660" s="1">
        <f t="shared" si="123"/>
        <v>86.044240728249122</v>
      </c>
      <c r="Y660" s="3">
        <f t="shared" si="124"/>
        <v>4.9114245023574518E-2</v>
      </c>
      <c r="Z660" s="1">
        <f t="shared" si="126"/>
        <v>0.17796943241647462</v>
      </c>
      <c r="AA660" s="8">
        <f t="shared" si="131"/>
        <v>54.000000000000441</v>
      </c>
      <c r="AB660" s="1">
        <v>54.08</v>
      </c>
      <c r="AC660" s="1">
        <v>2.5222499999999998E-2</v>
      </c>
      <c r="AD660" s="8">
        <f t="shared" si="127"/>
        <v>2.8049847415589566</v>
      </c>
      <c r="AE660" s="3">
        <f t="shared" si="128"/>
        <v>1.1120962400868101E-2</v>
      </c>
      <c r="AF660" s="11">
        <f t="shared" si="129"/>
        <v>54.000000000000441</v>
      </c>
      <c r="AG660" s="1">
        <f t="shared" si="130"/>
        <v>0.17796943241647462</v>
      </c>
    </row>
    <row r="661" spans="2:33" ht="15">
      <c r="B661" s="1">
        <v>650</v>
      </c>
      <c r="C661" s="1">
        <v>1.0011543799517293</v>
      </c>
      <c r="D661" s="1">
        <v>1.2881109565377857</v>
      </c>
      <c r="E661" s="1">
        <v>0.77493433610365015</v>
      </c>
      <c r="G661" s="1">
        <v>1.0029298747267628</v>
      </c>
      <c r="H661" s="1">
        <v>7.993940624762776</v>
      </c>
      <c r="I661" s="1">
        <v>9.1257895946440917E-2</v>
      </c>
      <c r="K661" s="1">
        <v>1.0007493583834464</v>
      </c>
      <c r="L661" s="1">
        <v>3.7689462104506339</v>
      </c>
      <c r="M661" s="1">
        <v>0.23172311058288594</v>
      </c>
      <c r="O661" s="1">
        <v>2.4939384486070786E-2</v>
      </c>
      <c r="P661" s="1">
        <v>0.25901136800649965</v>
      </c>
      <c r="R661" s="1">
        <v>4.5675988587687649E-2</v>
      </c>
      <c r="S661" s="2">
        <f t="shared" si="120"/>
        <v>1.3102501969709957</v>
      </c>
      <c r="T661" s="4">
        <f t="shared" si="121"/>
        <v>1.7167555786625328</v>
      </c>
      <c r="U661" s="1">
        <f t="shared" si="125"/>
        <v>1.3922541546787373</v>
      </c>
      <c r="V661" s="6">
        <f>2*sigma/alpha*corel*(B661/12-1/alpha*(1-EXP(-alpha*Output!B661/12)))</f>
        <v>3.9730426060432125</v>
      </c>
      <c r="W661" s="5">
        <f t="shared" si="122"/>
        <v>-0.32450142398379556</v>
      </c>
      <c r="X661" s="1">
        <f t="shared" si="123"/>
        <v>86.093709412590343</v>
      </c>
      <c r="Y661" s="3">
        <f t="shared" si="124"/>
        <v>4.897501833941232E-2</v>
      </c>
      <c r="Z661" s="1">
        <f t="shared" si="126"/>
        <v>0.17802794484164297</v>
      </c>
      <c r="AA661" s="8">
        <f t="shared" si="131"/>
        <v>54.083333333333776</v>
      </c>
      <c r="AB661" s="1">
        <v>54.17</v>
      </c>
      <c r="AC661" s="1">
        <v>2.52204E-2</v>
      </c>
      <c r="AD661" s="8">
        <f t="shared" si="127"/>
        <v>2.8101551392921422</v>
      </c>
      <c r="AE661" s="3">
        <f t="shared" si="128"/>
        <v>1.1142389253509627E-2</v>
      </c>
      <c r="AF661" s="11">
        <f t="shared" si="129"/>
        <v>54.083333333333776</v>
      </c>
      <c r="AG661" s="1">
        <f t="shared" si="130"/>
        <v>0.17802794484164297</v>
      </c>
    </row>
    <row r="662" spans="2:33" ht="15">
      <c r="B662" s="1">
        <v>651</v>
      </c>
      <c r="C662" s="1">
        <v>1.0011553767097974</v>
      </c>
      <c r="D662" s="1">
        <v>1.2885139241894523</v>
      </c>
      <c r="E662" s="1">
        <v>0.77468924328341982</v>
      </c>
      <c r="G662" s="1">
        <v>1.0029120569039123</v>
      </c>
      <c r="H662" s="1">
        <v>8.0146500040137294</v>
      </c>
      <c r="I662" s="1">
        <v>9.0977962614799859E-2</v>
      </c>
      <c r="K662" s="1">
        <v>1.0007173547230193</v>
      </c>
      <c r="L662" s="1">
        <v>3.763990404462016</v>
      </c>
      <c r="M662" s="1">
        <v>0.23197987138879311</v>
      </c>
      <c r="O662" s="1">
        <v>2.4936793994021191E-2</v>
      </c>
      <c r="P662" s="1">
        <v>0.25850995524848525</v>
      </c>
      <c r="R662" s="1">
        <v>4.5648875930542669E-2</v>
      </c>
      <c r="S662" s="2">
        <f t="shared" si="120"/>
        <v>1.3118114000056764</v>
      </c>
      <c r="T662" s="4">
        <f t="shared" si="121"/>
        <v>1.7208491491848528</v>
      </c>
      <c r="U662" s="1">
        <f t="shared" si="125"/>
        <v>1.396649035973607</v>
      </c>
      <c r="V662" s="6">
        <f>2*sigma/alpha*corel*(B662/12-1/alpha*(1-EXP(-alpha*Output!B662/12)))</f>
        <v>3.9826113062967039</v>
      </c>
      <c r="W662" s="5">
        <f t="shared" si="122"/>
        <v>-0.32420011321124576</v>
      </c>
      <c r="X662" s="1">
        <f t="shared" si="123"/>
        <v>86.212617383882659</v>
      </c>
      <c r="Y662" s="3">
        <f t="shared" si="124"/>
        <v>4.8870632937189143E-2</v>
      </c>
      <c r="Z662" s="1">
        <f t="shared" si="126"/>
        <v>0.17810312081476962</v>
      </c>
      <c r="AA662" s="8">
        <f t="shared" si="131"/>
        <v>54.166666666667112</v>
      </c>
      <c r="AB662" s="1">
        <v>54.25</v>
      </c>
      <c r="AC662" s="1">
        <v>2.5218399999999998E-2</v>
      </c>
      <c r="AD662" s="8">
        <f t="shared" si="127"/>
        <v>2.8160600597880796</v>
      </c>
      <c r="AE662" s="3">
        <f t="shared" si="128"/>
        <v>1.1166688052327189E-2</v>
      </c>
      <c r="AF662" s="11">
        <f t="shared" si="129"/>
        <v>54.166666666667112</v>
      </c>
      <c r="AG662" s="1">
        <f t="shared" si="130"/>
        <v>0.17810312081476962</v>
      </c>
    </row>
    <row r="663" spans="2:33" ht="15">
      <c r="B663" s="1">
        <v>652</v>
      </c>
      <c r="C663" s="1">
        <v>1.0011562574027257</v>
      </c>
      <c r="D663" s="1">
        <v>1.2903304207895803</v>
      </c>
      <c r="E663" s="1">
        <v>0.77359591303377195</v>
      </c>
      <c r="G663" s="1">
        <v>1.0028578440480511</v>
      </c>
      <c r="H663" s="1">
        <v>8.1129430688263788</v>
      </c>
      <c r="I663" s="1">
        <v>8.9832138270711764E-2</v>
      </c>
      <c r="K663" s="1">
        <v>1.0007168983861612</v>
      </c>
      <c r="L663" s="1">
        <v>3.7379761626167847</v>
      </c>
      <c r="M663" s="1">
        <v>0.23354566230855686</v>
      </c>
      <c r="O663" s="1">
        <v>2.4934258090910183E-2</v>
      </c>
      <c r="P663" s="1">
        <v>0.25800885930133866</v>
      </c>
      <c r="R663" s="1">
        <v>4.5646306518146197E-2</v>
      </c>
      <c r="S663" s="2">
        <f t="shared" ref="S663:S726" si="132">optim_vol_implied(P663,R663)</f>
        <v>1.3136309665684973</v>
      </c>
      <c r="T663" s="4">
        <f t="shared" ref="T663:T726" si="133">S663*S663</f>
        <v>1.7256263163276846</v>
      </c>
      <c r="U663" s="1">
        <f t="shared" si="125"/>
        <v>1.4010488778078258</v>
      </c>
      <c r="V663" s="6">
        <f>2*sigma/alpha*corel*(B663/12-1/alpha*(1-EXP(-alpha*Output!B663/12)))</f>
        <v>3.9921854051641703</v>
      </c>
      <c r="W663" s="5">
        <f t="shared" ref="W663:W726" si="134">U663-T663</f>
        <v>-0.32457743851985876</v>
      </c>
      <c r="X663" s="1">
        <f t="shared" ref="X663:X726" si="135">V663*V663-4*W663*B663/12</f>
        <v>86.479040947521767</v>
      </c>
      <c r="Y663" s="3">
        <f t="shared" ref="Y663:Y726" si="136">(-V663+SQRT(X663))/2/B663*12</f>
        <v>4.8839497360129554E-2</v>
      </c>
      <c r="Z663" s="1">
        <f t="shared" si="126"/>
        <v>0.17821333718900859</v>
      </c>
      <c r="AA663" s="8">
        <f t="shared" si="131"/>
        <v>54.250000000000448</v>
      </c>
      <c r="AB663" s="1">
        <v>54.33</v>
      </c>
      <c r="AC663" s="1">
        <v>2.5216300000000001E-2</v>
      </c>
      <c r="AD663" s="8">
        <f t="shared" si="127"/>
        <v>2.8204190908981754</v>
      </c>
      <c r="AE663" s="3">
        <f t="shared" si="128"/>
        <v>1.1184904569259468E-2</v>
      </c>
      <c r="AF663" s="11">
        <f t="shared" si="129"/>
        <v>54.250000000000448</v>
      </c>
      <c r="AG663" s="1">
        <f t="shared" si="130"/>
        <v>0.17821333718900859</v>
      </c>
    </row>
    <row r="664" spans="2:33" ht="15">
      <c r="B664" s="1">
        <v>653</v>
      </c>
      <c r="C664" s="1">
        <v>1.0011562224304422</v>
      </c>
      <c r="D664" s="1">
        <v>1.2890369905573382</v>
      </c>
      <c r="E664" s="1">
        <v>0.77436939732559007</v>
      </c>
      <c r="G664" s="1">
        <v>1.0027601103126498</v>
      </c>
      <c r="H664" s="1">
        <v>8.0312761261662722</v>
      </c>
      <c r="I664" s="1">
        <v>9.0701611425980364E-2</v>
      </c>
      <c r="K664" s="1">
        <v>1.0006747227423212</v>
      </c>
      <c r="L664" s="1">
        <v>3.7725403522355996</v>
      </c>
      <c r="M664" s="1">
        <v>0.23135770147601945</v>
      </c>
      <c r="O664" s="1">
        <v>2.4931693318733152E-2</v>
      </c>
      <c r="P664" s="1">
        <v>0.2575092480512674</v>
      </c>
      <c r="R664" s="1">
        <v>4.5606821029693385E-2</v>
      </c>
      <c r="S664" s="2">
        <f t="shared" si="132"/>
        <v>1.3150643071793715</v>
      </c>
      <c r="T664" s="4">
        <f t="shared" si="133"/>
        <v>1.7293941320171604</v>
      </c>
      <c r="U664" s="1">
        <f t="shared" si="125"/>
        <v>1.4054536696227844</v>
      </c>
      <c r="V664" s="6">
        <f>2*sigma/alpha*corel*(B664/12-1/alpha*(1-EXP(-alpha*Output!B664/12)))</f>
        <v>4.0017648881218113</v>
      </c>
      <c r="W664" s="5">
        <f t="shared" si="134"/>
        <v>-0.32394046239437602</v>
      </c>
      <c r="X664" s="1">
        <f t="shared" si="135"/>
        <v>86.525162867647083</v>
      </c>
      <c r="Y664" s="3">
        <f t="shared" si="136"/>
        <v>4.8699467655686085E-2</v>
      </c>
      <c r="Z664" s="1">
        <f t="shared" si="126"/>
        <v>0.17827113228660216</v>
      </c>
      <c r="AA664" s="8">
        <f t="shared" si="131"/>
        <v>54.333333333333783</v>
      </c>
      <c r="AB664" s="1">
        <v>54.42</v>
      </c>
      <c r="AC664" s="1">
        <v>2.5214199999999999E-2</v>
      </c>
      <c r="AD664" s="8">
        <f t="shared" si="127"/>
        <v>2.8250668126684682</v>
      </c>
      <c r="AE664" s="3">
        <f t="shared" si="128"/>
        <v>1.1204269073254232E-2</v>
      </c>
      <c r="AF664" s="11">
        <f t="shared" si="129"/>
        <v>54.333333333333783</v>
      </c>
      <c r="AG664" s="1">
        <f t="shared" si="130"/>
        <v>0.17827113228660216</v>
      </c>
    </row>
    <row r="665" spans="2:33" ht="15">
      <c r="B665" s="1">
        <v>654</v>
      </c>
      <c r="C665" s="1">
        <v>1.0011557139923848</v>
      </c>
      <c r="D665" s="1">
        <v>1.2876434308402638</v>
      </c>
      <c r="E665" s="1">
        <v>0.77520470846347833</v>
      </c>
      <c r="G665" s="1">
        <v>1.002632771606301</v>
      </c>
      <c r="H665" s="1">
        <v>7.9501807824391504</v>
      </c>
      <c r="I665" s="1">
        <v>9.1582385068059782E-2</v>
      </c>
      <c r="K665" s="1">
        <v>1.0007197276627988</v>
      </c>
      <c r="L665" s="1">
        <v>3.8273059382856047</v>
      </c>
      <c r="M665" s="1">
        <v>0.22799965915910994</v>
      </c>
      <c r="O665" s="1">
        <v>2.4929204223687086E-2</v>
      </c>
      <c r="P665" s="1">
        <v>0.25700965410258625</v>
      </c>
      <c r="R665" s="1">
        <v>4.5550374993413252E-2</v>
      </c>
      <c r="S665" s="2">
        <f t="shared" si="132"/>
        <v>1.3163234923689144</v>
      </c>
      <c r="T665" s="4">
        <f t="shared" si="133"/>
        <v>1.7327075365622955</v>
      </c>
      <c r="U665" s="1">
        <f t="shared" si="125"/>
        <v>1.4098634008733013</v>
      </c>
      <c r="V665" s="6">
        <f>2*sigma/alpha*corel*(B665/12-1/alpha*(1-EXP(-alpha*Output!B665/12)))</f>
        <v>4.0113497406849028</v>
      </c>
      <c r="W665" s="5">
        <f t="shared" si="134"/>
        <v>-0.32284413568899417</v>
      </c>
      <c r="X665" s="1">
        <f t="shared" si="135"/>
        <v>86.470948322293566</v>
      </c>
      <c r="Y665" s="3">
        <f t="shared" si="136"/>
        <v>4.8510329533531418E-2</v>
      </c>
      <c r="Z665" s="1">
        <f t="shared" si="126"/>
        <v>0.17830535279683957</v>
      </c>
      <c r="AA665" s="8">
        <f t="shared" si="131"/>
        <v>54.416666666667119</v>
      </c>
      <c r="AB665" s="1">
        <v>54.5</v>
      </c>
      <c r="AC665" s="1">
        <v>2.5212200000000001E-2</v>
      </c>
      <c r="AD665" s="8">
        <f t="shared" si="127"/>
        <v>2.8299577631291442</v>
      </c>
      <c r="AE665" s="3">
        <f t="shared" si="128"/>
        <v>1.1224557012593681E-2</v>
      </c>
      <c r="AF665" s="11">
        <f t="shared" si="129"/>
        <v>54.416666666667119</v>
      </c>
      <c r="AG665" s="1">
        <f t="shared" si="130"/>
        <v>0.17830535279683957</v>
      </c>
    </row>
    <row r="666" spans="2:33" ht="15">
      <c r="B666" s="1">
        <v>655</v>
      </c>
      <c r="C666" s="1">
        <v>1.0011524509460017</v>
      </c>
      <c r="D666" s="1">
        <v>1.2858820656768701</v>
      </c>
      <c r="E666" s="1">
        <v>0.77626379923196154</v>
      </c>
      <c r="G666" s="1">
        <v>1.0021958110054989</v>
      </c>
      <c r="H666" s="1">
        <v>7.8385198934595319</v>
      </c>
      <c r="I666" s="1">
        <v>9.2841955697964718E-2</v>
      </c>
      <c r="K666" s="1">
        <v>1.0006848384448237</v>
      </c>
      <c r="L666" s="1">
        <v>3.7649413055166474</v>
      </c>
      <c r="M666" s="1">
        <v>0.23172809354645146</v>
      </c>
      <c r="O666" s="1">
        <v>2.4926808992835371E-2</v>
      </c>
      <c r="P666" s="1">
        <v>0.25650982161896063</v>
      </c>
      <c r="R666" s="1">
        <v>4.5488552019640333E-2</v>
      </c>
      <c r="S666" s="2">
        <f t="shared" si="132"/>
        <v>1.3175298747796071</v>
      </c>
      <c r="T666" s="4">
        <f t="shared" si="133"/>
        <v>1.7358849709367672</v>
      </c>
      <c r="U666" s="1">
        <f t="shared" si="125"/>
        <v>1.4142780610276775</v>
      </c>
      <c r="V666" s="6">
        <f>2*sigma/alpha*corel*(B666/12-1/alpha*(1-EXP(-alpha*Output!B666/12)))</f>
        <v>4.020939948407686</v>
      </c>
      <c r="W666" s="5">
        <f t="shared" si="134"/>
        <v>-0.32160690990908969</v>
      </c>
      <c r="X666" s="1">
        <f t="shared" si="135"/>
        <v>86.385466732185392</v>
      </c>
      <c r="Y666" s="3">
        <f t="shared" si="136"/>
        <v>4.8306304894131832E-2</v>
      </c>
      <c r="Z666" s="1">
        <f t="shared" si="126"/>
        <v>0.17833247811317651</v>
      </c>
      <c r="AA666" s="8">
        <f t="shared" si="131"/>
        <v>54.500000000000455</v>
      </c>
      <c r="AB666" s="1">
        <v>54.58</v>
      </c>
      <c r="AC666" s="1">
        <v>2.5210099999999999E-2</v>
      </c>
      <c r="AD666" s="8">
        <f t="shared" si="127"/>
        <v>2.8329100716462801</v>
      </c>
      <c r="AE666" s="3">
        <f t="shared" si="128"/>
        <v>1.123720283396845E-2</v>
      </c>
      <c r="AF666" s="11">
        <f t="shared" si="129"/>
        <v>54.500000000000455</v>
      </c>
      <c r="AG666" s="1">
        <f t="shared" si="130"/>
        <v>0.17833247811317651</v>
      </c>
    </row>
    <row r="667" spans="2:33" ht="15">
      <c r="B667" s="1">
        <v>656</v>
      </c>
      <c r="C667" s="1">
        <v>1.0011513020373299</v>
      </c>
      <c r="D667" s="1">
        <v>1.2820502248095924</v>
      </c>
      <c r="E667" s="1">
        <v>0.77858115160432984</v>
      </c>
      <c r="G667" s="1">
        <v>1.0020398682050704</v>
      </c>
      <c r="H667" s="1">
        <v>7.6339677290652004</v>
      </c>
      <c r="I667" s="1">
        <v>9.5283437102606311E-2</v>
      </c>
      <c r="K667" s="1">
        <v>1.0007293245560627</v>
      </c>
      <c r="L667" s="1">
        <v>3.7585001111825251</v>
      </c>
      <c r="M667" s="1">
        <v>0.23207686718824183</v>
      </c>
      <c r="O667" s="1">
        <v>2.4924510595623679E-2</v>
      </c>
      <c r="P667" s="1">
        <v>0.25600970820117996</v>
      </c>
      <c r="R667" s="1">
        <v>4.5569836695692416E-2</v>
      </c>
      <c r="S667" s="2">
        <f t="shared" si="132"/>
        <v>1.3202418258833688</v>
      </c>
      <c r="T667" s="4">
        <f t="shared" si="133"/>
        <v>1.7430384788118516</v>
      </c>
      <c r="U667" s="1">
        <f t="shared" si="125"/>
        <v>1.4186976395677291</v>
      </c>
      <c r="V667" s="6">
        <f>2*sigma/alpha*corel*(B667/12-1/alpha*(1-EXP(-alpha*Output!B667/12)))</f>
        <v>4.0305354968832638</v>
      </c>
      <c r="W667" s="5">
        <f t="shared" si="134"/>
        <v>-0.32434083924412249</v>
      </c>
      <c r="X667" s="1">
        <f t="shared" si="135"/>
        <v>87.167746573017467</v>
      </c>
      <c r="Y667" s="3">
        <f t="shared" si="136"/>
        <v>4.8528945604255191E-2</v>
      </c>
      <c r="Z667" s="1">
        <f t="shared" si="126"/>
        <v>0.17856329472253815</v>
      </c>
      <c r="AA667" s="8">
        <f t="shared" si="131"/>
        <v>54.58333333333379</v>
      </c>
      <c r="AB667" s="1">
        <v>54.67</v>
      </c>
      <c r="AC667" s="1">
        <v>2.5208100000000001E-2</v>
      </c>
      <c r="AD667" s="8">
        <f t="shared" si="127"/>
        <v>2.8358940437632136</v>
      </c>
      <c r="AE667" s="3">
        <f t="shared" si="128"/>
        <v>1.1249931743222273E-2</v>
      </c>
      <c r="AF667" s="11">
        <f t="shared" si="129"/>
        <v>54.58333333333379</v>
      </c>
      <c r="AG667" s="1">
        <f t="shared" si="130"/>
        <v>0.17856329472253815</v>
      </c>
    </row>
    <row r="668" spans="2:33" ht="15">
      <c r="B668" s="1">
        <v>657</v>
      </c>
      <c r="C668" s="1">
        <v>1.0011541014755423</v>
      </c>
      <c r="D668" s="1">
        <v>1.2846657063069156</v>
      </c>
      <c r="E668" s="1">
        <v>0.77699324637026768</v>
      </c>
      <c r="G668" s="1">
        <v>1.0021784119011006</v>
      </c>
      <c r="H668" s="1">
        <v>7.77410876560673</v>
      </c>
      <c r="I668" s="1">
        <v>9.3520433096674502E-2</v>
      </c>
      <c r="K668" s="1">
        <v>1.0006041755286104</v>
      </c>
      <c r="L668" s="1">
        <v>3.7076754559696088</v>
      </c>
      <c r="M668" s="1">
        <v>0.23520915994037583</v>
      </c>
      <c r="O668" s="1">
        <v>2.4922048952419035E-2</v>
      </c>
      <c r="P668" s="1">
        <v>0.25551295141716857</v>
      </c>
      <c r="R668" s="1">
        <v>4.5554972706400722E-2</v>
      </c>
      <c r="S668" s="2">
        <f t="shared" si="132"/>
        <v>1.3219381533046379</v>
      </c>
      <c r="T668" s="4">
        <f t="shared" si="133"/>
        <v>1.7475204811624765</v>
      </c>
      <c r="U668" s="1">
        <f t="shared" si="125"/>
        <v>1.423122125988838</v>
      </c>
      <c r="V668" s="6">
        <f>2*sigma/alpha*corel*(B668/12-1/alpha*(1-EXP(-alpha*Output!B668/12)))</f>
        <v>4.0401363717435013</v>
      </c>
      <c r="W668" s="5">
        <f t="shared" si="134"/>
        <v>-0.32439835517363846</v>
      </c>
      <c r="X668" s="1">
        <f t="shared" si="135"/>
        <v>87.365941685311554</v>
      </c>
      <c r="Y668" s="3">
        <f t="shared" si="136"/>
        <v>4.8464279727050183E-2</v>
      </c>
      <c r="Z668" s="1">
        <f t="shared" si="126"/>
        <v>0.17865660442406675</v>
      </c>
      <c r="AA668" s="8">
        <f t="shared" si="131"/>
        <v>54.666666666667126</v>
      </c>
      <c r="AB668" s="1">
        <v>54.75</v>
      </c>
      <c r="AC668" s="1">
        <v>2.5205999999999999E-2</v>
      </c>
      <c r="AD668" s="8">
        <f t="shared" si="127"/>
        <v>2.8395104758096452</v>
      </c>
      <c r="AE668" s="3">
        <f t="shared" si="128"/>
        <v>1.1265216519121024E-2</v>
      </c>
      <c r="AF668" s="11">
        <f t="shared" si="129"/>
        <v>54.666666666667126</v>
      </c>
      <c r="AG668" s="1">
        <f t="shared" si="130"/>
        <v>0.17865660442406675</v>
      </c>
    </row>
    <row r="669" spans="2:33" ht="15">
      <c r="B669" s="1">
        <v>658</v>
      </c>
      <c r="C669" s="1">
        <v>1.0011590989232604</v>
      </c>
      <c r="D669" s="1">
        <v>1.2813167979394233</v>
      </c>
      <c r="E669" s="1">
        <v>0.7790212467698574</v>
      </c>
      <c r="G669" s="1">
        <v>1.0024402960107899</v>
      </c>
      <c r="H669" s="1">
        <v>7.582951558436446</v>
      </c>
      <c r="I669" s="1">
        <v>9.5831486639579355E-2</v>
      </c>
      <c r="K669" s="1">
        <v>1.0005658302106784</v>
      </c>
      <c r="L669" s="1">
        <v>3.6790186907352886</v>
      </c>
      <c r="M669" s="1">
        <v>0.23699188234124322</v>
      </c>
      <c r="O669" s="1">
        <v>2.4919510740094287E-2</v>
      </c>
      <c r="P669" s="1">
        <v>0.25501833386072564</v>
      </c>
      <c r="R669" s="1">
        <v>4.567473793291936E-2</v>
      </c>
      <c r="S669" s="2">
        <f t="shared" si="132"/>
        <v>1.3250475457509994</v>
      </c>
      <c r="T669" s="4">
        <f t="shared" si="133"/>
        <v>1.7557509985007467</v>
      </c>
      <c r="U669" s="1">
        <f t="shared" si="125"/>
        <v>1.4275515097999931</v>
      </c>
      <c r="V669" s="6">
        <f>2*sigma/alpha*corel*(B669/12-1/alpha*(1-EXP(-alpha*Output!B669/12)))</f>
        <v>4.0497425586589166</v>
      </c>
      <c r="W669" s="5">
        <f t="shared" si="134"/>
        <v>-0.32819948870075355</v>
      </c>
      <c r="X669" s="1">
        <f t="shared" si="135"/>
        <v>88.385502646445218</v>
      </c>
      <c r="Y669" s="3">
        <f t="shared" si="136"/>
        <v>4.8798910643358215E-2</v>
      </c>
      <c r="Z669" s="1">
        <f t="shared" si="126"/>
        <v>0.17894070260465011</v>
      </c>
      <c r="AA669" s="8">
        <f t="shared" si="131"/>
        <v>54.750000000000462</v>
      </c>
      <c r="AB669" s="1">
        <v>54.83</v>
      </c>
      <c r="AC669" s="1">
        <v>2.5204000000000001E-2</v>
      </c>
      <c r="AD669" s="8">
        <f t="shared" si="127"/>
        <v>2.8448925990571388</v>
      </c>
      <c r="AE669" s="3">
        <f t="shared" si="128"/>
        <v>1.1287464684403819E-2</v>
      </c>
      <c r="AF669" s="11">
        <f t="shared" si="129"/>
        <v>54.750000000000462</v>
      </c>
      <c r="AG669" s="1">
        <f t="shared" si="130"/>
        <v>0.17894070260465011</v>
      </c>
    </row>
    <row r="670" spans="2:33" ht="15">
      <c r="B670" s="1">
        <v>659</v>
      </c>
      <c r="C670" s="1">
        <v>1.0011662797331604</v>
      </c>
      <c r="D670" s="1">
        <v>1.2818817735411987</v>
      </c>
      <c r="E670" s="1">
        <v>0.77867511431698755</v>
      </c>
      <c r="G670" s="1">
        <v>1.0029549287456754</v>
      </c>
      <c r="H670" s="1">
        <v>7.607376316942303</v>
      </c>
      <c r="I670" s="1">
        <v>9.5477489339192576E-2</v>
      </c>
      <c r="K670" s="1">
        <v>1.0005171048670285</v>
      </c>
      <c r="L670" s="1">
        <v>3.7805392989729416</v>
      </c>
      <c r="M670" s="1">
        <v>0.23057978492415579</v>
      </c>
      <c r="O670" s="1">
        <v>2.4916760081810121E-2</v>
      </c>
      <c r="P670" s="1">
        <v>0.25452775096250441</v>
      </c>
      <c r="R670" s="1">
        <v>4.571400429581194E-2</v>
      </c>
      <c r="S670" s="2">
        <f t="shared" si="132"/>
        <v>1.3273018867307786</v>
      </c>
      <c r="T670" s="4">
        <f t="shared" si="133"/>
        <v>1.7617302985190848</v>
      </c>
      <c r="U670" s="1">
        <f t="shared" si="125"/>
        <v>1.4319857805238274</v>
      </c>
      <c r="V670" s="6">
        <f>2*sigma/alpha*corel*(B670/12-1/alpha*(1-EXP(-alpha*Output!B670/12)))</f>
        <v>4.0593540433385753</v>
      </c>
      <c r="W670" s="5">
        <f t="shared" si="134"/>
        <v>-0.32974451799525739</v>
      </c>
      <c r="X670" s="1">
        <f t="shared" si="135"/>
        <v>88.912234368794117</v>
      </c>
      <c r="Y670" s="3">
        <f t="shared" si="136"/>
        <v>4.8892027668325011E-2</v>
      </c>
      <c r="Z670" s="1">
        <f t="shared" si="126"/>
        <v>0.17910909003700282</v>
      </c>
      <c r="AA670" s="8">
        <f t="shared" si="131"/>
        <v>54.833333333333798</v>
      </c>
      <c r="AB670" s="1">
        <v>54.92</v>
      </c>
      <c r="AC670" s="1">
        <v>2.5201899999999999E-2</v>
      </c>
      <c r="AD670" s="8">
        <f t="shared" si="127"/>
        <v>2.8513991818987852</v>
      </c>
      <c r="AE670" s="3">
        <f t="shared" si="128"/>
        <v>1.1314223062145256E-2</v>
      </c>
      <c r="AF670" s="11">
        <f t="shared" si="129"/>
        <v>54.833333333333798</v>
      </c>
      <c r="AG670" s="1">
        <f t="shared" si="130"/>
        <v>0.17910909003700282</v>
      </c>
    </row>
    <row r="671" spans="2:33" ht="15">
      <c r="B671" s="1">
        <v>660</v>
      </c>
      <c r="C671" s="1">
        <v>1.0011717503998434</v>
      </c>
      <c r="D671" s="1">
        <v>1.2826551820102439</v>
      </c>
      <c r="E671" s="1">
        <v>0.77820280340027204</v>
      </c>
      <c r="G671" s="1">
        <v>1.0032726663897182</v>
      </c>
      <c r="H671" s="1">
        <v>7.6533154213433781</v>
      </c>
      <c r="I671" s="1">
        <v>9.4858370386963653E-2</v>
      </c>
      <c r="K671" s="1">
        <v>1.0004041308016141</v>
      </c>
      <c r="L671" s="1">
        <v>3.7206835951192603</v>
      </c>
      <c r="M671" s="1">
        <v>0.23424038300389963</v>
      </c>
      <c r="O671" s="1">
        <v>2.4913909229846605E-2</v>
      </c>
      <c r="P671" s="1">
        <v>0.25403962818880138</v>
      </c>
      <c r="R671" s="1">
        <v>4.5672018360193828E-2</v>
      </c>
      <c r="S671" s="2">
        <f t="shared" si="132"/>
        <v>1.3286954948155396</v>
      </c>
      <c r="T671" s="4">
        <f t="shared" si="133"/>
        <v>1.7654317179431116</v>
      </c>
      <c r="U671" s="1">
        <f t="shared" si="125"/>
        <v>1.4364249276966701</v>
      </c>
      <c r="V671" s="6">
        <f>2*sigma/alpha*corel*(B671/12-1/alpha*(1-EXP(-alpha*Output!B671/12)))</f>
        <v>4.0689708115299954</v>
      </c>
      <c r="W671" s="5">
        <f t="shared" si="134"/>
        <v>-0.32900679024644153</v>
      </c>
      <c r="X671" s="1">
        <f t="shared" si="135"/>
        <v>88.938017319300215</v>
      </c>
      <c r="Y671" s="3">
        <f t="shared" si="136"/>
        <v>4.874295157145761E-2</v>
      </c>
      <c r="Z671" s="1">
        <f t="shared" si="126"/>
        <v>0.17916126397203325</v>
      </c>
      <c r="AA671" s="8">
        <f t="shared" si="131"/>
        <v>54.916666666667133</v>
      </c>
      <c r="AB671" s="1">
        <v>55</v>
      </c>
      <c r="AC671" s="1">
        <v>2.5199900000000001E-2</v>
      </c>
      <c r="AD671" s="8">
        <f t="shared" si="127"/>
        <v>2.8599077015339578</v>
      </c>
      <c r="AE671" s="3">
        <f t="shared" si="128"/>
        <v>1.1348885120710629E-2</v>
      </c>
      <c r="AF671" s="11">
        <f t="shared" si="129"/>
        <v>54.916666666667133</v>
      </c>
      <c r="AG671" s="1">
        <f t="shared" si="130"/>
        <v>0.17916126397203325</v>
      </c>
    </row>
    <row r="672" spans="2:33" ht="15">
      <c r="B672" s="1">
        <v>661</v>
      </c>
      <c r="C672" s="1">
        <v>1.0011726682145821</v>
      </c>
      <c r="D672" s="1">
        <v>1.2844282796640478</v>
      </c>
      <c r="E672" s="1">
        <v>0.77712573842719235</v>
      </c>
      <c r="G672" s="1">
        <v>1.0032404095259368</v>
      </c>
      <c r="H672" s="1">
        <v>7.7493616241686336</v>
      </c>
      <c r="I672" s="1">
        <v>9.36372658026636E-2</v>
      </c>
      <c r="K672" s="1">
        <v>1.0003779196100249</v>
      </c>
      <c r="L672" s="1">
        <v>3.753440814474422</v>
      </c>
      <c r="M672" s="1">
        <v>0.23214773914611347</v>
      </c>
      <c r="O672" s="1">
        <v>2.4911001510274387E-2</v>
      </c>
      <c r="P672" s="1">
        <v>0.25355335623402309</v>
      </c>
      <c r="R672" s="1">
        <v>4.5701866007900417E-2</v>
      </c>
      <c r="S672" s="2">
        <f t="shared" si="132"/>
        <v>1.3308446434420802</v>
      </c>
      <c r="T672" s="4">
        <f t="shared" si="133"/>
        <v>1.7711474649784775</v>
      </c>
      <c r="U672" s="1">
        <f t="shared" si="125"/>
        <v>1.4408689408685749</v>
      </c>
      <c r="V672" s="6">
        <f>2*sigma/alpha*corel*(B672/12-1/alpha*(1-EXP(-alpha*Output!B672/12)))</f>
        <v>4.0785928490190333</v>
      </c>
      <c r="W672" s="5">
        <f t="shared" si="134"/>
        <v>-0.33027852410990266</v>
      </c>
      <c r="X672" s="1">
        <f t="shared" si="135"/>
        <v>89.406287773617748</v>
      </c>
      <c r="Y672" s="3">
        <f t="shared" si="136"/>
        <v>4.8806931675917972E-2</v>
      </c>
      <c r="Z672" s="1">
        <f t="shared" si="126"/>
        <v>0.17931526163599426</v>
      </c>
      <c r="AA672" s="8">
        <f t="shared" si="131"/>
        <v>55.000000000000469</v>
      </c>
      <c r="AB672" s="1">
        <v>55.08</v>
      </c>
      <c r="AC672" s="1">
        <v>2.5197899999999999E-2</v>
      </c>
      <c r="AD672" s="8">
        <f t="shared" si="127"/>
        <v>2.8689848972561145</v>
      </c>
      <c r="AE672" s="3">
        <f t="shared" si="128"/>
        <v>1.1385809520857352E-2</v>
      </c>
      <c r="AF672" s="11">
        <f t="shared" si="129"/>
        <v>55.000000000000469</v>
      </c>
      <c r="AG672" s="1">
        <f t="shared" si="130"/>
        <v>0.17931526163599426</v>
      </c>
    </row>
    <row r="673" spans="2:33" ht="15">
      <c r="B673" s="1">
        <v>662</v>
      </c>
      <c r="C673" s="1">
        <v>1.0011736855798852</v>
      </c>
      <c r="D673" s="1">
        <v>1.2841487634451905</v>
      </c>
      <c r="E673" s="1">
        <v>0.77729209829455592</v>
      </c>
      <c r="G673" s="1">
        <v>1.003223630546463</v>
      </c>
      <c r="H673" s="1">
        <v>7.7341627649287199</v>
      </c>
      <c r="I673" s="1">
        <v>9.3775787866421628E-2</v>
      </c>
      <c r="K673" s="1">
        <v>1.0005443607031146</v>
      </c>
      <c r="L673" s="1">
        <v>3.7417376008408034</v>
      </c>
      <c r="M673" s="1">
        <v>0.23282532861767039</v>
      </c>
      <c r="O673" s="1">
        <v>2.4908085664068619E-2</v>
      </c>
      <c r="P673" s="1">
        <v>0.25306825117772114</v>
      </c>
      <c r="R673" s="1">
        <v>4.5780269052689795E-2</v>
      </c>
      <c r="S673" s="2">
        <f t="shared" si="132"/>
        <v>1.3335088531982648</v>
      </c>
      <c r="T673" s="4">
        <f t="shared" si="133"/>
        <v>1.7782458615581516</v>
      </c>
      <c r="U673" s="1">
        <f t="shared" si="125"/>
        <v>1.4453178096033696</v>
      </c>
      <c r="V673" s="6">
        <f>2*sigma/alpha*corel*(B673/12-1/alpha*(1-EXP(-alpha*Output!B673/12)))</f>
        <v>4.0882201416297876</v>
      </c>
      <c r="W673" s="5">
        <f t="shared" si="134"/>
        <v>-0.33292805195478192</v>
      </c>
      <c r="X673" s="1">
        <f t="shared" si="135"/>
        <v>90.179667391116027</v>
      </c>
      <c r="Y673" s="3">
        <f t="shared" si="136"/>
        <v>4.9015807437798486E-2</v>
      </c>
      <c r="Z673" s="1">
        <f t="shared" si="126"/>
        <v>0.17953847486189939</v>
      </c>
      <c r="AA673" s="8">
        <f t="shared" si="131"/>
        <v>55.083333333333805</v>
      </c>
      <c r="AB673" s="1">
        <v>55.17</v>
      </c>
      <c r="AC673" s="1">
        <v>2.51959E-2</v>
      </c>
      <c r="AD673" s="8">
        <f t="shared" si="127"/>
        <v>2.8781433593138077</v>
      </c>
      <c r="AE673" s="3">
        <f t="shared" si="128"/>
        <v>1.1423062320908591E-2</v>
      </c>
      <c r="AF673" s="11">
        <f t="shared" si="129"/>
        <v>55.083333333333805</v>
      </c>
      <c r="AG673" s="1">
        <f t="shared" si="130"/>
        <v>0.17953847486189939</v>
      </c>
    </row>
    <row r="674" spans="2:33" ht="15">
      <c r="B674" s="1">
        <v>663</v>
      </c>
      <c r="C674" s="1">
        <v>1.0011822068780749</v>
      </c>
      <c r="D674" s="1">
        <v>1.2919508118816758</v>
      </c>
      <c r="E674" s="1">
        <v>0.77259527536447092</v>
      </c>
      <c r="G674" s="1">
        <v>1.0038607729004447</v>
      </c>
      <c r="H674" s="1">
        <v>8.1692858280971006</v>
      </c>
      <c r="I674" s="1">
        <v>8.8737933997850085E-2</v>
      </c>
      <c r="K674" s="1">
        <v>1.0004902593200724</v>
      </c>
      <c r="L674" s="1">
        <v>3.7339079737568532</v>
      </c>
      <c r="M674" s="1">
        <v>0.23326493779911689</v>
      </c>
      <c r="O674" s="1">
        <v>2.4905093920817321E-2</v>
      </c>
      <c r="P674" s="1">
        <v>0.25258525615329663</v>
      </c>
      <c r="R674" s="1">
        <v>4.5857237360530448E-2</v>
      </c>
      <c r="S674" s="2">
        <f t="shared" si="132"/>
        <v>1.3361568085502575</v>
      </c>
      <c r="T674" s="4">
        <f t="shared" si="133"/>
        <v>1.7853150170352097</v>
      </c>
      <c r="U674" s="1">
        <f t="shared" si="125"/>
        <v>1.4497715234786979</v>
      </c>
      <c r="V674" s="6">
        <f>2*sigma/alpha*corel*(B674/12-1/alpha*(1-EXP(-alpha*Output!B674/12)))</f>
        <v>4.0978526752244937</v>
      </c>
      <c r="W674" s="5">
        <f t="shared" si="134"/>
        <v>-0.33554349355651181</v>
      </c>
      <c r="X674" s="1">
        <f t="shared" si="135"/>
        <v>90.947508623833642</v>
      </c>
      <c r="Y674" s="3">
        <f t="shared" si="136"/>
        <v>4.9219797704882245E-2</v>
      </c>
      <c r="Z674" s="1">
        <f t="shared" si="126"/>
        <v>0.17975926672493953</v>
      </c>
      <c r="AA674" s="8">
        <f t="shared" si="131"/>
        <v>55.16666666666714</v>
      </c>
      <c r="AB674" s="1">
        <v>55.25</v>
      </c>
      <c r="AC674" s="1">
        <v>2.5193900000000002E-2</v>
      </c>
      <c r="AD674" s="8">
        <f t="shared" si="127"/>
        <v>2.8880607918268035</v>
      </c>
      <c r="AE674" s="3">
        <f t="shared" si="128"/>
        <v>1.1463333552275762E-2</v>
      </c>
      <c r="AF674" s="11">
        <f t="shared" si="129"/>
        <v>55.16666666666714</v>
      </c>
      <c r="AG674" s="1">
        <f t="shared" si="130"/>
        <v>0.17975926672493953</v>
      </c>
    </row>
    <row r="675" spans="2:33" ht="15">
      <c r="B675" s="1">
        <v>664</v>
      </c>
      <c r="C675" s="1">
        <v>1.0011848654591247</v>
      </c>
      <c r="D675" s="1">
        <v>1.2951016433588611</v>
      </c>
      <c r="E675" s="1">
        <v>0.77071286229993841</v>
      </c>
      <c r="G675" s="1">
        <v>1.0039381156972154</v>
      </c>
      <c r="H675" s="1">
        <v>8.3515330843320452</v>
      </c>
      <c r="I675" s="1">
        <v>8.6759406493526578E-2</v>
      </c>
      <c r="K675" s="1">
        <v>1.0005545733970489</v>
      </c>
      <c r="L675" s="1">
        <v>3.728150572007995</v>
      </c>
      <c r="M675" s="1">
        <v>0.23357650316288334</v>
      </c>
      <c r="O675" s="1">
        <v>2.4902049052304281E-2</v>
      </c>
      <c r="P675" s="1">
        <v>0.25210404974022799</v>
      </c>
      <c r="R675" s="1">
        <v>4.5818481422473738E-2</v>
      </c>
      <c r="S675" s="2">
        <f t="shared" si="132"/>
        <v>1.3375769440355134</v>
      </c>
      <c r="T675" s="4">
        <f t="shared" si="133"/>
        <v>1.7891120812153829</v>
      </c>
      <c r="U675" s="1">
        <f t="shared" si="125"/>
        <v>1.4542300720860448</v>
      </c>
      <c r="V675" s="6">
        <f>2*sigma/alpha*corel*(B675/12-1/alpha*(1-EXP(-alpha*Output!B675/12)))</f>
        <v>4.1074904357034212</v>
      </c>
      <c r="W675" s="5">
        <f t="shared" si="134"/>
        <v>-0.33488200912933808</v>
      </c>
      <c r="X675" s="1">
        <f t="shared" si="135"/>
        <v>90.992029033355237</v>
      </c>
      <c r="Y675" s="3">
        <f t="shared" si="136"/>
        <v>4.9079672685030058E-2</v>
      </c>
      <c r="Z675" s="1">
        <f t="shared" si="126"/>
        <v>0.17981476820700307</v>
      </c>
      <c r="AA675" s="8">
        <f t="shared" si="131"/>
        <v>55.250000000000476</v>
      </c>
      <c r="AB675" s="1">
        <v>55.33</v>
      </c>
      <c r="AC675" s="1">
        <v>2.51919E-2</v>
      </c>
      <c r="AD675" s="8">
        <f t="shared" si="127"/>
        <v>2.8985094769571824</v>
      </c>
      <c r="AE675" s="3">
        <f t="shared" si="128"/>
        <v>1.1505720001100284E-2</v>
      </c>
      <c r="AF675" s="11">
        <f t="shared" si="129"/>
        <v>55.250000000000476</v>
      </c>
      <c r="AG675" s="1">
        <f t="shared" si="130"/>
        <v>0.17981476820700307</v>
      </c>
    </row>
    <row r="676" spans="2:33" ht="15">
      <c r="B676" s="1">
        <v>665</v>
      </c>
      <c r="C676" s="1">
        <v>1.0011857781733566</v>
      </c>
      <c r="D676" s="1">
        <v>1.2983819141421218</v>
      </c>
      <c r="E676" s="1">
        <v>0.76876293486696545</v>
      </c>
      <c r="G676" s="1">
        <v>1.0039061291116917</v>
      </c>
      <c r="H676" s="1">
        <v>8.5368925250864027</v>
      </c>
      <c r="I676" s="1">
        <v>8.483446710788127E-2</v>
      </c>
      <c r="K676" s="1">
        <v>1.0005923705442519</v>
      </c>
      <c r="L676" s="1">
        <v>3.7575742933019489</v>
      </c>
      <c r="M676" s="1">
        <v>0.23169920443323533</v>
      </c>
      <c r="O676" s="1">
        <v>2.4898932144069186E-2</v>
      </c>
      <c r="P676" s="1">
        <v>0.25162489231417223</v>
      </c>
      <c r="R676" s="1">
        <v>4.59218921991148E-2</v>
      </c>
      <c r="S676" s="2">
        <f t="shared" si="132"/>
        <v>1.3405035595248307</v>
      </c>
      <c r="T676" s="4">
        <f t="shared" si="133"/>
        <v>1.7969497930987413</v>
      </c>
      <c r="U676" s="1">
        <f t="shared" si="125"/>
        <v>1.4586934450307929</v>
      </c>
      <c r="V676" s="6">
        <f>2*sigma/alpha*corel*(B676/12-1/alpha*(1-EXP(-alpha*Output!B676/12)))</f>
        <v>4.1171334090047713</v>
      </c>
      <c r="W676" s="5">
        <f t="shared" si="134"/>
        <v>-0.33825634806794835</v>
      </c>
      <c r="X676" s="1">
        <f t="shared" si="135"/>
        <v>91.930944662605143</v>
      </c>
      <c r="Y676" s="3">
        <f t="shared" si="136"/>
        <v>4.9361767250232585E-2</v>
      </c>
      <c r="Z676" s="1">
        <f t="shared" si="126"/>
        <v>0.18007265666940467</v>
      </c>
      <c r="AA676" s="8">
        <f t="shared" si="131"/>
        <v>55.333333333333812</v>
      </c>
      <c r="AB676" s="1">
        <v>55.42</v>
      </c>
      <c r="AC676" s="1">
        <v>2.5189900000000001E-2</v>
      </c>
      <c r="AD676" s="8">
        <f t="shared" si="127"/>
        <v>2.909678559308154</v>
      </c>
      <c r="AE676" s="3">
        <f t="shared" si="128"/>
        <v>1.1550973045975388E-2</v>
      </c>
      <c r="AF676" s="11">
        <f t="shared" si="129"/>
        <v>55.333333333333812</v>
      </c>
      <c r="AG676" s="1">
        <f t="shared" si="130"/>
        <v>0.18007265666940467</v>
      </c>
    </row>
    <row r="677" spans="2:33" ht="15">
      <c r="B677" s="1">
        <v>666</v>
      </c>
      <c r="C677" s="1">
        <v>1.0011887353648139</v>
      </c>
      <c r="D677" s="1">
        <v>1.2975231708870871</v>
      </c>
      <c r="E677" s="1">
        <v>0.76926894609620133</v>
      </c>
      <c r="G677" s="1">
        <v>1.0040317075986709</v>
      </c>
      <c r="H677" s="1">
        <v>8.4845730388608747</v>
      </c>
      <c r="I677" s="1">
        <v>8.5316204639975857E-2</v>
      </c>
      <c r="K677" s="1">
        <v>1.0007931378232253</v>
      </c>
      <c r="L677" s="1">
        <v>3.8598780618960209</v>
      </c>
      <c r="M677" s="1">
        <v>0.22551116865812462</v>
      </c>
      <c r="O677" s="1">
        <v>2.4895792593342399E-2</v>
      </c>
      <c r="P677" s="1">
        <v>0.25114709166356847</v>
      </c>
      <c r="R677" s="1">
        <v>4.5961822996202398E-2</v>
      </c>
      <c r="S677" s="2">
        <f t="shared" si="132"/>
        <v>1.3427571916496877</v>
      </c>
      <c r="T677" s="4">
        <f t="shared" si="133"/>
        <v>1.8029968757269561</v>
      </c>
      <c r="U677" s="1">
        <f t="shared" si="125"/>
        <v>1.4631616319322513</v>
      </c>
      <c r="V677" s="6">
        <f>2*sigma/alpha*corel*(B677/12-1/alpha*(1-EXP(-alpha*Output!B677/12)))</f>
        <v>4.126781581104578</v>
      </c>
      <c r="W677" s="5">
        <f t="shared" si="134"/>
        <v>-0.33983524379470476</v>
      </c>
      <c r="X677" s="1">
        <f t="shared" si="135"/>
        <v>92.473750340568458</v>
      </c>
      <c r="Y677" s="3">
        <f t="shared" si="136"/>
        <v>4.94553666494532E-2</v>
      </c>
      <c r="Z677" s="1">
        <f t="shared" si="126"/>
        <v>0.18023992397157321</v>
      </c>
      <c r="AA677" s="8">
        <f t="shared" si="131"/>
        <v>55.416666666667147</v>
      </c>
      <c r="AB677" s="1">
        <v>55.5</v>
      </c>
      <c r="AC677" s="1">
        <v>2.5187899999999999E-2</v>
      </c>
      <c r="AD677" s="8">
        <f t="shared" si="127"/>
        <v>2.9210740665759976</v>
      </c>
      <c r="AE677" s="3">
        <f t="shared" si="128"/>
        <v>1.1597132220534453E-2</v>
      </c>
      <c r="AF677" s="11">
        <f t="shared" si="129"/>
        <v>55.416666666667147</v>
      </c>
      <c r="AG677" s="1">
        <f t="shared" si="130"/>
        <v>0.18023992397157321</v>
      </c>
    </row>
    <row r="678" spans="2:33" ht="15">
      <c r="B678" s="1">
        <v>667</v>
      </c>
      <c r="C678" s="1">
        <v>1.0011881361517123</v>
      </c>
      <c r="D678" s="1">
        <v>1.2961377736017505</v>
      </c>
      <c r="E678" s="1">
        <v>0.77008840330152717</v>
      </c>
      <c r="G678" s="1">
        <v>1.0038087398190809</v>
      </c>
      <c r="H678" s="1">
        <v>8.4020499659071142</v>
      </c>
      <c r="I678" s="1">
        <v>8.6112387005751551E-2</v>
      </c>
      <c r="K678" s="1">
        <v>1.0008755621294654</v>
      </c>
      <c r="L678" s="1">
        <v>3.8956164115754817</v>
      </c>
      <c r="M678" s="1">
        <v>0.22339578559314244</v>
      </c>
      <c r="O678" s="1">
        <v>2.4892667481139177E-2</v>
      </c>
      <c r="P678" s="1">
        <v>0.25067012828203378</v>
      </c>
      <c r="R678" s="1">
        <v>4.5896632987545385E-2</v>
      </c>
      <c r="S678" s="2">
        <f t="shared" si="132"/>
        <v>1.3438931710961615</v>
      </c>
      <c r="T678" s="4">
        <f t="shared" si="133"/>
        <v>1.8060488553188967</v>
      </c>
      <c r="U678" s="1">
        <f t="shared" si="125"/>
        <v>1.4676346224236949</v>
      </c>
      <c r="V678" s="6">
        <f>2*sigma/alpha*corel*(B678/12-1/alpha*(1-EXP(-alpha*Output!B678/12)))</f>
        <v>4.1364349380166017</v>
      </c>
      <c r="W678" s="5">
        <f t="shared" si="134"/>
        <v>-0.33841423289520178</v>
      </c>
      <c r="X678" s="1">
        <f t="shared" si="135"/>
        <v>92.350858443477605</v>
      </c>
      <c r="Y678" s="3">
        <f t="shared" si="136"/>
        <v>4.9236885739005171E-2</v>
      </c>
      <c r="Z678" s="1">
        <f t="shared" si="126"/>
        <v>0.18025713045314057</v>
      </c>
      <c r="AA678" s="8">
        <f t="shared" si="131"/>
        <v>55.500000000000483</v>
      </c>
      <c r="AB678" s="1">
        <v>55.58</v>
      </c>
      <c r="AC678" s="1">
        <v>2.5185900000000001E-2</v>
      </c>
      <c r="AD678" s="8">
        <f t="shared" si="127"/>
        <v>2.9323251886082327</v>
      </c>
      <c r="AE678" s="3">
        <f t="shared" si="128"/>
        <v>1.164272544800159E-2</v>
      </c>
      <c r="AF678" s="11">
        <f t="shared" si="129"/>
        <v>55.500000000000483</v>
      </c>
      <c r="AG678" s="1">
        <f t="shared" si="130"/>
        <v>0.18025713045314057</v>
      </c>
    </row>
    <row r="679" spans="2:33" ht="15">
      <c r="B679" s="1">
        <v>668</v>
      </c>
      <c r="C679" s="1">
        <v>1.0011835987552051</v>
      </c>
      <c r="D679" s="1">
        <v>1.2968041496562666</v>
      </c>
      <c r="E679" s="1">
        <v>0.76968989484514949</v>
      </c>
      <c r="G679" s="1">
        <v>1.0032863417638149</v>
      </c>
      <c r="H679" s="1">
        <v>8.4422073844316774</v>
      </c>
      <c r="I679" s="1">
        <v>8.566121641298198E-2</v>
      </c>
      <c r="K679" s="1">
        <v>1.0010578110934678</v>
      </c>
      <c r="L679" s="1">
        <v>3.886166681272055</v>
      </c>
      <c r="M679" s="1">
        <v>0.22389235312036548</v>
      </c>
      <c r="O679" s="1">
        <v>2.4889843764870773E-2</v>
      </c>
      <c r="P679" s="1">
        <v>0.25019000338486447</v>
      </c>
      <c r="R679" s="1">
        <v>4.5875505951772359E-2</v>
      </c>
      <c r="S679" s="2">
        <f t="shared" si="132"/>
        <v>1.3455140743748248</v>
      </c>
      <c r="T679" s="4">
        <f t="shared" si="133"/>
        <v>1.8104081243407417</v>
      </c>
      <c r="U679" s="1">
        <f t="shared" si="125"/>
        <v>1.4721124061524016</v>
      </c>
      <c r="V679" s="6">
        <f>2*sigma/alpha*corel*(B679/12-1/alpha*(1-EXP(-alpha*Output!B679/12)))</f>
        <v>4.1460934657922293</v>
      </c>
      <c r="W679" s="5">
        <f t="shared" si="134"/>
        <v>-0.33829571818834014</v>
      </c>
      <c r="X679" s="1">
        <f t="shared" si="135"/>
        <v>92.517270943688757</v>
      </c>
      <c r="Y679" s="3">
        <f t="shared" si="136"/>
        <v>4.9154159252193505E-2</v>
      </c>
      <c r="Z679" s="1">
        <f t="shared" si="126"/>
        <v>0.18033940677196325</v>
      </c>
      <c r="AA679" s="8">
        <f t="shared" si="131"/>
        <v>55.583333333333819</v>
      </c>
      <c r="AB679" s="1">
        <v>55.67</v>
      </c>
      <c r="AC679" s="1">
        <v>2.5184000000000002E-2</v>
      </c>
      <c r="AD679" s="8">
        <f t="shared" si="127"/>
        <v>2.9415623512922888</v>
      </c>
      <c r="AE679" s="3">
        <f t="shared" si="128"/>
        <v>1.1680282525779418E-2</v>
      </c>
      <c r="AF679" s="11">
        <f t="shared" si="129"/>
        <v>55.583333333333819</v>
      </c>
      <c r="AG679" s="1">
        <f t="shared" si="130"/>
        <v>0.18033940677196325</v>
      </c>
    </row>
    <row r="680" spans="2:33" ht="15">
      <c r="B680" s="1">
        <v>669</v>
      </c>
      <c r="C680" s="1">
        <v>1.0011892327356231</v>
      </c>
      <c r="D680" s="1">
        <v>1.2994992559080136</v>
      </c>
      <c r="E680" s="1">
        <v>0.76809080198246926</v>
      </c>
      <c r="G680" s="1">
        <v>1.0036469876901277</v>
      </c>
      <c r="H680" s="1">
        <v>8.5913151131203094</v>
      </c>
      <c r="I680" s="1">
        <v>8.4133696254636195E-2</v>
      </c>
      <c r="K680" s="1">
        <v>1.0009665736771844</v>
      </c>
      <c r="L680" s="1">
        <v>3.7766484931009576</v>
      </c>
      <c r="M680" s="1">
        <v>0.23033696555531294</v>
      </c>
      <c r="O680" s="1">
        <v>2.4887114422686277E-2</v>
      </c>
      <c r="P680" s="1">
        <v>0.24970960180672905</v>
      </c>
      <c r="R680" s="1">
        <v>4.5941849840739658E-2</v>
      </c>
      <c r="S680" s="2">
        <f t="shared" si="132"/>
        <v>1.3480754114157916</v>
      </c>
      <c r="T680" s="4">
        <f t="shared" si="133"/>
        <v>1.8173073148638557</v>
      </c>
      <c r="U680" s="1">
        <f t="shared" si="125"/>
        <v>1.4765949727796923</v>
      </c>
      <c r="V680" s="6">
        <f>2*sigma/alpha*corel*(B680/12-1/alpha*(1-EXP(-alpha*Output!B680/12)))</f>
        <v>4.1557571505203752</v>
      </c>
      <c r="W680" s="5">
        <f t="shared" si="134"/>
        <v>-0.34071234208416334</v>
      </c>
      <c r="X680" s="1">
        <f t="shared" si="135"/>
        <v>93.249169778869657</v>
      </c>
      <c r="Y680" s="3">
        <f t="shared" si="136"/>
        <v>4.9334563408764714E-2</v>
      </c>
      <c r="Z680" s="1">
        <f t="shared" si="126"/>
        <v>0.18054761318101284</v>
      </c>
      <c r="AA680" s="8">
        <f t="shared" si="131"/>
        <v>55.666666666667155</v>
      </c>
      <c r="AB680" s="1">
        <v>55.75</v>
      </c>
      <c r="AC680" s="1">
        <v>2.5182E-2</v>
      </c>
      <c r="AD680" s="8">
        <f t="shared" si="127"/>
        <v>2.948855773137228</v>
      </c>
      <c r="AE680" s="3">
        <f t="shared" si="128"/>
        <v>1.1710173032869623E-2</v>
      </c>
      <c r="AF680" s="11">
        <f t="shared" si="129"/>
        <v>55.666666666667155</v>
      </c>
      <c r="AG680" s="1">
        <f t="shared" si="130"/>
        <v>0.18054761318101284</v>
      </c>
    </row>
    <row r="681" spans="2:33" ht="15">
      <c r="B681" s="1">
        <v>670</v>
      </c>
      <c r="C681" s="1">
        <v>1.0011898726588824</v>
      </c>
      <c r="D681" s="1">
        <v>1.3016093203241663</v>
      </c>
      <c r="E681" s="1">
        <v>0.76684284689086324</v>
      </c>
      <c r="G681" s="1">
        <v>1.0036071778354061</v>
      </c>
      <c r="H681" s="1">
        <v>8.7194831998805338</v>
      </c>
      <c r="I681" s="1">
        <v>8.2856814889040481E-2</v>
      </c>
      <c r="K681" s="1">
        <v>1.0010628226860288</v>
      </c>
      <c r="L681" s="1">
        <v>3.8533349540304882</v>
      </c>
      <c r="M681" s="1">
        <v>0.2257059285193149</v>
      </c>
      <c r="O681" s="1">
        <v>2.4884360865938534E-2</v>
      </c>
      <c r="P681" s="1">
        <v>0.24923057299710549</v>
      </c>
      <c r="R681" s="1">
        <v>4.5980083882520867E-2</v>
      </c>
      <c r="S681" s="2">
        <f t="shared" si="132"/>
        <v>1.350337253530727</v>
      </c>
      <c r="T681" s="4">
        <f t="shared" si="133"/>
        <v>1.8234106982729068</v>
      </c>
      <c r="U681" s="1">
        <f t="shared" si="125"/>
        <v>1.481082311980962</v>
      </c>
      <c r="V681" s="6">
        <f>2*sigma/alpha*corel*(B681/12-1/alpha*(1-EXP(-alpha*Output!B681/12)))</f>
        <v>4.1654259783273773</v>
      </c>
      <c r="W681" s="5">
        <f t="shared" si="134"/>
        <v>-0.34232838629194484</v>
      </c>
      <c r="X681" s="1">
        <f t="shared" si="135"/>
        <v>93.804113186125591</v>
      </c>
      <c r="Y681" s="3">
        <f t="shared" si="136"/>
        <v>4.9431280987944616E-2</v>
      </c>
      <c r="Z681" s="1">
        <f t="shared" si="126"/>
        <v>0.18071552799529769</v>
      </c>
      <c r="AA681" s="8">
        <f t="shared" si="131"/>
        <v>55.75000000000049</v>
      </c>
      <c r="AB681" s="1">
        <v>55.83</v>
      </c>
      <c r="AC681" s="1">
        <v>2.5180000000000001E-2</v>
      </c>
      <c r="AD681" s="8">
        <f t="shared" si="127"/>
        <v>2.9563913406146711</v>
      </c>
      <c r="AE681" s="3">
        <f t="shared" si="128"/>
        <v>1.1741029946841425E-2</v>
      </c>
      <c r="AF681" s="11">
        <f t="shared" si="129"/>
        <v>55.75000000000049</v>
      </c>
      <c r="AG681" s="1">
        <f t="shared" si="130"/>
        <v>0.18071552799529769</v>
      </c>
    </row>
    <row r="682" spans="2:33" ht="15">
      <c r="B682" s="1">
        <v>671</v>
      </c>
      <c r="C682" s="1">
        <v>1.0011901399999543</v>
      </c>
      <c r="D682" s="1">
        <v>1.3014196053470954</v>
      </c>
      <c r="E682" s="1">
        <v>0.76695184136079686</v>
      </c>
      <c r="G682" s="1">
        <v>1.0034991265039437</v>
      </c>
      <c r="H682" s="1">
        <v>8.7030128615695546</v>
      </c>
      <c r="I682" s="1">
        <v>8.2973367137138779E-2</v>
      </c>
      <c r="K682" s="1">
        <v>1.0009960113070109</v>
      </c>
      <c r="L682" s="1">
        <v>3.7630934549151451</v>
      </c>
      <c r="M682" s="1">
        <v>0.23107036301026912</v>
      </c>
      <c r="O682" s="1">
        <v>2.4881670878123662E-2</v>
      </c>
      <c r="P682" s="1">
        <v>0.24875169308325645</v>
      </c>
      <c r="R682" s="1">
        <v>4.5911274332466334E-2</v>
      </c>
      <c r="S682" s="2">
        <f t="shared" si="132"/>
        <v>1.3514564632932171</v>
      </c>
      <c r="T682" s="4">
        <f t="shared" si="133"/>
        <v>1.8264345721770108</v>
      </c>
      <c r="U682" s="1">
        <f t="shared" si="125"/>
        <v>1.4855744134457209</v>
      </c>
      <c r="V682" s="6">
        <f>2*sigma/alpha*corel*(B682/12-1/alpha*(1-EXP(-alpha*Output!B682/12)))</f>
        <v>4.1750999353768963</v>
      </c>
      <c r="W682" s="5">
        <f t="shared" si="134"/>
        <v>-0.34086015873128983</v>
      </c>
      <c r="X682" s="1">
        <f t="shared" si="135"/>
        <v>93.67051497328265</v>
      </c>
      <c r="Y682" s="3">
        <f t="shared" si="136"/>
        <v>4.9209415534727068E-2</v>
      </c>
      <c r="Z682" s="1">
        <f t="shared" si="126"/>
        <v>0.18073048853892176</v>
      </c>
      <c r="AA682" s="8">
        <f t="shared" si="131"/>
        <v>55.833333333333826</v>
      </c>
      <c r="AB682" s="1">
        <v>55.92</v>
      </c>
      <c r="AC682" s="1">
        <v>2.5178099999999998E-2</v>
      </c>
      <c r="AD682" s="8">
        <f t="shared" si="127"/>
        <v>2.9642912187633623</v>
      </c>
      <c r="AE682" s="3">
        <f t="shared" si="128"/>
        <v>1.1773291943249739E-2</v>
      </c>
      <c r="AF682" s="11">
        <f t="shared" si="129"/>
        <v>55.833333333333826</v>
      </c>
      <c r="AG682" s="1">
        <f t="shared" si="130"/>
        <v>0.18073048853892176</v>
      </c>
    </row>
    <row r="683" spans="2:33" ht="15">
      <c r="B683" s="1">
        <v>672</v>
      </c>
      <c r="C683" s="1">
        <v>1.0011961643896439</v>
      </c>
      <c r="D683" s="1">
        <v>1.2971588033823689</v>
      </c>
      <c r="E683" s="1">
        <v>0.76946825713781752</v>
      </c>
      <c r="G683" s="1">
        <v>1.0038615170617042</v>
      </c>
      <c r="H683" s="1">
        <v>8.4440489176048565</v>
      </c>
      <c r="I683" s="1">
        <v>8.5476544610556593E-2</v>
      </c>
      <c r="K683" s="1">
        <v>1.0009955516371158</v>
      </c>
      <c r="L683" s="1">
        <v>3.7371637444534409</v>
      </c>
      <c r="M683" s="1">
        <v>0.23262513904876783</v>
      </c>
      <c r="O683" s="1">
        <v>2.487896731837792E-2</v>
      </c>
      <c r="P683" s="1">
        <v>0.24827403330929265</v>
      </c>
      <c r="R683" s="1">
        <v>4.5968333298262394E-2</v>
      </c>
      <c r="S683" s="2">
        <f t="shared" si="132"/>
        <v>1.3539255183540397</v>
      </c>
      <c r="T683" s="4">
        <f t="shared" si="133"/>
        <v>1.8331143092502551</v>
      </c>
      <c r="U683" s="1">
        <f t="shared" si="125"/>
        <v>1.4900712668776286</v>
      </c>
      <c r="V683" s="6">
        <f>2*sigma/alpha*corel*(B683/12-1/alpha*(1-EXP(-alpha*Output!B683/12)))</f>
        <v>4.184779007869821</v>
      </c>
      <c r="W683" s="5">
        <f t="shared" si="134"/>
        <v>-0.34304304237262651</v>
      </c>
      <c r="X683" s="1">
        <f t="shared" si="135"/>
        <v>94.354016836176257</v>
      </c>
      <c r="Y683" s="3">
        <f t="shared" si="136"/>
        <v>4.9364469410380939E-2</v>
      </c>
      <c r="Z683" s="1">
        <f t="shared" si="126"/>
        <v>0.18092590774611181</v>
      </c>
      <c r="AA683" s="8">
        <f t="shared" si="131"/>
        <v>55.916666666667162</v>
      </c>
      <c r="AB683" s="1">
        <v>56</v>
      </c>
      <c r="AC683" s="1">
        <v>2.51761E-2</v>
      </c>
      <c r="AD683" s="8">
        <f t="shared" si="127"/>
        <v>2.9713268162208024</v>
      </c>
      <c r="AE683" s="3">
        <f t="shared" si="128"/>
        <v>1.1802172759962037E-2</v>
      </c>
      <c r="AF683" s="11">
        <f t="shared" si="129"/>
        <v>55.916666666667162</v>
      </c>
      <c r="AG683" s="1">
        <f t="shared" si="130"/>
        <v>0.18092590774611181</v>
      </c>
    </row>
    <row r="684" spans="2:33" ht="15">
      <c r="B684" s="1">
        <v>673</v>
      </c>
      <c r="C684" s="1">
        <v>1.0011988218556416</v>
      </c>
      <c r="D684" s="1">
        <v>1.2958650876291746</v>
      </c>
      <c r="E684" s="1">
        <v>0.77023363709909853</v>
      </c>
      <c r="G684" s="1">
        <v>1.0039655548008708</v>
      </c>
      <c r="H684" s="1">
        <v>8.3704929616873489</v>
      </c>
      <c r="I684" s="1">
        <v>8.618585984651482E-2</v>
      </c>
      <c r="K684" s="1">
        <v>1.0011345549747337</v>
      </c>
      <c r="L684" s="1">
        <v>3.7950947106628243</v>
      </c>
      <c r="M684" s="1">
        <v>0.22902646810872473</v>
      </c>
      <c r="O684" s="1">
        <v>2.4876296253682286E-2</v>
      </c>
      <c r="P684" s="1">
        <v>0.24779695081326558</v>
      </c>
      <c r="R684" s="1">
        <v>4.5998948072823974E-2</v>
      </c>
      <c r="S684" s="2">
        <f t="shared" si="132"/>
        <v>1.3561144095475119</v>
      </c>
      <c r="T684" s="4">
        <f t="shared" si="133"/>
        <v>1.8390462917823969</v>
      </c>
      <c r="U684" s="1">
        <f t="shared" si="125"/>
        <v>1.4945728619945249</v>
      </c>
      <c r="V684" s="6">
        <f>2*sigma/alpha*corel*(B684/12-1/alpha*(1-EXP(-alpha*Output!B684/12)))</f>
        <v>4.19446318204416</v>
      </c>
      <c r="W684" s="5">
        <f t="shared" si="134"/>
        <v>-0.34447342978787199</v>
      </c>
      <c r="X684" s="1">
        <f t="shared" si="135"/>
        <v>94.870394134603316</v>
      </c>
      <c r="Y684" s="3">
        <f t="shared" si="136"/>
        <v>4.944142870402049E-2</v>
      </c>
      <c r="Z684" s="1">
        <f t="shared" si="126"/>
        <v>0.18108372580780144</v>
      </c>
      <c r="AA684" s="8">
        <f t="shared" si="131"/>
        <v>56.000000000000497</v>
      </c>
      <c r="AB684" s="1">
        <v>56.08</v>
      </c>
      <c r="AC684" s="1">
        <v>2.5174200000000001E-2</v>
      </c>
      <c r="AD684" s="8">
        <f t="shared" si="127"/>
        <v>2.9790374631771463</v>
      </c>
      <c r="AE684" s="3">
        <f t="shared" si="128"/>
        <v>1.1833692682099715E-2</v>
      </c>
      <c r="AF684" s="11">
        <f t="shared" si="129"/>
        <v>56.000000000000497</v>
      </c>
      <c r="AG684" s="1">
        <f t="shared" si="130"/>
        <v>0.18108372580780144</v>
      </c>
    </row>
    <row r="685" spans="2:33" ht="15">
      <c r="B685" s="1">
        <v>674</v>
      </c>
      <c r="C685" s="1">
        <v>1.001195840937025</v>
      </c>
      <c r="D685" s="1">
        <v>1.2943560514157932</v>
      </c>
      <c r="E685" s="1">
        <v>0.77112880103665593</v>
      </c>
      <c r="G685" s="1">
        <v>1.0036705717269891</v>
      </c>
      <c r="H685" s="1">
        <v>8.2806761825176185</v>
      </c>
      <c r="I685" s="1">
        <v>8.707843329791691E-2</v>
      </c>
      <c r="K685" s="1">
        <v>1.0010828727486296</v>
      </c>
      <c r="L685" s="1">
        <v>3.7477555955697173</v>
      </c>
      <c r="M685" s="1">
        <v>0.2318710642261404</v>
      </c>
      <c r="O685" s="1">
        <v>2.4873603507725259E-2</v>
      </c>
      <c r="P685" s="1">
        <v>0.24732119635763125</v>
      </c>
      <c r="R685" s="1">
        <v>4.603647219447092E-2</v>
      </c>
      <c r="S685" s="2">
        <f t="shared" si="132"/>
        <v>1.358378303050171</v>
      </c>
      <c r="T685" s="4">
        <f t="shared" si="133"/>
        <v>1.8451916141974622</v>
      </c>
      <c r="U685" s="1">
        <f t="shared" si="125"/>
        <v>1.4990791885284716</v>
      </c>
      <c r="V685" s="6">
        <f>2*sigma/alpha*corel*(B685/12-1/alpha*(1-EXP(-alpha*Output!B685/12)))</f>
        <v>4.2041524441749445</v>
      </c>
      <c r="W685" s="5">
        <f t="shared" si="134"/>
        <v>-0.3461124256689907</v>
      </c>
      <c r="X685" s="1">
        <f t="shared" si="135"/>
        <v>95.434822740828736</v>
      </c>
      <c r="Y685" s="3">
        <f t="shared" si="136"/>
        <v>4.953936828616777E-2</v>
      </c>
      <c r="Z685" s="1">
        <f t="shared" si="126"/>
        <v>0.18125141714526125</v>
      </c>
      <c r="AA685" s="8">
        <f t="shared" si="131"/>
        <v>56.083333333333833</v>
      </c>
      <c r="AB685" s="1">
        <v>56.17</v>
      </c>
      <c r="AC685" s="1">
        <v>2.5172300000000002E-2</v>
      </c>
      <c r="AD685" s="8">
        <f t="shared" si="127"/>
        <v>2.9869649227474286</v>
      </c>
      <c r="AE685" s="3">
        <f t="shared" si="128"/>
        <v>1.1866078676749556E-2</v>
      </c>
      <c r="AF685" s="11">
        <f t="shared" si="129"/>
        <v>56.083333333333833</v>
      </c>
      <c r="AG685" s="1">
        <f t="shared" si="130"/>
        <v>0.18125141714526125</v>
      </c>
    </row>
    <row r="686" spans="2:33" ht="15">
      <c r="B686" s="1">
        <v>675</v>
      </c>
      <c r="C686" s="1">
        <v>1.0011987356388952</v>
      </c>
      <c r="D686" s="1">
        <v>1.2909797249314332</v>
      </c>
      <c r="E686" s="1">
        <v>0.77314272015540486</v>
      </c>
      <c r="G686" s="1">
        <v>1.0037572440215436</v>
      </c>
      <c r="H686" s="1">
        <v>8.0873277164406208</v>
      </c>
      <c r="I686" s="1">
        <v>8.911703299905846E-2</v>
      </c>
      <c r="K686" s="1">
        <v>1.0010650970772239</v>
      </c>
      <c r="L686" s="1">
        <v>3.7829162154834215</v>
      </c>
      <c r="M686" s="1">
        <v>0.2296680673553391</v>
      </c>
      <c r="O686" s="1">
        <v>2.4870830724516103E-2</v>
      </c>
      <c r="P686" s="1">
        <v>0.24684757743172295</v>
      </c>
      <c r="R686" s="1">
        <v>4.6081901270878786E-2</v>
      </c>
      <c r="S686" s="2">
        <f t="shared" si="132"/>
        <v>1.3607250710920764</v>
      </c>
      <c r="T686" s="4">
        <f t="shared" si="133"/>
        <v>1.8515727190985365</v>
      </c>
      <c r="U686" s="1">
        <f t="shared" si="125"/>
        <v>1.5035902362257783</v>
      </c>
      <c r="V686" s="6">
        <f>2*sigma/alpha*corel*(B686/12-1/alpha*(1-EXP(-alpha*Output!B686/12)))</f>
        <v>4.2138467805741335</v>
      </c>
      <c r="W686" s="5">
        <f t="shared" si="134"/>
        <v>-0.34798248287275824</v>
      </c>
      <c r="X686" s="1">
        <f t="shared" si="135"/>
        <v>96.052563336525594</v>
      </c>
      <c r="Y686" s="3">
        <f t="shared" si="136"/>
        <v>4.9660392755753138E-2</v>
      </c>
      <c r="Z686" s="1">
        <f t="shared" si="126"/>
        <v>0.18143000947894353</v>
      </c>
      <c r="AA686" s="8">
        <f t="shared" si="131"/>
        <v>56.166666666667169</v>
      </c>
      <c r="AB686" s="1">
        <v>56.25</v>
      </c>
      <c r="AC686" s="1">
        <v>2.51703E-2</v>
      </c>
      <c r="AD686" s="8">
        <f t="shared" si="127"/>
        <v>2.9946927548389626</v>
      </c>
      <c r="AE686" s="3">
        <f t="shared" si="128"/>
        <v>1.1897723725338842E-2</v>
      </c>
      <c r="AF686" s="11">
        <f t="shared" si="129"/>
        <v>56.166666666667169</v>
      </c>
      <c r="AG686" s="1">
        <f t="shared" si="130"/>
        <v>0.18143000947894353</v>
      </c>
    </row>
    <row r="687" spans="2:33" ht="15">
      <c r="B687" s="1">
        <v>676</v>
      </c>
      <c r="C687" s="1">
        <v>1.001200574968854</v>
      </c>
      <c r="D687" s="1">
        <v>1.284863350294573</v>
      </c>
      <c r="E687" s="1">
        <v>0.77682028740431641</v>
      </c>
      <c r="G687" s="1">
        <v>1.003831464125903</v>
      </c>
      <c r="H687" s="1">
        <v>7.7471784863018414</v>
      </c>
      <c r="I687" s="1">
        <v>9.2984711887860977E-2</v>
      </c>
      <c r="K687" s="1">
        <v>1.0010772683595399</v>
      </c>
      <c r="L687" s="1">
        <v>3.7997139135069196</v>
      </c>
      <c r="M687" s="1">
        <v>0.22860512442513006</v>
      </c>
      <c r="O687" s="1">
        <v>2.4868067271849342E-2</v>
      </c>
      <c r="P687" s="1">
        <v>0.24637484984148192</v>
      </c>
      <c r="R687" s="1">
        <v>4.6158014172124749E-2</v>
      </c>
      <c r="S687" s="2">
        <f t="shared" si="132"/>
        <v>1.3634059702358508</v>
      </c>
      <c r="T687" s="4">
        <f t="shared" si="133"/>
        <v>1.8588758396747616</v>
      </c>
      <c r="U687" s="1">
        <f t="shared" si="125"/>
        <v>1.5081059948470423</v>
      </c>
      <c r="V687" s="6">
        <f>2*sigma/alpha*corel*(B687/12-1/alpha*(1-EXP(-alpha*Output!B687/12)))</f>
        <v>4.2235461775905092</v>
      </c>
      <c r="W687" s="5">
        <f t="shared" si="134"/>
        <v>-0.35076984482771922</v>
      </c>
      <c r="X687" s="1">
        <f t="shared" si="135"/>
        <v>96.878480682085467</v>
      </c>
      <c r="Y687" s="3">
        <f t="shared" si="136"/>
        <v>4.9874027948190396E-2</v>
      </c>
      <c r="Z687" s="1">
        <f t="shared" si="126"/>
        <v>0.18165295475317184</v>
      </c>
      <c r="AA687" s="8">
        <f t="shared" si="131"/>
        <v>56.250000000000504</v>
      </c>
      <c r="AB687" s="1">
        <v>56.33</v>
      </c>
      <c r="AC687" s="1">
        <v>2.51684E-2</v>
      </c>
      <c r="AD687" s="8">
        <f t="shared" si="127"/>
        <v>3.0033272815065821</v>
      </c>
      <c r="AE687" s="3">
        <f t="shared" si="128"/>
        <v>1.1932928916842478E-2</v>
      </c>
      <c r="AF687" s="11">
        <f t="shared" si="129"/>
        <v>56.250000000000504</v>
      </c>
      <c r="AG687" s="1">
        <f t="shared" si="130"/>
        <v>0.18165295475317184</v>
      </c>
    </row>
    <row r="688" spans="2:33" ht="15">
      <c r="B688" s="1">
        <v>677</v>
      </c>
      <c r="C688" s="1">
        <v>1.0011981636518008</v>
      </c>
      <c r="D688" s="1">
        <v>1.2887938416326827</v>
      </c>
      <c r="E688" s="1">
        <v>0.77444834120426687</v>
      </c>
      <c r="G688" s="1">
        <v>1.0035424437878129</v>
      </c>
      <c r="H688" s="1">
        <v>7.9540533717690893</v>
      </c>
      <c r="I688" s="1">
        <v>9.05223790400944E-2</v>
      </c>
      <c r="K688" s="1">
        <v>1.0010155033531301</v>
      </c>
      <c r="L688" s="1">
        <v>3.6920059188898313</v>
      </c>
      <c r="M688" s="1">
        <v>0.23522527987511399</v>
      </c>
      <c r="O688" s="1">
        <v>2.4865258232841955E-2</v>
      </c>
      <c r="P688" s="1">
        <v>0.24590377323096385</v>
      </c>
      <c r="R688" s="1">
        <v>4.6175046700085383E-2</v>
      </c>
      <c r="S688" s="2">
        <f t="shared" si="132"/>
        <v>1.3654484346701625</v>
      </c>
      <c r="T688" s="4">
        <f t="shared" si="133"/>
        <v>1.8644494277431971</v>
      </c>
      <c r="U688" s="1">
        <f t="shared" si="125"/>
        <v>1.5126264541671806</v>
      </c>
      <c r="V688" s="6">
        <f>2*sigma/alpha*corel*(B688/12-1/alpha*(1-EXP(-alpha*Output!B688/12)))</f>
        <v>4.2332506216095771</v>
      </c>
      <c r="W688" s="5">
        <f t="shared" si="134"/>
        <v>-0.35182297357601655</v>
      </c>
      <c r="X688" s="1">
        <f t="shared" si="135"/>
        <v>97.31512852901227</v>
      </c>
      <c r="Y688" s="3">
        <f t="shared" si="136"/>
        <v>4.9910715818658552E-2</v>
      </c>
      <c r="Z688" s="1">
        <f t="shared" si="126"/>
        <v>0.18179067097772728</v>
      </c>
      <c r="AA688" s="8">
        <f t="shared" si="131"/>
        <v>56.33333333333384</v>
      </c>
      <c r="AB688" s="1">
        <v>56.42</v>
      </c>
      <c r="AC688" s="1">
        <v>2.5166500000000001E-2</v>
      </c>
      <c r="AD688" s="8">
        <f t="shared" si="127"/>
        <v>3.0124176715804611</v>
      </c>
      <c r="AE688" s="3">
        <f t="shared" si="128"/>
        <v>1.1969950813901262E-2</v>
      </c>
      <c r="AF688" s="11">
        <f t="shared" si="129"/>
        <v>56.33333333333384</v>
      </c>
      <c r="AG688" s="1">
        <f t="shared" si="130"/>
        <v>0.18179067097772728</v>
      </c>
    </row>
    <row r="689" spans="2:33" ht="15">
      <c r="B689" s="1">
        <v>678</v>
      </c>
      <c r="C689" s="1">
        <v>1.0012045215825265</v>
      </c>
      <c r="D689" s="1">
        <v>1.2875282579475866</v>
      </c>
      <c r="E689" s="1">
        <v>0.77520673998475931</v>
      </c>
      <c r="G689" s="1">
        <v>1.0039533784117078</v>
      </c>
      <c r="H689" s="1">
        <v>7.8789128627940492</v>
      </c>
      <c r="I689" s="1">
        <v>9.1341367474870525E-2</v>
      </c>
      <c r="K689" s="1">
        <v>1.0009403118547977</v>
      </c>
      <c r="L689" s="1">
        <v>3.7085984942038022</v>
      </c>
      <c r="M689" s="1">
        <v>0.23412408154313488</v>
      </c>
      <c r="O689" s="1">
        <v>2.4862436513142412E-2</v>
      </c>
      <c r="P689" s="1">
        <v>0.24543388808275846</v>
      </c>
      <c r="R689" s="1">
        <v>4.6148945761736719E-2</v>
      </c>
      <c r="S689" s="2">
        <f t="shared" si="132"/>
        <v>1.3670241604392099</v>
      </c>
      <c r="T689" s="4">
        <f t="shared" si="133"/>
        <v>1.8687550552245267</v>
      </c>
      <c r="U689" s="1">
        <f t="shared" si="125"/>
        <v>1.5171516039754587</v>
      </c>
      <c r="V689" s="6">
        <f>2*sigma/alpha*corel*(B689/12-1/alpha*(1-EXP(-alpha*Output!B689/12)))</f>
        <v>4.2429600990534739</v>
      </c>
      <c r="W689" s="5">
        <f t="shared" si="134"/>
        <v>-0.351603451249068</v>
      </c>
      <c r="X689" s="1">
        <f t="shared" si="135"/>
        <v>97.465090384449226</v>
      </c>
      <c r="Y689" s="3">
        <f t="shared" si="136"/>
        <v>4.9818414642959642E-2</v>
      </c>
      <c r="Z689" s="1">
        <f t="shared" si="126"/>
        <v>0.18186618902901805</v>
      </c>
      <c r="AA689" s="8">
        <f t="shared" si="131"/>
        <v>56.416666666667176</v>
      </c>
      <c r="AB689" s="1">
        <v>56.5</v>
      </c>
      <c r="AC689" s="1">
        <v>2.5164599999999999E-2</v>
      </c>
      <c r="AD689" s="8">
        <f t="shared" si="127"/>
        <v>3.0216348685758661</v>
      </c>
      <c r="AE689" s="3">
        <f t="shared" si="128"/>
        <v>1.2007482211423452E-2</v>
      </c>
      <c r="AF689" s="11">
        <f t="shared" si="129"/>
        <v>56.416666666667176</v>
      </c>
      <c r="AG689" s="1">
        <f t="shared" si="130"/>
        <v>0.18186618902901805</v>
      </c>
    </row>
    <row r="690" spans="2:33" ht="15">
      <c r="B690" s="1">
        <v>679</v>
      </c>
      <c r="C690" s="1">
        <v>1.0012115244516948</v>
      </c>
      <c r="D690" s="1">
        <v>1.2916800820113656</v>
      </c>
      <c r="E690" s="1">
        <v>0.77271216241422291</v>
      </c>
      <c r="G690" s="1">
        <v>1.0044545040506927</v>
      </c>
      <c r="H690" s="1">
        <v>8.1083118797169718</v>
      </c>
      <c r="I690" s="1">
        <v>8.8714111260665154E-2</v>
      </c>
      <c r="K690" s="1">
        <v>1.0008207188095859</v>
      </c>
      <c r="L690" s="1">
        <v>3.6784646017869007</v>
      </c>
      <c r="M690" s="1">
        <v>0.23599285001652301</v>
      </c>
      <c r="O690" s="1">
        <v>2.4859352326012343E-2</v>
      </c>
      <c r="P690" s="1">
        <v>0.24496865408975813</v>
      </c>
      <c r="R690" s="1">
        <v>4.6152294884816307E-2</v>
      </c>
      <c r="S690" s="2">
        <f t="shared" si="132"/>
        <v>1.3689048738371652</v>
      </c>
      <c r="T690" s="4">
        <f t="shared" si="133"/>
        <v>1.8739005536151452</v>
      </c>
      <c r="U690" s="1">
        <f t="shared" si="125"/>
        <v>1.5216814340755267</v>
      </c>
      <c r="V690" s="6">
        <f>2*sigma/alpha*corel*(B690/12-1/alpha*(1-EXP(-alpha*Output!B690/12)))</f>
        <v>4.2526745963808619</v>
      </c>
      <c r="W690" s="5">
        <f t="shared" si="134"/>
        <v>-0.35221911953961849</v>
      </c>
      <c r="X690" s="1">
        <f t="shared" si="135"/>
        <v>97.804168611836786</v>
      </c>
      <c r="Y690" s="3">
        <f t="shared" si="136"/>
        <v>4.9810819575551252E-2</v>
      </c>
      <c r="Z690" s="1">
        <f t="shared" si="126"/>
        <v>0.18198223967536842</v>
      </c>
      <c r="AA690" s="8">
        <f t="shared" si="131"/>
        <v>56.500000000000512</v>
      </c>
      <c r="AB690" s="1">
        <v>56.58</v>
      </c>
      <c r="AC690" s="1">
        <v>2.51627E-2</v>
      </c>
      <c r="AD690" s="8">
        <f t="shared" si="127"/>
        <v>3.033476739876563</v>
      </c>
      <c r="AE690" s="3">
        <f t="shared" si="128"/>
        <v>1.2055450090318458E-2</v>
      </c>
      <c r="AF690" s="11">
        <f t="shared" si="129"/>
        <v>56.500000000000512</v>
      </c>
      <c r="AG690" s="1">
        <f t="shared" si="130"/>
        <v>0.18198223967536842</v>
      </c>
    </row>
    <row r="691" spans="2:33" ht="15">
      <c r="B691" s="1">
        <v>680</v>
      </c>
      <c r="C691" s="1">
        <v>1.0012131114878067</v>
      </c>
      <c r="D691" s="1">
        <v>1.2928254047971361</v>
      </c>
      <c r="E691" s="1">
        <v>0.77202476561287381</v>
      </c>
      <c r="G691" s="1">
        <v>1.0044756489612521</v>
      </c>
      <c r="H691" s="1">
        <v>8.1705540928260856</v>
      </c>
      <c r="I691" s="1">
        <v>8.7995605586956543E-2</v>
      </c>
      <c r="K691" s="1">
        <v>1.0008325720248274</v>
      </c>
      <c r="L691" s="1">
        <v>3.6448731725069825</v>
      </c>
      <c r="M691" s="1">
        <v>0.23811816499576197</v>
      </c>
      <c r="O691" s="1">
        <v>2.4856288756491832E-2</v>
      </c>
      <c r="P691" s="1">
        <v>0.24450414199532228</v>
      </c>
      <c r="R691" s="1">
        <v>4.6185340296767047E-2</v>
      </c>
      <c r="S691" s="2">
        <f t="shared" si="132"/>
        <v>1.3711102741755823</v>
      </c>
      <c r="T691" s="4">
        <f t="shared" si="133"/>
        <v>1.8799433839498405</v>
      </c>
      <c r="U691" s="1">
        <f t="shared" si="125"/>
        <v>1.5262159342854507</v>
      </c>
      <c r="V691" s="6">
        <f>2*sigma/alpha*corel*(B691/12-1/alpha*(1-EXP(-alpha*Output!B691/12)))</f>
        <v>4.2623941000868317</v>
      </c>
      <c r="W691" s="5">
        <f t="shared" si="134"/>
        <v>-0.35372744966438985</v>
      </c>
      <c r="X691" s="1">
        <f t="shared" si="135"/>
        <v>98.346225388383402</v>
      </c>
      <c r="Y691" s="3">
        <f t="shared" si="136"/>
        <v>4.9893286249165905E-2</v>
      </c>
      <c r="Z691" s="1">
        <f t="shared" si="126"/>
        <v>0.18214135027902856</v>
      </c>
      <c r="AA691" s="8">
        <f t="shared" si="131"/>
        <v>56.583333333333847</v>
      </c>
      <c r="AB691" s="1">
        <v>56.67</v>
      </c>
      <c r="AC691" s="1">
        <v>2.5160800000000001E-2</v>
      </c>
      <c r="AD691" s="8">
        <f t="shared" si="127"/>
        <v>3.0451124350816885</v>
      </c>
      <c r="AE691" s="3">
        <f t="shared" si="128"/>
        <v>1.2102605779950114E-2</v>
      </c>
      <c r="AF691" s="11">
        <f t="shared" si="129"/>
        <v>56.583333333333847</v>
      </c>
      <c r="AG691" s="1">
        <f t="shared" si="130"/>
        <v>0.18214135027902856</v>
      </c>
    </row>
    <row r="692" spans="2:33" ht="15">
      <c r="B692" s="1">
        <v>681</v>
      </c>
      <c r="C692" s="1">
        <v>1.0012120484453952</v>
      </c>
      <c r="D692" s="1">
        <v>1.2924564309763156</v>
      </c>
      <c r="E692" s="1">
        <v>0.77224231461840387</v>
      </c>
      <c r="G692" s="1">
        <v>1.0042820659707132</v>
      </c>
      <c r="H692" s="1">
        <v>8.1481768764046212</v>
      </c>
      <c r="I692" s="1">
        <v>8.8194476545478878E-2</v>
      </c>
      <c r="K692" s="1">
        <v>1.0007406367894853</v>
      </c>
      <c r="L692" s="1">
        <v>3.6048132939333133</v>
      </c>
      <c r="M692" s="1">
        <v>0.24071419105240485</v>
      </c>
      <c r="O692" s="1">
        <v>2.4853189110336623E-2</v>
      </c>
      <c r="P692" s="1">
        <v>0.24404113495626589</v>
      </c>
      <c r="R692" s="1">
        <v>4.6233645680107141E-2</v>
      </c>
      <c r="S692" s="2">
        <f t="shared" si="132"/>
        <v>1.3734815151848261</v>
      </c>
      <c r="T692" s="4">
        <f t="shared" si="133"/>
        <v>1.8864514725544057</v>
      </c>
      <c r="U692" s="1">
        <f t="shared" si="125"/>
        <v>1.5307550944377386</v>
      </c>
      <c r="V692" s="6">
        <f>2*sigma/alpha*corel*(B692/12-1/alpha*(1-EXP(-alpha*Output!B692/12)))</f>
        <v>4.2721185967028106</v>
      </c>
      <c r="W692" s="5">
        <f t="shared" si="134"/>
        <v>-0.3556963781166671</v>
      </c>
      <c r="X692" s="1">
        <f t="shared" si="135"/>
        <v>98.994075136777425</v>
      </c>
      <c r="Y692" s="3">
        <f t="shared" si="136"/>
        <v>5.0021656690124726E-2</v>
      </c>
      <c r="Z692" s="1">
        <f t="shared" si="126"/>
        <v>0.182322339935964</v>
      </c>
      <c r="AA692" s="8">
        <f t="shared" si="131"/>
        <v>56.666666666667183</v>
      </c>
      <c r="AB692" s="1">
        <v>56.75</v>
      </c>
      <c r="AC692" s="1">
        <v>2.5158900000000001E-2</v>
      </c>
      <c r="AD692" s="8">
        <f t="shared" si="127"/>
        <v>3.057108896633784</v>
      </c>
      <c r="AE692" s="3">
        <f t="shared" si="128"/>
        <v>1.2151202543170743E-2</v>
      </c>
      <c r="AF692" s="11">
        <f t="shared" si="129"/>
        <v>56.666666666667183</v>
      </c>
      <c r="AG692" s="1">
        <f t="shared" si="130"/>
        <v>0.182322339935964</v>
      </c>
    </row>
    <row r="693" spans="2:33" ht="15">
      <c r="B693" s="1">
        <v>682</v>
      </c>
      <c r="C693" s="1">
        <v>1.0012050012489773</v>
      </c>
      <c r="D693" s="1">
        <v>1.2959069247839721</v>
      </c>
      <c r="E693" s="1">
        <v>0.77018328817129611</v>
      </c>
      <c r="G693" s="1">
        <v>1.0035800552696312</v>
      </c>
      <c r="H693" s="1">
        <v>8.3380483513725316</v>
      </c>
      <c r="I693" s="1">
        <v>8.6144343266106815E-2</v>
      </c>
      <c r="K693" s="1">
        <v>1.0004957865939275</v>
      </c>
      <c r="L693" s="1">
        <v>3.6107306579848992</v>
      </c>
      <c r="M693" s="1">
        <v>0.24026964065673179</v>
      </c>
      <c r="O693" s="1">
        <v>2.4850132271706859E-2</v>
      </c>
      <c r="P693" s="1">
        <v>0.24357853792708917</v>
      </c>
      <c r="R693" s="1">
        <v>4.6224441797707475E-2</v>
      </c>
      <c r="S693" s="2">
        <f t="shared" si="132"/>
        <v>1.3752305290194775</v>
      </c>
      <c r="T693" s="4">
        <f t="shared" si="133"/>
        <v>1.891259007947192</v>
      </c>
      <c r="U693" s="1">
        <f t="shared" si="125"/>
        <v>1.5352989043793803</v>
      </c>
      <c r="V693" s="6">
        <f>2*sigma/alpha*corel*(B693/12-1/alpha*(1-EXP(-alpha*Output!B693/12)))</f>
        <v>4.2818480727964552</v>
      </c>
      <c r="W693" s="5">
        <f t="shared" si="134"/>
        <v>-0.35596010356781171</v>
      </c>
      <c r="X693" s="1">
        <f t="shared" si="135"/>
        <v>99.255819796259914</v>
      </c>
      <c r="Y693" s="3">
        <f t="shared" si="136"/>
        <v>4.9978358645533294E-2</v>
      </c>
      <c r="Z693" s="1">
        <f t="shared" si="126"/>
        <v>0.18242062547122048</v>
      </c>
      <c r="AA693" s="8">
        <f t="shared" si="131"/>
        <v>56.750000000000519</v>
      </c>
      <c r="AB693" s="1">
        <v>56.83</v>
      </c>
      <c r="AC693" s="1">
        <v>2.5156999999999999E-2</v>
      </c>
      <c r="AD693" s="8">
        <f t="shared" si="127"/>
        <v>3.0686772829313993</v>
      </c>
      <c r="AE693" s="3">
        <f t="shared" si="128"/>
        <v>1.219810503212386E-2</v>
      </c>
      <c r="AF693" s="11">
        <f t="shared" si="129"/>
        <v>56.750000000000519</v>
      </c>
      <c r="AG693" s="1">
        <f t="shared" si="130"/>
        <v>0.18242062547122048</v>
      </c>
    </row>
    <row r="694" spans="2:33" ht="15">
      <c r="B694" s="1">
        <v>683</v>
      </c>
      <c r="C694" s="1">
        <v>1.001204650307447</v>
      </c>
      <c r="D694" s="1">
        <v>1.2956294970057551</v>
      </c>
      <c r="E694" s="1">
        <v>0.77034535321853415</v>
      </c>
      <c r="G694" s="1">
        <v>1.0034507646177702</v>
      </c>
      <c r="H694" s="1">
        <v>8.3174627216282637</v>
      </c>
      <c r="I694" s="1">
        <v>8.6315670337736933E-2</v>
      </c>
      <c r="K694" s="1">
        <v>1.0003438357139629</v>
      </c>
      <c r="L694" s="1">
        <v>3.5533894553271823</v>
      </c>
      <c r="M694" s="1">
        <v>0.24409602382639561</v>
      </c>
      <c r="O694" s="1">
        <v>2.4847258672684395E-2</v>
      </c>
      <c r="P694" s="1">
        <v>0.24311440609682089</v>
      </c>
      <c r="R694" s="1">
        <v>4.6261479641722454E-2</v>
      </c>
      <c r="S694" s="2">
        <f t="shared" si="132"/>
        <v>1.377494915099885</v>
      </c>
      <c r="T694" s="4">
        <f t="shared" si="133"/>
        <v>1.8974922411260393</v>
      </c>
      <c r="U694" s="1">
        <f t="shared" si="125"/>
        <v>1.5398473539718673</v>
      </c>
      <c r="V694" s="6">
        <f>2*sigma/alpha*corel*(B694/12-1/alpha*(1-EXP(-alpha*Output!B694/12)))</f>
        <v>4.2915825149715632</v>
      </c>
      <c r="W694" s="5">
        <f t="shared" si="134"/>
        <v>-0.35764488715417198</v>
      </c>
      <c r="X694" s="1">
        <f t="shared" si="135"/>
        <v>99.841499791576126</v>
      </c>
      <c r="Y694" s="3">
        <f t="shared" si="136"/>
        <v>5.0077505111214504E-2</v>
      </c>
      <c r="Z694" s="1">
        <f t="shared" si="126"/>
        <v>0.18258717765198418</v>
      </c>
      <c r="AA694" s="8">
        <f t="shared" si="131"/>
        <v>56.833333333333854</v>
      </c>
      <c r="AB694" s="1">
        <v>56.92</v>
      </c>
      <c r="AC694" s="1">
        <v>2.51551E-2</v>
      </c>
      <c r="AD694" s="8">
        <f t="shared" si="127"/>
        <v>3.0784132731560483</v>
      </c>
      <c r="AE694" s="3">
        <f t="shared" si="128"/>
        <v>1.2237730214374215E-2</v>
      </c>
      <c r="AF694" s="11">
        <f t="shared" si="129"/>
        <v>56.833333333333854</v>
      </c>
      <c r="AG694" s="1">
        <f t="shared" si="130"/>
        <v>0.18258717765198418</v>
      </c>
    </row>
    <row r="695" spans="2:33" ht="15">
      <c r="B695" s="1">
        <v>684</v>
      </c>
      <c r="C695" s="1">
        <v>1.0012066472664407</v>
      </c>
      <c r="D695" s="1">
        <v>1.2929381310062285</v>
      </c>
      <c r="E695" s="1">
        <v>0.77194603464364298</v>
      </c>
      <c r="G695" s="1">
        <v>1.0035100859656214</v>
      </c>
      <c r="H695" s="1">
        <v>8.1590822112945638</v>
      </c>
      <c r="I695" s="1">
        <v>8.7948520220929735E-2</v>
      </c>
      <c r="K695" s="1">
        <v>1.0002882970020635</v>
      </c>
      <c r="L695" s="1">
        <v>3.5955949429540555</v>
      </c>
      <c r="M695" s="1">
        <v>0.2411805467549763</v>
      </c>
      <c r="O695" s="1">
        <v>2.4844375351352414E-2</v>
      </c>
      <c r="P695" s="1">
        <v>0.24265140934048574</v>
      </c>
      <c r="R695" s="1">
        <v>4.6332310945718991E-2</v>
      </c>
      <c r="S695" s="2">
        <f t="shared" si="132"/>
        <v>1.380130098725276</v>
      </c>
      <c r="T695" s="4">
        <f t="shared" si="133"/>
        <v>1.9047590894074402</v>
      </c>
      <c r="U695" s="1">
        <f t="shared" si="125"/>
        <v>1.5444004330912331</v>
      </c>
      <c r="V695" s="6">
        <f>2*sigma/alpha*corel*(B695/12-1/alpha*(1-EXP(-alpha*Output!B695/12)))</f>
        <v>4.3013219098679691</v>
      </c>
      <c r="W695" s="5">
        <f t="shared" si="134"/>
        <v>-0.36035865631620712</v>
      </c>
      <c r="X695" s="1">
        <f t="shared" si="135"/>
        <v>100.66314381240545</v>
      </c>
      <c r="Y695" s="3">
        <f t="shared" si="136"/>
        <v>5.0278776248252943E-2</v>
      </c>
      <c r="Z695" s="1">
        <f t="shared" si="126"/>
        <v>0.18280269727210013</v>
      </c>
      <c r="AA695" s="8">
        <f t="shared" si="131"/>
        <v>56.91666666666719</v>
      </c>
      <c r="AB695" s="1">
        <v>57</v>
      </c>
      <c r="AC695" s="1">
        <v>2.5153200000000001E-2</v>
      </c>
      <c r="AD695" s="8">
        <f t="shared" si="127"/>
        <v>3.0882464864758625</v>
      </c>
      <c r="AE695" s="3">
        <f t="shared" si="128"/>
        <v>1.2277747906731003E-2</v>
      </c>
      <c r="AF695" s="11">
        <f t="shared" si="129"/>
        <v>56.91666666666719</v>
      </c>
      <c r="AG695" s="1">
        <f t="shared" si="130"/>
        <v>0.18280269727210013</v>
      </c>
    </row>
    <row r="696" spans="2:33" ht="15">
      <c r="B696" s="1">
        <v>685</v>
      </c>
      <c r="C696" s="1">
        <v>1.0012082807775982</v>
      </c>
      <c r="D696" s="1">
        <v>1.2957809293821689</v>
      </c>
      <c r="E696" s="1">
        <v>0.77024961280455384</v>
      </c>
      <c r="G696" s="1">
        <v>1.0035175561077598</v>
      </c>
      <c r="H696" s="1">
        <v>8.314574787859101</v>
      </c>
      <c r="I696" s="1">
        <v>8.6261922875345232E-2</v>
      </c>
      <c r="K696" s="1">
        <v>1.0002446731768189</v>
      </c>
      <c r="L696" s="1">
        <v>3.5192481689297264</v>
      </c>
      <c r="M696" s="1">
        <v>0.24636140090940248</v>
      </c>
      <c r="O696" s="1">
        <v>2.4841381547304656E-2</v>
      </c>
      <c r="P696" s="1">
        <v>0.24219093814459217</v>
      </c>
      <c r="R696" s="1">
        <v>4.6332631295825093E-2</v>
      </c>
      <c r="S696" s="2">
        <f t="shared" si="132"/>
        <v>1.3819902612712693</v>
      </c>
      <c r="T696" s="4">
        <f t="shared" si="133"/>
        <v>1.9098970822486312</v>
      </c>
      <c r="U696" s="1">
        <f t="shared" si="125"/>
        <v>1.5489581316280714</v>
      </c>
      <c r="V696" s="6">
        <f>2*sigma/alpha*corel*(B696/12-1/alpha*(1-EXP(-alpha*Output!B696/12)))</f>
        <v>4.3110662441614522</v>
      </c>
      <c r="W696" s="5">
        <f t="shared" si="134"/>
        <v>-0.36093895062055981</v>
      </c>
      <c r="X696" s="1">
        <f t="shared" si="135"/>
        <v>100.99968588657615</v>
      </c>
      <c r="Y696" s="3">
        <f t="shared" si="136"/>
        <v>5.026680656251404E-2</v>
      </c>
      <c r="Z696" s="1">
        <f t="shared" si="126"/>
        <v>0.18291542055247401</v>
      </c>
      <c r="AA696" s="8">
        <f t="shared" si="131"/>
        <v>57.000000000000526</v>
      </c>
      <c r="AB696" s="1">
        <v>57.08</v>
      </c>
      <c r="AC696" s="1">
        <v>2.5151300000000001E-2</v>
      </c>
      <c r="AD696" s="8">
        <f t="shared" si="127"/>
        <v>3.0991845269534579</v>
      </c>
      <c r="AE696" s="3">
        <f t="shared" si="128"/>
        <v>1.2322164369052327E-2</v>
      </c>
      <c r="AF696" s="11">
        <f t="shared" si="129"/>
        <v>57.000000000000526</v>
      </c>
      <c r="AG696" s="1">
        <f t="shared" si="130"/>
        <v>0.18291542055247401</v>
      </c>
    </row>
    <row r="697" spans="2:33" ht="15">
      <c r="B697" s="1">
        <v>686</v>
      </c>
      <c r="C697" s="1">
        <v>1.0012096280121929</v>
      </c>
      <c r="D697" s="1">
        <v>1.2938122334133204</v>
      </c>
      <c r="E697" s="1">
        <v>0.77141877658420421</v>
      </c>
      <c r="G697" s="1">
        <v>1.0035273589827869</v>
      </c>
      <c r="H697" s="1">
        <v>8.1956224219109579</v>
      </c>
      <c r="I697" s="1">
        <v>8.747149882842907E-2</v>
      </c>
      <c r="K697" s="1">
        <v>1.0003521627203826</v>
      </c>
      <c r="L697" s="1">
        <v>3.4639905141011917</v>
      </c>
      <c r="M697" s="1">
        <v>0.25023922494035916</v>
      </c>
      <c r="O697" s="1">
        <v>2.4838356963690848E-2</v>
      </c>
      <c r="P697" s="1">
        <v>0.24173188672769166</v>
      </c>
      <c r="R697" s="1">
        <v>4.6310177701703287E-2</v>
      </c>
      <c r="S697" s="2">
        <f t="shared" si="132"/>
        <v>1.383599691946314</v>
      </c>
      <c r="T697" s="4">
        <f t="shared" si="133"/>
        <v>1.914348107553935</v>
      </c>
      <c r="U697" s="1">
        <f t="shared" ref="U697:U731" si="137">sigma*sigma/alpha/alpha*(B697/12+2/alpha*EXP(-alpha*B697/12)-1/2/alpha*EXP(-2*alpha*B697/12)-3/2/alpha)</f>
        <v>1.553520439487575</v>
      </c>
      <c r="V697" s="6">
        <f>2*sigma/alpha*corel*(B697/12-1/alpha*(1-EXP(-alpha*Output!B697/12)))</f>
        <v>4.3208155045636341</v>
      </c>
      <c r="W697" s="5">
        <f t="shared" si="134"/>
        <v>-0.36082766806636002</v>
      </c>
      <c r="X697" s="1">
        <f t="shared" si="135"/>
        <v>101.17870672231848</v>
      </c>
      <c r="Y697" s="3">
        <f t="shared" si="136"/>
        <v>5.0186126929188404E-2</v>
      </c>
      <c r="Z697" s="1">
        <f t="shared" si="126"/>
        <v>0.18299491497757256</v>
      </c>
      <c r="AA697" s="8">
        <f t="shared" si="131"/>
        <v>57.083333333333862</v>
      </c>
      <c r="AB697" s="1">
        <v>57.17</v>
      </c>
      <c r="AC697" s="1">
        <v>2.5149500000000002E-2</v>
      </c>
      <c r="AD697" s="8">
        <f t="shared" si="127"/>
        <v>3.1114303630915345</v>
      </c>
      <c r="AE697" s="3">
        <f t="shared" si="128"/>
        <v>1.2371738456396884E-2</v>
      </c>
      <c r="AF697" s="11">
        <f t="shared" si="129"/>
        <v>57.083333333333862</v>
      </c>
      <c r="AG697" s="1">
        <f t="shared" si="130"/>
        <v>0.18299491497757256</v>
      </c>
    </row>
    <row r="698" spans="2:33" ht="15">
      <c r="B698" s="1">
        <v>687</v>
      </c>
      <c r="C698" s="1">
        <v>1.0012121807220109</v>
      </c>
      <c r="D698" s="1">
        <v>1.291965966090997</v>
      </c>
      <c r="E698" s="1">
        <v>0.77251828826275692</v>
      </c>
      <c r="G698" s="1">
        <v>1.0035557493790186</v>
      </c>
      <c r="H698" s="1">
        <v>8.096582887445976</v>
      </c>
      <c r="I698" s="1">
        <v>8.84985333603132E-2</v>
      </c>
      <c r="K698" s="1">
        <v>1.0002819259811768</v>
      </c>
      <c r="L698" s="1">
        <v>3.458015779908258</v>
      </c>
      <c r="M698" s="1">
        <v>0.25061936860700929</v>
      </c>
      <c r="O698" s="1">
        <v>2.4835493479914081E-2</v>
      </c>
      <c r="P698" s="1">
        <v>0.2412716017774732</v>
      </c>
      <c r="R698" s="1">
        <v>4.6323827014329674E-2</v>
      </c>
      <c r="S698" s="2">
        <f t="shared" si="132"/>
        <v>1.3856145822624988</v>
      </c>
      <c r="T698" s="4">
        <f t="shared" si="133"/>
        <v>1.919927770578479</v>
      </c>
      <c r="U698" s="1">
        <f t="shared" si="137"/>
        <v>1.5580873465895588</v>
      </c>
      <c r="V698" s="6">
        <f>2*sigma/alpha*corel*(B698/12-1/alpha*(1-EXP(-alpha*Output!B698/12)))</f>
        <v>4.3305696778218898</v>
      </c>
      <c r="W698" s="5">
        <f t="shared" si="134"/>
        <v>-0.36184042398892013</v>
      </c>
      <c r="X698" s="1">
        <f t="shared" si="135"/>
        <v>101.61529082793309</v>
      </c>
      <c r="Y698" s="3">
        <f t="shared" si="136"/>
        <v>5.0217216819400945E-2</v>
      </c>
      <c r="Z698" s="1">
        <f t="shared" si="126"/>
        <v>0.18312797780417367</v>
      </c>
      <c r="AA698" s="8">
        <f t="shared" si="131"/>
        <v>57.166666666667197</v>
      </c>
      <c r="AB698" s="1">
        <v>57.25</v>
      </c>
      <c r="AC698" s="1">
        <v>2.5147599999999999E-2</v>
      </c>
      <c r="AD698" s="8">
        <f t="shared" si="127"/>
        <v>3.1210652008591828</v>
      </c>
      <c r="AE698" s="3">
        <f t="shared" si="128"/>
        <v>1.2410986340084871E-2</v>
      </c>
      <c r="AF698" s="11">
        <f t="shared" si="129"/>
        <v>57.166666666667197</v>
      </c>
      <c r="AG698" s="1">
        <f t="shared" si="130"/>
        <v>0.18312797780417367</v>
      </c>
    </row>
    <row r="699" spans="2:33" ht="15">
      <c r="B699" s="1">
        <v>688</v>
      </c>
      <c r="C699" s="1">
        <v>1.0012114292887766</v>
      </c>
      <c r="D699" s="1">
        <v>1.2899803137013268</v>
      </c>
      <c r="E699" s="1">
        <v>0.77370453418536256</v>
      </c>
      <c r="G699" s="1">
        <v>1.0033682750118964</v>
      </c>
      <c r="H699" s="1">
        <v>7.988661008140137</v>
      </c>
      <c r="I699" s="1">
        <v>8.9650594628804481E-2</v>
      </c>
      <c r="K699" s="1">
        <v>1.0005266355938611</v>
      </c>
      <c r="L699" s="1">
        <v>3.5061236873559367</v>
      </c>
      <c r="M699" s="1">
        <v>0.24712910211455574</v>
      </c>
      <c r="O699" s="1">
        <v>2.4832721300476736E-2</v>
      </c>
      <c r="P699" s="1">
        <v>0.24081104759237282</v>
      </c>
      <c r="R699" s="1">
        <v>4.6351677472862243E-2</v>
      </c>
      <c r="S699" s="2">
        <f t="shared" si="132"/>
        <v>1.387792009973609</v>
      </c>
      <c r="T699" s="4">
        <f t="shared" si="133"/>
        <v>1.9259666629465895</v>
      </c>
      <c r="U699" s="1">
        <f t="shared" si="137"/>
        <v>1.5626588428684902</v>
      </c>
      <c r="V699" s="6">
        <f>2*sigma/alpha*corel*(B699/12-1/alpha*(1-EXP(-alpha*Output!B699/12)))</f>
        <v>4.3403287507192454</v>
      </c>
      <c r="W699" s="5">
        <f t="shared" si="134"/>
        <v>-0.36330782007809925</v>
      </c>
      <c r="X699" s="1">
        <f t="shared" si="135"/>
        <v>102.15704706889751</v>
      </c>
      <c r="Y699" s="3">
        <f t="shared" si="136"/>
        <v>5.0293152782019415E-2</v>
      </c>
      <c r="Z699" s="1">
        <f t="shared" si="126"/>
        <v>0.18328240994590847</v>
      </c>
      <c r="AA699" s="8">
        <f t="shared" si="131"/>
        <v>57.250000000000533</v>
      </c>
      <c r="AB699" s="1">
        <v>57.33</v>
      </c>
      <c r="AC699" s="1">
        <v>2.5145799999999999E-2</v>
      </c>
      <c r="AD699" s="8">
        <f t="shared" si="127"/>
        <v>3.1307869952326359</v>
      </c>
      <c r="AE699" s="3">
        <f t="shared" si="128"/>
        <v>1.2450536452340493E-2</v>
      </c>
      <c r="AF699" s="11">
        <f t="shared" si="129"/>
        <v>57.250000000000533</v>
      </c>
      <c r="AG699" s="1">
        <f t="shared" si="130"/>
        <v>0.18328240994590847</v>
      </c>
    </row>
    <row r="700" spans="2:33" ht="15">
      <c r="B700" s="1">
        <v>689</v>
      </c>
      <c r="C700" s="1">
        <v>1.0012150569706721</v>
      </c>
      <c r="D700" s="1">
        <v>1.2857381213732673</v>
      </c>
      <c r="E700" s="1">
        <v>0.7762544156222686</v>
      </c>
      <c r="G700" s="1">
        <v>1.0034914538819062</v>
      </c>
      <c r="H700" s="1">
        <v>7.7514792489791287</v>
      </c>
      <c r="I700" s="1">
        <v>9.2348937675637455E-2</v>
      </c>
      <c r="K700" s="1">
        <v>1.0005925428867941</v>
      </c>
      <c r="L700" s="1">
        <v>3.5267929022912892</v>
      </c>
      <c r="M700" s="1">
        <v>0.24562959272558327</v>
      </c>
      <c r="O700" s="1">
        <v>2.4829932826877392E-2</v>
      </c>
      <c r="P700" s="1">
        <v>0.24035170845367962</v>
      </c>
      <c r="R700" s="1">
        <v>4.6363472347278563E-2</v>
      </c>
      <c r="S700" s="2">
        <f t="shared" si="132"/>
        <v>1.3897933628283561</v>
      </c>
      <c r="T700" s="4">
        <f t="shared" si="133"/>
        <v>1.9315255913617506</v>
      </c>
      <c r="U700" s="1">
        <f t="shared" si="137"/>
        <v>1.5672349182735121</v>
      </c>
      <c r="V700" s="6">
        <f>2*sigma/alpha*corel*(B700/12-1/alpha*(1-EXP(-alpha*Output!B700/12)))</f>
        <v>4.3500927100742848</v>
      </c>
      <c r="W700" s="5">
        <f t="shared" si="134"/>
        <v>-0.36429067308823848</v>
      </c>
      <c r="X700" s="1">
        <f t="shared" si="135"/>
        <v>102.58873117217354</v>
      </c>
      <c r="Y700" s="3">
        <f t="shared" si="136"/>
        <v>5.0320901258680883E-2</v>
      </c>
      <c r="Z700" s="1">
        <f t="shared" si="126"/>
        <v>0.18341347760803817</v>
      </c>
      <c r="AA700" s="8">
        <f t="shared" si="131"/>
        <v>57.333333333333869</v>
      </c>
      <c r="AB700" s="1">
        <v>57.42</v>
      </c>
      <c r="AC700" s="1">
        <v>2.51439E-2</v>
      </c>
      <c r="AD700" s="8">
        <f t="shared" si="127"/>
        <v>3.1396717312260831</v>
      </c>
      <c r="AE700" s="3">
        <f t="shared" si="128"/>
        <v>1.2486812830253394E-2</v>
      </c>
      <c r="AF700" s="11">
        <f t="shared" si="129"/>
        <v>57.333333333333869</v>
      </c>
      <c r="AG700" s="1">
        <f t="shared" si="130"/>
        <v>0.18341347760803817</v>
      </c>
    </row>
    <row r="701" spans="2:33" ht="15">
      <c r="B701" s="1">
        <v>690</v>
      </c>
      <c r="C701" s="1">
        <v>1.0012156647709447</v>
      </c>
      <c r="D701" s="1">
        <v>1.2873124693003339</v>
      </c>
      <c r="E701" s="1">
        <v>0.7753021808142917</v>
      </c>
      <c r="G701" s="1">
        <v>1.0034116938851585</v>
      </c>
      <c r="H701" s="1">
        <v>7.8284140556037949</v>
      </c>
      <c r="I701" s="1">
        <v>9.1397018378582578E-2</v>
      </c>
      <c r="K701" s="1">
        <v>1.0006871312383192</v>
      </c>
      <c r="L701" s="1">
        <v>3.5268800758013259</v>
      </c>
      <c r="M701" s="1">
        <v>0.24557235529357668</v>
      </c>
      <c r="O701" s="1">
        <v>2.4827106808939868E-2</v>
      </c>
      <c r="P701" s="1">
        <v>0.23989387486081973</v>
      </c>
      <c r="R701" s="1">
        <v>4.636481753209782E-2</v>
      </c>
      <c r="S701" s="2">
        <f t="shared" si="132"/>
        <v>1.3916784738933019</v>
      </c>
      <c r="T701" s="4">
        <f t="shared" si="133"/>
        <v>1.9367689746979897</v>
      </c>
      <c r="U701" s="1">
        <f t="shared" si="137"/>
        <v>1.5718155627684787</v>
      </c>
      <c r="V701" s="6">
        <f>2*sigma/alpha*corel*(B701/12-1/alpha*(1-EXP(-alpha*Output!B701/12)))</f>
        <v>4.3598615427410552</v>
      </c>
      <c r="W701" s="5">
        <f t="shared" si="134"/>
        <v>-0.36495341192951103</v>
      </c>
      <c r="X701" s="1">
        <f t="shared" si="135"/>
        <v>102.94767741565995</v>
      </c>
      <c r="Y701" s="3">
        <f t="shared" si="136"/>
        <v>5.0316973445128574E-2</v>
      </c>
      <c r="Z701" s="1">
        <f t="shared" si="126"/>
        <v>0.18352912218609835</v>
      </c>
      <c r="AA701" s="8">
        <f t="shared" si="131"/>
        <v>57.416666666667204</v>
      </c>
      <c r="AB701" s="1">
        <v>57.5</v>
      </c>
      <c r="AC701" s="1">
        <v>2.5142100000000001E-2</v>
      </c>
      <c r="AD701" s="8">
        <f t="shared" si="127"/>
        <v>3.149931910601325</v>
      </c>
      <c r="AE701" s="3">
        <f t="shared" si="128"/>
        <v>1.2528515559962473E-2</v>
      </c>
      <c r="AF701" s="11">
        <f t="shared" si="129"/>
        <v>57.416666666667204</v>
      </c>
      <c r="AG701" s="1">
        <f t="shared" si="130"/>
        <v>0.18352912218609835</v>
      </c>
    </row>
    <row r="702" spans="2:33" ht="15">
      <c r="B702" s="1">
        <v>691</v>
      </c>
      <c r="C702" s="1">
        <v>1.0012184191474993</v>
      </c>
      <c r="D702" s="1">
        <v>1.2882168950496169</v>
      </c>
      <c r="E702" s="1">
        <v>0.77475496176898684</v>
      </c>
      <c r="G702" s="1">
        <v>1.0035519443208021</v>
      </c>
      <c r="H702" s="1">
        <v>7.8775590138060698</v>
      </c>
      <c r="I702" s="1">
        <v>9.0782778898706062E-2</v>
      </c>
      <c r="K702" s="1">
        <v>1.0006457482934807</v>
      </c>
      <c r="L702" s="1">
        <v>3.4674908417185515</v>
      </c>
      <c r="M702" s="1">
        <v>0.24972634880805389</v>
      </c>
      <c r="O702" s="1">
        <v>2.4824320060991334E-2</v>
      </c>
      <c r="P702" s="1">
        <v>0.23943648470953932</v>
      </c>
      <c r="R702" s="1">
        <v>4.6375853558781599E-2</v>
      </c>
      <c r="S702" s="2">
        <f t="shared" si="132"/>
        <v>1.393673698805945</v>
      </c>
      <c r="T702" s="4">
        <f t="shared" si="133"/>
        <v>1.9423263787434439</v>
      </c>
      <c r="U702" s="1">
        <f t="shared" si="137"/>
        <v>1.5764007663319719</v>
      </c>
      <c r="V702" s="6">
        <f>2*sigma/alpha*corel*(B702/12-1/alpha*(1-EXP(-alpha*Output!B702/12)))</f>
        <v>4.3696352356089685</v>
      </c>
      <c r="W702" s="5">
        <f t="shared" si="134"/>
        <v>-0.36592561241147203</v>
      </c>
      <c r="X702" s="1">
        <f t="shared" si="135"/>
        <v>103.37857815105119</v>
      </c>
      <c r="Y702" s="3">
        <f t="shared" si="136"/>
        <v>5.0343476956756145E-2</v>
      </c>
      <c r="Z702" s="1">
        <f t="shared" si="126"/>
        <v>0.18365920645888562</v>
      </c>
      <c r="AA702" s="8">
        <f t="shared" si="131"/>
        <v>57.50000000000054</v>
      </c>
      <c r="AB702" s="1">
        <v>57.58</v>
      </c>
      <c r="AC702" s="1">
        <v>2.5140200000000001E-2</v>
      </c>
      <c r="AD702" s="8">
        <f t="shared" si="127"/>
        <v>3.1587993900866751</v>
      </c>
      <c r="AE702" s="3">
        <f t="shared" si="128"/>
        <v>1.2564734529107464E-2</v>
      </c>
      <c r="AF702" s="11">
        <f t="shared" si="129"/>
        <v>57.50000000000054</v>
      </c>
      <c r="AG702" s="1">
        <f t="shared" si="130"/>
        <v>0.18365920645888562</v>
      </c>
    </row>
    <row r="703" spans="2:33" ht="15">
      <c r="B703" s="1">
        <v>692</v>
      </c>
      <c r="C703" s="1">
        <v>1.0012224347341496</v>
      </c>
      <c r="D703" s="1">
        <v>1.2827900857733567</v>
      </c>
      <c r="E703" s="1">
        <v>0.77802962769478889</v>
      </c>
      <c r="G703" s="1">
        <v>1.0037122026029059</v>
      </c>
      <c r="H703" s="1">
        <v>7.5756517766475939</v>
      </c>
      <c r="I703" s="1">
        <v>9.4354899007320372E-2</v>
      </c>
      <c r="K703" s="1">
        <v>1.0007850119894575</v>
      </c>
      <c r="L703" s="1">
        <v>3.4571091820473727</v>
      </c>
      <c r="M703" s="1">
        <v>0.25042409706860203</v>
      </c>
      <c r="O703" s="1">
        <v>2.4821447821612379E-2</v>
      </c>
      <c r="P703" s="1">
        <v>0.2389812558067668</v>
      </c>
      <c r="R703" s="1">
        <v>4.6449742494327033E-2</v>
      </c>
      <c r="S703" s="2">
        <f t="shared" si="132"/>
        <v>1.3963607606142674</v>
      </c>
      <c r="T703" s="4">
        <f t="shared" si="133"/>
        <v>1.9498233737832553</v>
      </c>
      <c r="U703" s="1">
        <f t="shared" si="137"/>
        <v>1.5809905189573374</v>
      </c>
      <c r="V703" s="6">
        <f>2*sigma/alpha*corel*(B703/12-1/alpha*(1-EXP(-alpha*Output!B703/12)))</f>
        <v>4.3794137756027069</v>
      </c>
      <c r="W703" s="5">
        <f t="shared" si="134"/>
        <v>-0.36883285482591788</v>
      </c>
      <c r="X703" s="1">
        <f t="shared" si="135"/>
        <v>104.25671019778382</v>
      </c>
      <c r="Y703" s="3">
        <f t="shared" si="136"/>
        <v>5.055957006277511E-2</v>
      </c>
      <c r="Z703" s="1">
        <f t="shared" si="126"/>
        <v>0.18388030351117765</v>
      </c>
      <c r="AA703" s="8">
        <f t="shared" si="131"/>
        <v>57.583333333333876</v>
      </c>
      <c r="AB703" s="1">
        <v>57.67</v>
      </c>
      <c r="AC703" s="1">
        <v>2.5138400000000002E-2</v>
      </c>
      <c r="AD703" s="8">
        <f t="shared" si="127"/>
        <v>3.1695217838762293</v>
      </c>
      <c r="AE703" s="3">
        <f t="shared" si="128"/>
        <v>1.2608287655046579E-2</v>
      </c>
      <c r="AF703" s="11">
        <f t="shared" si="129"/>
        <v>57.583333333333876</v>
      </c>
      <c r="AG703" s="1">
        <f t="shared" si="130"/>
        <v>0.18388030351117765</v>
      </c>
    </row>
    <row r="704" spans="2:33" ht="15">
      <c r="B704" s="1">
        <v>693</v>
      </c>
      <c r="C704" s="1">
        <v>1.001222351097576</v>
      </c>
      <c r="D704" s="1">
        <v>1.2861818377820033</v>
      </c>
      <c r="E704" s="1">
        <v>0.77597499865837394</v>
      </c>
      <c r="G704" s="1">
        <v>1.0035814399495617</v>
      </c>
      <c r="H704" s="1">
        <v>7.760591860579054</v>
      </c>
      <c r="I704" s="1">
        <v>9.2061687633110678E-2</v>
      </c>
      <c r="K704" s="1">
        <v>1.0005664497644196</v>
      </c>
      <c r="L704" s="1">
        <v>3.4437120444402085</v>
      </c>
      <c r="M704" s="1">
        <v>0.25134595750154648</v>
      </c>
      <c r="O704" s="1">
        <v>2.4818566859037647E-2</v>
      </c>
      <c r="P704" s="1">
        <v>0.23852712675438775</v>
      </c>
      <c r="R704" s="1">
        <v>4.644287813163505E-2</v>
      </c>
      <c r="S704" s="2">
        <f t="shared" si="132"/>
        <v>1.3981556307906133</v>
      </c>
      <c r="T704" s="4">
        <f t="shared" si="133"/>
        <v>1.9548391679114978</v>
      </c>
      <c r="U704" s="1">
        <f t="shared" si="137"/>
        <v>1.5855848106526997</v>
      </c>
      <c r="V704" s="6">
        <f>2*sigma/alpha*corel*(B704/12-1/alpha*(1-EXP(-alpha*Output!B704/12)))</f>
        <v>4.3891971496821309</v>
      </c>
      <c r="W704" s="5">
        <f t="shared" si="134"/>
        <v>-0.36925435725879807</v>
      </c>
      <c r="X704" s="1">
        <f t="shared" si="135"/>
        <v>104.5628081455601</v>
      </c>
      <c r="Y704" s="3">
        <f t="shared" si="136"/>
        <v>5.0531589487466957E-2</v>
      </c>
      <c r="Z704" s="1">
        <f t="shared" si="126"/>
        <v>0.18398377341924579</v>
      </c>
      <c r="AA704" s="8">
        <f t="shared" si="131"/>
        <v>57.666666666667211</v>
      </c>
      <c r="AB704" s="1">
        <v>57.75</v>
      </c>
      <c r="AC704" s="1">
        <v>2.5136499999999999E-2</v>
      </c>
      <c r="AD704" s="8">
        <f t="shared" si="127"/>
        <v>3.179331409623523</v>
      </c>
      <c r="AE704" s="3">
        <f t="shared" si="128"/>
        <v>1.2648266105557747E-2</v>
      </c>
      <c r="AF704" s="11">
        <f t="shared" si="129"/>
        <v>57.666666666667211</v>
      </c>
      <c r="AG704" s="1">
        <f t="shared" si="130"/>
        <v>0.18398377341924579</v>
      </c>
    </row>
    <row r="705" spans="2:33" ht="15">
      <c r="B705" s="1">
        <v>694</v>
      </c>
      <c r="C705" s="1">
        <v>1.0012255021171443</v>
      </c>
      <c r="D705" s="1">
        <v>1.2878423589177859</v>
      </c>
      <c r="E705" s="1">
        <v>0.77497155958681629</v>
      </c>
      <c r="G705" s="1">
        <v>1.0037794008094305</v>
      </c>
      <c r="H705" s="1">
        <v>7.8516296109518962</v>
      </c>
      <c r="I705" s="1">
        <v>9.0950122347243284E-2</v>
      </c>
      <c r="K705" s="1">
        <v>1.0005612302108906</v>
      </c>
      <c r="L705" s="1">
        <v>3.522180351557862</v>
      </c>
      <c r="M705" s="1">
        <v>0.24569519664509834</v>
      </c>
      <c r="O705" s="1">
        <v>2.4815732192988115E-2</v>
      </c>
      <c r="P705" s="1">
        <v>0.23807333754574805</v>
      </c>
      <c r="R705" s="1">
        <v>4.6449935990533688E-2</v>
      </c>
      <c r="S705" s="2">
        <f t="shared" si="132"/>
        <v>1.4001081818650916</v>
      </c>
      <c r="T705" s="4">
        <f t="shared" si="133"/>
        <v>1.9603029209255722</v>
      </c>
      <c r="U705" s="1">
        <f t="shared" si="137"/>
        <v>1.5901836314410007</v>
      </c>
      <c r="V705" s="6">
        <f>2*sigma/alpha*corel*(B705/12-1/alpha*(1-EXP(-alpha*Output!B705/12)))</f>
        <v>4.3989853448421821</v>
      </c>
      <c r="W705" s="5">
        <f t="shared" si="134"/>
        <v>-0.37011928948457151</v>
      </c>
      <c r="X705" s="1">
        <f t="shared" si="135"/>
        <v>104.97200103156716</v>
      </c>
      <c r="Y705" s="3">
        <f t="shared" si="136"/>
        <v>5.0546966457589368E-2</v>
      </c>
      <c r="Z705" s="1">
        <f t="shared" si="126"/>
        <v>0.18410792416228877</v>
      </c>
      <c r="AA705" s="8">
        <f t="shared" si="131"/>
        <v>57.750000000000547</v>
      </c>
      <c r="AB705" s="1">
        <v>57.83</v>
      </c>
      <c r="AC705" s="1">
        <v>2.5134699999999999E-2</v>
      </c>
      <c r="AD705" s="8">
        <f t="shared" si="127"/>
        <v>3.1896780701188425</v>
      </c>
      <c r="AE705" s="3">
        <f t="shared" si="128"/>
        <v>1.269033674608745E-2</v>
      </c>
      <c r="AF705" s="11">
        <f t="shared" si="129"/>
        <v>57.750000000000547</v>
      </c>
      <c r="AG705" s="1">
        <f t="shared" si="130"/>
        <v>0.18410792416228877</v>
      </c>
    </row>
    <row r="706" spans="2:33" ht="15">
      <c r="B706" s="1">
        <v>695</v>
      </c>
      <c r="C706" s="1">
        <v>1.0012358561171086</v>
      </c>
      <c r="D706" s="1">
        <v>1.2877376287006312</v>
      </c>
      <c r="E706" s="1">
        <v>0.77503167255891381</v>
      </c>
      <c r="G706" s="1">
        <v>1.004564759269494</v>
      </c>
      <c r="H706" s="1">
        <v>7.8424930692962551</v>
      </c>
      <c r="I706" s="1">
        <v>9.1011917064995174E-2</v>
      </c>
      <c r="K706" s="1">
        <v>1.0004702537669188</v>
      </c>
      <c r="L706" s="1">
        <v>3.5240832102185631</v>
      </c>
      <c r="M706" s="1">
        <v>0.24551137794037939</v>
      </c>
      <c r="O706" s="1">
        <v>2.4812803361613962E-2</v>
      </c>
      <c r="P706" s="1">
        <v>0.23762181984156497</v>
      </c>
      <c r="R706" s="1">
        <v>4.6471374234095301E-2</v>
      </c>
      <c r="S706" s="2">
        <f t="shared" si="132"/>
        <v>1.4022162348047347</v>
      </c>
      <c r="T706" s="4">
        <f t="shared" si="133"/>
        <v>1.9662103691499668</v>
      </c>
      <c r="U706" s="1">
        <f t="shared" si="137"/>
        <v>1.5947869713600118</v>
      </c>
      <c r="V706" s="6">
        <f>2*sigma/alpha*corel*(B706/12-1/alpha*(1-EXP(-alpha*Output!B706/12)))</f>
        <v>4.4087783481127873</v>
      </c>
      <c r="W706" s="5">
        <f t="shared" si="134"/>
        <v>-0.37142339778995503</v>
      </c>
      <c r="X706" s="1">
        <f t="shared" si="135"/>
        <v>105.48374701079439</v>
      </c>
      <c r="Y706" s="3">
        <f t="shared" si="136"/>
        <v>5.0605033643436222E-2</v>
      </c>
      <c r="Z706" s="1">
        <f t="shared" si="126"/>
        <v>0.18425242471701733</v>
      </c>
      <c r="AA706" s="8">
        <f t="shared" si="131"/>
        <v>57.833333333333883</v>
      </c>
      <c r="AB706" s="1">
        <v>57.92</v>
      </c>
      <c r="AC706" s="1">
        <v>2.51329E-2</v>
      </c>
      <c r="AD706" s="8">
        <f t="shared" si="127"/>
        <v>3.2009663838603735</v>
      </c>
      <c r="AE706" s="3">
        <f t="shared" si="128"/>
        <v>1.2736160108305741E-2</v>
      </c>
      <c r="AF706" s="11">
        <f t="shared" si="129"/>
        <v>57.833333333333883</v>
      </c>
      <c r="AG706" s="1">
        <f t="shared" si="130"/>
        <v>0.18425242471701733</v>
      </c>
    </row>
    <row r="707" spans="2:33" ht="15">
      <c r="B707" s="1">
        <v>696</v>
      </c>
      <c r="C707" s="1">
        <v>1.0012416820287604</v>
      </c>
      <c r="D707" s="1">
        <v>1.2901098403986986</v>
      </c>
      <c r="E707" s="1">
        <v>0.77360365665928066</v>
      </c>
      <c r="G707" s="1">
        <v>1.0049455235991431</v>
      </c>
      <c r="H707" s="1">
        <v>7.9778422268582139</v>
      </c>
      <c r="I707" s="1">
        <v>8.9424449418168572E-2</v>
      </c>
      <c r="K707" s="1">
        <v>1.0004338498829217</v>
      </c>
      <c r="L707" s="1">
        <v>3.4864234938525409</v>
      </c>
      <c r="M707" s="1">
        <v>0.24811165215877293</v>
      </c>
      <c r="O707" s="1">
        <v>2.4809672343149167E-2</v>
      </c>
      <c r="P707" s="1">
        <v>0.23717405552372478</v>
      </c>
      <c r="R707" s="1">
        <v>4.6475113016187092E-2</v>
      </c>
      <c r="S707" s="2">
        <f t="shared" si="132"/>
        <v>1.4041171479207983</v>
      </c>
      <c r="T707" s="4">
        <f t="shared" si="133"/>
        <v>1.971544965085237</v>
      </c>
      <c r="U707" s="1">
        <f t="shared" si="137"/>
        <v>1.5993948204623705</v>
      </c>
      <c r="V707" s="6">
        <f>2*sigma/alpha*corel*(B707/12-1/alpha*(1-EXP(-alpha*Output!B707/12)))</f>
        <v>4.4185761465587712</v>
      </c>
      <c r="W707" s="5">
        <f t="shared" si="134"/>
        <v>-0.37215014462286655</v>
      </c>
      <c r="X707" s="1">
        <f t="shared" si="135"/>
        <v>105.8626487154432</v>
      </c>
      <c r="Y707" s="3">
        <f t="shared" si="136"/>
        <v>5.0606736760115408E-2</v>
      </c>
      <c r="Z707" s="1">
        <f t="shared" si="126"/>
        <v>0.18436961401064741</v>
      </c>
      <c r="AA707" s="8">
        <f t="shared" si="131"/>
        <v>57.916666666667219</v>
      </c>
      <c r="AB707" s="1">
        <v>58</v>
      </c>
      <c r="AC707" s="1">
        <v>2.51311E-2</v>
      </c>
      <c r="AD707" s="8">
        <f t="shared" si="127"/>
        <v>3.2142765685083328</v>
      </c>
      <c r="AE707" s="3">
        <f t="shared" si="128"/>
        <v>1.2790035328769265E-2</v>
      </c>
      <c r="AF707" s="11">
        <f t="shared" si="129"/>
        <v>57.916666666667219</v>
      </c>
      <c r="AG707" s="1">
        <f t="shared" si="130"/>
        <v>0.18436961401064741</v>
      </c>
    </row>
    <row r="708" spans="2:33" ht="15">
      <c r="B708" s="1">
        <v>697</v>
      </c>
      <c r="C708" s="1">
        <v>1.0012391977948707</v>
      </c>
      <c r="D708" s="1">
        <v>1.2895307944208771</v>
      </c>
      <c r="E708" s="1">
        <v>0.77394811459052981</v>
      </c>
      <c r="G708" s="1">
        <v>1.004603390160332</v>
      </c>
      <c r="H708" s="1">
        <v>7.9349181579766297</v>
      </c>
      <c r="I708" s="1">
        <v>8.9864585770592836E-2</v>
      </c>
      <c r="K708" s="1">
        <v>1.000318008235958</v>
      </c>
      <c r="L708" s="1">
        <v>3.4794339756466117</v>
      </c>
      <c r="M708" s="1">
        <v>0.24855827268253172</v>
      </c>
      <c r="O708" s="1">
        <v>2.4806493955198402E-2</v>
      </c>
      <c r="P708" s="1">
        <v>0.23672790981352351</v>
      </c>
      <c r="R708" s="1">
        <v>4.6496713917053283E-2</v>
      </c>
      <c r="S708" s="2">
        <f t="shared" si="132"/>
        <v>1.4062153525630505</v>
      </c>
      <c r="T708" s="4">
        <f t="shared" si="133"/>
        <v>1.9774416177840244</v>
      </c>
      <c r="U708" s="1">
        <f t="shared" si="137"/>
        <v>1.604007168815591</v>
      </c>
      <c r="V708" s="6">
        <f>2*sigma/alpha*corel*(B708/12-1/alpha*(1-EXP(-alpha*Output!B708/12)))</f>
        <v>4.4283787272797541</v>
      </c>
      <c r="W708" s="5">
        <f t="shared" si="134"/>
        <v>-0.37343444896843336</v>
      </c>
      <c r="X708" s="1">
        <f t="shared" si="135"/>
        <v>106.37180846255654</v>
      </c>
      <c r="Y708" s="3">
        <f t="shared" si="136"/>
        <v>5.0662486851717953E-2</v>
      </c>
      <c r="Z708" s="1">
        <f t="shared" si="126"/>
        <v>0.18451261718806683</v>
      </c>
      <c r="AA708" s="8">
        <f t="shared" si="131"/>
        <v>58.000000000000554</v>
      </c>
      <c r="AB708" s="1">
        <v>58.08</v>
      </c>
      <c r="AC708" s="1">
        <v>2.51293E-2</v>
      </c>
      <c r="AD708" s="8">
        <f t="shared" si="127"/>
        <v>3.2280604480159831</v>
      </c>
      <c r="AE708" s="3">
        <f t="shared" si="128"/>
        <v>1.2845803297409728E-2</v>
      </c>
      <c r="AF708" s="11">
        <f t="shared" si="129"/>
        <v>58.000000000000554</v>
      </c>
      <c r="AG708" s="1">
        <f t="shared" si="130"/>
        <v>0.18451261718806683</v>
      </c>
    </row>
    <row r="709" spans="2:33" ht="15">
      <c r="B709" s="1">
        <v>698</v>
      </c>
      <c r="C709" s="1">
        <v>1.0012411537584893</v>
      </c>
      <c r="D709" s="1">
        <v>1.2869859681856175</v>
      </c>
      <c r="E709" s="1">
        <v>0.77547555595812734</v>
      </c>
      <c r="G709" s="1">
        <v>1.0046682831163354</v>
      </c>
      <c r="H709" s="1">
        <v>7.7990716686228252</v>
      </c>
      <c r="I709" s="1">
        <v>9.1385528058819498E-2</v>
      </c>
      <c r="K709" s="1">
        <v>1.0001790269678577</v>
      </c>
      <c r="L709" s="1">
        <v>3.5286703808789248</v>
      </c>
      <c r="M709" s="1">
        <v>0.24503902294858979</v>
      </c>
      <c r="O709" s="1">
        <v>2.4803437726453728E-2</v>
      </c>
      <c r="P709" s="1">
        <v>0.23628104958669147</v>
      </c>
      <c r="R709" s="1">
        <v>4.6522205386542802E-2</v>
      </c>
      <c r="S709" s="2">
        <f t="shared" si="132"/>
        <v>1.4083654500066036</v>
      </c>
      <c r="T709" s="4">
        <f t="shared" si="133"/>
        <v>1.9834932407723032</v>
      </c>
      <c r="U709" s="1">
        <f t="shared" si="137"/>
        <v>1.608624006502098</v>
      </c>
      <c r="V709" s="6">
        <f>2*sigma/alpha*corel*(B709/12-1/alpha*(1-EXP(-alpha*Output!B709/12)))</f>
        <v>4.4381860774100605</v>
      </c>
      <c r="W709" s="5">
        <f t="shared" si="134"/>
        <v>-0.37486923427020513</v>
      </c>
      <c r="X709" s="1">
        <f t="shared" si="135"/>
        <v>106.9170708312509</v>
      </c>
      <c r="Y709" s="3">
        <f t="shared" si="136"/>
        <v>5.0732536209570467E-2</v>
      </c>
      <c r="Z709" s="1">
        <f t="shared" si="126"/>
        <v>0.18466231431579011</v>
      </c>
      <c r="AA709" s="8">
        <f t="shared" si="131"/>
        <v>58.08333333333389</v>
      </c>
      <c r="AB709" s="1">
        <v>58.17</v>
      </c>
      <c r="AC709" s="1">
        <v>2.5127500000000001E-2</v>
      </c>
      <c r="AD709" s="8">
        <f t="shared" si="127"/>
        <v>3.2406227354627242</v>
      </c>
      <c r="AE709" s="3">
        <f t="shared" si="128"/>
        <v>1.2896717681674358E-2</v>
      </c>
      <c r="AF709" s="11">
        <f t="shared" si="129"/>
        <v>58.08333333333389</v>
      </c>
      <c r="AG709" s="1">
        <f t="shared" si="130"/>
        <v>0.18466231431579011</v>
      </c>
    </row>
    <row r="710" spans="2:33" ht="15">
      <c r="B710" s="1">
        <v>699</v>
      </c>
      <c r="C710" s="1">
        <v>1.0012349356887256</v>
      </c>
      <c r="D710" s="1">
        <v>1.2900274689769702</v>
      </c>
      <c r="E710" s="1">
        <v>0.77364429075658336</v>
      </c>
      <c r="G710" s="1">
        <v>1.0040459919295945</v>
      </c>
      <c r="H710" s="1">
        <v>7.9712275300584636</v>
      </c>
      <c r="I710" s="1">
        <v>8.9368493628658299E-2</v>
      </c>
      <c r="K710" s="1">
        <v>1.0002050454254157</v>
      </c>
      <c r="L710" s="1">
        <v>3.4837142047737557</v>
      </c>
      <c r="M710" s="1">
        <v>0.24814946710122002</v>
      </c>
      <c r="O710" s="1">
        <v>2.4800491426855944E-2</v>
      </c>
      <c r="P710" s="1">
        <v>0.23583364286914826</v>
      </c>
      <c r="R710" s="1">
        <v>4.6464719029747359E-2</v>
      </c>
      <c r="S710" s="2">
        <f t="shared" si="132"/>
        <v>1.4095953374133321</v>
      </c>
      <c r="T710" s="4">
        <f t="shared" si="133"/>
        <v>1.9869590152574055</v>
      </c>
      <c r="U710" s="1">
        <f t="shared" si="137"/>
        <v>1.613245323619255</v>
      </c>
      <c r="V710" s="6">
        <f>2*sigma/alpha*corel*(B710/12-1/alpha*(1-EXP(-alpha*Output!B710/12)))</f>
        <v>4.4479981841186333</v>
      </c>
      <c r="W710" s="5">
        <f t="shared" si="134"/>
        <v>-0.37371369163815049</v>
      </c>
      <c r="X710" s="1">
        <f t="shared" si="135"/>
        <v>106.85997799761172</v>
      </c>
      <c r="Y710" s="3">
        <f t="shared" si="136"/>
        <v>5.055203273836692E-2</v>
      </c>
      <c r="Z710" s="1">
        <f t="shared" si="126"/>
        <v>0.18469132189169415</v>
      </c>
      <c r="AA710" s="8">
        <f t="shared" si="131"/>
        <v>58.166666666667226</v>
      </c>
      <c r="AB710" s="1">
        <v>58.25</v>
      </c>
      <c r="AC710" s="1">
        <v>2.5125700000000001E-2</v>
      </c>
      <c r="AD710" s="8">
        <f t="shared" si="127"/>
        <v>3.2520857314405696</v>
      </c>
      <c r="AE710" s="3">
        <f t="shared" si="128"/>
        <v>1.2943264193397874E-2</v>
      </c>
      <c r="AF710" s="11">
        <f t="shared" si="129"/>
        <v>58.166666666667226</v>
      </c>
      <c r="AG710" s="1">
        <f t="shared" si="130"/>
        <v>0.18469132189169415</v>
      </c>
    </row>
    <row r="711" spans="2:33" ht="15">
      <c r="B711" s="1">
        <v>700</v>
      </c>
      <c r="C711" s="1">
        <v>1.0012359492895488</v>
      </c>
      <c r="D711" s="1">
        <v>1.2908548177070904</v>
      </c>
      <c r="E711" s="1">
        <v>0.77314551217689076</v>
      </c>
      <c r="G711" s="1">
        <v>1.0040241167342627</v>
      </c>
      <c r="H711" s="1">
        <v>8.0188364312843952</v>
      </c>
      <c r="I711" s="1">
        <v>8.8794812287522021E-2</v>
      </c>
      <c r="K711" s="1">
        <v>1.0001347853968134</v>
      </c>
      <c r="L711" s="1">
        <v>3.5011577123288191</v>
      </c>
      <c r="M711" s="1">
        <v>0.24686169899080967</v>
      </c>
      <c r="O711" s="1">
        <v>2.479764997590897E-2</v>
      </c>
      <c r="P711" s="1">
        <v>0.23538575925522751</v>
      </c>
      <c r="R711" s="1">
        <v>4.6497190393539924E-2</v>
      </c>
      <c r="S711" s="2">
        <f t="shared" si="132"/>
        <v>1.4118378626193981</v>
      </c>
      <c r="T711" s="4">
        <f t="shared" si="133"/>
        <v>1.9932861503257104</v>
      </c>
      <c r="U711" s="1">
        <f t="shared" si="137"/>
        <v>1.6178711102793693</v>
      </c>
      <c r="V711" s="6">
        <f>2*sigma/alpha*corel*(B711/12-1/alpha*(1-EXP(-alpha*Output!B711/12)))</f>
        <v>4.4578150346089274</v>
      </c>
      <c r="W711" s="5">
        <f t="shared" si="134"/>
        <v>-0.37541504004634119</v>
      </c>
      <c r="X711" s="1">
        <f t="shared" si="135"/>
        <v>107.46895756026501</v>
      </c>
      <c r="Y711" s="3">
        <f t="shared" si="136"/>
        <v>5.0647787439376118E-2</v>
      </c>
      <c r="Z711" s="1">
        <f t="shared" si="126"/>
        <v>0.18485296784165875</v>
      </c>
      <c r="AA711" s="8">
        <f t="shared" si="131"/>
        <v>58.250000000000561</v>
      </c>
      <c r="AB711" s="1">
        <v>58.33</v>
      </c>
      <c r="AC711" s="1">
        <v>2.5123900000000001E-2</v>
      </c>
      <c r="AD711" s="8">
        <f t="shared" si="127"/>
        <v>3.2625002409103141</v>
      </c>
      <c r="AE711" s="3">
        <f t="shared" si="128"/>
        <v>1.2985644111425035E-2</v>
      </c>
      <c r="AF711" s="11">
        <f t="shared" si="129"/>
        <v>58.250000000000561</v>
      </c>
      <c r="AG711" s="1">
        <f t="shared" si="130"/>
        <v>0.18485296784165875</v>
      </c>
    </row>
    <row r="712" spans="2:33" ht="15">
      <c r="B712" s="1">
        <v>701</v>
      </c>
      <c r="C712" s="1">
        <v>1.0012380142487243</v>
      </c>
      <c r="D712" s="1">
        <v>1.2842742108091763</v>
      </c>
      <c r="E712" s="1">
        <v>0.77710415591861981</v>
      </c>
      <c r="G712" s="1">
        <v>1.0040367514138333</v>
      </c>
      <c r="H712" s="1">
        <v>7.6581807218200826</v>
      </c>
      <c r="I712" s="1">
        <v>9.2931434306824406E-2</v>
      </c>
      <c r="K712" s="1">
        <v>0.99999516191875959</v>
      </c>
      <c r="L712" s="1">
        <v>3.5217922723291801</v>
      </c>
      <c r="M712" s="1">
        <v>0.24536418699736048</v>
      </c>
      <c r="O712" s="1">
        <v>2.479486204071861E-2</v>
      </c>
      <c r="P712" s="1">
        <v>0.23493810303343754</v>
      </c>
      <c r="R712" s="1">
        <v>4.6467904424016271E-2</v>
      </c>
      <c r="S712" s="2">
        <f t="shared" si="132"/>
        <v>1.4133923612724761</v>
      </c>
      <c r="T712" s="4">
        <f t="shared" si="133"/>
        <v>1.9976779669033857</v>
      </c>
      <c r="U712" s="1">
        <f t="shared" si="137"/>
        <v>1.6225013566097288</v>
      </c>
      <c r="V712" s="6">
        <f>2*sigma/alpha*corel*(B712/12-1/alpha*(1-EXP(-alpha*Output!B712/12)))</f>
        <v>4.4676366161188277</v>
      </c>
      <c r="W712" s="5">
        <f t="shared" si="134"/>
        <v>-0.3751766102936569</v>
      </c>
      <c r="X712" s="1">
        <f t="shared" si="135"/>
        <v>107.62604487230351</v>
      </c>
      <c r="Y712" s="3">
        <f t="shared" si="136"/>
        <v>5.0556297032773645E-2</v>
      </c>
      <c r="Z712" s="1">
        <f t="shared" si="126"/>
        <v>0.18492445773408736</v>
      </c>
      <c r="AA712" s="8">
        <f t="shared" si="131"/>
        <v>58.333333333333897</v>
      </c>
      <c r="AB712" s="1">
        <v>58.42</v>
      </c>
      <c r="AC712" s="1">
        <v>2.5122100000000001E-2</v>
      </c>
      <c r="AD712" s="8">
        <f t="shared" si="127"/>
        <v>3.2723795928139148</v>
      </c>
      <c r="AE712" s="3">
        <f t="shared" si="128"/>
        <v>1.3025899876260004E-2</v>
      </c>
      <c r="AF712" s="11">
        <f t="shared" si="129"/>
        <v>58.333333333333897</v>
      </c>
      <c r="AG712" s="1">
        <f t="shared" si="130"/>
        <v>0.18492445773408736</v>
      </c>
    </row>
    <row r="713" spans="2:33" ht="15">
      <c r="B713" s="1">
        <v>702</v>
      </c>
      <c r="C713" s="1">
        <v>1.0012396179527054</v>
      </c>
      <c r="D713" s="1">
        <v>1.2884303435649023</v>
      </c>
      <c r="E713" s="1">
        <v>0.77459448582018076</v>
      </c>
      <c r="G713" s="1">
        <v>1.0040905154918911</v>
      </c>
      <c r="H713" s="1">
        <v>7.8752864497590256</v>
      </c>
      <c r="I713" s="1">
        <v>9.0325670167144601E-2</v>
      </c>
      <c r="K713" s="1">
        <v>1.0000199900265676</v>
      </c>
      <c r="L713" s="1">
        <v>3.5255394934321567</v>
      </c>
      <c r="M713" s="1">
        <v>0.24505233668136872</v>
      </c>
      <c r="O713" s="1">
        <v>2.4792096794063197E-2</v>
      </c>
      <c r="P713" s="1">
        <v>0.23449109588586006</v>
      </c>
      <c r="R713" s="1">
        <v>4.6465407991372644E-2</v>
      </c>
      <c r="S713" s="2">
        <f t="shared" si="132"/>
        <v>1.4152490346097373</v>
      </c>
      <c r="T713" s="4">
        <f t="shared" si="133"/>
        <v>2.0029298299637932</v>
      </c>
      <c r="U713" s="1">
        <f t="shared" si="137"/>
        <v>1.6271360527526211</v>
      </c>
      <c r="V713" s="6">
        <f>2*sigma/alpha*corel*(B713/12-1/alpha*(1-EXP(-alpha*Output!B713/12)))</f>
        <v>4.4774629159205555</v>
      </c>
      <c r="W713" s="5">
        <f t="shared" si="134"/>
        <v>-0.37579377721117213</v>
      </c>
      <c r="X713" s="1">
        <f t="shared" si="135"/>
        <v>107.98341803085808</v>
      </c>
      <c r="Y713" s="3">
        <f t="shared" si="136"/>
        <v>5.0547385457308747E-2</v>
      </c>
      <c r="Z713" s="1">
        <f t="shared" si="126"/>
        <v>0.18503544728380514</v>
      </c>
      <c r="AA713" s="8">
        <f t="shared" si="131"/>
        <v>58.416666666667233</v>
      </c>
      <c r="AB713" s="1">
        <v>58.5</v>
      </c>
      <c r="AC713" s="1">
        <v>2.5120300000000002E-2</v>
      </c>
      <c r="AD713" s="8">
        <f t="shared" si="127"/>
        <v>3.2820320593680492</v>
      </c>
      <c r="AE713" s="3">
        <f t="shared" si="128"/>
        <v>1.3065258214941894E-2</v>
      </c>
      <c r="AF713" s="11">
        <f t="shared" si="129"/>
        <v>58.416666666667233</v>
      </c>
      <c r="AG713" s="1">
        <f t="shared" si="130"/>
        <v>0.18503544728380514</v>
      </c>
    </row>
    <row r="714" spans="2:33" ht="15">
      <c r="B714" s="1">
        <v>703</v>
      </c>
      <c r="C714" s="1">
        <v>1.0012394892006626</v>
      </c>
      <c r="D714" s="1">
        <v>1.2834343748300034</v>
      </c>
      <c r="E714" s="1">
        <v>0.77760676127296346</v>
      </c>
      <c r="G714" s="1">
        <v>1.0039387006288141</v>
      </c>
      <c r="H714" s="1">
        <v>7.6043128195963821</v>
      </c>
      <c r="I714" s="1">
        <v>9.3498980798620165E-2</v>
      </c>
      <c r="K714" s="1">
        <v>0.99993682106021409</v>
      </c>
      <c r="L714" s="1">
        <v>3.5231685335626275</v>
      </c>
      <c r="M714" s="1">
        <v>0.2451661659773213</v>
      </c>
      <c r="O714" s="1">
        <v>2.4789398715657208E-2</v>
      </c>
      <c r="P714" s="1">
        <v>0.23404412615451561</v>
      </c>
      <c r="R714" s="1">
        <v>4.6430051185778788E-2</v>
      </c>
      <c r="S714" s="2">
        <f t="shared" si="132"/>
        <v>1.4167403073790978</v>
      </c>
      <c r="T714" s="4">
        <f t="shared" si="133"/>
        <v>2.0071530985526205</v>
      </c>
      <c r="U714" s="1">
        <f t="shared" si="137"/>
        <v>1.631775188865358</v>
      </c>
      <c r="V714" s="6">
        <f>2*sigma/alpha*corel*(B714/12-1/alpha*(1-EXP(-alpha*Output!B714/12)))</f>
        <v>4.4872939213205667</v>
      </c>
      <c r="W714" s="5">
        <f t="shared" si="134"/>
        <v>-0.37537790968726248</v>
      </c>
      <c r="X714" s="1">
        <f t="shared" si="135"/>
        <v>108.09936357303567</v>
      </c>
      <c r="Y714" s="3">
        <f t="shared" si="136"/>
        <v>5.0439178866144685E-2</v>
      </c>
      <c r="Z714" s="1">
        <f t="shared" si="126"/>
        <v>0.1850986326691163</v>
      </c>
      <c r="AA714" s="8">
        <f t="shared" si="131"/>
        <v>58.500000000000568</v>
      </c>
      <c r="AB714" s="1">
        <v>58.58</v>
      </c>
      <c r="AC714" s="1">
        <v>2.5118499999999998E-2</v>
      </c>
      <c r="AD714" s="8">
        <f t="shared" si="127"/>
        <v>3.2910128434279069</v>
      </c>
      <c r="AE714" s="3">
        <f t="shared" si="128"/>
        <v>1.3101948139530256E-2</v>
      </c>
      <c r="AF714" s="11">
        <f t="shared" si="129"/>
        <v>58.500000000000568</v>
      </c>
      <c r="AG714" s="1">
        <f t="shared" si="130"/>
        <v>0.1850986326691163</v>
      </c>
    </row>
    <row r="715" spans="2:33" ht="15">
      <c r="B715" s="1">
        <v>704</v>
      </c>
      <c r="C715" s="1">
        <v>1.0012376288277851</v>
      </c>
      <c r="D715" s="1">
        <v>1.2801129805809619</v>
      </c>
      <c r="E715" s="1">
        <v>0.77962138160323213</v>
      </c>
      <c r="G715" s="1">
        <v>1.0036602578370393</v>
      </c>
      <c r="H715" s="1">
        <v>7.4243071851280948</v>
      </c>
      <c r="I715" s="1">
        <v>9.5719454582088942E-2</v>
      </c>
      <c r="K715" s="1">
        <v>0.99999900279292597</v>
      </c>
      <c r="L715" s="1">
        <v>3.5474947592860797</v>
      </c>
      <c r="M715" s="1">
        <v>0.2434342680140911</v>
      </c>
      <c r="O715" s="1">
        <v>2.4786712955534911E-2</v>
      </c>
      <c r="P715" s="1">
        <v>0.23359794463350486</v>
      </c>
      <c r="R715" s="1">
        <v>4.6325733530084505E-2</v>
      </c>
      <c r="S715" s="2">
        <f t="shared" si="132"/>
        <v>1.4174537371421259</v>
      </c>
      <c r="T715" s="4">
        <f t="shared" si="133"/>
        <v>2.0091750969381788</v>
      </c>
      <c r="U715" s="1">
        <f t="shared" si="137"/>
        <v>1.6364187551202851</v>
      </c>
      <c r="V715" s="6">
        <f>2*sigma/alpha*corel*(B715/12-1/alpha*(1-EXP(-alpha*Output!B715/12)))</f>
        <v>4.4971296196594732</v>
      </c>
      <c r="W715" s="5">
        <f t="shared" si="134"/>
        <v>-0.37275634181789363</v>
      </c>
      <c r="X715" s="1">
        <f t="shared" si="135"/>
        <v>107.69766302928426</v>
      </c>
      <c r="Y715" s="3">
        <f t="shared" si="136"/>
        <v>5.0118910542443711E-2</v>
      </c>
      <c r="Z715" s="1">
        <f t="shared" si="126"/>
        <v>0.18506026799050887</v>
      </c>
      <c r="AA715" s="8">
        <f t="shared" si="131"/>
        <v>58.583333333333904</v>
      </c>
      <c r="AB715" s="1">
        <v>58.67</v>
      </c>
      <c r="AC715" s="1">
        <v>2.5116699999999999E-2</v>
      </c>
      <c r="AD715" s="8">
        <f t="shared" si="127"/>
        <v>3.2998704446508818</v>
      </c>
      <c r="AE715" s="3">
        <f t="shared" si="128"/>
        <v>1.3138152880955229E-2</v>
      </c>
      <c r="AF715" s="11">
        <f t="shared" si="129"/>
        <v>58.583333333333904</v>
      </c>
      <c r="AG715" s="1">
        <f t="shared" si="130"/>
        <v>0.18506026799050887</v>
      </c>
    </row>
    <row r="716" spans="2:33" ht="15">
      <c r="B716" s="1">
        <v>705</v>
      </c>
      <c r="C716" s="1">
        <v>1.0012410050777172</v>
      </c>
      <c r="D716" s="1">
        <v>1.2798146418770051</v>
      </c>
      <c r="E716" s="1">
        <v>0.77980014942958775</v>
      </c>
      <c r="G716" s="1">
        <v>1.0038320755434822</v>
      </c>
      <c r="H716" s="1">
        <v>7.4059554561114895</v>
      </c>
      <c r="I716" s="1">
        <v>9.5910100878413798E-2</v>
      </c>
      <c r="K716" s="1">
        <v>1.0000966161029168</v>
      </c>
      <c r="L716" s="1">
        <v>3.6912041934296935</v>
      </c>
      <c r="M716" s="1">
        <v>0.23390792013426362</v>
      </c>
      <c r="O716" s="1">
        <v>2.4784168945231194E-2</v>
      </c>
      <c r="P716" s="1">
        <v>0.23315077643636772</v>
      </c>
      <c r="R716" s="1">
        <v>4.6383945018443368E-2</v>
      </c>
      <c r="S716" s="2">
        <f t="shared" si="132"/>
        <v>1.4200090444701055</v>
      </c>
      <c r="T716" s="4">
        <f t="shared" si="133"/>
        <v>2.0164256863769019</v>
      </c>
      <c r="U716" s="1">
        <f t="shared" si="137"/>
        <v>1.6410667417048177</v>
      </c>
      <c r="V716" s="6">
        <f>2*sigma/alpha*corel*(B716/12-1/alpha*(1-EXP(-alpha*Output!B716/12)))</f>
        <v>4.5069699983119396</v>
      </c>
      <c r="W716" s="5">
        <f t="shared" si="134"/>
        <v>-0.37535894467208419</v>
      </c>
      <c r="X716" s="1">
        <f t="shared" si="135"/>
        <v>108.52213056362372</v>
      </c>
      <c r="Y716" s="3">
        <f t="shared" si="136"/>
        <v>5.0301494268702868E-2</v>
      </c>
      <c r="Z716" s="1">
        <f t="shared" si="126"/>
        <v>0.18526235273952874</v>
      </c>
      <c r="AA716" s="8">
        <f t="shared" si="131"/>
        <v>58.66666666666724</v>
      </c>
      <c r="AB716" s="1">
        <v>58.75</v>
      </c>
      <c r="AC716" s="1">
        <v>2.5114999999999998E-2</v>
      </c>
      <c r="AD716" s="8">
        <f t="shared" si="127"/>
        <v>3.3083105476880426</v>
      </c>
      <c r="AE716" s="3">
        <f t="shared" si="128"/>
        <v>1.31726480099066E-2</v>
      </c>
      <c r="AF716" s="11">
        <f t="shared" si="129"/>
        <v>58.66666666666724</v>
      </c>
      <c r="AG716" s="1">
        <f t="shared" si="130"/>
        <v>0.18526235273952874</v>
      </c>
    </row>
    <row r="717" spans="2:33" ht="15">
      <c r="B717" s="1">
        <v>706</v>
      </c>
      <c r="C717" s="1">
        <v>1.0012468939463532</v>
      </c>
      <c r="D717" s="1">
        <v>1.2787589640073886</v>
      </c>
      <c r="E717" s="1">
        <v>0.78044093593198183</v>
      </c>
      <c r="G717" s="1">
        <v>1.0042134152349227</v>
      </c>
      <c r="H717" s="1">
        <v>7.3424810069212176</v>
      </c>
      <c r="I717" s="1">
        <v>9.6692303174249788E-2</v>
      </c>
      <c r="K717" s="1">
        <v>1.0002127694915328</v>
      </c>
      <c r="L717" s="1">
        <v>3.7286907623667709</v>
      </c>
      <c r="M717" s="1">
        <v>0.2315080799169105</v>
      </c>
      <c r="O717" s="1">
        <v>2.4781495399548784E-2</v>
      </c>
      <c r="P717" s="1">
        <v>0.23270633635223545</v>
      </c>
      <c r="R717" s="1">
        <v>4.6402049249526414E-2</v>
      </c>
      <c r="S717" s="2">
        <f t="shared" si="132"/>
        <v>1.4221057610297632</v>
      </c>
      <c r="T717" s="4">
        <f t="shared" si="133"/>
        <v>2.0223847955540419</v>
      </c>
      <c r="U717" s="1">
        <f t="shared" si="137"/>
        <v>1.6457191388214543</v>
      </c>
      <c r="V717" s="6">
        <f>2*sigma/alpha*corel*(B717/12-1/alpha*(1-EXP(-alpha*Output!B717/12)))</f>
        <v>4.5168150446865969</v>
      </c>
      <c r="W717" s="5">
        <f t="shared" si="134"/>
        <v>-0.37666565673258767</v>
      </c>
      <c r="X717" s="1">
        <f t="shared" si="135"/>
        <v>109.04360269897614</v>
      </c>
      <c r="Y717" s="3">
        <f t="shared" si="136"/>
        <v>5.0359032118920913E-2</v>
      </c>
      <c r="Z717" s="1">
        <f t="shared" ref="Z717:Z731" si="138">S717/SQRT(B717/12)</f>
        <v>0.18540445622751506</v>
      </c>
      <c r="AA717" s="8">
        <f t="shared" si="131"/>
        <v>58.750000000000576</v>
      </c>
      <c r="AB717" s="1">
        <v>58.83</v>
      </c>
      <c r="AC717" s="1">
        <v>2.5113199999999999E-2</v>
      </c>
      <c r="AD717" s="8">
        <f t="shared" ref="AD717:AD731" si="139">(AC717-O717)*10000</f>
        <v>3.3170460045121515</v>
      </c>
      <c r="AE717" s="3">
        <f t="shared" ref="AE717:AE731" si="140">AD717/AC717/10000</f>
        <v>1.3208376489305033E-2</v>
      </c>
      <c r="AF717" s="11">
        <f t="shared" ref="AF717:AF731" si="141">AA717</f>
        <v>58.750000000000576</v>
      </c>
      <c r="AG717" s="1">
        <f t="shared" ref="AG717:AG731" si="142">Z717</f>
        <v>0.18540445622751506</v>
      </c>
    </row>
    <row r="718" spans="2:33" ht="15">
      <c r="B718" s="1">
        <v>707</v>
      </c>
      <c r="C718" s="1">
        <v>1.0012473439032541</v>
      </c>
      <c r="D718" s="1">
        <v>1.2804221476530604</v>
      </c>
      <c r="E718" s="1">
        <v>0.77942421806500928</v>
      </c>
      <c r="G718" s="1">
        <v>1.0041534724678345</v>
      </c>
      <c r="H718" s="1">
        <v>7.4282914652431478</v>
      </c>
      <c r="I718" s="1">
        <v>9.5528969391878285E-2</v>
      </c>
      <c r="K718" s="1">
        <v>1.0003725096878899</v>
      </c>
      <c r="L718" s="1">
        <v>3.787534804775273</v>
      </c>
      <c r="M718" s="1">
        <v>0.22786383874193358</v>
      </c>
      <c r="O718" s="1">
        <v>2.4778733952845678E-2</v>
      </c>
      <c r="P718" s="1">
        <v>0.23226404982348886</v>
      </c>
      <c r="R718" s="1">
        <v>4.6495016668888188E-2</v>
      </c>
      <c r="S718" s="2">
        <f t="shared" si="132"/>
        <v>1.4250471549242849</v>
      </c>
      <c r="T718" s="4">
        <f t="shared" si="133"/>
        <v>2.030759393757799</v>
      </c>
      <c r="U718" s="1">
        <f t="shared" si="137"/>
        <v>1.6503759366877944</v>
      </c>
      <c r="V718" s="6">
        <f>2*sigma/alpha*corel*(B718/12-1/alpha*(1-EXP(-alpha*Output!B718/12)))</f>
        <v>4.5266647462259524</v>
      </c>
      <c r="W718" s="5">
        <f t="shared" si="134"/>
        <v>-0.38038345707000465</v>
      </c>
      <c r="X718" s="1">
        <f t="shared" si="135"/>
        <v>110.13439510755595</v>
      </c>
      <c r="Y718" s="3">
        <f t="shared" si="136"/>
        <v>5.0646354866010698E-2</v>
      </c>
      <c r="Z718" s="1">
        <f t="shared" si="138"/>
        <v>0.18565649687097166</v>
      </c>
      <c r="AA718" s="8">
        <f t="shared" ref="AA718:AA731" si="143">AA717+1/12</f>
        <v>58.833333333333911</v>
      </c>
      <c r="AB718" s="1">
        <v>58.92</v>
      </c>
      <c r="AC718" s="1">
        <v>2.5111399999999999E-2</v>
      </c>
      <c r="AD718" s="8">
        <f t="shared" si="139"/>
        <v>3.3266604715432093</v>
      </c>
      <c r="AE718" s="3">
        <f t="shared" si="140"/>
        <v>1.3247610533634961E-2</v>
      </c>
      <c r="AF718" s="11">
        <f t="shared" si="141"/>
        <v>58.833333333333911</v>
      </c>
      <c r="AG718" s="1">
        <f t="shared" si="142"/>
        <v>0.18565649687097166</v>
      </c>
    </row>
    <row r="719" spans="2:33" ht="15">
      <c r="B719" s="1">
        <v>708</v>
      </c>
      <c r="C719" s="1">
        <v>1.0012411959921117</v>
      </c>
      <c r="D719" s="1">
        <v>1.2773359806781668</v>
      </c>
      <c r="E719" s="1">
        <v>0.78130439499004689</v>
      </c>
      <c r="G719" s="1">
        <v>1.0035387075611109</v>
      </c>
      <c r="H719" s="1">
        <v>7.2682554493418134</v>
      </c>
      <c r="I719" s="1">
        <v>9.7585015527416052E-2</v>
      </c>
      <c r="K719" s="1">
        <v>1.0002194202656698</v>
      </c>
      <c r="L719" s="1">
        <v>3.7795063721992554</v>
      </c>
      <c r="M719" s="1">
        <v>0.22830029992966561</v>
      </c>
      <c r="O719" s="1">
        <v>2.4776044164666739E-2</v>
      </c>
      <c r="P719" s="1">
        <v>0.23182173049783233</v>
      </c>
      <c r="R719" s="1">
        <v>4.6485550364930947E-2</v>
      </c>
      <c r="S719" s="2">
        <f t="shared" si="132"/>
        <v>1.4268342762868584</v>
      </c>
      <c r="T719" s="4">
        <f t="shared" si="133"/>
        <v>2.035856051987043</v>
      </c>
      <c r="U719" s="1">
        <f t="shared" si="137"/>
        <v>1.6550371255365639</v>
      </c>
      <c r="V719" s="6">
        <f>2*sigma/alpha*corel*(B719/12-1/alpha*(1-EXP(-alpha*Output!B719/12)))</f>
        <v>4.5365190904062977</v>
      </c>
      <c r="W719" s="5">
        <f t="shared" si="134"/>
        <v>-0.3808189264504791</v>
      </c>
      <c r="X719" s="1">
        <f t="shared" si="135"/>
        <v>110.45327209993386</v>
      </c>
      <c r="Y719" s="3">
        <f t="shared" si="136"/>
        <v>5.0619966744374405E-2</v>
      </c>
      <c r="Z719" s="1">
        <f t="shared" si="138"/>
        <v>0.18575800057989808</v>
      </c>
      <c r="AA719" s="8">
        <f t="shared" si="143"/>
        <v>58.916666666667247</v>
      </c>
      <c r="AB719" s="1">
        <v>59</v>
      </c>
      <c r="AC719" s="1">
        <v>2.5109699999999999E-2</v>
      </c>
      <c r="AD719" s="8">
        <f t="shared" si="139"/>
        <v>3.3365583533325958</v>
      </c>
      <c r="AE719" s="3">
        <f t="shared" si="140"/>
        <v>1.328792599406841E-2</v>
      </c>
      <c r="AF719" s="11">
        <f t="shared" si="141"/>
        <v>58.916666666667247</v>
      </c>
      <c r="AG719" s="1">
        <f t="shared" si="142"/>
        <v>0.18575800057989808</v>
      </c>
    </row>
    <row r="720" spans="2:33" ht="15">
      <c r="B720" s="1">
        <v>709</v>
      </c>
      <c r="C720" s="1">
        <v>1.0012451792575188</v>
      </c>
      <c r="D720" s="1">
        <v>1.2787502221355358</v>
      </c>
      <c r="E720" s="1">
        <v>0.780437318441906</v>
      </c>
      <c r="G720" s="1">
        <v>1.0037544908417881</v>
      </c>
      <c r="H720" s="1">
        <v>7.3416468355471372</v>
      </c>
      <c r="I720" s="1">
        <v>9.6562636823680117E-2</v>
      </c>
      <c r="K720" s="1">
        <v>1.0000350455016935</v>
      </c>
      <c r="L720" s="1">
        <v>3.8208577588385446</v>
      </c>
      <c r="M720" s="1">
        <v>0.22578246786136277</v>
      </c>
      <c r="O720" s="1">
        <v>2.4773469064347971E-2</v>
      </c>
      <c r="P720" s="1">
        <v>0.23137878938355716</v>
      </c>
      <c r="R720" s="1">
        <v>4.6465780057742982E-2</v>
      </c>
      <c r="S720" s="2">
        <f t="shared" si="132"/>
        <v>1.4285114895895259</v>
      </c>
      <c r="T720" s="4">
        <f t="shared" si="133"/>
        <v>2.040645075889286</v>
      </c>
      <c r="U720" s="1">
        <f t="shared" si="137"/>
        <v>1.6597026956156296</v>
      </c>
      <c r="V720" s="6">
        <f>2*sigma/alpha*corel*(B720/12-1/alpha*(1-EXP(-alpha*Output!B720/12)))</f>
        <v>4.5463780647376115</v>
      </c>
      <c r="W720" s="5">
        <f t="shared" si="134"/>
        <v>-0.38094238027365646</v>
      </c>
      <c r="X720" s="1">
        <f t="shared" si="135"/>
        <v>110.69893604553479</v>
      </c>
      <c r="Y720" s="3">
        <f t="shared" si="136"/>
        <v>5.0563989763956152E-2</v>
      </c>
      <c r="Z720" s="1">
        <f t="shared" si="138"/>
        <v>0.18584515488637601</v>
      </c>
      <c r="AA720" s="8">
        <f t="shared" si="143"/>
        <v>59.000000000000583</v>
      </c>
      <c r="AB720" s="1">
        <v>59.08</v>
      </c>
      <c r="AC720" s="1">
        <v>2.5107899999999999E-2</v>
      </c>
      <c r="AD720" s="8">
        <f t="shared" si="139"/>
        <v>3.3443093565202822</v>
      </c>
      <c r="AE720" s="3">
        <f t="shared" si="140"/>
        <v>1.3319749387723715E-2</v>
      </c>
      <c r="AF720" s="11">
        <f t="shared" si="141"/>
        <v>59.000000000000583</v>
      </c>
      <c r="AG720" s="1">
        <f t="shared" si="142"/>
        <v>0.18584515488637601</v>
      </c>
    </row>
    <row r="721" spans="2:33" ht="15">
      <c r="B721" s="1">
        <v>710</v>
      </c>
      <c r="C721" s="1">
        <v>1.0012493932276589</v>
      </c>
      <c r="D721" s="1">
        <v>1.2767910052359233</v>
      </c>
      <c r="E721" s="1">
        <v>0.78163189200982031</v>
      </c>
      <c r="G721" s="1">
        <v>1.003999760184018</v>
      </c>
      <c r="H721" s="1">
        <v>7.2325441094051843</v>
      </c>
      <c r="I721" s="1">
        <v>9.7971735390918649E-2</v>
      </c>
      <c r="K721" s="1">
        <v>0.99982099609184061</v>
      </c>
      <c r="L721" s="1">
        <v>3.8651147455078361</v>
      </c>
      <c r="M721" s="1">
        <v>0.22315068085372072</v>
      </c>
      <c r="O721" s="1">
        <v>2.4770736087238787E-2</v>
      </c>
      <c r="P721" s="1">
        <v>0.23093895091050559</v>
      </c>
      <c r="R721" s="1">
        <v>4.6453120970429723E-2</v>
      </c>
      <c r="S721" s="2">
        <f t="shared" si="132"/>
        <v>1.4302605050942454</v>
      </c>
      <c r="T721" s="4">
        <f t="shared" si="133"/>
        <v>2.045645112432446</v>
      </c>
      <c r="U721" s="1">
        <f t="shared" si="137"/>
        <v>1.6643726371880245</v>
      </c>
      <c r="V721" s="6">
        <f>2*sigma/alpha*corel*(B721/12-1/alpha*(1-EXP(-alpha*Output!B721/12)))</f>
        <v>4.5562416567634774</v>
      </c>
      <c r="W721" s="5">
        <f t="shared" si="134"/>
        <v>-0.38127247524442143</v>
      </c>
      <c r="X721" s="1">
        <f t="shared" si="135"/>
        <v>110.99382384267319</v>
      </c>
      <c r="Y721" s="3">
        <f t="shared" si="136"/>
        <v>5.0527766066674286E-2</v>
      </c>
      <c r="Z721" s="1">
        <f t="shared" si="138"/>
        <v>0.18594161339089091</v>
      </c>
      <c r="AA721" s="8">
        <f t="shared" si="143"/>
        <v>59.083333333333918</v>
      </c>
      <c r="AB721" s="1">
        <v>59.17</v>
      </c>
      <c r="AC721" s="1">
        <v>2.5106199999999999E-2</v>
      </c>
      <c r="AD721" s="8">
        <f t="shared" si="139"/>
        <v>3.3546391276121148</v>
      </c>
      <c r="AE721" s="3">
        <f t="shared" si="140"/>
        <v>1.3361795602728072E-2</v>
      </c>
      <c r="AF721" s="11">
        <f t="shared" si="141"/>
        <v>59.083333333333918</v>
      </c>
      <c r="AG721" s="1">
        <f t="shared" si="142"/>
        <v>0.18594161339089091</v>
      </c>
    </row>
    <row r="722" spans="2:33" ht="15">
      <c r="B722" s="1">
        <v>711</v>
      </c>
      <c r="C722" s="1">
        <v>1.0012490410564043</v>
      </c>
      <c r="D722" s="1">
        <v>1.2750734605593419</v>
      </c>
      <c r="E722" s="1">
        <v>0.78268175894475078</v>
      </c>
      <c r="G722" s="1">
        <v>1.0038053297296163</v>
      </c>
      <c r="H722" s="1">
        <v>7.1423447202045365</v>
      </c>
      <c r="I722" s="1">
        <v>9.9160879184328296E-2</v>
      </c>
      <c r="K722" s="1">
        <v>0.99987414906028038</v>
      </c>
      <c r="L722" s="1">
        <v>3.8492651789007186</v>
      </c>
      <c r="M722" s="1">
        <v>0.22402284013945675</v>
      </c>
      <c r="O722" s="1">
        <v>2.4767981950621264E-2</v>
      </c>
      <c r="P722" s="1">
        <v>0.23050034251659854</v>
      </c>
      <c r="R722" s="1">
        <v>4.6457951067794739E-2</v>
      </c>
      <c r="S722" s="2">
        <f t="shared" si="132"/>
        <v>1.4322080996343083</v>
      </c>
      <c r="T722" s="4">
        <f t="shared" si="133"/>
        <v>2.0512200406581167</v>
      </c>
      <c r="U722" s="1">
        <f t="shared" si="137"/>
        <v>1.6690469405319586</v>
      </c>
      <c r="V722" s="6">
        <f>2*sigma/alpha*corel*(B722/12-1/alpha*(1-EXP(-alpha*Output!B722/12)))</f>
        <v>4.5661098540609917</v>
      </c>
      <c r="W722" s="5">
        <f t="shared" si="134"/>
        <v>-0.38217310012615813</v>
      </c>
      <c r="X722" s="1">
        <f t="shared" si="135"/>
        <v>111.42438392925237</v>
      </c>
      <c r="Y722" s="3">
        <f t="shared" si="136"/>
        <v>5.0545696666063386E-2</v>
      </c>
      <c r="Z722" s="1">
        <f t="shared" si="138"/>
        <v>0.18606382647268108</v>
      </c>
      <c r="AA722" s="8">
        <f t="shared" si="143"/>
        <v>59.166666666667254</v>
      </c>
      <c r="AB722" s="1">
        <v>59.25</v>
      </c>
      <c r="AC722" s="1">
        <v>2.5104499999999998E-2</v>
      </c>
      <c r="AD722" s="8">
        <f t="shared" si="139"/>
        <v>3.3651804937873466</v>
      </c>
      <c r="AE722" s="3">
        <f t="shared" si="140"/>
        <v>1.3404690369405272E-2</v>
      </c>
      <c r="AF722" s="11">
        <f t="shared" si="141"/>
        <v>59.166666666667254</v>
      </c>
      <c r="AG722" s="1">
        <f t="shared" si="142"/>
        <v>0.18606382647268108</v>
      </c>
    </row>
    <row r="723" spans="2:33" ht="15">
      <c r="B723" s="1">
        <v>712</v>
      </c>
      <c r="C723" s="1">
        <v>1.0012518936658161</v>
      </c>
      <c r="D723" s="1">
        <v>1.2753988129117633</v>
      </c>
      <c r="E723" s="1">
        <v>0.78247909097446045</v>
      </c>
      <c r="G723" s="1">
        <v>1.0039676459521052</v>
      </c>
      <c r="H723" s="1">
        <v>7.1628874261655211</v>
      </c>
      <c r="I723" s="1">
        <v>9.882852927269789E-2</v>
      </c>
      <c r="K723" s="1">
        <v>0.99981400423199251</v>
      </c>
      <c r="L723" s="1">
        <v>3.9167500803943898</v>
      </c>
      <c r="M723" s="1">
        <v>0.22011710420454803</v>
      </c>
      <c r="O723" s="1">
        <v>2.4765265847606997E-2</v>
      </c>
      <c r="P723" s="1">
        <v>0.230062153576339</v>
      </c>
      <c r="R723" s="1">
        <v>4.648288155832217E-2</v>
      </c>
      <c r="S723" s="2">
        <f t="shared" si="132"/>
        <v>1.434388538716471</v>
      </c>
      <c r="T723" s="4">
        <f t="shared" si="133"/>
        <v>2.0574704800011729</v>
      </c>
      <c r="U723" s="1">
        <f t="shared" si="137"/>
        <v>1.6737255959408432</v>
      </c>
      <c r="V723" s="6">
        <f>2*sigma/alpha*corel*(B723/12-1/alpha*(1-EXP(-alpha*Output!B723/12)))</f>
        <v>4.5759826442406704</v>
      </c>
      <c r="W723" s="5">
        <f t="shared" si="134"/>
        <v>-0.38374488406032969</v>
      </c>
      <c r="X723" s="1">
        <f t="shared" si="135"/>
        <v>112.01506964404342</v>
      </c>
      <c r="Y723" s="3">
        <f t="shared" si="136"/>
        <v>5.0626976543501789E-2</v>
      </c>
      <c r="Z723" s="1">
        <f t="shared" si="138"/>
        <v>0.18621618824383854</v>
      </c>
      <c r="AA723" s="8">
        <f t="shared" si="143"/>
        <v>59.25000000000059</v>
      </c>
      <c r="AB723" s="1">
        <v>59.33</v>
      </c>
      <c r="AC723" s="1">
        <v>2.5102699999999999E-2</v>
      </c>
      <c r="AD723" s="8">
        <f t="shared" si="139"/>
        <v>3.3743415239300205</v>
      </c>
      <c r="AE723" s="3">
        <f t="shared" si="140"/>
        <v>1.3442145760934164E-2</v>
      </c>
      <c r="AF723" s="11">
        <f t="shared" si="141"/>
        <v>59.25000000000059</v>
      </c>
      <c r="AG723" s="1">
        <f t="shared" si="142"/>
        <v>0.18621618824383854</v>
      </c>
    </row>
    <row r="724" spans="2:33" ht="15">
      <c r="B724" s="1">
        <v>713</v>
      </c>
      <c r="C724" s="1">
        <v>1.0012548400152508</v>
      </c>
      <c r="D724" s="1">
        <v>1.2733437005768344</v>
      </c>
      <c r="E724" s="1">
        <v>0.78373895698804041</v>
      </c>
      <c r="G724" s="1">
        <v>1.0040927590755213</v>
      </c>
      <c r="H724" s="1">
        <v>7.0598688802026421</v>
      </c>
      <c r="I724" s="1">
        <v>0.10022200879608253</v>
      </c>
      <c r="K724" s="1">
        <v>0.99986916607475829</v>
      </c>
      <c r="L724" s="1">
        <v>3.8332824953424223</v>
      </c>
      <c r="M724" s="1">
        <v>0.22486317979589168</v>
      </c>
      <c r="O724" s="1">
        <v>2.4762414887614291E-2</v>
      </c>
      <c r="P724" s="1">
        <v>0.22962674153031207</v>
      </c>
      <c r="R724" s="1">
        <v>4.6494889411322148E-2</v>
      </c>
      <c r="S724" s="2">
        <f t="shared" si="132"/>
        <v>1.4364148774354752</v>
      </c>
      <c r="T724" s="4">
        <f t="shared" si="133"/>
        <v>2.0632877001179715</v>
      </c>
      <c r="U724" s="1">
        <f t="shared" si="137"/>
        <v>1.6784085937233062</v>
      </c>
      <c r="V724" s="6">
        <f>2*sigma/alpha*corel*(B724/12-1/alpha*(1-EXP(-alpha*Output!B724/12)))</f>
        <v>4.5858600149463582</v>
      </c>
      <c r="W724" s="5">
        <f t="shared" si="134"/>
        <v>-0.38487910639466527</v>
      </c>
      <c r="X724" s="1">
        <f t="shared" si="135"/>
        <v>112.50304636314925</v>
      </c>
      <c r="Y724" s="3">
        <f t="shared" si="136"/>
        <v>5.0666636539823943E-2</v>
      </c>
      <c r="Z724" s="1">
        <f t="shared" si="138"/>
        <v>0.18634843625163613</v>
      </c>
      <c r="AA724" s="8">
        <f t="shared" si="143"/>
        <v>59.333333333333925</v>
      </c>
      <c r="AB724" s="1">
        <v>59.42</v>
      </c>
      <c r="AC724" s="1">
        <v>2.5100999999999998E-2</v>
      </c>
      <c r="AD724" s="8">
        <f t="shared" si="139"/>
        <v>3.3858511238570728</v>
      </c>
      <c r="AE724" s="3">
        <f t="shared" si="140"/>
        <v>1.3488909301848824E-2</v>
      </c>
      <c r="AF724" s="11">
        <f t="shared" si="141"/>
        <v>59.333333333333925</v>
      </c>
      <c r="AG724" s="1">
        <f t="shared" si="142"/>
        <v>0.18634843625163613</v>
      </c>
    </row>
    <row r="725" spans="2:33" ht="15">
      <c r="B725" s="1">
        <v>714</v>
      </c>
      <c r="C725" s="1">
        <v>1.0012569482981433</v>
      </c>
      <c r="D725" s="1">
        <v>1.2742328840803576</v>
      </c>
      <c r="E725" s="1">
        <v>0.78318903177344723</v>
      </c>
      <c r="G725" s="1">
        <v>1.0041556285084552</v>
      </c>
      <c r="H725" s="1">
        <v>7.1061672552408144</v>
      </c>
      <c r="I725" s="1">
        <v>9.9520738855129395E-2</v>
      </c>
      <c r="K725" s="1">
        <v>0.99963881915700836</v>
      </c>
      <c r="L725" s="1">
        <v>3.8169939631068401</v>
      </c>
      <c r="M725" s="1">
        <v>0.22577571315622175</v>
      </c>
      <c r="O725" s="1">
        <v>2.475954229857219E-2</v>
      </c>
      <c r="P725" s="1">
        <v>0.22919255739553654</v>
      </c>
      <c r="R725" s="1">
        <v>4.6487794988729576E-2</v>
      </c>
      <c r="S725" s="2">
        <f t="shared" si="132"/>
        <v>1.4382223007370045</v>
      </c>
      <c r="T725" s="4">
        <f t="shared" si="133"/>
        <v>2.0684833863372427</v>
      </c>
      <c r="U725" s="1">
        <f t="shared" si="137"/>
        <v>1.6830959242032137</v>
      </c>
      <c r="V725" s="6">
        <f>2*sigma/alpha*corel*(B725/12-1/alpha*(1-EXP(-alpha*Output!B725/12)))</f>
        <v>4.5957419538551472</v>
      </c>
      <c r="W725" s="5">
        <f t="shared" si="134"/>
        <v>-0.38538746213402897</v>
      </c>
      <c r="X725" s="1">
        <f t="shared" si="135"/>
        <v>112.84306009432322</v>
      </c>
      <c r="Y725" s="3">
        <f t="shared" si="136"/>
        <v>5.0647222368222063E-2</v>
      </c>
      <c r="Z725" s="1">
        <f t="shared" si="138"/>
        <v>0.18645221012669744</v>
      </c>
      <c r="AA725" s="8">
        <f t="shared" si="143"/>
        <v>59.416666666667261</v>
      </c>
      <c r="AB725" s="1">
        <v>59.5</v>
      </c>
      <c r="AC725" s="1">
        <v>2.5099300000000001E-2</v>
      </c>
      <c r="AD725" s="8">
        <f t="shared" si="139"/>
        <v>3.3975770142781121</v>
      </c>
      <c r="AE725" s="3">
        <f t="shared" si="140"/>
        <v>1.3536540916591745E-2</v>
      </c>
      <c r="AF725" s="11">
        <f t="shared" si="141"/>
        <v>59.416666666667261</v>
      </c>
      <c r="AG725" s="1">
        <f t="shared" si="142"/>
        <v>0.18645221012669744</v>
      </c>
    </row>
    <row r="726" spans="2:33" ht="15">
      <c r="B726" s="1">
        <v>715</v>
      </c>
      <c r="C726" s="1">
        <v>1.0012573634795616</v>
      </c>
      <c r="D726" s="1">
        <v>1.2772742428742874</v>
      </c>
      <c r="E726" s="1">
        <v>0.78132114178336931</v>
      </c>
      <c r="G726" s="1">
        <v>1.0041147159115107</v>
      </c>
      <c r="H726" s="1">
        <v>7.2553878373131395</v>
      </c>
      <c r="I726" s="1">
        <v>9.7426625598870359E-2</v>
      </c>
      <c r="K726" s="1">
        <v>0.99952934216862066</v>
      </c>
      <c r="L726" s="1">
        <v>3.8292039411559284</v>
      </c>
      <c r="M726" s="1">
        <v>0.22500891244826299</v>
      </c>
      <c r="O726" s="1">
        <v>2.4756574195591175E-2</v>
      </c>
      <c r="P726" s="1">
        <v>0.22876060563094078</v>
      </c>
      <c r="R726" s="1">
        <v>4.6453758984215922E-2</v>
      </c>
      <c r="S726" s="2">
        <f t="shared" si="132"/>
        <v>1.43971536118411</v>
      </c>
      <c r="T726" s="4">
        <f t="shared" si="133"/>
        <v>2.0727803212294922</v>
      </c>
      <c r="U726" s="1">
        <f t="shared" si="137"/>
        <v>1.6877875777196785</v>
      </c>
      <c r="V726" s="6">
        <f>2*sigma/alpha*corel*(B726/12-1/alpha*(1-EXP(-alpha*Output!B726/12)))</f>
        <v>4.6056284486772761</v>
      </c>
      <c r="W726" s="5">
        <f t="shared" si="134"/>
        <v>-0.38499274350981372</v>
      </c>
      <c r="X726" s="1">
        <f t="shared" si="135"/>
        <v>112.96841727710439</v>
      </c>
      <c r="Y726" s="3">
        <f t="shared" si="136"/>
        <v>5.054292364127709E-2</v>
      </c>
      <c r="Z726" s="1">
        <f t="shared" si="138"/>
        <v>0.18651520440752353</v>
      </c>
      <c r="AA726" s="8">
        <f t="shared" si="143"/>
        <v>59.500000000000597</v>
      </c>
      <c r="AB726" s="1">
        <v>59.58</v>
      </c>
      <c r="AC726" s="1">
        <v>2.5097499999999998E-2</v>
      </c>
      <c r="AD726" s="8">
        <f t="shared" si="139"/>
        <v>3.4092580440882312</v>
      </c>
      <c r="AE726" s="3">
        <f t="shared" si="140"/>
        <v>1.358405436433203E-2</v>
      </c>
      <c r="AF726" s="11">
        <f t="shared" si="141"/>
        <v>59.500000000000597</v>
      </c>
      <c r="AG726" s="1">
        <f t="shared" si="142"/>
        <v>0.18651520440752353</v>
      </c>
    </row>
    <row r="727" spans="2:33" ht="15">
      <c r="B727" s="1">
        <v>716</v>
      </c>
      <c r="C727" s="1">
        <v>1.0012588971542833</v>
      </c>
      <c r="D727" s="1">
        <v>1.2754672485552714</v>
      </c>
      <c r="E727" s="1">
        <v>0.78242504189229256</v>
      </c>
      <c r="G727" s="1">
        <v>1.004141134189835</v>
      </c>
      <c r="H727" s="1">
        <v>7.1589855949361727</v>
      </c>
      <c r="I727" s="1">
        <v>9.8690665962475416E-2</v>
      </c>
      <c r="K727" s="1">
        <v>0.99952180914679178</v>
      </c>
      <c r="L727" s="1">
        <v>3.8585968150390673</v>
      </c>
      <c r="M727" s="1">
        <v>0.22324839141877734</v>
      </c>
      <c r="O727" s="1">
        <v>2.4753618896244639E-2</v>
      </c>
      <c r="P727" s="1">
        <v>0.22832940647036162</v>
      </c>
      <c r="R727" s="1">
        <v>4.6524528735106339E-2</v>
      </c>
      <c r="S727" s="2">
        <f t="shared" ref="S727:S730" si="144">optim_vol_implied(P727,R727)</f>
        <v>1.4424134606914449</v>
      </c>
      <c r="T727" s="4">
        <f t="shared" ref="T727:T730" si="145">S727*S727</f>
        <v>2.0805565915838704</v>
      </c>
      <c r="U727" s="1">
        <f t="shared" si="137"/>
        <v>1.6924835446270856</v>
      </c>
      <c r="V727" s="6">
        <f>2*sigma/alpha*corel*(B727/12-1/alpha*(1-EXP(-alpha*Output!B727/12)))</f>
        <v>4.6155194871560479</v>
      </c>
      <c r="W727" s="5">
        <f t="shared" ref="W727:W730" si="146">U727-T727</f>
        <v>-0.3880730469567848</v>
      </c>
      <c r="X727" s="1">
        <f t="shared" ref="X727:X730" si="147">V727*V727-4*W727*B727/12</f>
        <v>113.92312067666985</v>
      </c>
      <c r="Y727" s="3">
        <f t="shared" ref="Y727:Y730" si="148">(-V727+SQRT(X727))/2/B727*12</f>
        <v>5.076501078370653E-2</v>
      </c>
      <c r="Z727" s="1">
        <f t="shared" si="138"/>
        <v>0.18673420561348258</v>
      </c>
      <c r="AA727" s="8">
        <f t="shared" si="143"/>
        <v>59.583333333333933</v>
      </c>
      <c r="AB727" s="1">
        <v>59.67</v>
      </c>
      <c r="AC727" s="1">
        <v>2.5095800000000001E-2</v>
      </c>
      <c r="AD727" s="8">
        <f t="shared" si="139"/>
        <v>3.4218110375536237</v>
      </c>
      <c r="AE727" s="3">
        <f t="shared" si="140"/>
        <v>1.3634994849949487E-2</v>
      </c>
      <c r="AF727" s="11">
        <f t="shared" si="141"/>
        <v>59.583333333333933</v>
      </c>
      <c r="AG727" s="1">
        <f t="shared" si="142"/>
        <v>0.18673420561348258</v>
      </c>
    </row>
    <row r="728" spans="2:33" ht="15">
      <c r="B728" s="1">
        <v>717</v>
      </c>
      <c r="C728" s="1">
        <v>1.0012603017858994</v>
      </c>
      <c r="D728" s="1">
        <v>1.2754171744292613</v>
      </c>
      <c r="E728" s="1">
        <v>0.7824527354351497</v>
      </c>
      <c r="G728" s="1">
        <v>1.00419605031954</v>
      </c>
      <c r="H728" s="1">
        <v>7.1605811465693332</v>
      </c>
      <c r="I728" s="1">
        <v>9.8620811208761733E-2</v>
      </c>
      <c r="K728" s="1">
        <v>0.99962617019859279</v>
      </c>
      <c r="L728" s="1">
        <v>3.7991272288961553</v>
      </c>
      <c r="M728" s="1">
        <v>0.22669577389916096</v>
      </c>
      <c r="O728" s="1">
        <v>2.4750507153877735E-2</v>
      </c>
      <c r="P728" s="1">
        <v>0.2279012626347463</v>
      </c>
      <c r="R728" s="1">
        <v>4.6447067935242115E-2</v>
      </c>
      <c r="S728" s="2">
        <f t="shared" si="144"/>
        <v>1.4433990064942523</v>
      </c>
      <c r="T728" s="4">
        <f t="shared" si="145"/>
        <v>2.0834006919485946</v>
      </c>
      <c r="U728" s="1">
        <f t="shared" si="137"/>
        <v>1.6971838152951069</v>
      </c>
      <c r="V728" s="6">
        <f>2*sigma/alpha*corel*(B728/12-1/alpha*(1-EXP(-alpha*Output!B728/12)))</f>
        <v>4.6254150570677419</v>
      </c>
      <c r="W728" s="5">
        <f t="shared" si="146"/>
        <v>-0.3862168766534877</v>
      </c>
      <c r="X728" s="1">
        <f t="shared" si="147"/>
        <v>113.70029797033254</v>
      </c>
      <c r="Y728" s="3">
        <f t="shared" si="148"/>
        <v>5.0524009415162774E-2</v>
      </c>
      <c r="Z728" s="1">
        <f t="shared" si="138"/>
        <v>0.18673144038321865</v>
      </c>
      <c r="AA728" s="8">
        <f t="shared" si="143"/>
        <v>59.666666666667268</v>
      </c>
      <c r="AB728" s="1">
        <v>59.75</v>
      </c>
      <c r="AC728" s="1">
        <v>2.5094100000000001E-2</v>
      </c>
      <c r="AD728" s="8">
        <f t="shared" si="139"/>
        <v>3.4359284612226619</v>
      </c>
      <c r="AE728" s="3">
        <f t="shared" si="140"/>
        <v>1.3692176492572605E-2</v>
      </c>
      <c r="AF728" s="11">
        <f t="shared" si="141"/>
        <v>59.666666666667268</v>
      </c>
      <c r="AG728" s="1">
        <f t="shared" si="142"/>
        <v>0.18673144038321865</v>
      </c>
    </row>
    <row r="729" spans="2:33" ht="15">
      <c r="B729" s="1">
        <v>718</v>
      </c>
      <c r="C729" s="1">
        <v>1.0012614291941619</v>
      </c>
      <c r="D729" s="1">
        <v>1.2730124535448297</v>
      </c>
      <c r="E729" s="1">
        <v>0.78392775392632419</v>
      </c>
      <c r="G729" s="1">
        <v>1.0041930012536326</v>
      </c>
      <c r="H729" s="1">
        <v>7.03952701335069</v>
      </c>
      <c r="I729" s="1">
        <v>0.10026806466725617</v>
      </c>
      <c r="K729" s="1">
        <v>0.99974368091372012</v>
      </c>
      <c r="L729" s="1">
        <v>3.8495681266641513</v>
      </c>
      <c r="M729" s="1">
        <v>0.22367877407638886</v>
      </c>
      <c r="O729" s="1">
        <v>2.4747452512080857E-2</v>
      </c>
      <c r="P729" s="1">
        <v>0.22747326242365604</v>
      </c>
      <c r="R729" s="1">
        <v>4.6544529617979218E-2</v>
      </c>
      <c r="S729" s="2">
        <f t="shared" si="144"/>
        <v>1.4464029330721508</v>
      </c>
      <c r="T729" s="4">
        <f t="shared" si="145"/>
        <v>2.0920814447997209</v>
      </c>
      <c r="U729" s="1">
        <f t="shared" si="137"/>
        <v>1.7018883801087141</v>
      </c>
      <c r="V729" s="6">
        <f>2*sigma/alpha*corel*(B729/12-1/alpha*(1-EXP(-alpha*Output!B729/12)))</f>
        <v>4.6353151462215205</v>
      </c>
      <c r="W729" s="5">
        <f t="shared" si="146"/>
        <v>-0.39019306469100679</v>
      </c>
      <c r="X729" s="1">
        <f t="shared" si="147"/>
        <v>114.87235332083826</v>
      </c>
      <c r="Y729" s="3">
        <f t="shared" si="148"/>
        <v>5.0828999490309543E-2</v>
      </c>
      <c r="Z729" s="1">
        <f t="shared" si="138"/>
        <v>0.18698970424935155</v>
      </c>
      <c r="AA729" s="8">
        <f t="shared" si="143"/>
        <v>59.750000000000604</v>
      </c>
      <c r="AB729" s="1">
        <v>59.83</v>
      </c>
      <c r="AC729" s="1">
        <v>2.5092400000000001E-2</v>
      </c>
      <c r="AD729" s="8">
        <f t="shared" si="139"/>
        <v>3.4494748791914427</v>
      </c>
      <c r="AE729" s="3">
        <f t="shared" si="140"/>
        <v>1.3747090271123696E-2</v>
      </c>
      <c r="AF729" s="11">
        <f t="shared" si="141"/>
        <v>59.750000000000604</v>
      </c>
      <c r="AG729" s="1">
        <f t="shared" si="142"/>
        <v>0.18698970424935155</v>
      </c>
    </row>
    <row r="730" spans="2:33" ht="15">
      <c r="B730" s="1">
        <v>719</v>
      </c>
      <c r="C730" s="1">
        <v>1.001263182721768</v>
      </c>
      <c r="D730" s="1">
        <v>1.2773727958522798</v>
      </c>
      <c r="E730" s="1">
        <v>0.78124876943887112</v>
      </c>
      <c r="G730" s="1">
        <v>1.0043083811292415</v>
      </c>
      <c r="H730" s="1">
        <v>7.2525981984653098</v>
      </c>
      <c r="I730" s="1">
        <v>9.7275117392925131E-2</v>
      </c>
      <c r="K730" s="1">
        <v>0.99962089050532488</v>
      </c>
      <c r="L730" s="1">
        <v>3.8503297934167695</v>
      </c>
      <c r="M730" s="1">
        <v>0.22358794056544659</v>
      </c>
      <c r="O730" s="1">
        <v>2.4744290354559259E-2</v>
      </c>
      <c r="P730" s="1">
        <v>0.22704764422334883</v>
      </c>
      <c r="R730" s="1">
        <v>4.6591069194649851E-2</v>
      </c>
      <c r="S730" s="2">
        <f t="shared" si="144"/>
        <v>1.448816468197083</v>
      </c>
      <c r="T730" s="4">
        <f t="shared" si="145"/>
        <v>2.0990691585190691</v>
      </c>
      <c r="U730" s="1">
        <f t="shared" si="137"/>
        <v>1.7065972294681966</v>
      </c>
      <c r="V730" s="6">
        <f>2*sigma/alpha*corel*(B730/12-1/alpha*(1-EXP(-alpha*Output!B730/12)))</f>
        <v>4.645219742459342</v>
      </c>
      <c r="W730" s="5">
        <f t="shared" si="146"/>
        <v>-0.39247192905087247</v>
      </c>
      <c r="X730" s="1">
        <f t="shared" si="147"/>
        <v>115.64050545159314</v>
      </c>
      <c r="Y730" s="3">
        <f t="shared" si="148"/>
        <v>5.0974195877844269E-2</v>
      </c>
      <c r="Z730" s="1">
        <f t="shared" si="138"/>
        <v>0.18717142708901383</v>
      </c>
      <c r="AA730" s="8">
        <f t="shared" si="143"/>
        <v>59.83333333333394</v>
      </c>
      <c r="AB730" s="1">
        <v>59.92</v>
      </c>
      <c r="AC730" s="1">
        <v>2.5090700000000001E-2</v>
      </c>
      <c r="AD730" s="8">
        <f t="shared" si="139"/>
        <v>3.4640964544074144</v>
      </c>
      <c r="AE730" s="3">
        <f t="shared" si="140"/>
        <v>1.3806296573660419E-2</v>
      </c>
      <c r="AF730" s="11">
        <f t="shared" si="141"/>
        <v>59.83333333333394</v>
      </c>
      <c r="AG730" s="1">
        <f t="shared" si="142"/>
        <v>0.18717142708901383</v>
      </c>
    </row>
    <row r="731" spans="2:33" ht="15">
      <c r="B731" s="1">
        <v>720</v>
      </c>
      <c r="C731" s="1">
        <v>1.0012674449192069</v>
      </c>
      <c r="D731" s="1">
        <v>1.2806080420196031</v>
      </c>
      <c r="E731" s="1">
        <v>0.77927204853747489</v>
      </c>
      <c r="G731" s="1">
        <v>1.0046239102045373</v>
      </c>
      <c r="H731" s="1">
        <v>7.4199438760221241</v>
      </c>
      <c r="I731" s="1">
        <v>9.503509836142135E-2</v>
      </c>
      <c r="K731" s="1">
        <v>0.999540309249078</v>
      </c>
      <c r="L731" s="1">
        <v>3.9006604866685524</v>
      </c>
      <c r="M731" s="1">
        <v>0.2206569833747522</v>
      </c>
      <c r="O731" s="1">
        <v>2.4741090351727696E-2</v>
      </c>
      <c r="P731" s="1">
        <v>0.22662345641784098</v>
      </c>
      <c r="R731" s="1">
        <v>4.66314581265602E-2</v>
      </c>
      <c r="S731" s="2">
        <f>optim_vol_implied(P731,R731)</f>
        <v>1.4511589611343354</v>
      </c>
      <c r="T731" s="4">
        <f>S731*S731</f>
        <v>2.1058623304804835</v>
      </c>
      <c r="U731" s="1">
        <f t="shared" si="137"/>
        <v>1.7113103537891774</v>
      </c>
      <c r="V731" s="6">
        <f>2*sigma/alpha*corel*(B731/12-1/alpha*(1-EXP(-alpha*Output!B731/12)))</f>
        <v>4.655128833655878</v>
      </c>
      <c r="W731" s="5">
        <f>U731-T731</f>
        <v>-0.39455197669130615</v>
      </c>
      <c r="X731" s="1">
        <f>V731*V731-4*W731*B731/12</f>
        <v>116.36269886384781</v>
      </c>
      <c r="Y731" s="3">
        <f>(-V731+SQRT(X731))/2/B731*12</f>
        <v>5.1100212594918849E-2</v>
      </c>
      <c r="Z731" s="1">
        <f t="shared" si="138"/>
        <v>0.18734381630576458</v>
      </c>
      <c r="AA731" s="8">
        <f t="shared" si="143"/>
        <v>59.916666666667275</v>
      </c>
      <c r="AB731" s="1">
        <v>60</v>
      </c>
      <c r="AC731" s="1">
        <v>2.5089E-2</v>
      </c>
      <c r="AD731" s="8">
        <f t="shared" si="139"/>
        <v>3.4790964827230431</v>
      </c>
      <c r="AE731" s="3">
        <f t="shared" si="140"/>
        <v>1.386701934203453E-2</v>
      </c>
      <c r="AF731" s="11">
        <f t="shared" si="141"/>
        <v>59.916666666667275</v>
      </c>
      <c r="AG731" s="1">
        <f t="shared" si="142"/>
        <v>0.18734381630576458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"/>
  <dimension ref="C7:I60"/>
  <sheetViews>
    <sheetView workbookViewId="0">
      <selection activeCell="C7" sqref="C7:I60"/>
    </sheetView>
  </sheetViews>
  <sheetFormatPr baseColWidth="10" defaultRowHeight="14.25"/>
  <sheetData>
    <row r="7" spans="3:9">
      <c r="D7">
        <v>0.25</v>
      </c>
      <c r="E7">
        <v>3.2600000000000003E-3</v>
      </c>
    </row>
    <row r="8" spans="3:9">
      <c r="D8">
        <v>0.5</v>
      </c>
      <c r="E8">
        <v>3.2600000000000003E-3</v>
      </c>
    </row>
    <row r="9" spans="3:9">
      <c r="D9">
        <v>0.75</v>
      </c>
      <c r="E9">
        <v>3.2600000000000003E-3</v>
      </c>
    </row>
    <row r="10" spans="3:9">
      <c r="C10">
        <f>D10*12</f>
        <v>12</v>
      </c>
      <c r="D10">
        <v>1</v>
      </c>
      <c r="E10">
        <v>3.2600000000000003E-3</v>
      </c>
      <c r="F10" s="9">
        <f>E10</f>
        <v>3.2600000000000003E-3</v>
      </c>
      <c r="G10">
        <f>EXP(-E10*D10)</f>
        <v>0.99674530803037364</v>
      </c>
      <c r="H10">
        <f>VLOOKUP(C10,Output!B12:O731,14,FALSE)</f>
        <v>3.2550582311892335E-3</v>
      </c>
      <c r="I10" s="10">
        <f>(H10-F10)*10000</f>
        <v>-4.9417688107668452E-2</v>
      </c>
    </row>
    <row r="11" spans="3:9">
      <c r="C11">
        <f t="shared" ref="C11:C60" si="0">D11*12</f>
        <v>24</v>
      </c>
      <c r="D11">
        <v>2</v>
      </c>
      <c r="E11">
        <v>3.7499999999999999E-3</v>
      </c>
      <c r="F11" s="9">
        <f>-LN(G11)/D11</f>
        <v>3.7438920976589152E-3</v>
      </c>
      <c r="G11">
        <f>(1-E11*SUM($G$10:G10))/(1+E11)</f>
        <v>0.99254017942205341</v>
      </c>
      <c r="H11">
        <f>VLOOKUP(C11,Output!B13:O732,14,FALSE)</f>
        <v>3.7449666529399787E-3</v>
      </c>
      <c r="I11" s="10">
        <f t="shared" ref="I11:I60" si="1">(H11-F11)*10000</f>
        <v>1.0745552810635314E-2</v>
      </c>
    </row>
    <row r="12" spans="3:9">
      <c r="C12">
        <f t="shared" si="0"/>
        <v>36</v>
      </c>
      <c r="D12">
        <v>3</v>
      </c>
      <c r="E12">
        <v>4.6899999999999997E-3</v>
      </c>
      <c r="F12" s="9">
        <f t="shared" ref="F12:F60" si="2">-LN(G12)/D12</f>
        <v>4.6841932897120813E-3</v>
      </c>
      <c r="G12">
        <f>(1-E12*SUM($G$10:G11))/(1+E12)</f>
        <v>0.98604569674610876</v>
      </c>
      <c r="H12">
        <f>VLOOKUP(C12,Output!B14:O733,14,FALSE)</f>
        <v>4.6863404763086945E-3</v>
      </c>
      <c r="I12" s="10">
        <f t="shared" si="1"/>
        <v>2.1471865966132472E-2</v>
      </c>
    </row>
    <row r="13" spans="3:9">
      <c r="C13">
        <f t="shared" si="0"/>
        <v>48</v>
      </c>
      <c r="D13">
        <v>4</v>
      </c>
      <c r="E13">
        <v>6.0400000000000002E-3</v>
      </c>
      <c r="F13" s="9">
        <f t="shared" si="2"/>
        <v>6.0390680432491134E-3</v>
      </c>
      <c r="G13">
        <f>(1-E13*SUM($G$10:G12))/(1+E13)</f>
        <v>0.97613315538889189</v>
      </c>
      <c r="H13">
        <f>VLOOKUP(C13,Output!B15:O734,14,FALSE)</f>
        <v>6.0431615592697156E-3</v>
      </c>
      <c r="I13" s="10">
        <f t="shared" si="1"/>
        <v>4.0935160206022683E-2</v>
      </c>
    </row>
    <row r="14" spans="3:9">
      <c r="C14">
        <f t="shared" si="0"/>
        <v>60</v>
      </c>
      <c r="D14">
        <v>5</v>
      </c>
      <c r="E14">
        <v>7.6600000000000001E-3</v>
      </c>
      <c r="F14" s="9">
        <f t="shared" si="2"/>
        <v>7.6733138183242263E-3</v>
      </c>
      <c r="G14">
        <f>(1-E14*SUM($G$10:G13))/(1+E14)</f>
        <v>0.96236010475632683</v>
      </c>
      <c r="H14">
        <f>VLOOKUP(C14,Output!B16:O735,14,FALSE)</f>
        <v>7.6768495658604344E-3</v>
      </c>
      <c r="I14" s="10">
        <f t="shared" si="1"/>
        <v>3.5357475362081045E-2</v>
      </c>
    </row>
    <row r="15" spans="3:9">
      <c r="C15">
        <f t="shared" si="0"/>
        <v>72</v>
      </c>
      <c r="D15">
        <v>6</v>
      </c>
      <c r="E15">
        <v>9.4799999999999988E-3</v>
      </c>
      <c r="F15" s="9">
        <f t="shared" si="2"/>
        <v>9.5230517818933134E-3</v>
      </c>
      <c r="G15">
        <f>(1-E15*SUM($G$10:G14))/(1+E15)</f>
        <v>0.94446343094228846</v>
      </c>
      <c r="H15">
        <f>VLOOKUP(C15,Output!B17:O736,14,FALSE)</f>
        <v>9.5254185345211226E-3</v>
      </c>
      <c r="I15" s="10">
        <f t="shared" si="1"/>
        <v>2.3667526278092071E-2</v>
      </c>
    </row>
    <row r="16" spans="3:9">
      <c r="C16">
        <f t="shared" si="0"/>
        <v>84</v>
      </c>
      <c r="D16">
        <v>7</v>
      </c>
      <c r="E16">
        <v>1.1240000000000002E-2</v>
      </c>
      <c r="F16" s="9">
        <f t="shared" si="2"/>
        <v>1.1327501412923532E-2</v>
      </c>
      <c r="G16">
        <f>(1-E16*SUM($G$10:G15))/(1+E16)</f>
        <v>0.92376967315551684</v>
      </c>
      <c r="H16">
        <f>VLOOKUP(C16,Output!B18:O737,14,FALSE)</f>
        <v>1.1330772856807071E-2</v>
      </c>
      <c r="I16" s="10">
        <f t="shared" si="1"/>
        <v>3.2714438835384357E-2</v>
      </c>
    </row>
    <row r="17" spans="3:9">
      <c r="C17">
        <f t="shared" si="0"/>
        <v>96</v>
      </c>
      <c r="D17">
        <v>8</v>
      </c>
      <c r="E17">
        <v>1.2880000000000001E-2</v>
      </c>
      <c r="F17" s="9">
        <f t="shared" si="2"/>
        <v>1.3025470076147527E-2</v>
      </c>
      <c r="G17">
        <f>(1-E17*SUM($G$10:G16))/(1+E17)</f>
        <v>0.9010416819130328</v>
      </c>
      <c r="H17">
        <f>VLOOKUP(C17,Output!B19:O738,14,FALSE)</f>
        <v>1.3034016735491361E-2</v>
      </c>
      <c r="I17" s="10">
        <f t="shared" si="1"/>
        <v>8.5466593438346394E-2</v>
      </c>
    </row>
    <row r="18" spans="3:9">
      <c r="C18">
        <f t="shared" si="0"/>
        <v>108</v>
      </c>
      <c r="D18">
        <v>9</v>
      </c>
      <c r="E18">
        <v>1.4339999999999999E-2</v>
      </c>
      <c r="F18" s="9">
        <f t="shared" si="2"/>
        <v>1.4552149118111408E-2</v>
      </c>
      <c r="G18">
        <f>(1-E18*SUM($G$10:G17))/(1+E18)</f>
        <v>0.87724466849056049</v>
      </c>
      <c r="H18">
        <f>VLOOKUP(C18,Output!B20:O739,14,FALSE)</f>
        <v>1.4565979599592719E-2</v>
      </c>
      <c r="I18" s="10">
        <f t="shared" si="1"/>
        <v>0.13830481481310816</v>
      </c>
    </row>
    <row r="19" spans="3:9">
      <c r="C19">
        <f t="shared" si="0"/>
        <v>120</v>
      </c>
      <c r="D19">
        <v>10</v>
      </c>
      <c r="E19">
        <v>1.5650000000000001E-2</v>
      </c>
      <c r="F19" s="9">
        <f t="shared" si="2"/>
        <v>1.5936381702367195E-2</v>
      </c>
      <c r="G19">
        <f>(1-E19*SUM($G$10:G18))/(1+E19)</f>
        <v>0.85268608081826747</v>
      </c>
      <c r="H19">
        <f>VLOOKUP(C19,Output!B21:O740,14,FALSE)</f>
        <v>1.5954001688119876E-2</v>
      </c>
      <c r="I19" s="10">
        <f t="shared" si="1"/>
        <v>0.17619985752680839</v>
      </c>
    </row>
    <row r="20" spans="3:9">
      <c r="C20">
        <f t="shared" si="0"/>
        <v>132</v>
      </c>
      <c r="D20">
        <v>11</v>
      </c>
      <c r="E20">
        <v>1.6754999999999999E-2</v>
      </c>
      <c r="F20" s="9">
        <f t="shared" si="2"/>
        <v>1.7113945668038248E-2</v>
      </c>
      <c r="G20">
        <f>(1-E20*SUM($G$10:G19))/(1+E20)</f>
        <v>0.82840476092149951</v>
      </c>
      <c r="H20">
        <f>VLOOKUP(C20,Output!B22:O741,14,FALSE)</f>
        <v>1.7136724888268149E-2</v>
      </c>
      <c r="I20" s="10">
        <f t="shared" si="1"/>
        <v>0.22779220229900837</v>
      </c>
    </row>
    <row r="21" spans="3:9">
      <c r="C21">
        <f t="shared" si="0"/>
        <v>144</v>
      </c>
      <c r="D21">
        <v>12</v>
      </c>
      <c r="E21">
        <v>1.7860000000000001E-2</v>
      </c>
      <c r="F21" s="9">
        <f t="shared" si="2"/>
        <v>1.8309241070101043E-2</v>
      </c>
      <c r="G21">
        <f>(1-E21*SUM($G$10:G20))/(1+E21)</f>
        <v>0.80275084543370723</v>
      </c>
      <c r="H21">
        <f>VLOOKUP(C21,Output!B23:O742,14,FALSE)</f>
        <v>1.8337966422881644E-2</v>
      </c>
      <c r="I21" s="10">
        <f t="shared" si="1"/>
        <v>0.2872535278060015</v>
      </c>
    </row>
    <row r="22" spans="3:9">
      <c r="C22">
        <f t="shared" si="0"/>
        <v>156</v>
      </c>
      <c r="D22">
        <v>13</v>
      </c>
      <c r="E22">
        <v>1.8579999999999999E-2</v>
      </c>
      <c r="F22" s="9">
        <f t="shared" si="2"/>
        <v>1.9082729764711179E-2</v>
      </c>
      <c r="G22">
        <f>(1-E22*SUM($G$10:G21))/(1+E22)</f>
        <v>0.78030103851614396</v>
      </c>
      <c r="H22">
        <f>VLOOKUP(C22,Output!B24:O743,14,FALSE)</f>
        <v>1.9120811739650433E-2</v>
      </c>
      <c r="I22" s="10">
        <f t="shared" si="1"/>
        <v>0.38081974939253166</v>
      </c>
    </row>
    <row r="23" spans="3:9">
      <c r="C23">
        <f t="shared" si="0"/>
        <v>168</v>
      </c>
      <c r="D23">
        <v>14</v>
      </c>
      <c r="E23">
        <v>1.9299999999999998E-2</v>
      </c>
      <c r="F23" s="9">
        <f t="shared" si="2"/>
        <v>1.9868733008692182E-2</v>
      </c>
      <c r="G23">
        <f>(1-E23*SUM($G$10:G22))/(1+E23)</f>
        <v>0.75717395089422046</v>
      </c>
      <c r="H23">
        <f>VLOOKUP(C23,Output!B25:O744,14,FALSE)</f>
        <v>1.9914768196609076E-2</v>
      </c>
      <c r="I23" s="10">
        <f t="shared" si="1"/>
        <v>0.46035187916893677</v>
      </c>
    </row>
    <row r="24" spans="3:9">
      <c r="C24">
        <f t="shared" si="0"/>
        <v>180</v>
      </c>
      <c r="D24">
        <v>15</v>
      </c>
      <c r="E24">
        <v>2.0019999999999996E-2</v>
      </c>
      <c r="F24" s="9">
        <f t="shared" si="2"/>
        <v>2.0668039792999846E-2</v>
      </c>
      <c r="G24">
        <f>(1-E24*SUM($G$10:G23))/(1+E24)</f>
        <v>0.73343184964992036</v>
      </c>
      <c r="H24">
        <f>VLOOKUP(C24,Output!B26:O745,14,FALSE)</f>
        <v>2.0720381004632023E-2</v>
      </c>
      <c r="I24" s="10">
        <f t="shared" si="1"/>
        <v>0.52341211632177953</v>
      </c>
    </row>
    <row r="25" spans="3:9">
      <c r="C25">
        <f t="shared" si="0"/>
        <v>192</v>
      </c>
      <c r="D25">
        <v>16</v>
      </c>
      <c r="E25">
        <v>2.0341999999999996E-2</v>
      </c>
      <c r="F25" s="9">
        <f t="shared" si="2"/>
        <v>2.1001335381862166E-2</v>
      </c>
      <c r="G25">
        <f>(1-E25*SUM($G$10:G24))/(1+E25)</f>
        <v>0.71460783726343202</v>
      </c>
      <c r="H25">
        <f>VLOOKUP(C25,Output!B27:O746,14,FALSE)</f>
        <v>2.1057035919823389E-2</v>
      </c>
      <c r="I25" s="10">
        <f t="shared" si="1"/>
        <v>0.55700537961222985</v>
      </c>
    </row>
    <row r="26" spans="3:9">
      <c r="C26">
        <f t="shared" si="0"/>
        <v>204</v>
      </c>
      <c r="D26">
        <v>17</v>
      </c>
      <c r="E26">
        <v>2.0663999999999995E-2</v>
      </c>
      <c r="F26" s="9">
        <f t="shared" si="2"/>
        <v>2.1342150985537139E-2</v>
      </c>
      <c r="G26">
        <f>(1-E26*SUM($G$10:G25))/(1+E26)</f>
        <v>0.69571403887955074</v>
      </c>
      <c r="H26">
        <f>VLOOKUP(C26,Output!B28:O747,14,FALSE)</f>
        <v>2.1399749873088601E-2</v>
      </c>
      <c r="I26" s="10">
        <f t="shared" si="1"/>
        <v>0.57598887551461864</v>
      </c>
    </row>
    <row r="27" spans="3:9">
      <c r="C27">
        <f t="shared" si="0"/>
        <v>216</v>
      </c>
      <c r="D27">
        <v>18</v>
      </c>
      <c r="E27">
        <v>2.0985999999999998E-2</v>
      </c>
      <c r="F27" s="9">
        <f t="shared" si="2"/>
        <v>2.1690230271210923E-2</v>
      </c>
      <c r="G27">
        <f>(1-E27*SUM($G$10:G26))/(1+E27)</f>
        <v>0.6767697651824387</v>
      </c>
      <c r="H27">
        <f>VLOOKUP(C27,Output!B29:O748,14,FALSE)</f>
        <v>2.1751512739948256E-2</v>
      </c>
      <c r="I27" s="10">
        <f t="shared" si="1"/>
        <v>0.61282468737332985</v>
      </c>
    </row>
    <row r="28" spans="3:9">
      <c r="C28">
        <f t="shared" si="0"/>
        <v>228</v>
      </c>
      <c r="D28">
        <v>19</v>
      </c>
      <c r="E28">
        <v>2.1307999999999997E-2</v>
      </c>
      <c r="F28" s="9">
        <f t="shared" si="2"/>
        <v>2.2045446599763815E-2</v>
      </c>
      <c r="G28">
        <f>(1-E28*SUM($G$10:G27))/(1+E28)</f>
        <v>0.65779398762474828</v>
      </c>
      <c r="H28">
        <f>VLOOKUP(C28,Output!B30:O749,14,FALSE)</f>
        <v>2.2112806926192205E-2</v>
      </c>
      <c r="I28" s="10">
        <f t="shared" si="1"/>
        <v>0.67360326428390205</v>
      </c>
    </row>
    <row r="29" spans="3:9">
      <c r="C29">
        <f t="shared" si="0"/>
        <v>240</v>
      </c>
      <c r="D29">
        <v>20</v>
      </c>
      <c r="E29">
        <v>2.1629999999999996E-2</v>
      </c>
      <c r="F29" s="9">
        <f t="shared" si="2"/>
        <v>2.2407777063625286E-2</v>
      </c>
      <c r="G29">
        <f>(1-E29*SUM($G$10:G28))/(1+E29)</f>
        <v>0.63880531571248977</v>
      </c>
      <c r="H29">
        <f>VLOOKUP(C29,Output!B31:O750,14,FALSE)</f>
        <v>2.2477081173149789E-2</v>
      </c>
      <c r="I29" s="10">
        <f t="shared" si="1"/>
        <v>0.69304109524503255</v>
      </c>
    </row>
    <row r="30" spans="3:9">
      <c r="C30">
        <f t="shared" si="0"/>
        <v>252</v>
      </c>
      <c r="D30">
        <v>21</v>
      </c>
      <c r="E30">
        <v>2.1727999999999997E-2</v>
      </c>
      <c r="F30" s="9">
        <f t="shared" si="2"/>
        <v>2.2486472527058207E-2</v>
      </c>
      <c r="G30">
        <f>(1-E30*SUM($G$10:G29))/(1+E30)</f>
        <v>0.62361884468494067</v>
      </c>
      <c r="H30">
        <f>VLOOKUP(C30,Output!B32:O751,14,FALSE)</f>
        <v>2.2555477924484091E-2</v>
      </c>
      <c r="I30" s="10">
        <f t="shared" si="1"/>
        <v>0.69005397425884318</v>
      </c>
    </row>
    <row r="31" spans="3:9">
      <c r="C31">
        <f t="shared" si="0"/>
        <v>264</v>
      </c>
      <c r="D31">
        <v>22</v>
      </c>
      <c r="E31">
        <v>2.1825999999999998E-2</v>
      </c>
      <c r="F31" s="9">
        <f t="shared" si="2"/>
        <v>2.2569683001636535E-2</v>
      </c>
      <c r="G31">
        <f>(1-E31*SUM($G$10:G30))/(1+E31)</f>
        <v>0.60863713515601181</v>
      </c>
      <c r="H31">
        <f>VLOOKUP(C31,Output!B33:O752,14,FALSE)</f>
        <v>2.263690375847921E-2</v>
      </c>
      <c r="I31" s="10">
        <f t="shared" si="1"/>
        <v>0.67220756842675122</v>
      </c>
    </row>
    <row r="32" spans="3:9">
      <c r="C32">
        <f t="shared" si="0"/>
        <v>276</v>
      </c>
      <c r="D32">
        <v>23</v>
      </c>
      <c r="E32">
        <v>2.1923999999999999E-2</v>
      </c>
      <c r="F32" s="9">
        <f t="shared" si="2"/>
        <v>2.2657021821020341E-2</v>
      </c>
      <c r="G32">
        <f>(1-E32*SUM($G$10:G31))/(1+E32)</f>
        <v>0.59386010437151171</v>
      </c>
      <c r="H32">
        <f>VLOOKUP(C32,Output!B34:O753,14,FALSE)</f>
        <v>2.27219530414191E-2</v>
      </c>
      <c r="I32" s="10">
        <f t="shared" si="1"/>
        <v>0.64931220398758982</v>
      </c>
    </row>
    <row r="33" spans="3:9">
      <c r="C33">
        <f t="shared" si="0"/>
        <v>288</v>
      </c>
      <c r="D33">
        <v>24</v>
      </c>
      <c r="E33">
        <v>2.2022E-2</v>
      </c>
      <c r="F33" s="9">
        <f t="shared" si="2"/>
        <v>2.2748175774442391E-2</v>
      </c>
      <c r="G33">
        <f>(1-E33*SUM($G$10:G32))/(1+E33)</f>
        <v>0.57928759285516762</v>
      </c>
      <c r="H33">
        <f>VLOOKUP(C33,Output!B35:O754,14,FALSE)</f>
        <v>2.2809928182600917E-2</v>
      </c>
      <c r="I33" s="10">
        <f t="shared" si="1"/>
        <v>0.61752408158526062</v>
      </c>
    </row>
    <row r="34" spans="3:9">
      <c r="C34">
        <f t="shared" si="0"/>
        <v>300</v>
      </c>
      <c r="D34">
        <v>25</v>
      </c>
      <c r="E34">
        <v>2.2120000000000001E-2</v>
      </c>
      <c r="F34" s="9">
        <f t="shared" si="2"/>
        <v>2.2842890912289859E-2</v>
      </c>
      <c r="G34">
        <f>(1-E34*SUM($G$10:G33))/(1+E34)</f>
        <v>0.56491936614544325</v>
      </c>
      <c r="H34">
        <f>VLOOKUP(C34,Output!B36:O755,14,FALSE)</f>
        <v>2.2900360849553263E-2</v>
      </c>
      <c r="I34" s="10">
        <f t="shared" si="1"/>
        <v>0.5746993726340327</v>
      </c>
    </row>
    <row r="35" spans="3:9">
      <c r="C35">
        <f t="shared" si="0"/>
        <v>312</v>
      </c>
      <c r="D35">
        <v>26</v>
      </c>
      <c r="E35">
        <v>2.2162000000000001E-2</v>
      </c>
      <c r="F35" s="9">
        <f t="shared" si="2"/>
        <v>2.2863679691028559E-2</v>
      </c>
      <c r="G35">
        <f>(1-E35*SUM($G$10:G34))/(1+E35)</f>
        <v>0.55186287856142091</v>
      </c>
      <c r="H35">
        <f>VLOOKUP(C35,Output!B37:O756,14,FALSE)</f>
        <v>2.291669103007335E-2</v>
      </c>
      <c r="I35" s="10">
        <f t="shared" si="1"/>
        <v>0.53011339044790884</v>
      </c>
    </row>
    <row r="36" spans="3:9">
      <c r="C36">
        <f t="shared" si="0"/>
        <v>324</v>
      </c>
      <c r="D36">
        <v>27</v>
      </c>
      <c r="E36">
        <v>2.2204000000000002E-2</v>
      </c>
      <c r="F36" s="9">
        <f t="shared" si="2"/>
        <v>2.2887291559662189E-2</v>
      </c>
      <c r="G36">
        <f>(1-E36*SUM($G$10:G35))/(1+E36)</f>
        <v>0.53904465043296379</v>
      </c>
      <c r="H36">
        <f>VLOOKUP(C36,Output!B38:O757,14,FALSE)</f>
        <v>2.2937729637208592E-2</v>
      </c>
      <c r="I36" s="10">
        <f t="shared" si="1"/>
        <v>0.50438077546403193</v>
      </c>
    </row>
    <row r="37" spans="3:9">
      <c r="C37">
        <f t="shared" si="0"/>
        <v>336</v>
      </c>
      <c r="D37">
        <v>28</v>
      </c>
      <c r="E37">
        <v>2.2245999999999998E-2</v>
      </c>
      <c r="F37" s="9">
        <f t="shared" si="2"/>
        <v>2.2913495659668711E-2</v>
      </c>
      <c r="G37">
        <f>(1-E37*SUM($G$10:G36))/(1+E37)</f>
        <v>0.52646107673436904</v>
      </c>
      <c r="H37">
        <f>VLOOKUP(C37,Output!B39:O758,14,FALSE)</f>
        <v>2.2958855509917105E-2</v>
      </c>
      <c r="I37" s="10">
        <f t="shared" si="1"/>
        <v>0.45359850248394284</v>
      </c>
    </row>
    <row r="38" spans="3:9">
      <c r="C38">
        <f t="shared" si="0"/>
        <v>348</v>
      </c>
      <c r="D38">
        <v>29</v>
      </c>
      <c r="E38">
        <v>2.2287999999999999E-2</v>
      </c>
      <c r="F38" s="9">
        <f t="shared" si="2"/>
        <v>2.2942095394329093E-2</v>
      </c>
      <c r="G38">
        <f>(1-E38*SUM($G$10:G37))/(1+E38)</f>
        <v>0.51410859247451246</v>
      </c>
      <c r="H38">
        <f>VLOOKUP(C38,Output!B40:O759,14,FALSE)</f>
        <v>2.2983623462352068E-2</v>
      </c>
      <c r="I38" s="10">
        <f t="shared" si="1"/>
        <v>0.41528068022975151</v>
      </c>
    </row>
    <row r="39" spans="3:9">
      <c r="C39">
        <f t="shared" si="0"/>
        <v>360</v>
      </c>
      <c r="D39">
        <v>30</v>
      </c>
      <c r="E39">
        <v>2.2329999999999999E-2</v>
      </c>
      <c r="F39" s="9">
        <f t="shared" si="2"/>
        <v>2.2972922820359665E-2</v>
      </c>
      <c r="G39">
        <f>(1-E39*SUM($G$10:G38))/(1+E39)</f>
        <v>0.50198367255469734</v>
      </c>
      <c r="H39">
        <f>VLOOKUP(C39,Output!B41:O760,14,FALSE)</f>
        <v>2.3007388739328886E-2</v>
      </c>
      <c r="I39" s="10">
        <f t="shared" si="1"/>
        <v>0.34465918969221049</v>
      </c>
    </row>
    <row r="40" spans="3:9">
      <c r="C40">
        <f t="shared" si="0"/>
        <v>372</v>
      </c>
      <c r="D40">
        <v>31</v>
      </c>
      <c r="E40">
        <v>2.24263E-2</v>
      </c>
      <c r="F40" s="9">
        <f t="shared" si="2"/>
        <v>2.308560941461477E-2</v>
      </c>
      <c r="G40">
        <f>(1-E40*SUM($G$10:G39))/(1+E40)</f>
        <v>0.48887233762010601</v>
      </c>
      <c r="H40">
        <f>VLOOKUP(C40,Output!B42:O761,14,FALSE)</f>
        <v>2.3114729078434131E-2</v>
      </c>
      <c r="I40" s="10">
        <f t="shared" si="1"/>
        <v>0.29119663819361652</v>
      </c>
    </row>
    <row r="41" spans="3:9">
      <c r="C41">
        <f t="shared" si="0"/>
        <v>384</v>
      </c>
      <c r="D41">
        <v>32</v>
      </c>
      <c r="E41">
        <v>2.25226E-2</v>
      </c>
      <c r="F41" s="9">
        <f t="shared" si="2"/>
        <v>2.3200820597778841E-2</v>
      </c>
      <c r="G41">
        <f>(1-E41*SUM($G$10:G40))/(1+E41)</f>
        <v>0.47595771671410653</v>
      </c>
      <c r="H41">
        <f>VLOOKUP(C41,Output!B43:O762,14,FALSE)</f>
        <v>2.3229339838294297E-2</v>
      </c>
      <c r="I41" s="10">
        <f t="shared" si="1"/>
        <v>0.28519240515455929</v>
      </c>
    </row>
    <row r="42" spans="3:9">
      <c r="C42">
        <f t="shared" si="0"/>
        <v>396</v>
      </c>
      <c r="D42">
        <v>33</v>
      </c>
      <c r="E42">
        <v>2.2618900000000001E-2</v>
      </c>
      <c r="F42" s="9">
        <f t="shared" si="2"/>
        <v>2.3318543264644227E-2</v>
      </c>
      <c r="G42">
        <f>(1-E42*SUM($G$10:G41))/(1+E42)</f>
        <v>0.46323910730620438</v>
      </c>
      <c r="H42">
        <f>VLOOKUP(C42,Output!B44:O763,14,FALSE)</f>
        <v>2.3347774993194969E-2</v>
      </c>
      <c r="I42" s="10">
        <f t="shared" si="1"/>
        <v>0.29231728550741659</v>
      </c>
    </row>
    <row r="43" spans="3:9">
      <c r="C43">
        <f t="shared" si="0"/>
        <v>408</v>
      </c>
      <c r="D43">
        <v>34</v>
      </c>
      <c r="E43">
        <v>2.2715200000000001E-2</v>
      </c>
      <c r="F43" s="9">
        <f t="shared" si="2"/>
        <v>2.3438776684320515E-2</v>
      </c>
      <c r="G43">
        <f>(1-E43*SUM($G$10:G42))/(1+E43)</f>
        <v>0.45071574864294273</v>
      </c>
      <c r="H43">
        <f>VLOOKUP(C43,Output!B45:O764,14,FALSE)</f>
        <v>2.3471516973877976E-2</v>
      </c>
      <c r="I43" s="10">
        <f t="shared" si="1"/>
        <v>0.32740289557461194</v>
      </c>
    </row>
    <row r="44" spans="3:9">
      <c r="C44">
        <f t="shared" si="0"/>
        <v>420</v>
      </c>
      <c r="D44">
        <v>35</v>
      </c>
      <c r="E44">
        <v>2.2811499999999998E-2</v>
      </c>
      <c r="F44" s="9">
        <f t="shared" si="2"/>
        <v>2.3561531425792703E-2</v>
      </c>
      <c r="G44">
        <f>(1-E44*SUM($G$10:G43))/(1+E44)</f>
        <v>0.43838682340456769</v>
      </c>
      <c r="H44">
        <f>VLOOKUP(C44,Output!B46:O765,14,FALSE)</f>
        <v>2.359876598858569E-2</v>
      </c>
      <c r="I44" s="10">
        <f t="shared" si="1"/>
        <v>0.37234562792986398</v>
      </c>
    </row>
    <row r="45" spans="3:9">
      <c r="C45">
        <f t="shared" si="0"/>
        <v>432</v>
      </c>
      <c r="D45">
        <v>36</v>
      </c>
      <c r="E45">
        <v>2.2907799999999999E-2</v>
      </c>
      <c r="F45" s="9">
        <f t="shared" si="2"/>
        <v>2.3686828518886219E-2</v>
      </c>
      <c r="G45">
        <f>(1-E45*SUM($G$10:G44))/(1+E45)</f>
        <v>0.42625145935654413</v>
      </c>
      <c r="H45">
        <f>VLOOKUP(C45,Output!B47:O766,14,FALSE)</f>
        <v>2.3728469440710484E-2</v>
      </c>
      <c r="I45" s="10">
        <f t="shared" si="1"/>
        <v>0.41640921824265265</v>
      </c>
    </row>
    <row r="46" spans="3:9">
      <c r="C46">
        <f t="shared" si="0"/>
        <v>444</v>
      </c>
      <c r="D46">
        <v>37</v>
      </c>
      <c r="E46">
        <v>2.30041E-2</v>
      </c>
      <c r="F46" s="9">
        <f t="shared" si="2"/>
        <v>2.3814698811679167E-2</v>
      </c>
      <c r="G46">
        <f>(1-E46*SUM($G$10:G45))/(1+E46)</f>
        <v>0.41430873099495141</v>
      </c>
      <c r="H46">
        <f>VLOOKUP(C46,Output!B48:O767,14,FALSE)</f>
        <v>2.3857208310263771E-2</v>
      </c>
      <c r="I46" s="10">
        <f t="shared" si="1"/>
        <v>0.42509498584603761</v>
      </c>
    </row>
    <row r="47" spans="3:9">
      <c r="C47">
        <f t="shared" si="0"/>
        <v>456</v>
      </c>
      <c r="D47">
        <v>38</v>
      </c>
      <c r="E47">
        <v>2.31004E-2</v>
      </c>
      <c r="F47" s="9">
        <f t="shared" si="2"/>
        <v>2.3945182494260354E-2</v>
      </c>
      <c r="G47">
        <f>(1-E47*SUM($G$10:G46))/(1+E47)</f>
        <v>0.4025576611848114</v>
      </c>
      <c r="H47">
        <f>VLOOKUP(C47,Output!B49:O768,14,FALSE)</f>
        <v>2.3985523305490978E-2</v>
      </c>
      <c r="I47" s="10">
        <f t="shared" si="1"/>
        <v>0.40340811230624163</v>
      </c>
    </row>
    <row r="48" spans="3:9">
      <c r="C48">
        <f t="shared" si="0"/>
        <v>468</v>
      </c>
      <c r="D48">
        <v>39</v>
      </c>
      <c r="E48">
        <v>2.3196700000000001E-2</v>
      </c>
      <c r="F48" s="9">
        <f t="shared" si="2"/>
        <v>2.4078328765635173E-2</v>
      </c>
      <c r="G48">
        <f>(1-E48*SUM($G$10:G47))/(1+E48)</f>
        <v>0.39099722279042992</v>
      </c>
      <c r="H48">
        <f>VLOOKUP(C48,Output!B50:O769,14,FALSE)</f>
        <v>2.4119590225743393E-2</v>
      </c>
      <c r="I48" s="10">
        <f t="shared" si="1"/>
        <v>0.41261460108219655</v>
      </c>
    </row>
    <row r="49" spans="3:9">
      <c r="C49">
        <f t="shared" si="0"/>
        <v>480</v>
      </c>
      <c r="D49">
        <v>40</v>
      </c>
      <c r="E49">
        <v>2.3293000000000001E-2</v>
      </c>
      <c r="F49" s="9">
        <f t="shared" si="2"/>
        <v>2.4214195626033143E-2</v>
      </c>
      <c r="G49">
        <f>(1-E49*SUM($G$10:G48))/(1+E49)</f>
        <v>0.37962634029686187</v>
      </c>
      <c r="H49">
        <f>VLOOKUP(C49,Output!B51:O770,14,FALSE)</f>
        <v>2.4254588229609735E-2</v>
      </c>
      <c r="I49" s="10">
        <f t="shared" si="1"/>
        <v>0.4039260357659169</v>
      </c>
    </row>
    <row r="50" spans="3:9">
      <c r="C50">
        <f t="shared" si="0"/>
        <v>492</v>
      </c>
      <c r="D50">
        <v>41</v>
      </c>
      <c r="E50">
        <v>2.3350700000000002E-2</v>
      </c>
      <c r="F50" s="9">
        <f t="shared" si="2"/>
        <v>2.4285520691831944E-2</v>
      </c>
      <c r="G50">
        <f>(1-E50*SUM($G$10:G49))/(1+E50)</f>
        <v>0.36946238320444202</v>
      </c>
      <c r="H50">
        <f>VLOOKUP(C50,Output!B52:O771,14,FALSE)</f>
        <v>2.4323152236712099E-2</v>
      </c>
      <c r="I50" s="10">
        <f t="shared" si="1"/>
        <v>0.3763154488015466</v>
      </c>
    </row>
    <row r="51" spans="3:9">
      <c r="C51">
        <f t="shared" si="0"/>
        <v>504</v>
      </c>
      <c r="D51">
        <v>42</v>
      </c>
      <c r="E51">
        <v>2.3408399999999999E-2</v>
      </c>
      <c r="F51" s="9">
        <f t="shared" si="2"/>
        <v>2.4358833758027082E-2</v>
      </c>
      <c r="G51">
        <f>(1-E51*SUM($G$10:G50))/(1+E51)</f>
        <v>0.35948924535308036</v>
      </c>
      <c r="H51">
        <f>VLOOKUP(C51,Output!B53:O772,14,FALSE)</f>
        <v>2.4393776746810453E-2</v>
      </c>
      <c r="I51" s="10">
        <f t="shared" si="1"/>
        <v>0.34942988783370765</v>
      </c>
    </row>
    <row r="52" spans="3:9">
      <c r="C52">
        <f t="shared" si="0"/>
        <v>516</v>
      </c>
      <c r="D52">
        <v>43</v>
      </c>
      <c r="E52">
        <v>2.34661E-2</v>
      </c>
      <c r="F52" s="9">
        <f t="shared" si="2"/>
        <v>2.4434128253459763E-2</v>
      </c>
      <c r="G52">
        <f>(1-E52*SUM($G$10:G51))/(1+E52)</f>
        <v>0.34970423839459341</v>
      </c>
      <c r="H52">
        <f>VLOOKUP(C52,Output!B54:O773,14,FALSE)</f>
        <v>2.4470194469097942E-2</v>
      </c>
      <c r="I52" s="10">
        <f t="shared" si="1"/>
        <v>0.36066215638178717</v>
      </c>
    </row>
    <row r="53" spans="3:9">
      <c r="C53">
        <f t="shared" si="0"/>
        <v>528</v>
      </c>
      <c r="D53">
        <v>44</v>
      </c>
      <c r="E53">
        <v>2.3523800000000001E-2</v>
      </c>
      <c r="F53" s="9">
        <f t="shared" si="2"/>
        <v>2.4511404253808967E-2</v>
      </c>
      <c r="G53">
        <f>(1-E53*SUM($G$10:G52))/(1+E53)</f>
        <v>0.34010469334483717</v>
      </c>
      <c r="H53">
        <f>VLOOKUP(C53,Output!B55:O774,14,FALSE)</f>
        <v>2.4551025973223329E-2</v>
      </c>
      <c r="I53" s="10">
        <f t="shared" si="1"/>
        <v>0.39621719414361517</v>
      </c>
    </row>
    <row r="54" spans="3:9">
      <c r="C54">
        <f t="shared" si="0"/>
        <v>540</v>
      </c>
      <c r="D54">
        <v>45</v>
      </c>
      <c r="E54">
        <v>2.3581499999999998E-2</v>
      </c>
      <c r="F54" s="9">
        <f t="shared" si="2"/>
        <v>2.4590668101920871E-2</v>
      </c>
      <c r="G54">
        <f>(1-E54*SUM($G$10:G53))/(1+E54)</f>
        <v>0.33068796088985614</v>
      </c>
      <c r="H54">
        <f>VLOOKUP(C54,Output!B56:O775,14,FALSE)</f>
        <v>2.4635227935643073E-2</v>
      </c>
      <c r="I54" s="10">
        <f t="shared" si="1"/>
        <v>0.44559833722201958</v>
      </c>
    </row>
    <row r="55" spans="3:9">
      <c r="C55">
        <f t="shared" si="0"/>
        <v>552</v>
      </c>
      <c r="D55">
        <v>46</v>
      </c>
      <c r="E55">
        <v>2.3639199999999999E-2</v>
      </c>
      <c r="F55" s="9">
        <f t="shared" si="2"/>
        <v>2.4671932104538746E-2</v>
      </c>
      <c r="G55">
        <f>(1-E55*SUM($G$10:G54))/(1+E55)</f>
        <v>0.32145141167830987</v>
      </c>
      <c r="H55">
        <f>VLOOKUP(C55,Output!B57:O776,14,FALSE)</f>
        <v>2.4718699585273392E-2</v>
      </c>
      <c r="I55" s="10">
        <f t="shared" si="1"/>
        <v>0.46767480734646177</v>
      </c>
    </row>
    <row r="56" spans="3:9">
      <c r="C56">
        <f t="shared" si="0"/>
        <v>564</v>
      </c>
      <c r="D56">
        <v>47</v>
      </c>
      <c r="E56">
        <v>2.36969E-2</v>
      </c>
      <c r="F56" s="9">
        <f t="shared" si="2"/>
        <v>2.4755214296507906E-2</v>
      </c>
      <c r="G56">
        <f>(1-E56*SUM($G$10:G55))/(1+E56)</f>
        <v>0.31239243660038024</v>
      </c>
      <c r="H56">
        <f>VLOOKUP(C56,Output!B58:O777,14,FALSE)</f>
        <v>2.4808023276347305E-2</v>
      </c>
      <c r="I56" s="10">
        <f t="shared" si="1"/>
        <v>0.52808979839398529</v>
      </c>
    </row>
    <row r="57" spans="3:9">
      <c r="C57">
        <f t="shared" si="0"/>
        <v>576</v>
      </c>
      <c r="D57">
        <v>48</v>
      </c>
      <c r="E57">
        <v>2.3754600000000001E-2</v>
      </c>
      <c r="F57" s="9">
        <f t="shared" si="2"/>
        <v>2.4840538265283593E-2</v>
      </c>
      <c r="G57">
        <f>(1-E57*SUM($G$10:G56))/(1+E57)</f>
        <v>0.3035084470533605</v>
      </c>
      <c r="H57">
        <f>VLOOKUP(C57,Output!B59:O778,14,FALSE)</f>
        <v>2.489315514349693E-2</v>
      </c>
      <c r="I57" s="10">
        <f t="shared" si="1"/>
        <v>0.52616878213337248</v>
      </c>
    </row>
    <row r="58" spans="3:9">
      <c r="C58">
        <f t="shared" si="0"/>
        <v>588</v>
      </c>
      <c r="D58">
        <v>49</v>
      </c>
      <c r="E58">
        <v>2.3812299999999998E-2</v>
      </c>
      <c r="F58" s="9">
        <f t="shared" si="2"/>
        <v>2.4927933030033878E-2</v>
      </c>
      <c r="G58">
        <f>(1-E58*SUM($G$10:G57))/(1+E58)</f>
        <v>0.29479687519413433</v>
      </c>
      <c r="H58">
        <f>VLOOKUP(C58,Output!B60:O779,14,FALSE)</f>
        <v>2.4975065154190908E-2</v>
      </c>
      <c r="I58" s="10">
        <f t="shared" si="1"/>
        <v>0.4713212415703022</v>
      </c>
    </row>
    <row r="59" spans="3:9">
      <c r="C59">
        <f t="shared" si="0"/>
        <v>600</v>
      </c>
      <c r="D59">
        <v>50</v>
      </c>
      <c r="E59">
        <v>2.3869999999999999E-2</v>
      </c>
      <c r="F59" s="9">
        <f t="shared" si="2"/>
        <v>2.5017432970868683E-2</v>
      </c>
      <c r="G59">
        <f>(1-E59*SUM($G$10:G58))/(1+E59)</f>
        <v>0.28625517417874802</v>
      </c>
      <c r="H59">
        <f>VLOOKUP(C59,Output!B61:O780,14,FALSE)</f>
        <v>2.5060980311948183E-2</v>
      </c>
      <c r="I59" s="10">
        <f t="shared" si="1"/>
        <v>0.43547341079499396</v>
      </c>
    </row>
    <row r="60" spans="3:9">
      <c r="C60">
        <f t="shared" si="0"/>
        <v>612</v>
      </c>
      <c r="D60">
        <v>51</v>
      </c>
      <c r="E60">
        <v>2.3869999999999999E-2</v>
      </c>
      <c r="F60" s="9">
        <f t="shared" si="2"/>
        <v>2.4989435568167066E-2</v>
      </c>
      <c r="G60">
        <f>(1-E60*SUM($G$10:G59))/(1+E60)</f>
        <v>0.2795815622869583</v>
      </c>
      <c r="H60">
        <f>VLOOKUP(C60,Output!B62:O781,14,FALSE)</f>
        <v>2.5031303236400099E-2</v>
      </c>
      <c r="I60" s="10">
        <f t="shared" si="1"/>
        <v>0.41867668233032396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6</vt:i4>
      </vt:variant>
    </vt:vector>
  </HeadingPairs>
  <TitlesOfParts>
    <vt:vector size="9" baseType="lpstr">
      <vt:lpstr>Feuil1</vt:lpstr>
      <vt:lpstr>Output</vt:lpstr>
      <vt:lpstr>Feuil2</vt:lpstr>
      <vt:lpstr>alpha</vt:lpstr>
      <vt:lpstr>corel</vt:lpstr>
      <vt:lpstr>dir</vt:lpstr>
      <vt:lpstr>name</vt:lpstr>
      <vt:lpstr>scn</vt:lpstr>
      <vt:lpstr>sigma</vt:lpstr>
    </vt:vector>
  </TitlesOfParts>
  <Company>Basler Versicherungen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B029735</dc:creator>
  <cp:lastModifiedBy>B029735</cp:lastModifiedBy>
  <dcterms:created xsi:type="dcterms:W3CDTF">2013-01-21T16:28:36Z</dcterms:created>
  <dcterms:modified xsi:type="dcterms:W3CDTF">2013-03-01T08:33:44Z</dcterms:modified>
</cp:coreProperties>
</file>