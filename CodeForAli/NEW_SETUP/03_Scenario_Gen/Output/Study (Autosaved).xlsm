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0" yWindow="90" windowWidth="18120" windowHeight="11280" tabRatio="720" activeTab="3"/>
  </bookViews>
  <sheets>
    <sheet name="Feuil1" sheetId="1" r:id="rId1"/>
    <sheet name="Output" sheetId="9" r:id="rId2"/>
    <sheet name="Feuil2" sheetId="10" r:id="rId3"/>
    <sheet name="Sheet1" sheetId="11" r:id="rId4"/>
  </sheets>
  <functionGroups builtInGroupCount="17"/>
  <definedNames>
    <definedName name="alpha">Feuil1!$F$8</definedName>
    <definedName name="corel">Feuil1!$F$10</definedName>
    <definedName name="dir">Feuil1!$F$5</definedName>
    <definedName name="name">Feuil1!$F$6</definedName>
    <definedName name="scn">Feuil1!$F$7</definedName>
    <definedName name="sigma">Feuil1!$F$9</definedName>
  </definedNames>
  <calcPr calcId="145621" calcMode="manual"/>
</workbook>
</file>

<file path=xl/calcChain.xml><?xml version="1.0" encoding="utf-8"?>
<calcChain xmlns="http://schemas.openxmlformats.org/spreadsheetml/2006/main">
  <c r="J4" i="11" l="1"/>
  <c r="I5" i="11"/>
  <c r="J5" i="11" s="1"/>
  <c r="I4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H728" i="11"/>
  <c r="H729" i="11"/>
  <c r="H730" i="11"/>
  <c r="H731" i="11"/>
  <c r="H732" i="11"/>
  <c r="H733" i="11"/>
  <c r="H734" i="11"/>
  <c r="H735" i="11"/>
  <c r="H736" i="11"/>
  <c r="H737" i="11"/>
  <c r="H738" i="11"/>
  <c r="H739" i="11"/>
  <c r="H740" i="11"/>
  <c r="H741" i="11"/>
  <c r="H742" i="11"/>
  <c r="H743" i="11"/>
  <c r="H744" i="11"/>
  <c r="H745" i="11"/>
  <c r="H746" i="11"/>
  <c r="H747" i="11"/>
  <c r="H748" i="11"/>
  <c r="H749" i="11"/>
  <c r="H750" i="11"/>
  <c r="H751" i="11"/>
  <c r="H752" i="11"/>
  <c r="H753" i="11"/>
  <c r="H754" i="11"/>
  <c r="H755" i="11"/>
  <c r="H756" i="11"/>
  <c r="H757" i="11"/>
  <c r="H758" i="11"/>
  <c r="H759" i="11"/>
  <c r="H760" i="11"/>
  <c r="H761" i="11"/>
  <c r="H762" i="11"/>
  <c r="H763" i="11"/>
  <c r="H764" i="11"/>
  <c r="H765" i="11"/>
  <c r="H766" i="11"/>
  <c r="H767" i="11"/>
  <c r="H768" i="11"/>
  <c r="H769" i="11"/>
  <c r="H770" i="11"/>
  <c r="H771" i="11"/>
  <c r="H772" i="11"/>
  <c r="H773" i="11"/>
  <c r="H774" i="11"/>
  <c r="H775" i="11"/>
  <c r="H776" i="11"/>
  <c r="H777" i="11"/>
  <c r="H778" i="11"/>
  <c r="H779" i="11"/>
  <c r="H780" i="11"/>
  <c r="H781" i="11"/>
  <c r="H782" i="11"/>
  <c r="H783" i="11"/>
  <c r="H784" i="11"/>
  <c r="H785" i="11"/>
  <c r="H786" i="11"/>
  <c r="H787" i="11"/>
  <c r="H788" i="11"/>
  <c r="H789" i="11"/>
  <c r="H790" i="11"/>
  <c r="H791" i="11"/>
  <c r="H792" i="11"/>
  <c r="H793" i="11"/>
  <c r="H794" i="11"/>
  <c r="H795" i="11"/>
  <c r="H796" i="11"/>
  <c r="H797" i="11"/>
  <c r="H798" i="11"/>
  <c r="H799" i="11"/>
  <c r="H800" i="11"/>
  <c r="H801" i="11"/>
  <c r="H802" i="11"/>
  <c r="H803" i="11"/>
  <c r="H804" i="11"/>
  <c r="H805" i="11"/>
  <c r="H806" i="11"/>
  <c r="H807" i="11"/>
  <c r="H808" i="11"/>
  <c r="H809" i="11"/>
  <c r="H810" i="11"/>
  <c r="H811" i="11"/>
  <c r="H812" i="11"/>
  <c r="H813" i="11"/>
  <c r="H814" i="11"/>
  <c r="H815" i="11"/>
  <c r="H816" i="11"/>
  <c r="H817" i="11"/>
  <c r="H818" i="11"/>
  <c r="H819" i="11"/>
  <c r="H820" i="11"/>
  <c r="H821" i="11"/>
  <c r="H822" i="11"/>
  <c r="H823" i="11"/>
  <c r="H824" i="11"/>
  <c r="H825" i="11"/>
  <c r="H826" i="11"/>
  <c r="H827" i="11"/>
  <c r="H828" i="11"/>
  <c r="H829" i="11"/>
  <c r="H830" i="11"/>
  <c r="H831" i="11"/>
  <c r="H832" i="11"/>
  <c r="H833" i="11"/>
  <c r="H834" i="11"/>
  <c r="H835" i="11"/>
  <c r="H836" i="11"/>
  <c r="H837" i="11"/>
  <c r="H838" i="11"/>
  <c r="H839" i="11"/>
  <c r="H840" i="11"/>
  <c r="H841" i="11"/>
  <c r="H842" i="11"/>
  <c r="H843" i="11"/>
  <c r="H844" i="11"/>
  <c r="H845" i="11"/>
  <c r="H846" i="11"/>
  <c r="H847" i="11"/>
  <c r="H848" i="11"/>
  <c r="H849" i="11"/>
  <c r="H850" i="11"/>
  <c r="H851" i="11"/>
  <c r="H852" i="11"/>
  <c r="H853" i="11"/>
  <c r="H854" i="11"/>
  <c r="H855" i="11"/>
  <c r="H856" i="11"/>
  <c r="H857" i="11"/>
  <c r="H858" i="11"/>
  <c r="H859" i="11"/>
  <c r="H860" i="11"/>
  <c r="H861" i="11"/>
  <c r="H862" i="11"/>
  <c r="H863" i="11"/>
  <c r="H864" i="11"/>
  <c r="H865" i="11"/>
  <c r="H866" i="11"/>
  <c r="H867" i="11"/>
  <c r="H868" i="11"/>
  <c r="H869" i="11"/>
  <c r="H870" i="11"/>
  <c r="H871" i="11"/>
  <c r="H872" i="11"/>
  <c r="H873" i="11"/>
  <c r="H874" i="11"/>
  <c r="H875" i="11"/>
  <c r="H876" i="11"/>
  <c r="H877" i="11"/>
  <c r="H878" i="11"/>
  <c r="H879" i="11"/>
  <c r="H880" i="11"/>
  <c r="H881" i="11"/>
  <c r="H882" i="11"/>
  <c r="H883" i="11"/>
  <c r="H884" i="11"/>
  <c r="H885" i="11"/>
  <c r="H886" i="11"/>
  <c r="H887" i="11"/>
  <c r="H888" i="11"/>
  <c r="H889" i="11"/>
  <c r="H890" i="11"/>
  <c r="H891" i="11"/>
  <c r="H892" i="11"/>
  <c r="H893" i="11"/>
  <c r="H894" i="11"/>
  <c r="H895" i="11"/>
  <c r="H896" i="11"/>
  <c r="H897" i="11"/>
  <c r="H898" i="11"/>
  <c r="H899" i="11"/>
  <c r="H900" i="11"/>
  <c r="H901" i="11"/>
  <c r="H902" i="11"/>
  <c r="H903" i="11"/>
  <c r="H904" i="11"/>
  <c r="H905" i="11"/>
  <c r="H906" i="11"/>
  <c r="H907" i="11"/>
  <c r="H908" i="11"/>
  <c r="H909" i="11"/>
  <c r="H910" i="11"/>
  <c r="H911" i="11"/>
  <c r="H912" i="11"/>
  <c r="H913" i="11"/>
  <c r="H914" i="11"/>
  <c r="H915" i="11"/>
  <c r="H916" i="11"/>
  <c r="H917" i="11"/>
  <c r="H918" i="11"/>
  <c r="H919" i="11"/>
  <c r="H920" i="11"/>
  <c r="H921" i="11"/>
  <c r="H922" i="11"/>
  <c r="H923" i="11"/>
  <c r="H924" i="11"/>
  <c r="H925" i="11"/>
  <c r="H926" i="11"/>
  <c r="H927" i="11"/>
  <c r="H928" i="11"/>
  <c r="H929" i="11"/>
  <c r="H930" i="11"/>
  <c r="H931" i="11"/>
  <c r="H932" i="11"/>
  <c r="H933" i="11"/>
  <c r="H934" i="11"/>
  <c r="H935" i="11"/>
  <c r="H936" i="11"/>
  <c r="H937" i="11"/>
  <c r="H938" i="11"/>
  <c r="H939" i="11"/>
  <c r="H940" i="11"/>
  <c r="H941" i="11"/>
  <c r="H942" i="11"/>
  <c r="H943" i="11"/>
  <c r="H944" i="11"/>
  <c r="H945" i="11"/>
  <c r="H946" i="11"/>
  <c r="H947" i="11"/>
  <c r="H948" i="11"/>
  <c r="H949" i="11"/>
  <c r="H950" i="11"/>
  <c r="H951" i="11"/>
  <c r="H952" i="11"/>
  <c r="H953" i="11"/>
  <c r="H954" i="11"/>
  <c r="H955" i="11"/>
  <c r="H956" i="11"/>
  <c r="H957" i="11"/>
  <c r="H958" i="11"/>
  <c r="H959" i="11"/>
  <c r="H960" i="11"/>
  <c r="H961" i="11"/>
  <c r="H962" i="11"/>
  <c r="H963" i="11"/>
  <c r="H964" i="11"/>
  <c r="H965" i="11"/>
  <c r="H966" i="11"/>
  <c r="H967" i="11"/>
  <c r="H968" i="11"/>
  <c r="H969" i="11"/>
  <c r="H970" i="11"/>
  <c r="H971" i="11"/>
  <c r="H972" i="11"/>
  <c r="H973" i="11"/>
  <c r="H974" i="11"/>
  <c r="H975" i="11"/>
  <c r="H976" i="11"/>
  <c r="H977" i="11"/>
  <c r="H978" i="11"/>
  <c r="H979" i="11"/>
  <c r="H980" i="11"/>
  <c r="H981" i="11"/>
  <c r="H982" i="11"/>
  <c r="H983" i="11"/>
  <c r="H984" i="11"/>
  <c r="H985" i="11"/>
  <c r="H986" i="11"/>
  <c r="H987" i="11"/>
  <c r="H988" i="11"/>
  <c r="H989" i="11"/>
  <c r="H990" i="11"/>
  <c r="H991" i="11"/>
  <c r="H992" i="11"/>
  <c r="H993" i="11"/>
  <c r="H994" i="11"/>
  <c r="H995" i="11"/>
  <c r="H996" i="11"/>
  <c r="H997" i="11"/>
  <c r="H998" i="11"/>
  <c r="H999" i="11"/>
  <c r="H1000" i="11"/>
  <c r="H1001" i="11"/>
  <c r="H1002" i="11"/>
  <c r="H1003" i="11"/>
  <c r="H1004" i="11"/>
  <c r="H1005" i="11"/>
  <c r="H1006" i="11"/>
  <c r="H1007" i="11"/>
  <c r="H1008" i="11"/>
  <c r="H1009" i="11"/>
  <c r="H1010" i="11"/>
  <c r="H1011" i="11"/>
  <c r="H1012" i="11"/>
  <c r="H1013" i="11"/>
  <c r="H1014" i="11"/>
  <c r="H1015" i="11"/>
  <c r="H1016" i="11"/>
  <c r="H1017" i="11"/>
  <c r="H1018" i="11"/>
  <c r="H1019" i="11"/>
  <c r="H1020" i="11"/>
  <c r="H1021" i="11"/>
  <c r="H1022" i="11"/>
  <c r="H1023" i="11"/>
  <c r="H1024" i="11"/>
  <c r="H1025" i="11"/>
  <c r="H1026" i="11"/>
  <c r="H1027" i="11"/>
  <c r="H1028" i="11"/>
  <c r="H1029" i="11"/>
  <c r="H1030" i="11"/>
  <c r="H1031" i="11"/>
  <c r="H1032" i="11"/>
  <c r="H1033" i="11"/>
  <c r="H1034" i="11"/>
  <c r="H1035" i="11"/>
  <c r="H1036" i="11"/>
  <c r="H1037" i="11"/>
  <c r="H1038" i="11"/>
  <c r="H1039" i="11"/>
  <c r="H1040" i="11"/>
  <c r="H1041" i="11"/>
  <c r="H1042" i="11"/>
  <c r="H1043" i="11"/>
  <c r="H1044" i="11"/>
  <c r="H1045" i="11"/>
  <c r="H1046" i="11"/>
  <c r="H1047" i="11"/>
  <c r="H1048" i="11"/>
  <c r="H1049" i="11"/>
  <c r="H1050" i="11"/>
  <c r="H1051" i="11"/>
  <c r="H1052" i="11"/>
  <c r="H1053" i="11"/>
  <c r="H1054" i="11"/>
  <c r="H1055" i="11"/>
  <c r="H1056" i="11"/>
  <c r="H1057" i="11"/>
  <c r="H1058" i="11"/>
  <c r="H1059" i="11"/>
  <c r="H1060" i="11"/>
  <c r="H1061" i="11"/>
  <c r="H1062" i="11"/>
  <c r="H1063" i="11"/>
  <c r="H1064" i="11"/>
  <c r="H1065" i="11"/>
  <c r="H1066" i="11"/>
  <c r="H1067" i="11"/>
  <c r="H1068" i="11"/>
  <c r="H1069" i="11"/>
  <c r="H1070" i="11"/>
  <c r="H1071" i="11"/>
  <c r="H1072" i="11"/>
  <c r="H1073" i="11"/>
  <c r="H1074" i="11"/>
  <c r="H1075" i="11"/>
  <c r="H1076" i="11"/>
  <c r="H1077" i="11"/>
  <c r="H1078" i="11"/>
  <c r="H1079" i="11"/>
  <c r="H1080" i="11"/>
  <c r="H1081" i="11"/>
  <c r="H1082" i="11"/>
  <c r="H1083" i="11"/>
  <c r="H1084" i="11"/>
  <c r="H1085" i="11"/>
  <c r="H1086" i="11"/>
  <c r="H1087" i="11"/>
  <c r="H1088" i="11"/>
  <c r="H1089" i="11"/>
  <c r="H1090" i="11"/>
  <c r="H1091" i="11"/>
  <c r="H1092" i="11"/>
  <c r="H1093" i="11"/>
  <c r="H1094" i="11"/>
  <c r="H1095" i="11"/>
  <c r="H1096" i="11"/>
  <c r="H1097" i="11"/>
  <c r="H1098" i="11"/>
  <c r="H1099" i="11"/>
  <c r="H1100" i="11"/>
  <c r="H1101" i="11"/>
  <c r="H1102" i="11"/>
  <c r="H1103" i="11"/>
  <c r="H1104" i="11"/>
  <c r="H1105" i="11"/>
  <c r="H1106" i="11"/>
  <c r="H1107" i="11"/>
  <c r="H1108" i="11"/>
  <c r="H1109" i="11"/>
  <c r="H1110" i="11"/>
  <c r="H1111" i="11"/>
  <c r="H1112" i="11"/>
  <c r="H1113" i="11"/>
  <c r="H1114" i="11"/>
  <c r="H1115" i="11"/>
  <c r="H1116" i="11"/>
  <c r="H1117" i="11"/>
  <c r="H1118" i="11"/>
  <c r="H1119" i="11"/>
  <c r="H1120" i="11"/>
  <c r="H1121" i="11"/>
  <c r="H1122" i="11"/>
  <c r="H1123" i="11"/>
  <c r="H1124" i="11"/>
  <c r="H1125" i="11"/>
  <c r="H1126" i="11"/>
  <c r="H1127" i="11"/>
  <c r="H1128" i="11"/>
  <c r="H1129" i="11"/>
  <c r="H1130" i="11"/>
  <c r="H1131" i="11"/>
  <c r="H1132" i="11"/>
  <c r="H1133" i="11"/>
  <c r="H1134" i="11"/>
  <c r="H1135" i="11"/>
  <c r="H1136" i="11"/>
  <c r="H1137" i="11"/>
  <c r="H1138" i="11"/>
  <c r="H1139" i="11"/>
  <c r="H1140" i="11"/>
  <c r="H1141" i="11"/>
  <c r="H1142" i="11"/>
  <c r="H1143" i="11"/>
  <c r="H1144" i="11"/>
  <c r="H1145" i="11"/>
  <c r="H1146" i="11"/>
  <c r="H1147" i="11"/>
  <c r="H1148" i="11"/>
  <c r="H1149" i="11"/>
  <c r="H1150" i="11"/>
  <c r="H1151" i="11"/>
  <c r="H1152" i="11"/>
  <c r="H1153" i="11"/>
  <c r="H1154" i="11"/>
  <c r="H1155" i="11"/>
  <c r="H1156" i="11"/>
  <c r="H1157" i="11"/>
  <c r="H1158" i="11"/>
  <c r="H1159" i="11"/>
  <c r="H1160" i="11"/>
  <c r="H1161" i="11"/>
  <c r="H1162" i="11"/>
  <c r="H1163" i="11"/>
  <c r="H1164" i="11"/>
  <c r="H1165" i="11"/>
  <c r="H1166" i="11"/>
  <c r="H1167" i="11"/>
  <c r="H1168" i="11"/>
  <c r="H1169" i="11"/>
  <c r="H1170" i="11"/>
  <c r="H1171" i="11"/>
  <c r="H1172" i="11"/>
  <c r="H1173" i="11"/>
  <c r="H1174" i="11"/>
  <c r="H1175" i="11"/>
  <c r="H1176" i="11"/>
  <c r="H1177" i="11"/>
  <c r="H1178" i="11"/>
  <c r="H1179" i="11"/>
  <c r="H1180" i="11"/>
  <c r="H1181" i="11"/>
  <c r="H1182" i="11"/>
  <c r="H1183" i="11"/>
  <c r="H1184" i="11"/>
  <c r="H1185" i="11"/>
  <c r="H1186" i="11"/>
  <c r="H1187" i="11"/>
  <c r="H1188" i="11"/>
  <c r="H1189" i="11"/>
  <c r="H1190" i="11"/>
  <c r="H1191" i="11"/>
  <c r="H1192" i="11"/>
  <c r="H1193" i="11"/>
  <c r="H1194" i="11"/>
  <c r="H1195" i="11"/>
  <c r="H1196" i="11"/>
  <c r="H1197" i="11"/>
  <c r="H1198" i="11"/>
  <c r="H1199" i="11"/>
  <c r="H1200" i="11"/>
  <c r="H1201" i="11"/>
  <c r="H1202" i="11"/>
  <c r="H1203" i="11"/>
  <c r="H1204" i="11"/>
  <c r="H1205" i="11"/>
  <c r="H1206" i="11"/>
  <c r="H1207" i="11"/>
  <c r="H1208" i="11"/>
  <c r="H1209" i="11"/>
  <c r="H1210" i="11"/>
  <c r="H1211" i="11"/>
  <c r="H1212" i="11"/>
  <c r="H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" i="11"/>
  <c r="P24" i="10" l="1"/>
  <c r="P25" i="10" s="1"/>
  <c r="Q25" i="10" s="1"/>
  <c r="P22" i="10"/>
  <c r="M21" i="10"/>
  <c r="V12" i="9" l="1"/>
  <c r="U12" i="9"/>
  <c r="V14" i="9"/>
  <c r="U14" i="9"/>
  <c r="V13" i="9"/>
  <c r="S12" i="9"/>
  <c r="T12" i="9" l="1"/>
  <c r="W12" i="9" s="1"/>
  <c r="X12" i="9" s="1"/>
  <c r="AF12" i="9"/>
  <c r="AA13" i="9"/>
  <c r="C11" i="10"/>
  <c r="H11" i="10" s="1"/>
  <c r="C12" i="10"/>
  <c r="H12" i="10" s="1"/>
  <c r="C13" i="10"/>
  <c r="H13" i="10" s="1"/>
  <c r="C14" i="10"/>
  <c r="H14" i="10" s="1"/>
  <c r="C15" i="10"/>
  <c r="H15" i="10" s="1"/>
  <c r="C16" i="10"/>
  <c r="H16" i="10" s="1"/>
  <c r="C17" i="10"/>
  <c r="H17" i="10" s="1"/>
  <c r="C18" i="10"/>
  <c r="H18" i="10" s="1"/>
  <c r="C19" i="10"/>
  <c r="H19" i="10" s="1"/>
  <c r="C20" i="10"/>
  <c r="H20" i="10" s="1"/>
  <c r="C21" i="10"/>
  <c r="H21" i="10" s="1"/>
  <c r="C22" i="10"/>
  <c r="H22" i="10" s="1"/>
  <c r="C23" i="10"/>
  <c r="H23" i="10" s="1"/>
  <c r="C24" i="10"/>
  <c r="H24" i="10" s="1"/>
  <c r="C25" i="10"/>
  <c r="H25" i="10" s="1"/>
  <c r="C26" i="10"/>
  <c r="H26" i="10" s="1"/>
  <c r="C27" i="10"/>
  <c r="H27" i="10" s="1"/>
  <c r="C28" i="10"/>
  <c r="H28" i="10" s="1"/>
  <c r="C29" i="10"/>
  <c r="H29" i="10" s="1"/>
  <c r="C30" i="10"/>
  <c r="H30" i="10" s="1"/>
  <c r="C31" i="10"/>
  <c r="H31" i="10" s="1"/>
  <c r="C32" i="10"/>
  <c r="H32" i="10" s="1"/>
  <c r="C33" i="10"/>
  <c r="H33" i="10" s="1"/>
  <c r="C34" i="10"/>
  <c r="H34" i="10" s="1"/>
  <c r="C35" i="10"/>
  <c r="H35" i="10" s="1"/>
  <c r="C36" i="10"/>
  <c r="H36" i="10" s="1"/>
  <c r="C37" i="10"/>
  <c r="H37" i="10" s="1"/>
  <c r="C38" i="10"/>
  <c r="H38" i="10" s="1"/>
  <c r="C39" i="10"/>
  <c r="H39" i="10" s="1"/>
  <c r="C40" i="10"/>
  <c r="H40" i="10" s="1"/>
  <c r="C41" i="10"/>
  <c r="H41" i="10" s="1"/>
  <c r="C42" i="10"/>
  <c r="H42" i="10" s="1"/>
  <c r="C43" i="10"/>
  <c r="H43" i="10" s="1"/>
  <c r="C44" i="10"/>
  <c r="H44" i="10" s="1"/>
  <c r="C45" i="10"/>
  <c r="H45" i="10" s="1"/>
  <c r="C46" i="10"/>
  <c r="H46" i="10" s="1"/>
  <c r="C47" i="10"/>
  <c r="H47" i="10" s="1"/>
  <c r="C48" i="10"/>
  <c r="H48" i="10" s="1"/>
  <c r="C49" i="10"/>
  <c r="H49" i="10" s="1"/>
  <c r="C50" i="10"/>
  <c r="H50" i="10" s="1"/>
  <c r="C51" i="10"/>
  <c r="H51" i="10" s="1"/>
  <c r="C52" i="10"/>
  <c r="H52" i="10" s="1"/>
  <c r="C53" i="10"/>
  <c r="H53" i="10" s="1"/>
  <c r="C54" i="10"/>
  <c r="H54" i="10" s="1"/>
  <c r="C55" i="10"/>
  <c r="H55" i="10" s="1"/>
  <c r="C56" i="10"/>
  <c r="H56" i="10" s="1"/>
  <c r="C57" i="10"/>
  <c r="H57" i="10" s="1"/>
  <c r="C58" i="10"/>
  <c r="H58" i="10" s="1"/>
  <c r="C59" i="10"/>
  <c r="H59" i="10" s="1"/>
  <c r="C60" i="10"/>
  <c r="H60" i="10" s="1"/>
  <c r="C10" i="10"/>
  <c r="H10" i="10" s="1"/>
  <c r="G10" i="10"/>
  <c r="F10" i="10"/>
  <c r="AD13" i="9"/>
  <c r="AE13" i="9" s="1"/>
  <c r="AD14" i="9"/>
  <c r="AE14" i="9" s="1"/>
  <c r="AD15" i="9"/>
  <c r="AE15" i="9" s="1"/>
  <c r="AD16" i="9"/>
  <c r="AE16" i="9" s="1"/>
  <c r="AD17" i="9"/>
  <c r="AE17" i="9" s="1"/>
  <c r="AD18" i="9"/>
  <c r="AE18" i="9" s="1"/>
  <c r="AD19" i="9"/>
  <c r="AE19" i="9" s="1"/>
  <c r="AD20" i="9"/>
  <c r="AE20" i="9" s="1"/>
  <c r="AD21" i="9"/>
  <c r="AE21" i="9" s="1"/>
  <c r="AD22" i="9"/>
  <c r="AE22" i="9" s="1"/>
  <c r="AD23" i="9"/>
  <c r="AE23" i="9" s="1"/>
  <c r="AD24" i="9"/>
  <c r="AE24" i="9" s="1"/>
  <c r="AD25" i="9"/>
  <c r="AE25" i="9" s="1"/>
  <c r="AD26" i="9"/>
  <c r="AE26" i="9" s="1"/>
  <c r="AD27" i="9"/>
  <c r="AE27" i="9" s="1"/>
  <c r="AD28" i="9"/>
  <c r="AE28" i="9" s="1"/>
  <c r="AD29" i="9"/>
  <c r="AE29" i="9" s="1"/>
  <c r="AD30" i="9"/>
  <c r="AE30" i="9" s="1"/>
  <c r="AD31" i="9"/>
  <c r="AE31" i="9" s="1"/>
  <c r="AD32" i="9"/>
  <c r="AE32" i="9" s="1"/>
  <c r="AD33" i="9"/>
  <c r="AE33" i="9" s="1"/>
  <c r="AD34" i="9"/>
  <c r="AE34" i="9" s="1"/>
  <c r="AD35" i="9"/>
  <c r="AE35" i="9" s="1"/>
  <c r="AD36" i="9"/>
  <c r="AE36" i="9" s="1"/>
  <c r="AD37" i="9"/>
  <c r="AE37" i="9" s="1"/>
  <c r="AD38" i="9"/>
  <c r="AE38" i="9" s="1"/>
  <c r="AD39" i="9"/>
  <c r="AE39" i="9" s="1"/>
  <c r="AD40" i="9"/>
  <c r="AE40" i="9" s="1"/>
  <c r="AD41" i="9"/>
  <c r="AE41" i="9" s="1"/>
  <c r="AD42" i="9"/>
  <c r="AE42" i="9" s="1"/>
  <c r="AD43" i="9"/>
  <c r="AE43" i="9" s="1"/>
  <c r="AD44" i="9"/>
  <c r="AE44" i="9" s="1"/>
  <c r="AD45" i="9"/>
  <c r="AE45" i="9" s="1"/>
  <c r="AD46" i="9"/>
  <c r="AE46" i="9" s="1"/>
  <c r="AD47" i="9"/>
  <c r="AE47" i="9" s="1"/>
  <c r="AD48" i="9"/>
  <c r="AE48" i="9" s="1"/>
  <c r="AD49" i="9"/>
  <c r="AE49" i="9" s="1"/>
  <c r="AD50" i="9"/>
  <c r="AE50" i="9" s="1"/>
  <c r="AD51" i="9"/>
  <c r="AE51" i="9" s="1"/>
  <c r="AD52" i="9"/>
  <c r="AE52" i="9" s="1"/>
  <c r="AD53" i="9"/>
  <c r="AE53" i="9" s="1"/>
  <c r="AD54" i="9"/>
  <c r="AE54" i="9" s="1"/>
  <c r="AD55" i="9"/>
  <c r="AE55" i="9" s="1"/>
  <c r="AD56" i="9"/>
  <c r="AE56" i="9" s="1"/>
  <c r="AD57" i="9"/>
  <c r="AE57" i="9" s="1"/>
  <c r="AD58" i="9"/>
  <c r="AE58" i="9" s="1"/>
  <c r="AD59" i="9"/>
  <c r="AE59" i="9" s="1"/>
  <c r="AD60" i="9"/>
  <c r="AE60" i="9" s="1"/>
  <c r="AD61" i="9"/>
  <c r="AE61" i="9" s="1"/>
  <c r="AD62" i="9"/>
  <c r="AE62" i="9" s="1"/>
  <c r="AD63" i="9"/>
  <c r="AE63" i="9" s="1"/>
  <c r="AD64" i="9"/>
  <c r="AE64" i="9" s="1"/>
  <c r="AD65" i="9"/>
  <c r="AE65" i="9" s="1"/>
  <c r="AD66" i="9"/>
  <c r="AE66" i="9" s="1"/>
  <c r="AD67" i="9"/>
  <c r="AE67" i="9" s="1"/>
  <c r="AD68" i="9"/>
  <c r="AE68" i="9" s="1"/>
  <c r="AD69" i="9"/>
  <c r="AE69" i="9" s="1"/>
  <c r="AD70" i="9"/>
  <c r="AE70" i="9" s="1"/>
  <c r="AD71" i="9"/>
  <c r="AE71" i="9" s="1"/>
  <c r="AD72" i="9"/>
  <c r="AE72" i="9" s="1"/>
  <c r="AD73" i="9"/>
  <c r="AE73" i="9" s="1"/>
  <c r="AD74" i="9"/>
  <c r="AE74" i="9" s="1"/>
  <c r="AD75" i="9"/>
  <c r="AE75" i="9" s="1"/>
  <c r="AD76" i="9"/>
  <c r="AE76" i="9" s="1"/>
  <c r="AD77" i="9"/>
  <c r="AE77" i="9" s="1"/>
  <c r="AD78" i="9"/>
  <c r="AE78" i="9" s="1"/>
  <c r="AD79" i="9"/>
  <c r="AE79" i="9" s="1"/>
  <c r="AD80" i="9"/>
  <c r="AE80" i="9" s="1"/>
  <c r="AD81" i="9"/>
  <c r="AE81" i="9" s="1"/>
  <c r="AD82" i="9"/>
  <c r="AE82" i="9" s="1"/>
  <c r="AD83" i="9"/>
  <c r="AE83" i="9" s="1"/>
  <c r="AD84" i="9"/>
  <c r="AE84" i="9" s="1"/>
  <c r="AD85" i="9"/>
  <c r="AE85" i="9" s="1"/>
  <c r="AD86" i="9"/>
  <c r="AE86" i="9" s="1"/>
  <c r="AD87" i="9"/>
  <c r="AE87" i="9" s="1"/>
  <c r="AD88" i="9"/>
  <c r="AE88" i="9" s="1"/>
  <c r="AD89" i="9"/>
  <c r="AE89" i="9" s="1"/>
  <c r="AD90" i="9"/>
  <c r="AE90" i="9" s="1"/>
  <c r="AD91" i="9"/>
  <c r="AE91" i="9" s="1"/>
  <c r="AD92" i="9"/>
  <c r="AE92" i="9" s="1"/>
  <c r="AD93" i="9"/>
  <c r="AE93" i="9" s="1"/>
  <c r="AD94" i="9"/>
  <c r="AE94" i="9" s="1"/>
  <c r="AD95" i="9"/>
  <c r="AE95" i="9" s="1"/>
  <c r="AD96" i="9"/>
  <c r="AE96" i="9" s="1"/>
  <c r="AD97" i="9"/>
  <c r="AE97" i="9" s="1"/>
  <c r="AD98" i="9"/>
  <c r="AE98" i="9" s="1"/>
  <c r="AD99" i="9"/>
  <c r="AE99" i="9" s="1"/>
  <c r="AD100" i="9"/>
  <c r="AE100" i="9" s="1"/>
  <c r="AD101" i="9"/>
  <c r="AE101" i="9" s="1"/>
  <c r="AD102" i="9"/>
  <c r="AE102" i="9" s="1"/>
  <c r="AD103" i="9"/>
  <c r="AE103" i="9" s="1"/>
  <c r="AD104" i="9"/>
  <c r="AE104" i="9" s="1"/>
  <c r="AD105" i="9"/>
  <c r="AE105" i="9" s="1"/>
  <c r="AD106" i="9"/>
  <c r="AE106" i="9" s="1"/>
  <c r="AD107" i="9"/>
  <c r="AE107" i="9" s="1"/>
  <c r="AD108" i="9"/>
  <c r="AE108" i="9" s="1"/>
  <c r="AD109" i="9"/>
  <c r="AE109" i="9" s="1"/>
  <c r="AD110" i="9"/>
  <c r="AE110" i="9" s="1"/>
  <c r="AD111" i="9"/>
  <c r="AE111" i="9" s="1"/>
  <c r="AD112" i="9"/>
  <c r="AE112" i="9" s="1"/>
  <c r="AD113" i="9"/>
  <c r="AE113" i="9" s="1"/>
  <c r="AD114" i="9"/>
  <c r="AE114" i="9" s="1"/>
  <c r="AD115" i="9"/>
  <c r="AE115" i="9" s="1"/>
  <c r="AD116" i="9"/>
  <c r="AE116" i="9" s="1"/>
  <c r="AD117" i="9"/>
  <c r="AE117" i="9" s="1"/>
  <c r="AD118" i="9"/>
  <c r="AE118" i="9" s="1"/>
  <c r="AD119" i="9"/>
  <c r="AE119" i="9" s="1"/>
  <c r="AD120" i="9"/>
  <c r="AE120" i="9" s="1"/>
  <c r="AD121" i="9"/>
  <c r="AE121" i="9" s="1"/>
  <c r="AD122" i="9"/>
  <c r="AE122" i="9" s="1"/>
  <c r="AD123" i="9"/>
  <c r="AE123" i="9" s="1"/>
  <c r="AD124" i="9"/>
  <c r="AE124" i="9" s="1"/>
  <c r="AD125" i="9"/>
  <c r="AE125" i="9" s="1"/>
  <c r="AD126" i="9"/>
  <c r="AE126" i="9" s="1"/>
  <c r="AD127" i="9"/>
  <c r="AE127" i="9" s="1"/>
  <c r="AD128" i="9"/>
  <c r="AE128" i="9" s="1"/>
  <c r="AD129" i="9"/>
  <c r="AE129" i="9" s="1"/>
  <c r="AD130" i="9"/>
  <c r="AE130" i="9" s="1"/>
  <c r="AD131" i="9"/>
  <c r="AE131" i="9" s="1"/>
  <c r="AD132" i="9"/>
  <c r="AE132" i="9" s="1"/>
  <c r="AD133" i="9"/>
  <c r="AE133" i="9" s="1"/>
  <c r="AD134" i="9"/>
  <c r="AE134" i="9" s="1"/>
  <c r="AD135" i="9"/>
  <c r="AE135" i="9" s="1"/>
  <c r="AD136" i="9"/>
  <c r="AE136" i="9" s="1"/>
  <c r="AD137" i="9"/>
  <c r="AE137" i="9" s="1"/>
  <c r="AD138" i="9"/>
  <c r="AE138" i="9" s="1"/>
  <c r="AD139" i="9"/>
  <c r="AE139" i="9" s="1"/>
  <c r="AD140" i="9"/>
  <c r="AE140" i="9" s="1"/>
  <c r="AD141" i="9"/>
  <c r="AE141" i="9" s="1"/>
  <c r="AD142" i="9"/>
  <c r="AE142" i="9" s="1"/>
  <c r="AD143" i="9"/>
  <c r="AE143" i="9" s="1"/>
  <c r="AD144" i="9"/>
  <c r="AE144" i="9" s="1"/>
  <c r="AD145" i="9"/>
  <c r="AE145" i="9" s="1"/>
  <c r="AD146" i="9"/>
  <c r="AE146" i="9" s="1"/>
  <c r="AD147" i="9"/>
  <c r="AE147" i="9" s="1"/>
  <c r="AD148" i="9"/>
  <c r="AE148" i="9" s="1"/>
  <c r="AD149" i="9"/>
  <c r="AE149" i="9" s="1"/>
  <c r="AD150" i="9"/>
  <c r="AE150" i="9" s="1"/>
  <c r="AD151" i="9"/>
  <c r="AE151" i="9" s="1"/>
  <c r="AD152" i="9"/>
  <c r="AE152" i="9" s="1"/>
  <c r="AD153" i="9"/>
  <c r="AE153" i="9" s="1"/>
  <c r="AD154" i="9"/>
  <c r="AE154" i="9" s="1"/>
  <c r="AD155" i="9"/>
  <c r="AE155" i="9" s="1"/>
  <c r="AD156" i="9"/>
  <c r="AE156" i="9" s="1"/>
  <c r="AD157" i="9"/>
  <c r="AE157" i="9" s="1"/>
  <c r="AD158" i="9"/>
  <c r="AE158" i="9" s="1"/>
  <c r="AD159" i="9"/>
  <c r="AE159" i="9" s="1"/>
  <c r="AD160" i="9"/>
  <c r="AE160" i="9" s="1"/>
  <c r="AD161" i="9"/>
  <c r="AE161" i="9" s="1"/>
  <c r="AD162" i="9"/>
  <c r="AE162" i="9" s="1"/>
  <c r="AD163" i="9"/>
  <c r="AE163" i="9" s="1"/>
  <c r="AD164" i="9"/>
  <c r="AE164" i="9" s="1"/>
  <c r="AD165" i="9"/>
  <c r="AE165" i="9" s="1"/>
  <c r="AD166" i="9"/>
  <c r="AE166" i="9" s="1"/>
  <c r="AD167" i="9"/>
  <c r="AE167" i="9" s="1"/>
  <c r="AD168" i="9"/>
  <c r="AE168" i="9" s="1"/>
  <c r="AD169" i="9"/>
  <c r="AE169" i="9" s="1"/>
  <c r="AD170" i="9"/>
  <c r="AE170" i="9" s="1"/>
  <c r="AD171" i="9"/>
  <c r="AE171" i="9" s="1"/>
  <c r="AD172" i="9"/>
  <c r="AE172" i="9" s="1"/>
  <c r="AD173" i="9"/>
  <c r="AE173" i="9" s="1"/>
  <c r="AD174" i="9"/>
  <c r="AE174" i="9" s="1"/>
  <c r="AD175" i="9"/>
  <c r="AE175" i="9" s="1"/>
  <c r="AD176" i="9"/>
  <c r="AE176" i="9" s="1"/>
  <c r="AD177" i="9"/>
  <c r="AE177" i="9" s="1"/>
  <c r="AD178" i="9"/>
  <c r="AE178" i="9" s="1"/>
  <c r="AD179" i="9"/>
  <c r="AE179" i="9" s="1"/>
  <c r="AD180" i="9"/>
  <c r="AE180" i="9" s="1"/>
  <c r="AD181" i="9"/>
  <c r="AE181" i="9" s="1"/>
  <c r="AD182" i="9"/>
  <c r="AE182" i="9" s="1"/>
  <c r="AD183" i="9"/>
  <c r="AE183" i="9" s="1"/>
  <c r="AD184" i="9"/>
  <c r="AE184" i="9" s="1"/>
  <c r="AD185" i="9"/>
  <c r="AE185" i="9" s="1"/>
  <c r="AD186" i="9"/>
  <c r="AE186" i="9" s="1"/>
  <c r="AD187" i="9"/>
  <c r="AE187" i="9" s="1"/>
  <c r="AD188" i="9"/>
  <c r="AE188" i="9" s="1"/>
  <c r="AD189" i="9"/>
  <c r="AE189" i="9" s="1"/>
  <c r="AD190" i="9"/>
  <c r="AE190" i="9" s="1"/>
  <c r="AD191" i="9"/>
  <c r="AE191" i="9" s="1"/>
  <c r="AD192" i="9"/>
  <c r="AE192" i="9" s="1"/>
  <c r="AD193" i="9"/>
  <c r="AE193" i="9" s="1"/>
  <c r="AD194" i="9"/>
  <c r="AE194" i="9" s="1"/>
  <c r="AD195" i="9"/>
  <c r="AE195" i="9" s="1"/>
  <c r="AD196" i="9"/>
  <c r="AE196" i="9" s="1"/>
  <c r="AD197" i="9"/>
  <c r="AE197" i="9" s="1"/>
  <c r="AD198" i="9"/>
  <c r="AE198" i="9" s="1"/>
  <c r="AD199" i="9"/>
  <c r="AE199" i="9" s="1"/>
  <c r="AD200" i="9"/>
  <c r="AE200" i="9" s="1"/>
  <c r="AD201" i="9"/>
  <c r="AE201" i="9" s="1"/>
  <c r="AD202" i="9"/>
  <c r="AE202" i="9" s="1"/>
  <c r="AD203" i="9"/>
  <c r="AE203" i="9" s="1"/>
  <c r="AD204" i="9"/>
  <c r="AE204" i="9" s="1"/>
  <c r="AD205" i="9"/>
  <c r="AE205" i="9" s="1"/>
  <c r="AD206" i="9"/>
  <c r="AE206" i="9" s="1"/>
  <c r="AD207" i="9"/>
  <c r="AE207" i="9" s="1"/>
  <c r="AD208" i="9"/>
  <c r="AE208" i="9" s="1"/>
  <c r="AD209" i="9"/>
  <c r="AE209" i="9" s="1"/>
  <c r="AD210" i="9"/>
  <c r="AE210" i="9" s="1"/>
  <c r="AD211" i="9"/>
  <c r="AE211" i="9" s="1"/>
  <c r="AD212" i="9"/>
  <c r="AE212" i="9" s="1"/>
  <c r="AD213" i="9"/>
  <c r="AE213" i="9" s="1"/>
  <c r="AD214" i="9"/>
  <c r="AE214" i="9" s="1"/>
  <c r="AD215" i="9"/>
  <c r="AE215" i="9" s="1"/>
  <c r="AD216" i="9"/>
  <c r="AE216" i="9" s="1"/>
  <c r="AD217" i="9"/>
  <c r="AE217" i="9" s="1"/>
  <c r="AD218" i="9"/>
  <c r="AE218" i="9" s="1"/>
  <c r="AD219" i="9"/>
  <c r="AE219" i="9" s="1"/>
  <c r="AD220" i="9"/>
  <c r="AE220" i="9" s="1"/>
  <c r="AD221" i="9"/>
  <c r="AE221" i="9" s="1"/>
  <c r="AD222" i="9"/>
  <c r="AE222" i="9" s="1"/>
  <c r="AD223" i="9"/>
  <c r="AE223" i="9" s="1"/>
  <c r="AD224" i="9"/>
  <c r="AE224" i="9" s="1"/>
  <c r="AD225" i="9"/>
  <c r="AE225" i="9" s="1"/>
  <c r="AD226" i="9"/>
  <c r="AE226" i="9" s="1"/>
  <c r="AD227" i="9"/>
  <c r="AE227" i="9" s="1"/>
  <c r="AD228" i="9"/>
  <c r="AE228" i="9" s="1"/>
  <c r="AD229" i="9"/>
  <c r="AE229" i="9" s="1"/>
  <c r="AD230" i="9"/>
  <c r="AE230" i="9" s="1"/>
  <c r="AD231" i="9"/>
  <c r="AE231" i="9" s="1"/>
  <c r="AD232" i="9"/>
  <c r="AE232" i="9" s="1"/>
  <c r="AD233" i="9"/>
  <c r="AE233" i="9" s="1"/>
  <c r="AD234" i="9"/>
  <c r="AE234" i="9" s="1"/>
  <c r="AD235" i="9"/>
  <c r="AE235" i="9" s="1"/>
  <c r="AD236" i="9"/>
  <c r="AE236" i="9" s="1"/>
  <c r="AD237" i="9"/>
  <c r="AE237" i="9" s="1"/>
  <c r="AD238" i="9"/>
  <c r="AE238" i="9" s="1"/>
  <c r="AD239" i="9"/>
  <c r="AE239" i="9" s="1"/>
  <c r="AD240" i="9"/>
  <c r="AE240" i="9" s="1"/>
  <c r="AD241" i="9"/>
  <c r="AE241" i="9" s="1"/>
  <c r="AD242" i="9"/>
  <c r="AE242" i="9" s="1"/>
  <c r="AD243" i="9"/>
  <c r="AE243" i="9" s="1"/>
  <c r="AD244" i="9"/>
  <c r="AE244" i="9" s="1"/>
  <c r="AD245" i="9"/>
  <c r="AE245" i="9" s="1"/>
  <c r="AD246" i="9"/>
  <c r="AE246" i="9" s="1"/>
  <c r="AD247" i="9"/>
  <c r="AE247" i="9" s="1"/>
  <c r="AD248" i="9"/>
  <c r="AE248" i="9" s="1"/>
  <c r="AD249" i="9"/>
  <c r="AE249" i="9" s="1"/>
  <c r="AD250" i="9"/>
  <c r="AE250" i="9" s="1"/>
  <c r="AD251" i="9"/>
  <c r="AE251" i="9" s="1"/>
  <c r="AD252" i="9"/>
  <c r="AE252" i="9" s="1"/>
  <c r="AD253" i="9"/>
  <c r="AE253" i="9" s="1"/>
  <c r="AD254" i="9"/>
  <c r="AE254" i="9" s="1"/>
  <c r="AD255" i="9"/>
  <c r="AE255" i="9" s="1"/>
  <c r="AD256" i="9"/>
  <c r="AE256" i="9" s="1"/>
  <c r="AD257" i="9"/>
  <c r="AE257" i="9" s="1"/>
  <c r="AD258" i="9"/>
  <c r="AE258" i="9" s="1"/>
  <c r="AD259" i="9"/>
  <c r="AE259" i="9" s="1"/>
  <c r="AD260" i="9"/>
  <c r="AE260" i="9" s="1"/>
  <c r="AD261" i="9"/>
  <c r="AE261" i="9" s="1"/>
  <c r="AD262" i="9"/>
  <c r="AE262" i="9" s="1"/>
  <c r="AD263" i="9"/>
  <c r="AE263" i="9" s="1"/>
  <c r="AD264" i="9"/>
  <c r="AE264" i="9" s="1"/>
  <c r="AD265" i="9"/>
  <c r="AE265" i="9" s="1"/>
  <c r="AD266" i="9"/>
  <c r="AE266" i="9" s="1"/>
  <c r="AD267" i="9"/>
  <c r="AE267" i="9" s="1"/>
  <c r="AD268" i="9"/>
  <c r="AE268" i="9" s="1"/>
  <c r="AD269" i="9"/>
  <c r="AE269" i="9" s="1"/>
  <c r="AD270" i="9"/>
  <c r="AE270" i="9" s="1"/>
  <c r="AD271" i="9"/>
  <c r="AE271" i="9" s="1"/>
  <c r="AD272" i="9"/>
  <c r="AE272" i="9" s="1"/>
  <c r="AD273" i="9"/>
  <c r="AE273" i="9" s="1"/>
  <c r="AD274" i="9"/>
  <c r="AE274" i="9" s="1"/>
  <c r="AD275" i="9"/>
  <c r="AE275" i="9" s="1"/>
  <c r="AD276" i="9"/>
  <c r="AE276" i="9" s="1"/>
  <c r="AD277" i="9"/>
  <c r="AE277" i="9" s="1"/>
  <c r="AD278" i="9"/>
  <c r="AE278" i="9" s="1"/>
  <c r="AD279" i="9"/>
  <c r="AE279" i="9" s="1"/>
  <c r="AD280" i="9"/>
  <c r="AE280" i="9" s="1"/>
  <c r="AD281" i="9"/>
  <c r="AE281" i="9" s="1"/>
  <c r="AD282" i="9"/>
  <c r="AE282" i="9" s="1"/>
  <c r="AD283" i="9"/>
  <c r="AE283" i="9" s="1"/>
  <c r="AD284" i="9"/>
  <c r="AE284" i="9" s="1"/>
  <c r="AD285" i="9"/>
  <c r="AE285" i="9" s="1"/>
  <c r="AD286" i="9"/>
  <c r="AE286" i="9" s="1"/>
  <c r="AD287" i="9"/>
  <c r="AE287" i="9" s="1"/>
  <c r="AD288" i="9"/>
  <c r="AE288" i="9" s="1"/>
  <c r="AD289" i="9"/>
  <c r="AE289" i="9" s="1"/>
  <c r="AD290" i="9"/>
  <c r="AE290" i="9" s="1"/>
  <c r="AD291" i="9"/>
  <c r="AE291" i="9" s="1"/>
  <c r="AD292" i="9"/>
  <c r="AE292" i="9" s="1"/>
  <c r="AD293" i="9"/>
  <c r="AE293" i="9" s="1"/>
  <c r="AD294" i="9"/>
  <c r="AE294" i="9" s="1"/>
  <c r="AD295" i="9"/>
  <c r="AE295" i="9" s="1"/>
  <c r="AD296" i="9"/>
  <c r="AE296" i="9" s="1"/>
  <c r="AD297" i="9"/>
  <c r="AE297" i="9" s="1"/>
  <c r="AD298" i="9"/>
  <c r="AE298" i="9" s="1"/>
  <c r="AD299" i="9"/>
  <c r="AE299" i="9" s="1"/>
  <c r="AD300" i="9"/>
  <c r="AE300" i="9" s="1"/>
  <c r="AD301" i="9"/>
  <c r="AE301" i="9" s="1"/>
  <c r="AD302" i="9"/>
  <c r="AE302" i="9" s="1"/>
  <c r="AD303" i="9"/>
  <c r="AE303" i="9" s="1"/>
  <c r="AD304" i="9"/>
  <c r="AE304" i="9" s="1"/>
  <c r="AD305" i="9"/>
  <c r="AE305" i="9" s="1"/>
  <c r="AD306" i="9"/>
  <c r="AE306" i="9" s="1"/>
  <c r="AD307" i="9"/>
  <c r="AE307" i="9" s="1"/>
  <c r="AD308" i="9"/>
  <c r="AE308" i="9" s="1"/>
  <c r="AD309" i="9"/>
  <c r="AE309" i="9" s="1"/>
  <c r="AD310" i="9"/>
  <c r="AE310" i="9" s="1"/>
  <c r="AD311" i="9"/>
  <c r="AE311" i="9" s="1"/>
  <c r="AD312" i="9"/>
  <c r="AE312" i="9" s="1"/>
  <c r="AD313" i="9"/>
  <c r="AE313" i="9" s="1"/>
  <c r="AD314" i="9"/>
  <c r="AE314" i="9" s="1"/>
  <c r="AD315" i="9"/>
  <c r="AE315" i="9" s="1"/>
  <c r="AD316" i="9"/>
  <c r="AE316" i="9" s="1"/>
  <c r="AD317" i="9"/>
  <c r="AE317" i="9" s="1"/>
  <c r="AD318" i="9"/>
  <c r="AE318" i="9" s="1"/>
  <c r="AD319" i="9"/>
  <c r="AE319" i="9" s="1"/>
  <c r="AD320" i="9"/>
  <c r="AE320" i="9" s="1"/>
  <c r="AD321" i="9"/>
  <c r="AE321" i="9" s="1"/>
  <c r="AD322" i="9"/>
  <c r="AE322" i="9" s="1"/>
  <c r="AD323" i="9"/>
  <c r="AE323" i="9" s="1"/>
  <c r="AD324" i="9"/>
  <c r="AE324" i="9" s="1"/>
  <c r="AD325" i="9"/>
  <c r="AE325" i="9" s="1"/>
  <c r="AD326" i="9"/>
  <c r="AE326" i="9" s="1"/>
  <c r="AD327" i="9"/>
  <c r="AE327" i="9" s="1"/>
  <c r="AD328" i="9"/>
  <c r="AE328" i="9" s="1"/>
  <c r="AD329" i="9"/>
  <c r="AE329" i="9" s="1"/>
  <c r="AD330" i="9"/>
  <c r="AE330" i="9" s="1"/>
  <c r="AD331" i="9"/>
  <c r="AE331" i="9" s="1"/>
  <c r="AD332" i="9"/>
  <c r="AE332" i="9" s="1"/>
  <c r="AD333" i="9"/>
  <c r="AE333" i="9" s="1"/>
  <c r="AD334" i="9"/>
  <c r="AE334" i="9" s="1"/>
  <c r="AD335" i="9"/>
  <c r="AE335" i="9" s="1"/>
  <c r="AD336" i="9"/>
  <c r="AE336" i="9" s="1"/>
  <c r="AD337" i="9"/>
  <c r="AE337" i="9" s="1"/>
  <c r="AD338" i="9"/>
  <c r="AE338" i="9" s="1"/>
  <c r="AD339" i="9"/>
  <c r="AE339" i="9" s="1"/>
  <c r="AD340" i="9"/>
  <c r="AE340" i="9" s="1"/>
  <c r="AD341" i="9"/>
  <c r="AE341" i="9" s="1"/>
  <c r="AD342" i="9"/>
  <c r="AE342" i="9" s="1"/>
  <c r="AD343" i="9"/>
  <c r="AE343" i="9" s="1"/>
  <c r="AD344" i="9"/>
  <c r="AE344" i="9" s="1"/>
  <c r="AD345" i="9"/>
  <c r="AE345" i="9" s="1"/>
  <c r="AD346" i="9"/>
  <c r="AE346" i="9" s="1"/>
  <c r="AD347" i="9"/>
  <c r="AE347" i="9" s="1"/>
  <c r="AD348" i="9"/>
  <c r="AE348" i="9" s="1"/>
  <c r="AD349" i="9"/>
  <c r="AE349" i="9" s="1"/>
  <c r="AD350" i="9"/>
  <c r="AE350" i="9" s="1"/>
  <c r="AD351" i="9"/>
  <c r="AE351" i="9" s="1"/>
  <c r="AD352" i="9"/>
  <c r="AE352" i="9" s="1"/>
  <c r="AD353" i="9"/>
  <c r="AE353" i="9" s="1"/>
  <c r="AD354" i="9"/>
  <c r="AE354" i="9" s="1"/>
  <c r="AD355" i="9"/>
  <c r="AE355" i="9" s="1"/>
  <c r="AD356" i="9"/>
  <c r="AE356" i="9" s="1"/>
  <c r="AD357" i="9"/>
  <c r="AE357" i="9" s="1"/>
  <c r="AD358" i="9"/>
  <c r="AE358" i="9" s="1"/>
  <c r="AD359" i="9"/>
  <c r="AE359" i="9" s="1"/>
  <c r="AD360" i="9"/>
  <c r="AE360" i="9" s="1"/>
  <c r="AD361" i="9"/>
  <c r="AE361" i="9" s="1"/>
  <c r="AD362" i="9"/>
  <c r="AE362" i="9" s="1"/>
  <c r="AD363" i="9"/>
  <c r="AE363" i="9" s="1"/>
  <c r="AD364" i="9"/>
  <c r="AE364" i="9" s="1"/>
  <c r="AD365" i="9"/>
  <c r="AE365" i="9" s="1"/>
  <c r="AD366" i="9"/>
  <c r="AE366" i="9" s="1"/>
  <c r="AD367" i="9"/>
  <c r="AE367" i="9" s="1"/>
  <c r="AD368" i="9"/>
  <c r="AE368" i="9" s="1"/>
  <c r="AD369" i="9"/>
  <c r="AE369" i="9" s="1"/>
  <c r="AD370" i="9"/>
  <c r="AE370" i="9" s="1"/>
  <c r="AD371" i="9"/>
  <c r="AE371" i="9" s="1"/>
  <c r="AD372" i="9"/>
  <c r="AE372" i="9" s="1"/>
  <c r="AD373" i="9"/>
  <c r="AE373" i="9" s="1"/>
  <c r="AD374" i="9"/>
  <c r="AE374" i="9" s="1"/>
  <c r="AD375" i="9"/>
  <c r="AE375" i="9" s="1"/>
  <c r="AD376" i="9"/>
  <c r="AE376" i="9" s="1"/>
  <c r="AD377" i="9"/>
  <c r="AE377" i="9" s="1"/>
  <c r="AD378" i="9"/>
  <c r="AE378" i="9" s="1"/>
  <c r="AD379" i="9"/>
  <c r="AE379" i="9" s="1"/>
  <c r="AD380" i="9"/>
  <c r="AE380" i="9" s="1"/>
  <c r="AD381" i="9"/>
  <c r="AE381" i="9" s="1"/>
  <c r="AD382" i="9"/>
  <c r="AE382" i="9" s="1"/>
  <c r="AD383" i="9"/>
  <c r="AE383" i="9" s="1"/>
  <c r="AD384" i="9"/>
  <c r="AE384" i="9" s="1"/>
  <c r="AD385" i="9"/>
  <c r="AE385" i="9" s="1"/>
  <c r="AD386" i="9"/>
  <c r="AE386" i="9" s="1"/>
  <c r="AD387" i="9"/>
  <c r="AE387" i="9" s="1"/>
  <c r="AD388" i="9"/>
  <c r="AE388" i="9" s="1"/>
  <c r="AD389" i="9"/>
  <c r="AE389" i="9" s="1"/>
  <c r="AD390" i="9"/>
  <c r="AE390" i="9" s="1"/>
  <c r="AD391" i="9"/>
  <c r="AE391" i="9" s="1"/>
  <c r="AD392" i="9"/>
  <c r="AE392" i="9" s="1"/>
  <c r="AD393" i="9"/>
  <c r="AE393" i="9" s="1"/>
  <c r="AD394" i="9"/>
  <c r="AE394" i="9" s="1"/>
  <c r="AD395" i="9"/>
  <c r="AE395" i="9" s="1"/>
  <c r="AD396" i="9"/>
  <c r="AE396" i="9" s="1"/>
  <c r="AD397" i="9"/>
  <c r="AE397" i="9" s="1"/>
  <c r="AD398" i="9"/>
  <c r="AE398" i="9" s="1"/>
  <c r="AD399" i="9"/>
  <c r="AE399" i="9" s="1"/>
  <c r="AD400" i="9"/>
  <c r="AE400" i="9" s="1"/>
  <c r="AD401" i="9"/>
  <c r="AE401" i="9" s="1"/>
  <c r="AD402" i="9"/>
  <c r="AE402" i="9" s="1"/>
  <c r="AD403" i="9"/>
  <c r="AE403" i="9" s="1"/>
  <c r="AD404" i="9"/>
  <c r="AE404" i="9" s="1"/>
  <c r="AD405" i="9"/>
  <c r="AE405" i="9" s="1"/>
  <c r="AD406" i="9"/>
  <c r="AE406" i="9" s="1"/>
  <c r="AD407" i="9"/>
  <c r="AE407" i="9" s="1"/>
  <c r="AD408" i="9"/>
  <c r="AE408" i="9" s="1"/>
  <c r="AD409" i="9"/>
  <c r="AE409" i="9" s="1"/>
  <c r="AD410" i="9"/>
  <c r="AE410" i="9" s="1"/>
  <c r="AD411" i="9"/>
  <c r="AE411" i="9" s="1"/>
  <c r="AD412" i="9"/>
  <c r="AE412" i="9" s="1"/>
  <c r="AD413" i="9"/>
  <c r="AE413" i="9" s="1"/>
  <c r="AD414" i="9"/>
  <c r="AE414" i="9" s="1"/>
  <c r="AD415" i="9"/>
  <c r="AE415" i="9" s="1"/>
  <c r="AD416" i="9"/>
  <c r="AE416" i="9" s="1"/>
  <c r="AD417" i="9"/>
  <c r="AE417" i="9" s="1"/>
  <c r="AD418" i="9"/>
  <c r="AE418" i="9" s="1"/>
  <c r="AD419" i="9"/>
  <c r="AE419" i="9" s="1"/>
  <c r="AD420" i="9"/>
  <c r="AE420" i="9" s="1"/>
  <c r="AD421" i="9"/>
  <c r="AE421" i="9" s="1"/>
  <c r="AD422" i="9"/>
  <c r="AE422" i="9" s="1"/>
  <c r="AD423" i="9"/>
  <c r="AE423" i="9" s="1"/>
  <c r="AD424" i="9"/>
  <c r="AE424" i="9" s="1"/>
  <c r="AD425" i="9"/>
  <c r="AE425" i="9" s="1"/>
  <c r="AD426" i="9"/>
  <c r="AE426" i="9" s="1"/>
  <c r="AD427" i="9"/>
  <c r="AE427" i="9" s="1"/>
  <c r="AD428" i="9"/>
  <c r="AE428" i="9" s="1"/>
  <c r="AD429" i="9"/>
  <c r="AE429" i="9" s="1"/>
  <c r="AD430" i="9"/>
  <c r="AE430" i="9" s="1"/>
  <c r="AD431" i="9"/>
  <c r="AE431" i="9" s="1"/>
  <c r="AD432" i="9"/>
  <c r="AE432" i="9" s="1"/>
  <c r="AD433" i="9"/>
  <c r="AE433" i="9" s="1"/>
  <c r="AD434" i="9"/>
  <c r="AE434" i="9" s="1"/>
  <c r="AD435" i="9"/>
  <c r="AE435" i="9" s="1"/>
  <c r="AD436" i="9"/>
  <c r="AE436" i="9" s="1"/>
  <c r="AD437" i="9"/>
  <c r="AE437" i="9" s="1"/>
  <c r="AD438" i="9"/>
  <c r="AE438" i="9" s="1"/>
  <c r="AD439" i="9"/>
  <c r="AE439" i="9" s="1"/>
  <c r="AD440" i="9"/>
  <c r="AE440" i="9" s="1"/>
  <c r="AD441" i="9"/>
  <c r="AE441" i="9" s="1"/>
  <c r="AD442" i="9"/>
  <c r="AE442" i="9" s="1"/>
  <c r="AD443" i="9"/>
  <c r="AE443" i="9" s="1"/>
  <c r="AD444" i="9"/>
  <c r="AE444" i="9" s="1"/>
  <c r="AD445" i="9"/>
  <c r="AE445" i="9" s="1"/>
  <c r="AD446" i="9"/>
  <c r="AE446" i="9" s="1"/>
  <c r="AD447" i="9"/>
  <c r="AE447" i="9" s="1"/>
  <c r="AD448" i="9"/>
  <c r="AE448" i="9" s="1"/>
  <c r="AD449" i="9"/>
  <c r="AE449" i="9" s="1"/>
  <c r="AD450" i="9"/>
  <c r="AE450" i="9" s="1"/>
  <c r="AD451" i="9"/>
  <c r="AE451" i="9" s="1"/>
  <c r="AD452" i="9"/>
  <c r="AE452" i="9" s="1"/>
  <c r="AD453" i="9"/>
  <c r="AE453" i="9" s="1"/>
  <c r="AD454" i="9"/>
  <c r="AE454" i="9" s="1"/>
  <c r="AD455" i="9"/>
  <c r="AE455" i="9" s="1"/>
  <c r="AD456" i="9"/>
  <c r="AE456" i="9" s="1"/>
  <c r="AD457" i="9"/>
  <c r="AE457" i="9" s="1"/>
  <c r="AD458" i="9"/>
  <c r="AE458" i="9" s="1"/>
  <c r="AD459" i="9"/>
  <c r="AE459" i="9" s="1"/>
  <c r="AD460" i="9"/>
  <c r="AE460" i="9" s="1"/>
  <c r="AD461" i="9"/>
  <c r="AE461" i="9" s="1"/>
  <c r="AD462" i="9"/>
  <c r="AE462" i="9" s="1"/>
  <c r="AD463" i="9"/>
  <c r="AE463" i="9" s="1"/>
  <c r="AD464" i="9"/>
  <c r="AE464" i="9" s="1"/>
  <c r="AD465" i="9"/>
  <c r="AE465" i="9" s="1"/>
  <c r="AD466" i="9"/>
  <c r="AE466" i="9" s="1"/>
  <c r="AD467" i="9"/>
  <c r="AE467" i="9" s="1"/>
  <c r="AD468" i="9"/>
  <c r="AE468" i="9" s="1"/>
  <c r="AD469" i="9"/>
  <c r="AE469" i="9" s="1"/>
  <c r="AD470" i="9"/>
  <c r="AE470" i="9" s="1"/>
  <c r="AD471" i="9"/>
  <c r="AE471" i="9" s="1"/>
  <c r="AD472" i="9"/>
  <c r="AE472" i="9" s="1"/>
  <c r="AD473" i="9"/>
  <c r="AE473" i="9" s="1"/>
  <c r="AD474" i="9"/>
  <c r="AE474" i="9" s="1"/>
  <c r="AD475" i="9"/>
  <c r="AE475" i="9" s="1"/>
  <c r="AD476" i="9"/>
  <c r="AE476" i="9" s="1"/>
  <c r="AD477" i="9"/>
  <c r="AE477" i="9" s="1"/>
  <c r="AD478" i="9"/>
  <c r="AE478" i="9" s="1"/>
  <c r="AD479" i="9"/>
  <c r="AE479" i="9" s="1"/>
  <c r="AD480" i="9"/>
  <c r="AE480" i="9" s="1"/>
  <c r="AD481" i="9"/>
  <c r="AE481" i="9" s="1"/>
  <c r="AD482" i="9"/>
  <c r="AE482" i="9" s="1"/>
  <c r="AD483" i="9"/>
  <c r="AE483" i="9" s="1"/>
  <c r="AD484" i="9"/>
  <c r="AE484" i="9" s="1"/>
  <c r="AD485" i="9"/>
  <c r="AE485" i="9" s="1"/>
  <c r="AD486" i="9"/>
  <c r="AE486" i="9" s="1"/>
  <c r="AD487" i="9"/>
  <c r="AE487" i="9" s="1"/>
  <c r="AD488" i="9"/>
  <c r="AE488" i="9" s="1"/>
  <c r="AD489" i="9"/>
  <c r="AE489" i="9" s="1"/>
  <c r="AD490" i="9"/>
  <c r="AE490" i="9" s="1"/>
  <c r="AD491" i="9"/>
  <c r="AE491" i="9" s="1"/>
  <c r="AD492" i="9"/>
  <c r="AE492" i="9" s="1"/>
  <c r="AD493" i="9"/>
  <c r="AE493" i="9" s="1"/>
  <c r="AD494" i="9"/>
  <c r="AE494" i="9" s="1"/>
  <c r="AD495" i="9"/>
  <c r="AE495" i="9" s="1"/>
  <c r="AD496" i="9"/>
  <c r="AE496" i="9" s="1"/>
  <c r="AD497" i="9"/>
  <c r="AE497" i="9" s="1"/>
  <c r="AD498" i="9"/>
  <c r="AE498" i="9" s="1"/>
  <c r="AD499" i="9"/>
  <c r="AE499" i="9" s="1"/>
  <c r="AD500" i="9"/>
  <c r="AE500" i="9" s="1"/>
  <c r="AD501" i="9"/>
  <c r="AE501" i="9" s="1"/>
  <c r="AD502" i="9"/>
  <c r="AE502" i="9" s="1"/>
  <c r="AD503" i="9"/>
  <c r="AE503" i="9" s="1"/>
  <c r="AD504" i="9"/>
  <c r="AE504" i="9" s="1"/>
  <c r="AD505" i="9"/>
  <c r="AE505" i="9" s="1"/>
  <c r="AD506" i="9"/>
  <c r="AE506" i="9" s="1"/>
  <c r="AD507" i="9"/>
  <c r="AE507" i="9" s="1"/>
  <c r="AD508" i="9"/>
  <c r="AE508" i="9" s="1"/>
  <c r="AD509" i="9"/>
  <c r="AE509" i="9" s="1"/>
  <c r="AD510" i="9"/>
  <c r="AE510" i="9" s="1"/>
  <c r="AD511" i="9"/>
  <c r="AE511" i="9" s="1"/>
  <c r="AD512" i="9"/>
  <c r="AE512" i="9" s="1"/>
  <c r="AD513" i="9"/>
  <c r="AE513" i="9" s="1"/>
  <c r="AD514" i="9"/>
  <c r="AE514" i="9" s="1"/>
  <c r="AD515" i="9"/>
  <c r="AE515" i="9" s="1"/>
  <c r="AD516" i="9"/>
  <c r="AE516" i="9" s="1"/>
  <c r="AD517" i="9"/>
  <c r="AE517" i="9" s="1"/>
  <c r="AD518" i="9"/>
  <c r="AE518" i="9" s="1"/>
  <c r="AD519" i="9"/>
  <c r="AE519" i="9" s="1"/>
  <c r="AD520" i="9"/>
  <c r="AE520" i="9" s="1"/>
  <c r="AD521" i="9"/>
  <c r="AE521" i="9" s="1"/>
  <c r="AD522" i="9"/>
  <c r="AE522" i="9" s="1"/>
  <c r="AD523" i="9"/>
  <c r="AE523" i="9" s="1"/>
  <c r="AD524" i="9"/>
  <c r="AE524" i="9" s="1"/>
  <c r="AD525" i="9"/>
  <c r="AE525" i="9" s="1"/>
  <c r="AD526" i="9"/>
  <c r="AE526" i="9" s="1"/>
  <c r="AD527" i="9"/>
  <c r="AE527" i="9" s="1"/>
  <c r="AD528" i="9"/>
  <c r="AE528" i="9" s="1"/>
  <c r="AD529" i="9"/>
  <c r="AE529" i="9" s="1"/>
  <c r="AD530" i="9"/>
  <c r="AE530" i="9" s="1"/>
  <c r="AD531" i="9"/>
  <c r="AE531" i="9" s="1"/>
  <c r="AD532" i="9"/>
  <c r="AE532" i="9" s="1"/>
  <c r="AD533" i="9"/>
  <c r="AE533" i="9" s="1"/>
  <c r="AD534" i="9"/>
  <c r="AE534" i="9" s="1"/>
  <c r="AD535" i="9"/>
  <c r="AE535" i="9" s="1"/>
  <c r="AD536" i="9"/>
  <c r="AE536" i="9" s="1"/>
  <c r="AD537" i="9"/>
  <c r="AE537" i="9" s="1"/>
  <c r="AD538" i="9"/>
  <c r="AE538" i="9" s="1"/>
  <c r="AD539" i="9"/>
  <c r="AE539" i="9" s="1"/>
  <c r="AD540" i="9"/>
  <c r="AE540" i="9" s="1"/>
  <c r="AD541" i="9"/>
  <c r="AE541" i="9" s="1"/>
  <c r="AD542" i="9"/>
  <c r="AE542" i="9" s="1"/>
  <c r="AD543" i="9"/>
  <c r="AE543" i="9" s="1"/>
  <c r="AD544" i="9"/>
  <c r="AE544" i="9" s="1"/>
  <c r="AD545" i="9"/>
  <c r="AE545" i="9" s="1"/>
  <c r="AD546" i="9"/>
  <c r="AE546" i="9" s="1"/>
  <c r="AD547" i="9"/>
  <c r="AE547" i="9" s="1"/>
  <c r="AD548" i="9"/>
  <c r="AE548" i="9" s="1"/>
  <c r="AD549" i="9"/>
  <c r="AE549" i="9" s="1"/>
  <c r="AD550" i="9"/>
  <c r="AE550" i="9" s="1"/>
  <c r="AD551" i="9"/>
  <c r="AE551" i="9" s="1"/>
  <c r="AD552" i="9"/>
  <c r="AE552" i="9" s="1"/>
  <c r="AD553" i="9"/>
  <c r="AE553" i="9" s="1"/>
  <c r="AD554" i="9"/>
  <c r="AE554" i="9" s="1"/>
  <c r="AD555" i="9"/>
  <c r="AE555" i="9" s="1"/>
  <c r="AD556" i="9"/>
  <c r="AE556" i="9" s="1"/>
  <c r="AD557" i="9"/>
  <c r="AE557" i="9" s="1"/>
  <c r="AD558" i="9"/>
  <c r="AE558" i="9" s="1"/>
  <c r="AD559" i="9"/>
  <c r="AE559" i="9" s="1"/>
  <c r="AD560" i="9"/>
  <c r="AE560" i="9" s="1"/>
  <c r="AD561" i="9"/>
  <c r="AE561" i="9" s="1"/>
  <c r="AD562" i="9"/>
  <c r="AE562" i="9" s="1"/>
  <c r="AD563" i="9"/>
  <c r="AE563" i="9" s="1"/>
  <c r="AD564" i="9"/>
  <c r="AE564" i="9" s="1"/>
  <c r="AD565" i="9"/>
  <c r="AE565" i="9" s="1"/>
  <c r="AD566" i="9"/>
  <c r="AE566" i="9" s="1"/>
  <c r="AD567" i="9"/>
  <c r="AE567" i="9" s="1"/>
  <c r="AD568" i="9"/>
  <c r="AE568" i="9" s="1"/>
  <c r="AD569" i="9"/>
  <c r="AE569" i="9" s="1"/>
  <c r="AD570" i="9"/>
  <c r="AE570" i="9" s="1"/>
  <c r="AD571" i="9"/>
  <c r="AE571" i="9" s="1"/>
  <c r="AD572" i="9"/>
  <c r="AE572" i="9" s="1"/>
  <c r="AD573" i="9"/>
  <c r="AE573" i="9" s="1"/>
  <c r="AD574" i="9"/>
  <c r="AE574" i="9" s="1"/>
  <c r="AD575" i="9"/>
  <c r="AE575" i="9" s="1"/>
  <c r="AD576" i="9"/>
  <c r="AE576" i="9" s="1"/>
  <c r="AD577" i="9"/>
  <c r="AE577" i="9" s="1"/>
  <c r="AD578" i="9"/>
  <c r="AE578" i="9" s="1"/>
  <c r="AD579" i="9"/>
  <c r="AE579" i="9" s="1"/>
  <c r="AD580" i="9"/>
  <c r="AE580" i="9" s="1"/>
  <c r="AD581" i="9"/>
  <c r="AE581" i="9" s="1"/>
  <c r="AD582" i="9"/>
  <c r="AE582" i="9" s="1"/>
  <c r="AD583" i="9"/>
  <c r="AE583" i="9" s="1"/>
  <c r="AD584" i="9"/>
  <c r="AE584" i="9" s="1"/>
  <c r="AD585" i="9"/>
  <c r="AE585" i="9" s="1"/>
  <c r="AD586" i="9"/>
  <c r="AE586" i="9" s="1"/>
  <c r="AD587" i="9"/>
  <c r="AE587" i="9" s="1"/>
  <c r="AD588" i="9"/>
  <c r="AE588" i="9" s="1"/>
  <c r="AD589" i="9"/>
  <c r="AE589" i="9" s="1"/>
  <c r="AD590" i="9"/>
  <c r="AE590" i="9" s="1"/>
  <c r="AD591" i="9"/>
  <c r="AE591" i="9" s="1"/>
  <c r="AD592" i="9"/>
  <c r="AE592" i="9" s="1"/>
  <c r="AD593" i="9"/>
  <c r="AE593" i="9" s="1"/>
  <c r="AD594" i="9"/>
  <c r="AE594" i="9" s="1"/>
  <c r="AD595" i="9"/>
  <c r="AE595" i="9" s="1"/>
  <c r="AD596" i="9"/>
  <c r="AE596" i="9" s="1"/>
  <c r="AD597" i="9"/>
  <c r="AE597" i="9" s="1"/>
  <c r="AD598" i="9"/>
  <c r="AE598" i="9" s="1"/>
  <c r="AD599" i="9"/>
  <c r="AE599" i="9" s="1"/>
  <c r="AD600" i="9"/>
  <c r="AE600" i="9" s="1"/>
  <c r="AD601" i="9"/>
  <c r="AE601" i="9" s="1"/>
  <c r="AD602" i="9"/>
  <c r="AE602" i="9" s="1"/>
  <c r="AD603" i="9"/>
  <c r="AE603" i="9" s="1"/>
  <c r="AD604" i="9"/>
  <c r="AE604" i="9" s="1"/>
  <c r="AD605" i="9"/>
  <c r="AE605" i="9" s="1"/>
  <c r="AD606" i="9"/>
  <c r="AE606" i="9" s="1"/>
  <c r="AD607" i="9"/>
  <c r="AE607" i="9" s="1"/>
  <c r="AD608" i="9"/>
  <c r="AE608" i="9" s="1"/>
  <c r="AD609" i="9"/>
  <c r="AE609" i="9" s="1"/>
  <c r="AD610" i="9"/>
  <c r="AE610" i="9" s="1"/>
  <c r="AD611" i="9"/>
  <c r="AE611" i="9" s="1"/>
  <c r="AD612" i="9"/>
  <c r="AE612" i="9" s="1"/>
  <c r="AD613" i="9"/>
  <c r="AE613" i="9" s="1"/>
  <c r="AD614" i="9"/>
  <c r="AE614" i="9" s="1"/>
  <c r="AD615" i="9"/>
  <c r="AE615" i="9" s="1"/>
  <c r="AD616" i="9"/>
  <c r="AE616" i="9" s="1"/>
  <c r="AD617" i="9"/>
  <c r="AE617" i="9" s="1"/>
  <c r="AD618" i="9"/>
  <c r="AE618" i="9" s="1"/>
  <c r="AD619" i="9"/>
  <c r="AE619" i="9" s="1"/>
  <c r="AD620" i="9"/>
  <c r="AE620" i="9" s="1"/>
  <c r="AD621" i="9"/>
  <c r="AE621" i="9" s="1"/>
  <c r="AD622" i="9"/>
  <c r="AE622" i="9" s="1"/>
  <c r="AD623" i="9"/>
  <c r="AE623" i="9" s="1"/>
  <c r="AD624" i="9"/>
  <c r="AE624" i="9" s="1"/>
  <c r="AD625" i="9"/>
  <c r="AE625" i="9" s="1"/>
  <c r="AD626" i="9"/>
  <c r="AE626" i="9" s="1"/>
  <c r="AD627" i="9"/>
  <c r="AE627" i="9" s="1"/>
  <c r="AD628" i="9"/>
  <c r="AE628" i="9" s="1"/>
  <c r="AD629" i="9"/>
  <c r="AE629" i="9" s="1"/>
  <c r="AD630" i="9"/>
  <c r="AE630" i="9" s="1"/>
  <c r="AD631" i="9"/>
  <c r="AE631" i="9" s="1"/>
  <c r="AD632" i="9"/>
  <c r="AE632" i="9" s="1"/>
  <c r="AD633" i="9"/>
  <c r="AE633" i="9" s="1"/>
  <c r="AD634" i="9"/>
  <c r="AE634" i="9" s="1"/>
  <c r="AD635" i="9"/>
  <c r="AE635" i="9" s="1"/>
  <c r="AD636" i="9"/>
  <c r="AE636" i="9" s="1"/>
  <c r="AD637" i="9"/>
  <c r="AE637" i="9" s="1"/>
  <c r="AD638" i="9"/>
  <c r="AE638" i="9" s="1"/>
  <c r="AD639" i="9"/>
  <c r="AE639" i="9" s="1"/>
  <c r="AD640" i="9"/>
  <c r="AE640" i="9" s="1"/>
  <c r="AD641" i="9"/>
  <c r="AE641" i="9" s="1"/>
  <c r="AD642" i="9"/>
  <c r="AE642" i="9" s="1"/>
  <c r="AD643" i="9"/>
  <c r="AE643" i="9" s="1"/>
  <c r="AD644" i="9"/>
  <c r="AE644" i="9" s="1"/>
  <c r="AD645" i="9"/>
  <c r="AE645" i="9" s="1"/>
  <c r="AD646" i="9"/>
  <c r="AE646" i="9" s="1"/>
  <c r="AD647" i="9"/>
  <c r="AE647" i="9" s="1"/>
  <c r="AD648" i="9"/>
  <c r="AE648" i="9" s="1"/>
  <c r="AD649" i="9"/>
  <c r="AE649" i="9" s="1"/>
  <c r="AD650" i="9"/>
  <c r="AE650" i="9" s="1"/>
  <c r="AD651" i="9"/>
  <c r="AE651" i="9" s="1"/>
  <c r="AD652" i="9"/>
  <c r="AE652" i="9" s="1"/>
  <c r="AD653" i="9"/>
  <c r="AE653" i="9" s="1"/>
  <c r="AD654" i="9"/>
  <c r="AE654" i="9" s="1"/>
  <c r="AD655" i="9"/>
  <c r="AE655" i="9" s="1"/>
  <c r="AD656" i="9"/>
  <c r="AE656" i="9" s="1"/>
  <c r="AD657" i="9"/>
  <c r="AE657" i="9" s="1"/>
  <c r="AD658" i="9"/>
  <c r="AE658" i="9" s="1"/>
  <c r="AD659" i="9"/>
  <c r="AE659" i="9" s="1"/>
  <c r="AD660" i="9"/>
  <c r="AE660" i="9" s="1"/>
  <c r="AD661" i="9"/>
  <c r="AE661" i="9" s="1"/>
  <c r="AD662" i="9"/>
  <c r="AE662" i="9" s="1"/>
  <c r="AD663" i="9"/>
  <c r="AE663" i="9" s="1"/>
  <c r="AD664" i="9"/>
  <c r="AE664" i="9" s="1"/>
  <c r="AD665" i="9"/>
  <c r="AE665" i="9" s="1"/>
  <c r="AD666" i="9"/>
  <c r="AE666" i="9" s="1"/>
  <c r="AD667" i="9"/>
  <c r="AE667" i="9" s="1"/>
  <c r="AD668" i="9"/>
  <c r="AE668" i="9" s="1"/>
  <c r="AD669" i="9"/>
  <c r="AE669" i="9" s="1"/>
  <c r="AD670" i="9"/>
  <c r="AE670" i="9" s="1"/>
  <c r="AD671" i="9"/>
  <c r="AE671" i="9" s="1"/>
  <c r="AD672" i="9"/>
  <c r="AE672" i="9" s="1"/>
  <c r="AD673" i="9"/>
  <c r="AE673" i="9" s="1"/>
  <c r="AD674" i="9"/>
  <c r="AE674" i="9" s="1"/>
  <c r="AD675" i="9"/>
  <c r="AE675" i="9" s="1"/>
  <c r="AD676" i="9"/>
  <c r="AE676" i="9" s="1"/>
  <c r="AD677" i="9"/>
  <c r="AE677" i="9" s="1"/>
  <c r="AD678" i="9"/>
  <c r="AE678" i="9" s="1"/>
  <c r="AD679" i="9"/>
  <c r="AE679" i="9" s="1"/>
  <c r="AD680" i="9"/>
  <c r="AE680" i="9" s="1"/>
  <c r="AD681" i="9"/>
  <c r="AE681" i="9" s="1"/>
  <c r="AD682" i="9"/>
  <c r="AE682" i="9" s="1"/>
  <c r="AD683" i="9"/>
  <c r="AE683" i="9" s="1"/>
  <c r="AD684" i="9"/>
  <c r="AE684" i="9" s="1"/>
  <c r="AD685" i="9"/>
  <c r="AE685" i="9" s="1"/>
  <c r="AD686" i="9"/>
  <c r="AE686" i="9" s="1"/>
  <c r="AD687" i="9"/>
  <c r="AE687" i="9" s="1"/>
  <c r="AD688" i="9"/>
  <c r="AE688" i="9" s="1"/>
  <c r="AD689" i="9"/>
  <c r="AE689" i="9" s="1"/>
  <c r="AD690" i="9"/>
  <c r="AE690" i="9" s="1"/>
  <c r="AD691" i="9"/>
  <c r="AE691" i="9" s="1"/>
  <c r="AD692" i="9"/>
  <c r="AE692" i="9" s="1"/>
  <c r="AD693" i="9"/>
  <c r="AE693" i="9" s="1"/>
  <c r="AD694" i="9"/>
  <c r="AE694" i="9" s="1"/>
  <c r="AD695" i="9"/>
  <c r="AE695" i="9" s="1"/>
  <c r="AD696" i="9"/>
  <c r="AE696" i="9" s="1"/>
  <c r="AD697" i="9"/>
  <c r="AE697" i="9" s="1"/>
  <c r="AD698" i="9"/>
  <c r="AE698" i="9" s="1"/>
  <c r="AD699" i="9"/>
  <c r="AE699" i="9" s="1"/>
  <c r="AD700" i="9"/>
  <c r="AE700" i="9" s="1"/>
  <c r="AD701" i="9"/>
  <c r="AE701" i="9" s="1"/>
  <c r="AD702" i="9"/>
  <c r="AE702" i="9" s="1"/>
  <c r="AD703" i="9"/>
  <c r="AE703" i="9" s="1"/>
  <c r="AD704" i="9"/>
  <c r="AE704" i="9" s="1"/>
  <c r="AD705" i="9"/>
  <c r="AE705" i="9" s="1"/>
  <c r="AD706" i="9"/>
  <c r="AE706" i="9" s="1"/>
  <c r="AD707" i="9"/>
  <c r="AE707" i="9" s="1"/>
  <c r="AD708" i="9"/>
  <c r="AE708" i="9" s="1"/>
  <c r="AD709" i="9"/>
  <c r="AE709" i="9" s="1"/>
  <c r="AD710" i="9"/>
  <c r="AE710" i="9" s="1"/>
  <c r="AD711" i="9"/>
  <c r="AE711" i="9" s="1"/>
  <c r="AD712" i="9"/>
  <c r="AE712" i="9" s="1"/>
  <c r="AD713" i="9"/>
  <c r="AE713" i="9" s="1"/>
  <c r="AD714" i="9"/>
  <c r="AE714" i="9" s="1"/>
  <c r="AD715" i="9"/>
  <c r="AE715" i="9" s="1"/>
  <c r="AD716" i="9"/>
  <c r="AE716" i="9" s="1"/>
  <c r="AD717" i="9"/>
  <c r="AE717" i="9" s="1"/>
  <c r="AD718" i="9"/>
  <c r="AE718" i="9" s="1"/>
  <c r="AD719" i="9"/>
  <c r="AE719" i="9" s="1"/>
  <c r="AD720" i="9"/>
  <c r="AE720" i="9" s="1"/>
  <c r="AD721" i="9"/>
  <c r="AE721" i="9" s="1"/>
  <c r="AD722" i="9"/>
  <c r="AE722" i="9" s="1"/>
  <c r="AD723" i="9"/>
  <c r="AE723" i="9" s="1"/>
  <c r="AD724" i="9"/>
  <c r="AE724" i="9" s="1"/>
  <c r="AD725" i="9"/>
  <c r="AE725" i="9" s="1"/>
  <c r="AD726" i="9"/>
  <c r="AE726" i="9" s="1"/>
  <c r="AD727" i="9"/>
  <c r="AE727" i="9" s="1"/>
  <c r="AD728" i="9"/>
  <c r="AE728" i="9" s="1"/>
  <c r="AD729" i="9"/>
  <c r="AE729" i="9" s="1"/>
  <c r="AD730" i="9"/>
  <c r="AE730" i="9" s="1"/>
  <c r="AD731" i="9"/>
  <c r="AE731" i="9" s="1"/>
  <c r="AD12" i="9"/>
  <c r="AE12" i="9" s="1"/>
  <c r="V6" i="9"/>
  <c r="U6" i="9"/>
  <c r="W6" i="9" s="1"/>
  <c r="T6" i="9"/>
  <c r="U87" i="9"/>
  <c r="V87" i="9"/>
  <c r="U88" i="9"/>
  <c r="V88" i="9"/>
  <c r="U89" i="9"/>
  <c r="V89" i="9"/>
  <c r="U90" i="9"/>
  <c r="V90" i="9"/>
  <c r="U91" i="9"/>
  <c r="V91" i="9"/>
  <c r="U92" i="9"/>
  <c r="V92" i="9"/>
  <c r="U93" i="9"/>
  <c r="V93" i="9"/>
  <c r="U94" i="9"/>
  <c r="V94" i="9"/>
  <c r="U95" i="9"/>
  <c r="V95" i="9"/>
  <c r="U96" i="9"/>
  <c r="V96" i="9"/>
  <c r="U97" i="9"/>
  <c r="V97" i="9"/>
  <c r="U98" i="9"/>
  <c r="V98" i="9"/>
  <c r="U99" i="9"/>
  <c r="V99" i="9"/>
  <c r="U100" i="9"/>
  <c r="V100" i="9"/>
  <c r="U101" i="9"/>
  <c r="V101" i="9"/>
  <c r="U102" i="9"/>
  <c r="V102" i="9"/>
  <c r="U103" i="9"/>
  <c r="V103" i="9"/>
  <c r="U104" i="9"/>
  <c r="V104" i="9"/>
  <c r="U105" i="9"/>
  <c r="V105" i="9"/>
  <c r="U106" i="9"/>
  <c r="V106" i="9"/>
  <c r="U107" i="9"/>
  <c r="V107" i="9"/>
  <c r="U108" i="9"/>
  <c r="V108" i="9"/>
  <c r="U109" i="9"/>
  <c r="V109" i="9"/>
  <c r="U110" i="9"/>
  <c r="V110" i="9"/>
  <c r="U111" i="9"/>
  <c r="V111" i="9"/>
  <c r="U112" i="9"/>
  <c r="V112" i="9"/>
  <c r="U113" i="9"/>
  <c r="V113" i="9"/>
  <c r="U114" i="9"/>
  <c r="V114" i="9"/>
  <c r="U115" i="9"/>
  <c r="V115" i="9"/>
  <c r="U116" i="9"/>
  <c r="V116" i="9"/>
  <c r="U117" i="9"/>
  <c r="V117" i="9"/>
  <c r="U118" i="9"/>
  <c r="V118" i="9"/>
  <c r="U119" i="9"/>
  <c r="V119" i="9"/>
  <c r="U120" i="9"/>
  <c r="V120" i="9"/>
  <c r="U121" i="9"/>
  <c r="V121" i="9"/>
  <c r="U122" i="9"/>
  <c r="V122" i="9"/>
  <c r="U123" i="9"/>
  <c r="V123" i="9"/>
  <c r="U124" i="9"/>
  <c r="V124" i="9"/>
  <c r="U125" i="9"/>
  <c r="V125" i="9"/>
  <c r="U126" i="9"/>
  <c r="V126" i="9"/>
  <c r="U127" i="9"/>
  <c r="V127" i="9"/>
  <c r="U128" i="9"/>
  <c r="V128" i="9"/>
  <c r="U129" i="9"/>
  <c r="V129" i="9"/>
  <c r="U130" i="9"/>
  <c r="V130" i="9"/>
  <c r="U131" i="9"/>
  <c r="V131" i="9"/>
  <c r="U132" i="9"/>
  <c r="V132" i="9"/>
  <c r="U133" i="9"/>
  <c r="V133" i="9"/>
  <c r="U134" i="9"/>
  <c r="V134" i="9"/>
  <c r="U135" i="9"/>
  <c r="V135" i="9"/>
  <c r="U136" i="9"/>
  <c r="V136" i="9"/>
  <c r="U137" i="9"/>
  <c r="V137" i="9"/>
  <c r="U138" i="9"/>
  <c r="V138" i="9"/>
  <c r="U139" i="9"/>
  <c r="V139" i="9"/>
  <c r="U140" i="9"/>
  <c r="V140" i="9"/>
  <c r="U141" i="9"/>
  <c r="V141" i="9"/>
  <c r="U142" i="9"/>
  <c r="V142" i="9"/>
  <c r="U143" i="9"/>
  <c r="V143" i="9"/>
  <c r="U144" i="9"/>
  <c r="V144" i="9"/>
  <c r="U145" i="9"/>
  <c r="V145" i="9"/>
  <c r="U146" i="9"/>
  <c r="V146" i="9"/>
  <c r="U147" i="9"/>
  <c r="V147" i="9"/>
  <c r="U148" i="9"/>
  <c r="V148" i="9"/>
  <c r="U149" i="9"/>
  <c r="V149" i="9"/>
  <c r="U150" i="9"/>
  <c r="V150" i="9"/>
  <c r="U151" i="9"/>
  <c r="V151" i="9"/>
  <c r="U152" i="9"/>
  <c r="V152" i="9"/>
  <c r="U153" i="9"/>
  <c r="V153" i="9"/>
  <c r="U154" i="9"/>
  <c r="V154" i="9"/>
  <c r="U155" i="9"/>
  <c r="V155" i="9"/>
  <c r="U156" i="9"/>
  <c r="V156" i="9"/>
  <c r="U157" i="9"/>
  <c r="V157" i="9"/>
  <c r="U158" i="9"/>
  <c r="V158" i="9"/>
  <c r="U159" i="9"/>
  <c r="V159" i="9"/>
  <c r="U160" i="9"/>
  <c r="V160" i="9"/>
  <c r="U161" i="9"/>
  <c r="V161" i="9"/>
  <c r="U162" i="9"/>
  <c r="V162" i="9"/>
  <c r="U163" i="9"/>
  <c r="V163" i="9"/>
  <c r="U164" i="9"/>
  <c r="V164" i="9"/>
  <c r="U165" i="9"/>
  <c r="V165" i="9"/>
  <c r="U166" i="9"/>
  <c r="V166" i="9"/>
  <c r="U167" i="9"/>
  <c r="V167" i="9"/>
  <c r="U168" i="9"/>
  <c r="V168" i="9"/>
  <c r="U169" i="9"/>
  <c r="V169" i="9"/>
  <c r="U170" i="9"/>
  <c r="V170" i="9"/>
  <c r="U171" i="9"/>
  <c r="V171" i="9"/>
  <c r="U172" i="9"/>
  <c r="V172" i="9"/>
  <c r="U173" i="9"/>
  <c r="V173" i="9"/>
  <c r="U174" i="9"/>
  <c r="V174" i="9"/>
  <c r="U175" i="9"/>
  <c r="V175" i="9"/>
  <c r="U176" i="9"/>
  <c r="V176" i="9"/>
  <c r="U177" i="9"/>
  <c r="V177" i="9"/>
  <c r="U178" i="9"/>
  <c r="V178" i="9"/>
  <c r="U179" i="9"/>
  <c r="V179" i="9"/>
  <c r="U180" i="9"/>
  <c r="V180" i="9"/>
  <c r="U181" i="9"/>
  <c r="V181" i="9"/>
  <c r="U182" i="9"/>
  <c r="V182" i="9"/>
  <c r="U183" i="9"/>
  <c r="V183" i="9"/>
  <c r="U184" i="9"/>
  <c r="V184" i="9"/>
  <c r="U185" i="9"/>
  <c r="V185" i="9"/>
  <c r="U186" i="9"/>
  <c r="V186" i="9"/>
  <c r="U187" i="9"/>
  <c r="V187" i="9"/>
  <c r="U188" i="9"/>
  <c r="V188" i="9"/>
  <c r="U189" i="9"/>
  <c r="V189" i="9"/>
  <c r="U190" i="9"/>
  <c r="V190" i="9"/>
  <c r="U191" i="9"/>
  <c r="V191" i="9"/>
  <c r="U192" i="9"/>
  <c r="V192" i="9"/>
  <c r="U193" i="9"/>
  <c r="V193" i="9"/>
  <c r="U194" i="9"/>
  <c r="V194" i="9"/>
  <c r="U195" i="9"/>
  <c r="V195" i="9"/>
  <c r="U196" i="9"/>
  <c r="V196" i="9"/>
  <c r="U197" i="9"/>
  <c r="V197" i="9"/>
  <c r="U198" i="9"/>
  <c r="V198" i="9"/>
  <c r="U199" i="9"/>
  <c r="V199" i="9"/>
  <c r="U200" i="9"/>
  <c r="V200" i="9"/>
  <c r="U201" i="9"/>
  <c r="V201" i="9"/>
  <c r="U202" i="9"/>
  <c r="V202" i="9"/>
  <c r="U203" i="9"/>
  <c r="V203" i="9"/>
  <c r="U204" i="9"/>
  <c r="V204" i="9"/>
  <c r="U205" i="9"/>
  <c r="V205" i="9"/>
  <c r="U206" i="9"/>
  <c r="V206" i="9"/>
  <c r="U207" i="9"/>
  <c r="V207" i="9"/>
  <c r="U208" i="9"/>
  <c r="V208" i="9"/>
  <c r="U209" i="9"/>
  <c r="V209" i="9"/>
  <c r="U210" i="9"/>
  <c r="V210" i="9"/>
  <c r="U211" i="9"/>
  <c r="V211" i="9"/>
  <c r="U212" i="9"/>
  <c r="V212" i="9"/>
  <c r="U213" i="9"/>
  <c r="V213" i="9"/>
  <c r="U214" i="9"/>
  <c r="V214" i="9"/>
  <c r="U215" i="9"/>
  <c r="V215" i="9"/>
  <c r="U216" i="9"/>
  <c r="V216" i="9"/>
  <c r="U217" i="9"/>
  <c r="V217" i="9"/>
  <c r="U218" i="9"/>
  <c r="V218" i="9"/>
  <c r="U219" i="9"/>
  <c r="V219" i="9"/>
  <c r="U220" i="9"/>
  <c r="V220" i="9"/>
  <c r="U221" i="9"/>
  <c r="V221" i="9"/>
  <c r="U222" i="9"/>
  <c r="V222" i="9"/>
  <c r="U223" i="9"/>
  <c r="V223" i="9"/>
  <c r="U224" i="9"/>
  <c r="V224" i="9"/>
  <c r="U225" i="9"/>
  <c r="V225" i="9"/>
  <c r="U226" i="9"/>
  <c r="V226" i="9"/>
  <c r="U227" i="9"/>
  <c r="V227" i="9"/>
  <c r="U228" i="9"/>
  <c r="V228" i="9"/>
  <c r="U229" i="9"/>
  <c r="V229" i="9"/>
  <c r="U230" i="9"/>
  <c r="V230" i="9"/>
  <c r="U231" i="9"/>
  <c r="V231" i="9"/>
  <c r="U232" i="9"/>
  <c r="V232" i="9"/>
  <c r="U233" i="9"/>
  <c r="V233" i="9"/>
  <c r="U234" i="9"/>
  <c r="V234" i="9"/>
  <c r="U235" i="9"/>
  <c r="V235" i="9"/>
  <c r="U236" i="9"/>
  <c r="V236" i="9"/>
  <c r="U237" i="9"/>
  <c r="V237" i="9"/>
  <c r="U238" i="9"/>
  <c r="V238" i="9"/>
  <c r="U239" i="9"/>
  <c r="V239" i="9"/>
  <c r="U240" i="9"/>
  <c r="V240" i="9"/>
  <c r="U241" i="9"/>
  <c r="V241" i="9"/>
  <c r="U242" i="9"/>
  <c r="V242" i="9"/>
  <c r="U243" i="9"/>
  <c r="V243" i="9"/>
  <c r="U244" i="9"/>
  <c r="V244" i="9"/>
  <c r="U245" i="9"/>
  <c r="V245" i="9"/>
  <c r="U246" i="9"/>
  <c r="V246" i="9"/>
  <c r="U247" i="9"/>
  <c r="V247" i="9"/>
  <c r="U248" i="9"/>
  <c r="V248" i="9"/>
  <c r="U249" i="9"/>
  <c r="V249" i="9"/>
  <c r="U250" i="9"/>
  <c r="V250" i="9"/>
  <c r="U251" i="9"/>
  <c r="V251" i="9"/>
  <c r="U252" i="9"/>
  <c r="V252" i="9"/>
  <c r="U253" i="9"/>
  <c r="V253" i="9"/>
  <c r="U254" i="9"/>
  <c r="V254" i="9"/>
  <c r="U255" i="9"/>
  <c r="V255" i="9"/>
  <c r="U256" i="9"/>
  <c r="V256" i="9"/>
  <c r="U257" i="9"/>
  <c r="V257" i="9"/>
  <c r="U258" i="9"/>
  <c r="V258" i="9"/>
  <c r="U259" i="9"/>
  <c r="V259" i="9"/>
  <c r="U260" i="9"/>
  <c r="V260" i="9"/>
  <c r="U261" i="9"/>
  <c r="V261" i="9"/>
  <c r="U262" i="9"/>
  <c r="V262" i="9"/>
  <c r="U263" i="9"/>
  <c r="V263" i="9"/>
  <c r="U264" i="9"/>
  <c r="V264" i="9"/>
  <c r="U265" i="9"/>
  <c r="V265" i="9"/>
  <c r="U266" i="9"/>
  <c r="V266" i="9"/>
  <c r="U267" i="9"/>
  <c r="V267" i="9"/>
  <c r="U268" i="9"/>
  <c r="V268" i="9"/>
  <c r="U269" i="9"/>
  <c r="V269" i="9"/>
  <c r="U270" i="9"/>
  <c r="V270" i="9"/>
  <c r="U271" i="9"/>
  <c r="V271" i="9"/>
  <c r="U272" i="9"/>
  <c r="V272" i="9"/>
  <c r="U273" i="9"/>
  <c r="V273" i="9"/>
  <c r="U274" i="9"/>
  <c r="V274" i="9"/>
  <c r="U275" i="9"/>
  <c r="V275" i="9"/>
  <c r="U276" i="9"/>
  <c r="V276" i="9"/>
  <c r="U277" i="9"/>
  <c r="V277" i="9"/>
  <c r="U278" i="9"/>
  <c r="V278" i="9"/>
  <c r="U279" i="9"/>
  <c r="V279" i="9"/>
  <c r="U280" i="9"/>
  <c r="V280" i="9"/>
  <c r="U281" i="9"/>
  <c r="V281" i="9"/>
  <c r="U282" i="9"/>
  <c r="V282" i="9"/>
  <c r="U283" i="9"/>
  <c r="V283" i="9"/>
  <c r="U284" i="9"/>
  <c r="V284" i="9"/>
  <c r="U285" i="9"/>
  <c r="V285" i="9"/>
  <c r="U286" i="9"/>
  <c r="V286" i="9"/>
  <c r="U287" i="9"/>
  <c r="V287" i="9"/>
  <c r="U288" i="9"/>
  <c r="V288" i="9"/>
  <c r="U289" i="9"/>
  <c r="V289" i="9"/>
  <c r="U290" i="9"/>
  <c r="V290" i="9"/>
  <c r="U291" i="9"/>
  <c r="V291" i="9"/>
  <c r="U292" i="9"/>
  <c r="V292" i="9"/>
  <c r="U293" i="9"/>
  <c r="V293" i="9"/>
  <c r="U294" i="9"/>
  <c r="V294" i="9"/>
  <c r="U295" i="9"/>
  <c r="V295" i="9"/>
  <c r="U296" i="9"/>
  <c r="V296" i="9"/>
  <c r="U297" i="9"/>
  <c r="V297" i="9"/>
  <c r="U298" i="9"/>
  <c r="V298" i="9"/>
  <c r="U299" i="9"/>
  <c r="V299" i="9"/>
  <c r="U300" i="9"/>
  <c r="V300" i="9"/>
  <c r="U301" i="9"/>
  <c r="V301" i="9"/>
  <c r="U302" i="9"/>
  <c r="V302" i="9"/>
  <c r="U303" i="9"/>
  <c r="V303" i="9"/>
  <c r="U304" i="9"/>
  <c r="V304" i="9"/>
  <c r="U305" i="9"/>
  <c r="V305" i="9"/>
  <c r="U306" i="9"/>
  <c r="V306" i="9"/>
  <c r="U307" i="9"/>
  <c r="V307" i="9"/>
  <c r="U308" i="9"/>
  <c r="V308" i="9"/>
  <c r="U309" i="9"/>
  <c r="V309" i="9"/>
  <c r="U310" i="9"/>
  <c r="V310" i="9"/>
  <c r="U311" i="9"/>
  <c r="V311" i="9"/>
  <c r="U312" i="9"/>
  <c r="V312" i="9"/>
  <c r="U313" i="9"/>
  <c r="V313" i="9"/>
  <c r="U314" i="9"/>
  <c r="V314" i="9"/>
  <c r="U315" i="9"/>
  <c r="V315" i="9"/>
  <c r="U316" i="9"/>
  <c r="V316" i="9"/>
  <c r="U317" i="9"/>
  <c r="V317" i="9"/>
  <c r="U318" i="9"/>
  <c r="V318" i="9"/>
  <c r="U319" i="9"/>
  <c r="V319" i="9"/>
  <c r="U320" i="9"/>
  <c r="V320" i="9"/>
  <c r="U321" i="9"/>
  <c r="V321" i="9"/>
  <c r="U322" i="9"/>
  <c r="V322" i="9"/>
  <c r="U323" i="9"/>
  <c r="V323" i="9"/>
  <c r="U324" i="9"/>
  <c r="V324" i="9"/>
  <c r="U325" i="9"/>
  <c r="V325" i="9"/>
  <c r="U326" i="9"/>
  <c r="V326" i="9"/>
  <c r="U327" i="9"/>
  <c r="V327" i="9"/>
  <c r="U328" i="9"/>
  <c r="V328" i="9"/>
  <c r="U329" i="9"/>
  <c r="V329" i="9"/>
  <c r="U330" i="9"/>
  <c r="V330" i="9"/>
  <c r="U331" i="9"/>
  <c r="V331" i="9"/>
  <c r="U332" i="9"/>
  <c r="V332" i="9"/>
  <c r="U333" i="9"/>
  <c r="V333" i="9"/>
  <c r="U334" i="9"/>
  <c r="V334" i="9"/>
  <c r="U335" i="9"/>
  <c r="V335" i="9"/>
  <c r="U336" i="9"/>
  <c r="V336" i="9"/>
  <c r="U337" i="9"/>
  <c r="V337" i="9"/>
  <c r="U338" i="9"/>
  <c r="V338" i="9"/>
  <c r="U339" i="9"/>
  <c r="V339" i="9"/>
  <c r="U340" i="9"/>
  <c r="V340" i="9"/>
  <c r="U341" i="9"/>
  <c r="V341" i="9"/>
  <c r="U342" i="9"/>
  <c r="V342" i="9"/>
  <c r="U343" i="9"/>
  <c r="V343" i="9"/>
  <c r="U344" i="9"/>
  <c r="V344" i="9"/>
  <c r="U345" i="9"/>
  <c r="V345" i="9"/>
  <c r="U346" i="9"/>
  <c r="V346" i="9"/>
  <c r="U347" i="9"/>
  <c r="V347" i="9"/>
  <c r="U348" i="9"/>
  <c r="V348" i="9"/>
  <c r="U349" i="9"/>
  <c r="V349" i="9"/>
  <c r="U350" i="9"/>
  <c r="V350" i="9"/>
  <c r="U351" i="9"/>
  <c r="V351" i="9"/>
  <c r="U352" i="9"/>
  <c r="V352" i="9"/>
  <c r="U353" i="9"/>
  <c r="V353" i="9"/>
  <c r="U354" i="9"/>
  <c r="V354" i="9"/>
  <c r="U355" i="9"/>
  <c r="V355" i="9"/>
  <c r="U356" i="9"/>
  <c r="V356" i="9"/>
  <c r="U357" i="9"/>
  <c r="V357" i="9"/>
  <c r="U358" i="9"/>
  <c r="V358" i="9"/>
  <c r="U359" i="9"/>
  <c r="V359" i="9"/>
  <c r="U360" i="9"/>
  <c r="V360" i="9"/>
  <c r="U361" i="9"/>
  <c r="V361" i="9"/>
  <c r="U362" i="9"/>
  <c r="V362" i="9"/>
  <c r="U363" i="9"/>
  <c r="V363" i="9"/>
  <c r="U364" i="9"/>
  <c r="V364" i="9"/>
  <c r="U365" i="9"/>
  <c r="V365" i="9"/>
  <c r="U366" i="9"/>
  <c r="V366" i="9"/>
  <c r="U367" i="9"/>
  <c r="V367" i="9"/>
  <c r="U368" i="9"/>
  <c r="V368" i="9"/>
  <c r="U369" i="9"/>
  <c r="V369" i="9"/>
  <c r="U370" i="9"/>
  <c r="V370" i="9"/>
  <c r="U371" i="9"/>
  <c r="V371" i="9"/>
  <c r="U372" i="9"/>
  <c r="V372" i="9"/>
  <c r="U373" i="9"/>
  <c r="V373" i="9"/>
  <c r="U374" i="9"/>
  <c r="V374" i="9"/>
  <c r="U375" i="9"/>
  <c r="V375" i="9"/>
  <c r="U376" i="9"/>
  <c r="V376" i="9"/>
  <c r="U377" i="9"/>
  <c r="V377" i="9"/>
  <c r="U378" i="9"/>
  <c r="V378" i="9"/>
  <c r="U379" i="9"/>
  <c r="V379" i="9"/>
  <c r="U380" i="9"/>
  <c r="V380" i="9"/>
  <c r="U381" i="9"/>
  <c r="V381" i="9"/>
  <c r="U382" i="9"/>
  <c r="V382" i="9"/>
  <c r="U383" i="9"/>
  <c r="V383" i="9"/>
  <c r="U384" i="9"/>
  <c r="V384" i="9"/>
  <c r="U385" i="9"/>
  <c r="V385" i="9"/>
  <c r="U386" i="9"/>
  <c r="V386" i="9"/>
  <c r="U387" i="9"/>
  <c r="V387" i="9"/>
  <c r="U388" i="9"/>
  <c r="V388" i="9"/>
  <c r="U389" i="9"/>
  <c r="V389" i="9"/>
  <c r="U390" i="9"/>
  <c r="V390" i="9"/>
  <c r="U391" i="9"/>
  <c r="V391" i="9"/>
  <c r="U392" i="9"/>
  <c r="V392" i="9"/>
  <c r="U393" i="9"/>
  <c r="V393" i="9"/>
  <c r="U394" i="9"/>
  <c r="V394" i="9"/>
  <c r="U395" i="9"/>
  <c r="V395" i="9"/>
  <c r="U396" i="9"/>
  <c r="V396" i="9"/>
  <c r="U397" i="9"/>
  <c r="V397" i="9"/>
  <c r="U398" i="9"/>
  <c r="V398" i="9"/>
  <c r="U399" i="9"/>
  <c r="V399" i="9"/>
  <c r="U400" i="9"/>
  <c r="V400" i="9"/>
  <c r="U401" i="9"/>
  <c r="V401" i="9"/>
  <c r="U402" i="9"/>
  <c r="V402" i="9"/>
  <c r="U403" i="9"/>
  <c r="V403" i="9"/>
  <c r="U404" i="9"/>
  <c r="V404" i="9"/>
  <c r="U405" i="9"/>
  <c r="V405" i="9"/>
  <c r="U406" i="9"/>
  <c r="V406" i="9"/>
  <c r="U407" i="9"/>
  <c r="V407" i="9"/>
  <c r="U408" i="9"/>
  <c r="V408" i="9"/>
  <c r="U409" i="9"/>
  <c r="V409" i="9"/>
  <c r="U410" i="9"/>
  <c r="V410" i="9"/>
  <c r="U411" i="9"/>
  <c r="V411" i="9"/>
  <c r="U412" i="9"/>
  <c r="V412" i="9"/>
  <c r="U413" i="9"/>
  <c r="V413" i="9"/>
  <c r="U414" i="9"/>
  <c r="V414" i="9"/>
  <c r="U415" i="9"/>
  <c r="V415" i="9"/>
  <c r="U416" i="9"/>
  <c r="V416" i="9"/>
  <c r="U417" i="9"/>
  <c r="V417" i="9"/>
  <c r="U418" i="9"/>
  <c r="V418" i="9"/>
  <c r="U419" i="9"/>
  <c r="V419" i="9"/>
  <c r="U420" i="9"/>
  <c r="V420" i="9"/>
  <c r="U421" i="9"/>
  <c r="V421" i="9"/>
  <c r="U422" i="9"/>
  <c r="V422" i="9"/>
  <c r="U423" i="9"/>
  <c r="V423" i="9"/>
  <c r="U424" i="9"/>
  <c r="V424" i="9"/>
  <c r="U425" i="9"/>
  <c r="V425" i="9"/>
  <c r="U426" i="9"/>
  <c r="V426" i="9"/>
  <c r="U427" i="9"/>
  <c r="V427" i="9"/>
  <c r="U428" i="9"/>
  <c r="V428" i="9"/>
  <c r="U429" i="9"/>
  <c r="V429" i="9"/>
  <c r="U430" i="9"/>
  <c r="V430" i="9"/>
  <c r="U431" i="9"/>
  <c r="V431" i="9"/>
  <c r="U432" i="9"/>
  <c r="V432" i="9"/>
  <c r="U433" i="9"/>
  <c r="V433" i="9"/>
  <c r="U434" i="9"/>
  <c r="V434" i="9"/>
  <c r="U435" i="9"/>
  <c r="V435" i="9"/>
  <c r="U436" i="9"/>
  <c r="V436" i="9"/>
  <c r="U437" i="9"/>
  <c r="V437" i="9"/>
  <c r="U438" i="9"/>
  <c r="V438" i="9"/>
  <c r="U439" i="9"/>
  <c r="V439" i="9"/>
  <c r="U440" i="9"/>
  <c r="V440" i="9"/>
  <c r="U441" i="9"/>
  <c r="V441" i="9"/>
  <c r="U442" i="9"/>
  <c r="V442" i="9"/>
  <c r="U443" i="9"/>
  <c r="V443" i="9"/>
  <c r="U444" i="9"/>
  <c r="V444" i="9"/>
  <c r="U445" i="9"/>
  <c r="V445" i="9"/>
  <c r="U446" i="9"/>
  <c r="V446" i="9"/>
  <c r="U447" i="9"/>
  <c r="V447" i="9"/>
  <c r="U448" i="9"/>
  <c r="V448" i="9"/>
  <c r="U449" i="9"/>
  <c r="V449" i="9"/>
  <c r="U450" i="9"/>
  <c r="V450" i="9"/>
  <c r="U451" i="9"/>
  <c r="V451" i="9"/>
  <c r="U452" i="9"/>
  <c r="V452" i="9"/>
  <c r="U453" i="9"/>
  <c r="V453" i="9"/>
  <c r="U454" i="9"/>
  <c r="V454" i="9"/>
  <c r="U455" i="9"/>
  <c r="V455" i="9"/>
  <c r="U456" i="9"/>
  <c r="V456" i="9"/>
  <c r="U457" i="9"/>
  <c r="V457" i="9"/>
  <c r="U458" i="9"/>
  <c r="V458" i="9"/>
  <c r="U459" i="9"/>
  <c r="V459" i="9"/>
  <c r="U460" i="9"/>
  <c r="V460" i="9"/>
  <c r="U461" i="9"/>
  <c r="V461" i="9"/>
  <c r="U462" i="9"/>
  <c r="V462" i="9"/>
  <c r="U463" i="9"/>
  <c r="V463" i="9"/>
  <c r="U464" i="9"/>
  <c r="V464" i="9"/>
  <c r="U465" i="9"/>
  <c r="V465" i="9"/>
  <c r="U466" i="9"/>
  <c r="V466" i="9"/>
  <c r="U467" i="9"/>
  <c r="V467" i="9"/>
  <c r="U468" i="9"/>
  <c r="V468" i="9"/>
  <c r="U469" i="9"/>
  <c r="V469" i="9"/>
  <c r="U470" i="9"/>
  <c r="V470" i="9"/>
  <c r="U471" i="9"/>
  <c r="V471" i="9"/>
  <c r="U472" i="9"/>
  <c r="V472" i="9"/>
  <c r="U473" i="9"/>
  <c r="V473" i="9"/>
  <c r="U474" i="9"/>
  <c r="V474" i="9"/>
  <c r="U475" i="9"/>
  <c r="V475" i="9"/>
  <c r="U476" i="9"/>
  <c r="V476" i="9"/>
  <c r="U477" i="9"/>
  <c r="V477" i="9"/>
  <c r="U478" i="9"/>
  <c r="V478" i="9"/>
  <c r="U479" i="9"/>
  <c r="V479" i="9"/>
  <c r="U480" i="9"/>
  <c r="V480" i="9"/>
  <c r="U481" i="9"/>
  <c r="V481" i="9"/>
  <c r="U482" i="9"/>
  <c r="V482" i="9"/>
  <c r="U483" i="9"/>
  <c r="V483" i="9"/>
  <c r="U484" i="9"/>
  <c r="V484" i="9"/>
  <c r="U485" i="9"/>
  <c r="V485" i="9"/>
  <c r="U486" i="9"/>
  <c r="V486" i="9"/>
  <c r="U487" i="9"/>
  <c r="V487" i="9"/>
  <c r="U488" i="9"/>
  <c r="V488" i="9"/>
  <c r="U489" i="9"/>
  <c r="V489" i="9"/>
  <c r="U490" i="9"/>
  <c r="V490" i="9"/>
  <c r="U491" i="9"/>
  <c r="V491" i="9"/>
  <c r="U492" i="9"/>
  <c r="V492" i="9"/>
  <c r="U493" i="9"/>
  <c r="V493" i="9"/>
  <c r="U494" i="9"/>
  <c r="V494" i="9"/>
  <c r="U495" i="9"/>
  <c r="V495" i="9"/>
  <c r="U496" i="9"/>
  <c r="V496" i="9"/>
  <c r="U497" i="9"/>
  <c r="V497" i="9"/>
  <c r="U498" i="9"/>
  <c r="V498" i="9"/>
  <c r="U499" i="9"/>
  <c r="V499" i="9"/>
  <c r="U500" i="9"/>
  <c r="V500" i="9"/>
  <c r="U501" i="9"/>
  <c r="V501" i="9"/>
  <c r="U502" i="9"/>
  <c r="V502" i="9"/>
  <c r="U503" i="9"/>
  <c r="V503" i="9"/>
  <c r="U504" i="9"/>
  <c r="V504" i="9"/>
  <c r="U505" i="9"/>
  <c r="V505" i="9"/>
  <c r="U506" i="9"/>
  <c r="V506" i="9"/>
  <c r="U507" i="9"/>
  <c r="V507" i="9"/>
  <c r="U508" i="9"/>
  <c r="V508" i="9"/>
  <c r="U509" i="9"/>
  <c r="V509" i="9"/>
  <c r="U510" i="9"/>
  <c r="V510" i="9"/>
  <c r="U511" i="9"/>
  <c r="V511" i="9"/>
  <c r="U512" i="9"/>
  <c r="V512" i="9"/>
  <c r="U513" i="9"/>
  <c r="V513" i="9"/>
  <c r="U514" i="9"/>
  <c r="V514" i="9"/>
  <c r="U515" i="9"/>
  <c r="V515" i="9"/>
  <c r="U516" i="9"/>
  <c r="V516" i="9"/>
  <c r="U517" i="9"/>
  <c r="V517" i="9"/>
  <c r="U518" i="9"/>
  <c r="V518" i="9"/>
  <c r="U519" i="9"/>
  <c r="V519" i="9"/>
  <c r="U520" i="9"/>
  <c r="V520" i="9"/>
  <c r="U521" i="9"/>
  <c r="V521" i="9"/>
  <c r="U522" i="9"/>
  <c r="V522" i="9"/>
  <c r="U523" i="9"/>
  <c r="V523" i="9"/>
  <c r="U524" i="9"/>
  <c r="V524" i="9"/>
  <c r="U525" i="9"/>
  <c r="V525" i="9"/>
  <c r="U526" i="9"/>
  <c r="V526" i="9"/>
  <c r="U527" i="9"/>
  <c r="V527" i="9"/>
  <c r="U528" i="9"/>
  <c r="V528" i="9"/>
  <c r="U529" i="9"/>
  <c r="V529" i="9"/>
  <c r="U530" i="9"/>
  <c r="V530" i="9"/>
  <c r="U531" i="9"/>
  <c r="V531" i="9"/>
  <c r="U532" i="9"/>
  <c r="V532" i="9"/>
  <c r="U533" i="9"/>
  <c r="V533" i="9"/>
  <c r="U534" i="9"/>
  <c r="V534" i="9"/>
  <c r="U535" i="9"/>
  <c r="V535" i="9"/>
  <c r="U536" i="9"/>
  <c r="V536" i="9"/>
  <c r="U537" i="9"/>
  <c r="V537" i="9"/>
  <c r="U538" i="9"/>
  <c r="V538" i="9"/>
  <c r="U539" i="9"/>
  <c r="V539" i="9"/>
  <c r="U540" i="9"/>
  <c r="V540" i="9"/>
  <c r="U541" i="9"/>
  <c r="V541" i="9"/>
  <c r="U542" i="9"/>
  <c r="V542" i="9"/>
  <c r="U543" i="9"/>
  <c r="V543" i="9"/>
  <c r="U544" i="9"/>
  <c r="V544" i="9"/>
  <c r="U545" i="9"/>
  <c r="V545" i="9"/>
  <c r="U546" i="9"/>
  <c r="V546" i="9"/>
  <c r="U547" i="9"/>
  <c r="V547" i="9"/>
  <c r="U548" i="9"/>
  <c r="V548" i="9"/>
  <c r="U549" i="9"/>
  <c r="V549" i="9"/>
  <c r="U550" i="9"/>
  <c r="V550" i="9"/>
  <c r="U551" i="9"/>
  <c r="V551" i="9"/>
  <c r="U552" i="9"/>
  <c r="V552" i="9"/>
  <c r="U553" i="9"/>
  <c r="V553" i="9"/>
  <c r="U554" i="9"/>
  <c r="V554" i="9"/>
  <c r="U555" i="9"/>
  <c r="V555" i="9"/>
  <c r="U556" i="9"/>
  <c r="V556" i="9"/>
  <c r="U557" i="9"/>
  <c r="V557" i="9"/>
  <c r="U558" i="9"/>
  <c r="V558" i="9"/>
  <c r="U559" i="9"/>
  <c r="V559" i="9"/>
  <c r="U560" i="9"/>
  <c r="V560" i="9"/>
  <c r="U561" i="9"/>
  <c r="V561" i="9"/>
  <c r="U562" i="9"/>
  <c r="V562" i="9"/>
  <c r="U563" i="9"/>
  <c r="V563" i="9"/>
  <c r="U564" i="9"/>
  <c r="V564" i="9"/>
  <c r="U565" i="9"/>
  <c r="V565" i="9"/>
  <c r="U566" i="9"/>
  <c r="V566" i="9"/>
  <c r="U567" i="9"/>
  <c r="V567" i="9"/>
  <c r="U568" i="9"/>
  <c r="V568" i="9"/>
  <c r="U569" i="9"/>
  <c r="V569" i="9"/>
  <c r="U570" i="9"/>
  <c r="V570" i="9"/>
  <c r="U571" i="9"/>
  <c r="V571" i="9"/>
  <c r="U572" i="9"/>
  <c r="V572" i="9"/>
  <c r="U573" i="9"/>
  <c r="V573" i="9"/>
  <c r="U574" i="9"/>
  <c r="V574" i="9"/>
  <c r="U575" i="9"/>
  <c r="V575" i="9"/>
  <c r="U576" i="9"/>
  <c r="V576" i="9"/>
  <c r="U577" i="9"/>
  <c r="V577" i="9"/>
  <c r="U578" i="9"/>
  <c r="V578" i="9"/>
  <c r="U579" i="9"/>
  <c r="V579" i="9"/>
  <c r="U580" i="9"/>
  <c r="V580" i="9"/>
  <c r="U581" i="9"/>
  <c r="V581" i="9"/>
  <c r="U582" i="9"/>
  <c r="V582" i="9"/>
  <c r="U583" i="9"/>
  <c r="V583" i="9"/>
  <c r="U584" i="9"/>
  <c r="V584" i="9"/>
  <c r="U585" i="9"/>
  <c r="V585" i="9"/>
  <c r="U586" i="9"/>
  <c r="V586" i="9"/>
  <c r="U587" i="9"/>
  <c r="V587" i="9"/>
  <c r="U588" i="9"/>
  <c r="V588" i="9"/>
  <c r="U589" i="9"/>
  <c r="V589" i="9"/>
  <c r="U590" i="9"/>
  <c r="V590" i="9"/>
  <c r="U591" i="9"/>
  <c r="V591" i="9"/>
  <c r="U592" i="9"/>
  <c r="V592" i="9"/>
  <c r="U593" i="9"/>
  <c r="V593" i="9"/>
  <c r="U594" i="9"/>
  <c r="V594" i="9"/>
  <c r="U595" i="9"/>
  <c r="V595" i="9"/>
  <c r="U596" i="9"/>
  <c r="V596" i="9"/>
  <c r="U597" i="9"/>
  <c r="V597" i="9"/>
  <c r="U598" i="9"/>
  <c r="V598" i="9"/>
  <c r="U599" i="9"/>
  <c r="V599" i="9"/>
  <c r="U600" i="9"/>
  <c r="V600" i="9"/>
  <c r="U601" i="9"/>
  <c r="V601" i="9"/>
  <c r="U602" i="9"/>
  <c r="V602" i="9"/>
  <c r="U603" i="9"/>
  <c r="V603" i="9"/>
  <c r="U604" i="9"/>
  <c r="V604" i="9"/>
  <c r="U605" i="9"/>
  <c r="V605" i="9"/>
  <c r="U606" i="9"/>
  <c r="V606" i="9"/>
  <c r="U607" i="9"/>
  <c r="V607" i="9"/>
  <c r="U608" i="9"/>
  <c r="V608" i="9"/>
  <c r="U609" i="9"/>
  <c r="V609" i="9"/>
  <c r="U610" i="9"/>
  <c r="V610" i="9"/>
  <c r="U611" i="9"/>
  <c r="V611" i="9"/>
  <c r="U612" i="9"/>
  <c r="V612" i="9"/>
  <c r="U613" i="9"/>
  <c r="V613" i="9"/>
  <c r="U614" i="9"/>
  <c r="V614" i="9"/>
  <c r="U615" i="9"/>
  <c r="V615" i="9"/>
  <c r="U616" i="9"/>
  <c r="V616" i="9"/>
  <c r="U617" i="9"/>
  <c r="V617" i="9"/>
  <c r="U618" i="9"/>
  <c r="V618" i="9"/>
  <c r="U619" i="9"/>
  <c r="V619" i="9"/>
  <c r="U620" i="9"/>
  <c r="V620" i="9"/>
  <c r="U621" i="9"/>
  <c r="V621" i="9"/>
  <c r="U622" i="9"/>
  <c r="V622" i="9"/>
  <c r="U623" i="9"/>
  <c r="V623" i="9"/>
  <c r="U624" i="9"/>
  <c r="V624" i="9"/>
  <c r="U625" i="9"/>
  <c r="V625" i="9"/>
  <c r="U626" i="9"/>
  <c r="V626" i="9"/>
  <c r="U627" i="9"/>
  <c r="V627" i="9"/>
  <c r="U628" i="9"/>
  <c r="V628" i="9"/>
  <c r="U629" i="9"/>
  <c r="V629" i="9"/>
  <c r="U630" i="9"/>
  <c r="V630" i="9"/>
  <c r="U631" i="9"/>
  <c r="V631" i="9"/>
  <c r="U632" i="9"/>
  <c r="V632" i="9"/>
  <c r="U633" i="9"/>
  <c r="V633" i="9"/>
  <c r="U634" i="9"/>
  <c r="V634" i="9"/>
  <c r="U635" i="9"/>
  <c r="V635" i="9"/>
  <c r="U636" i="9"/>
  <c r="V636" i="9"/>
  <c r="U637" i="9"/>
  <c r="V637" i="9"/>
  <c r="U638" i="9"/>
  <c r="V638" i="9"/>
  <c r="U639" i="9"/>
  <c r="V639" i="9"/>
  <c r="U640" i="9"/>
  <c r="V640" i="9"/>
  <c r="U641" i="9"/>
  <c r="V641" i="9"/>
  <c r="U642" i="9"/>
  <c r="V642" i="9"/>
  <c r="U643" i="9"/>
  <c r="V643" i="9"/>
  <c r="U644" i="9"/>
  <c r="V644" i="9"/>
  <c r="U645" i="9"/>
  <c r="V645" i="9"/>
  <c r="U646" i="9"/>
  <c r="V646" i="9"/>
  <c r="U647" i="9"/>
  <c r="V647" i="9"/>
  <c r="U648" i="9"/>
  <c r="V648" i="9"/>
  <c r="U649" i="9"/>
  <c r="V649" i="9"/>
  <c r="U650" i="9"/>
  <c r="V650" i="9"/>
  <c r="U651" i="9"/>
  <c r="V651" i="9"/>
  <c r="U652" i="9"/>
  <c r="V652" i="9"/>
  <c r="U653" i="9"/>
  <c r="V653" i="9"/>
  <c r="U654" i="9"/>
  <c r="V654" i="9"/>
  <c r="U655" i="9"/>
  <c r="V655" i="9"/>
  <c r="U656" i="9"/>
  <c r="V656" i="9"/>
  <c r="U657" i="9"/>
  <c r="V657" i="9"/>
  <c r="U658" i="9"/>
  <c r="V658" i="9"/>
  <c r="U659" i="9"/>
  <c r="V659" i="9"/>
  <c r="U660" i="9"/>
  <c r="V660" i="9"/>
  <c r="U661" i="9"/>
  <c r="V661" i="9"/>
  <c r="U662" i="9"/>
  <c r="V662" i="9"/>
  <c r="U663" i="9"/>
  <c r="V663" i="9"/>
  <c r="U664" i="9"/>
  <c r="V664" i="9"/>
  <c r="U665" i="9"/>
  <c r="V665" i="9"/>
  <c r="U666" i="9"/>
  <c r="V666" i="9"/>
  <c r="U667" i="9"/>
  <c r="V667" i="9"/>
  <c r="U668" i="9"/>
  <c r="V668" i="9"/>
  <c r="U669" i="9"/>
  <c r="V669" i="9"/>
  <c r="U670" i="9"/>
  <c r="V670" i="9"/>
  <c r="U671" i="9"/>
  <c r="V671" i="9"/>
  <c r="U672" i="9"/>
  <c r="V672" i="9"/>
  <c r="U673" i="9"/>
  <c r="V673" i="9"/>
  <c r="U674" i="9"/>
  <c r="V674" i="9"/>
  <c r="U675" i="9"/>
  <c r="V675" i="9"/>
  <c r="U676" i="9"/>
  <c r="V676" i="9"/>
  <c r="U677" i="9"/>
  <c r="V677" i="9"/>
  <c r="U678" i="9"/>
  <c r="V678" i="9"/>
  <c r="U679" i="9"/>
  <c r="V679" i="9"/>
  <c r="U680" i="9"/>
  <c r="V680" i="9"/>
  <c r="U681" i="9"/>
  <c r="V681" i="9"/>
  <c r="U682" i="9"/>
  <c r="V682" i="9"/>
  <c r="U683" i="9"/>
  <c r="V683" i="9"/>
  <c r="U684" i="9"/>
  <c r="V684" i="9"/>
  <c r="U685" i="9"/>
  <c r="V685" i="9"/>
  <c r="U686" i="9"/>
  <c r="V686" i="9"/>
  <c r="U687" i="9"/>
  <c r="V687" i="9"/>
  <c r="U688" i="9"/>
  <c r="V688" i="9"/>
  <c r="U689" i="9"/>
  <c r="V689" i="9"/>
  <c r="U690" i="9"/>
  <c r="V690" i="9"/>
  <c r="U691" i="9"/>
  <c r="V691" i="9"/>
  <c r="U692" i="9"/>
  <c r="V692" i="9"/>
  <c r="U693" i="9"/>
  <c r="V693" i="9"/>
  <c r="U694" i="9"/>
  <c r="V694" i="9"/>
  <c r="U695" i="9"/>
  <c r="V695" i="9"/>
  <c r="U696" i="9"/>
  <c r="V696" i="9"/>
  <c r="U697" i="9"/>
  <c r="V697" i="9"/>
  <c r="U698" i="9"/>
  <c r="V698" i="9"/>
  <c r="U699" i="9"/>
  <c r="V699" i="9"/>
  <c r="U700" i="9"/>
  <c r="V700" i="9"/>
  <c r="U701" i="9"/>
  <c r="V701" i="9"/>
  <c r="U702" i="9"/>
  <c r="V702" i="9"/>
  <c r="U703" i="9"/>
  <c r="V703" i="9"/>
  <c r="U704" i="9"/>
  <c r="V704" i="9"/>
  <c r="U705" i="9"/>
  <c r="V705" i="9"/>
  <c r="U706" i="9"/>
  <c r="V706" i="9"/>
  <c r="U707" i="9"/>
  <c r="V707" i="9"/>
  <c r="U708" i="9"/>
  <c r="V708" i="9"/>
  <c r="U709" i="9"/>
  <c r="V709" i="9"/>
  <c r="U710" i="9"/>
  <c r="V710" i="9"/>
  <c r="U711" i="9"/>
  <c r="V711" i="9"/>
  <c r="U712" i="9"/>
  <c r="V712" i="9"/>
  <c r="U713" i="9"/>
  <c r="V713" i="9"/>
  <c r="U714" i="9"/>
  <c r="V714" i="9"/>
  <c r="U715" i="9"/>
  <c r="V715" i="9"/>
  <c r="U716" i="9"/>
  <c r="V716" i="9"/>
  <c r="U717" i="9"/>
  <c r="V717" i="9"/>
  <c r="U718" i="9"/>
  <c r="V718" i="9"/>
  <c r="U719" i="9"/>
  <c r="V719" i="9"/>
  <c r="U720" i="9"/>
  <c r="V720" i="9"/>
  <c r="U721" i="9"/>
  <c r="V721" i="9"/>
  <c r="U722" i="9"/>
  <c r="V722" i="9"/>
  <c r="U723" i="9"/>
  <c r="V723" i="9"/>
  <c r="U724" i="9"/>
  <c r="V724" i="9"/>
  <c r="U725" i="9"/>
  <c r="V725" i="9"/>
  <c r="U726" i="9"/>
  <c r="V726" i="9"/>
  <c r="U727" i="9"/>
  <c r="V727" i="9"/>
  <c r="U728" i="9"/>
  <c r="V728" i="9"/>
  <c r="U729" i="9"/>
  <c r="V729" i="9"/>
  <c r="U730" i="9"/>
  <c r="V730" i="9"/>
  <c r="S303" i="9"/>
  <c r="S220" i="9"/>
  <c r="S476" i="9"/>
  <c r="S90" i="9"/>
  <c r="S346" i="9"/>
  <c r="S602" i="9"/>
  <c r="S307" i="9"/>
  <c r="S555" i="9"/>
  <c r="S311" i="9"/>
  <c r="S224" i="9"/>
  <c r="S480" i="9"/>
  <c r="S94" i="9"/>
  <c r="S350" i="9"/>
  <c r="S606" i="9"/>
  <c r="S315" i="9"/>
  <c r="S563" i="9"/>
  <c r="S479" i="9"/>
  <c r="S308" i="9"/>
  <c r="S564" i="9"/>
  <c r="S178" i="9"/>
  <c r="S434" i="9"/>
  <c r="S690" i="9"/>
  <c r="S483" i="9"/>
  <c r="S109" i="9"/>
  <c r="S680" i="9"/>
  <c r="S357" i="9"/>
  <c r="S297" i="9"/>
  <c r="S719" i="9"/>
  <c r="S401" i="9"/>
  <c r="S246" i="9"/>
  <c r="S333" i="9"/>
  <c r="S505" i="9"/>
  <c r="S463" i="9"/>
  <c r="S300" i="9"/>
  <c r="S556" i="9"/>
  <c r="S170" i="9"/>
  <c r="S426" i="9"/>
  <c r="S682" i="9"/>
  <c r="S467" i="9"/>
  <c r="S715" i="9"/>
  <c r="S471" i="9"/>
  <c r="S304" i="9"/>
  <c r="S560" i="9"/>
  <c r="S174" i="9"/>
  <c r="S430" i="9"/>
  <c r="S686" i="9"/>
  <c r="S475" i="9"/>
  <c r="S127" i="9"/>
  <c r="S132" i="9"/>
  <c r="S388" i="9"/>
  <c r="S644" i="9"/>
  <c r="S258" i="9"/>
  <c r="S514" i="9"/>
  <c r="S131" i="9"/>
  <c r="S213" i="9"/>
  <c r="S327" i="9"/>
  <c r="S358" i="9"/>
  <c r="S615" i="9"/>
  <c r="S581" i="9"/>
  <c r="S657" i="9"/>
  <c r="S184" i="9"/>
  <c r="S566" i="9"/>
  <c r="S289" i="9"/>
  <c r="S239" i="9"/>
  <c r="S188" i="9"/>
  <c r="S444" i="9"/>
  <c r="S700" i="9"/>
  <c r="S314" i="9"/>
  <c r="S570" i="9"/>
  <c r="S243" i="9"/>
  <c r="S437" i="9"/>
  <c r="S204" i="9"/>
  <c r="S586" i="9"/>
  <c r="S403" i="9"/>
  <c r="S528" i="9"/>
  <c r="S398" i="9"/>
  <c r="S415" i="9"/>
  <c r="S100" i="9"/>
  <c r="S612" i="9"/>
  <c r="S482" i="9"/>
  <c r="S697" i="9"/>
  <c r="S230" i="9"/>
  <c r="S489" i="9"/>
  <c r="S487" i="9"/>
  <c r="S695" i="9"/>
  <c r="S671" i="9"/>
  <c r="S456" i="9"/>
  <c r="S267" i="9"/>
  <c r="S629" i="9"/>
  <c r="S600" i="9"/>
  <c r="S417" i="9"/>
  <c r="S217" i="9"/>
  <c r="S639" i="9"/>
  <c r="S273" i="9"/>
  <c r="S283" i="9"/>
  <c r="S548" i="9"/>
  <c r="S341" i="9"/>
  <c r="S645" i="9"/>
  <c r="S441" i="9"/>
  <c r="S268" i="9"/>
  <c r="S650" i="9"/>
  <c r="S503" i="9"/>
  <c r="S576" i="9"/>
  <c r="S446" i="9"/>
  <c r="S507" i="9"/>
  <c r="S148" i="9"/>
  <c r="S660" i="9"/>
  <c r="S530" i="9"/>
  <c r="S277" i="9"/>
  <c r="S422" i="9"/>
  <c r="S613" i="9"/>
  <c r="S248" i="9"/>
  <c r="S433" i="9"/>
  <c r="S97" i="9"/>
  <c r="S520" i="9"/>
  <c r="S399" i="9"/>
  <c r="S725" i="9"/>
  <c r="S664" i="9"/>
  <c r="S293" i="9"/>
  <c r="S281" i="9"/>
  <c r="S703" i="9"/>
  <c r="S545" i="9"/>
  <c r="S202" i="9"/>
  <c r="S301" i="9"/>
  <c r="S464" i="9"/>
  <c r="S462" i="9"/>
  <c r="S164" i="9"/>
  <c r="S431" i="9"/>
  <c r="S284" i="9"/>
  <c r="S540" i="9"/>
  <c r="S154" i="9"/>
  <c r="S410" i="9"/>
  <c r="S666" i="9"/>
  <c r="S435" i="9"/>
  <c r="S683" i="9"/>
  <c r="S439" i="9"/>
  <c r="S288" i="9"/>
  <c r="S544" i="9"/>
  <c r="S158" i="9"/>
  <c r="S414" i="9"/>
  <c r="S670" i="9"/>
  <c r="S443" i="9"/>
  <c r="S691" i="9"/>
  <c r="S116" i="9"/>
  <c r="S372" i="9"/>
  <c r="S628" i="9"/>
  <c r="S242" i="9"/>
  <c r="S498" i="9"/>
  <c r="S107" i="9"/>
  <c r="S149" i="9"/>
  <c r="S199" i="9"/>
  <c r="S294" i="9"/>
  <c r="S525" i="9"/>
  <c r="S549" i="9"/>
  <c r="S577" i="9"/>
  <c r="S120" i="9"/>
  <c r="S502" i="9"/>
  <c r="S129" i="9"/>
  <c r="S653" i="9"/>
  <c r="S108" i="9"/>
  <c r="S364" i="9"/>
  <c r="S620" i="9"/>
  <c r="S234" i="9"/>
  <c r="S490" i="9"/>
  <c r="S99" i="9"/>
  <c r="S117" i="9"/>
  <c r="S551" i="9"/>
  <c r="S112" i="9"/>
  <c r="S368" i="9"/>
  <c r="S624" i="9"/>
  <c r="S238" i="9"/>
  <c r="S494" i="9"/>
  <c r="S103" i="9"/>
  <c r="S133" i="9"/>
  <c r="S255" i="9"/>
  <c r="S196" i="9"/>
  <c r="S452" i="9"/>
  <c r="S708" i="9"/>
  <c r="S322" i="9"/>
  <c r="S578" i="9"/>
  <c r="S259" i="9"/>
  <c r="S469" i="9"/>
  <c r="S232" i="9"/>
  <c r="S614" i="9"/>
  <c r="S385" i="9"/>
  <c r="S709" i="9"/>
  <c r="S265" i="9"/>
  <c r="S440" i="9"/>
  <c r="S235" i="9"/>
  <c r="S713" i="9"/>
  <c r="S363" i="9"/>
  <c r="S252" i="9"/>
  <c r="S508" i="9"/>
  <c r="S122" i="9"/>
  <c r="S378" i="9"/>
  <c r="S634" i="9"/>
  <c r="S375" i="9"/>
  <c r="S619" i="9"/>
  <c r="S460" i="9"/>
  <c r="S275" i="9"/>
  <c r="S144" i="9"/>
  <c r="S656" i="9"/>
  <c r="S526" i="9"/>
  <c r="S261" i="9"/>
  <c r="S228" i="9"/>
  <c r="S98" i="9"/>
  <c r="S610" i="9"/>
  <c r="S571" i="9"/>
  <c r="S95" i="9"/>
  <c r="S253" i="9"/>
  <c r="S568" i="9"/>
  <c r="S185" i="9"/>
  <c r="S513" i="9"/>
  <c r="S712" i="9"/>
  <c r="S485" i="9"/>
  <c r="S609" i="9"/>
  <c r="S214" i="9"/>
  <c r="S205" i="9"/>
  <c r="S473" i="9"/>
  <c r="S449" i="9"/>
  <c r="S279" i="9"/>
  <c r="S517" i="9"/>
  <c r="S162" i="9"/>
  <c r="S104" i="9"/>
  <c r="S177" i="9"/>
  <c r="S541" i="9"/>
  <c r="S524" i="9"/>
  <c r="S407" i="9"/>
  <c r="S192" i="9"/>
  <c r="S704" i="9"/>
  <c r="S574" i="9"/>
  <c r="S453" i="9"/>
  <c r="S276" i="9"/>
  <c r="S146" i="9"/>
  <c r="S658" i="9"/>
  <c r="S667" i="9"/>
  <c r="S459" i="9"/>
  <c r="S591" i="9"/>
  <c r="S118" i="9"/>
  <c r="S377" i="9"/>
  <c r="S593" i="9"/>
  <c r="S134" i="9"/>
  <c r="S643" i="9"/>
  <c r="S167" i="9"/>
  <c r="S278" i="9"/>
  <c r="S461" i="9"/>
  <c r="S537" i="9"/>
  <c r="S553" i="9"/>
  <c r="S527" i="9"/>
  <c r="S348" i="9"/>
  <c r="S218" i="9"/>
  <c r="S730" i="9"/>
  <c r="S429" i="9"/>
  <c r="S352" i="9"/>
  <c r="S222" i="9"/>
  <c r="S87" i="9"/>
  <c r="S223" i="9"/>
  <c r="S436" i="9"/>
  <c r="S306" i="9"/>
  <c r="S227" i="9"/>
  <c r="S168" i="9"/>
  <c r="S257" i="9"/>
  <c r="S729" i="9"/>
  <c r="S115" i="9"/>
  <c r="S207" i="9"/>
  <c r="S428" i="9"/>
  <c r="S298" i="9"/>
  <c r="S211" i="9"/>
  <c r="S215" i="9"/>
  <c r="S432" i="9"/>
  <c r="S302" i="9"/>
  <c r="S219" i="9"/>
  <c r="S379" i="9"/>
  <c r="S516" i="9"/>
  <c r="S386" i="9"/>
  <c r="S391" i="9"/>
  <c r="S488" i="9"/>
  <c r="S105" i="9"/>
  <c r="S189" i="9"/>
  <c r="S421" i="9"/>
  <c r="S495" i="9"/>
  <c r="S572" i="9"/>
  <c r="S442" i="9"/>
  <c r="S499" i="9"/>
  <c r="S716" i="9"/>
  <c r="S272" i="9"/>
  <c r="S654" i="9"/>
  <c r="S356" i="9"/>
  <c r="S91" i="9"/>
  <c r="S269" i="9"/>
  <c r="S438" i="9"/>
  <c r="S263" i="9"/>
  <c r="S583" i="9"/>
  <c r="S470" i="9"/>
  <c r="S637" i="9"/>
  <c r="S206" i="9"/>
  <c r="S546" i="9"/>
  <c r="S312" i="9"/>
  <c r="S138" i="9"/>
  <c r="S320" i="9"/>
  <c r="S702" i="9"/>
  <c r="S404" i="9"/>
  <c r="S163" i="9"/>
  <c r="S679" i="9"/>
  <c r="S630" i="9"/>
  <c r="S387" i="9"/>
  <c r="S647" i="9"/>
  <c r="S534" i="9"/>
  <c r="S669" i="9"/>
  <c r="S332" i="9"/>
  <c r="S531" i="9"/>
  <c r="S592" i="9"/>
  <c r="S539" i="9"/>
  <c r="S290" i="9"/>
  <c r="S699" i="9"/>
  <c r="S655" i="9"/>
  <c r="S561" i="9"/>
  <c r="S384" i="9"/>
  <c r="S367" i="9"/>
  <c r="S728" i="9"/>
  <c r="S140" i="9"/>
  <c r="S382" i="9"/>
  <c r="S466" i="9"/>
  <c r="S355" i="9"/>
  <c r="S648" i="9"/>
  <c r="S687" i="9"/>
  <c r="S675" i="9"/>
  <c r="S305" i="9"/>
  <c r="S128" i="9"/>
  <c r="S212" i="9"/>
  <c r="S678" i="9"/>
  <c r="S369" i="9"/>
  <c r="S141" i="9"/>
  <c r="S342" i="9"/>
  <c r="S573" i="9"/>
  <c r="S529" i="9"/>
  <c r="S652" i="9"/>
  <c r="S638" i="9"/>
  <c r="S722" i="9"/>
  <c r="S374" i="9"/>
  <c r="S262" i="9"/>
  <c r="S419" i="9"/>
  <c r="S663" i="9"/>
  <c r="S705" i="9"/>
  <c r="S254" i="9"/>
  <c r="S457" i="9"/>
  <c r="S216" i="9"/>
  <c r="S604" i="9"/>
  <c r="S569" i="9"/>
  <c r="S608" i="9"/>
  <c r="S641" i="9"/>
  <c r="S180" i="9"/>
  <c r="S692" i="9"/>
  <c r="S405" i="9"/>
  <c r="S677" i="9"/>
  <c r="S633" i="9"/>
  <c r="S684" i="9"/>
  <c r="S554" i="9"/>
  <c r="S176" i="9"/>
  <c r="S558" i="9"/>
  <c r="S260" i="9"/>
  <c r="S642" i="9"/>
  <c r="S331" i="9"/>
  <c r="S696" i="9"/>
  <c r="S316" i="9"/>
  <c r="S698" i="9"/>
  <c r="S501" i="9"/>
  <c r="S659" i="9"/>
  <c r="S493" i="9"/>
  <c r="S621" i="9"/>
  <c r="S88" i="9"/>
  <c r="S321" i="9"/>
  <c r="S486" i="9"/>
  <c r="S651" i="9"/>
  <c r="S159" i="9"/>
  <c r="S455" i="9"/>
  <c r="S685" i="9"/>
  <c r="S152" i="9"/>
  <c r="S175" i="9"/>
  <c r="S412" i="9"/>
  <c r="S282" i="9"/>
  <c r="S179" i="9"/>
  <c r="S183" i="9"/>
  <c r="S416" i="9"/>
  <c r="S286" i="9"/>
  <c r="S187" i="9"/>
  <c r="S347" i="9"/>
  <c r="S500" i="9"/>
  <c r="S370" i="9"/>
  <c r="S359" i="9"/>
  <c r="S424" i="9"/>
  <c r="S681" i="9"/>
  <c r="S661" i="9"/>
  <c r="S165" i="9"/>
  <c r="S335" i="9"/>
  <c r="S492" i="9"/>
  <c r="S362" i="9"/>
  <c r="S339" i="9"/>
  <c r="S343" i="9"/>
  <c r="S496" i="9"/>
  <c r="S366" i="9"/>
  <c r="S351" i="9"/>
  <c r="S511" i="9"/>
  <c r="S580" i="9"/>
  <c r="S450" i="9"/>
  <c r="S515" i="9"/>
  <c r="S102" i="9"/>
  <c r="S361" i="9"/>
  <c r="S231" i="9"/>
  <c r="S567" i="9"/>
  <c r="S124" i="9"/>
  <c r="S636" i="9"/>
  <c r="S506" i="9"/>
  <c r="S181" i="9"/>
  <c r="S330" i="9"/>
  <c r="S400" i="9"/>
  <c r="S155" i="9"/>
  <c r="S484" i="9"/>
  <c r="S323" i="9"/>
  <c r="S617" i="9"/>
  <c r="S491" i="9"/>
  <c r="S200" i="9"/>
  <c r="S585" i="9"/>
  <c r="S726" i="9"/>
  <c r="S221" i="9"/>
  <c r="S590" i="9"/>
  <c r="S195" i="9"/>
  <c r="S723" i="9"/>
  <c r="S394" i="9"/>
  <c r="S448" i="9"/>
  <c r="S251" i="9"/>
  <c r="S532" i="9"/>
  <c r="S423" i="9"/>
  <c r="S169" i="9"/>
  <c r="S611" i="9"/>
  <c r="S264" i="9"/>
  <c r="S137" i="9"/>
  <c r="S171" i="9"/>
  <c r="S349" i="9"/>
  <c r="S588" i="9"/>
  <c r="S535" i="9"/>
  <c r="S720" i="9"/>
  <c r="S191" i="9"/>
  <c r="S418" i="9"/>
  <c r="S616" i="9"/>
  <c r="S145" i="9"/>
  <c r="S717" i="9"/>
  <c r="S123" i="9"/>
  <c r="S519" i="9"/>
  <c r="S353" i="9"/>
  <c r="S522" i="9"/>
  <c r="S383" i="9"/>
  <c r="S209" i="9"/>
  <c r="S631" i="9"/>
  <c r="S518" i="9"/>
  <c r="S280" i="9"/>
  <c r="S497" i="9"/>
  <c r="S393" i="9"/>
  <c r="S640" i="9"/>
  <c r="S724" i="9"/>
  <c r="S125" i="9"/>
  <c r="S328" i="9"/>
  <c r="S329" i="9"/>
  <c r="S299" i="9"/>
  <c r="S477" i="9"/>
  <c r="S445" i="9"/>
  <c r="S245" i="9"/>
  <c r="S627" i="9"/>
  <c r="S365" i="9"/>
  <c r="S589" i="9"/>
  <c r="S139" i="9"/>
  <c r="S536" i="9"/>
  <c r="S153" i="9"/>
  <c r="S559" i="9"/>
  <c r="S287" i="9"/>
  <c r="S157" i="9"/>
  <c r="S598" i="9"/>
  <c r="S92" i="9"/>
  <c r="S474" i="9"/>
  <c r="S96" i="9"/>
  <c r="S478" i="9"/>
  <c r="S562" i="9"/>
  <c r="S550" i="9"/>
  <c r="S376" i="9"/>
  <c r="S172" i="9"/>
  <c r="S373" i="9"/>
  <c r="S688" i="9"/>
  <c r="S389" i="9"/>
  <c r="S130" i="9"/>
  <c r="S635" i="9"/>
  <c r="S509" i="9"/>
  <c r="S313" i="9"/>
  <c r="S186" i="9"/>
  <c r="S173" i="9"/>
  <c r="S142" i="9"/>
  <c r="S226" i="9"/>
  <c r="S481" i="9"/>
  <c r="S326" i="9"/>
  <c r="S727" i="9"/>
  <c r="S447" i="9"/>
  <c r="S673" i="9"/>
  <c r="S190" i="9"/>
  <c r="S274" i="9"/>
  <c r="S721" i="9"/>
  <c r="S390" i="9"/>
  <c r="S538" i="9"/>
  <c r="S542" i="9"/>
  <c r="S626" i="9"/>
  <c r="S632" i="9"/>
  <c r="S618" i="9"/>
  <c r="S622" i="9"/>
  <c r="S706" i="9"/>
  <c r="S310" i="9"/>
  <c r="S119" i="9"/>
  <c r="S319" i="9"/>
  <c r="S285" i="9"/>
  <c r="S565" i="9"/>
  <c r="S247" i="9"/>
  <c r="S552" i="9"/>
  <c r="S408" i="9"/>
  <c r="S693" i="9"/>
  <c r="S336" i="9"/>
  <c r="S676" i="9"/>
  <c r="S233" i="9"/>
  <c r="S266" i="9"/>
  <c r="S711" i="9"/>
  <c r="S512" i="9"/>
  <c r="S425" i="9"/>
  <c r="S465" i="9"/>
  <c r="S93" i="9"/>
  <c r="S197" i="9"/>
  <c r="S121" i="9"/>
  <c r="S472" i="9"/>
  <c r="S317" i="9"/>
  <c r="S126" i="9"/>
  <c r="S337" i="9"/>
  <c r="S521" i="9"/>
  <c r="S575" i="9"/>
  <c r="S296" i="9"/>
  <c r="S201" i="9"/>
  <c r="S396" i="9"/>
  <c r="S198" i="9"/>
  <c r="S547" i="9"/>
  <c r="S135" i="9"/>
  <c r="S143" i="9"/>
  <c r="S584" i="9"/>
  <c r="S156" i="9"/>
  <c r="S203" i="9"/>
  <c r="S240" i="9"/>
  <c r="S579" i="9"/>
  <c r="S151" i="9"/>
  <c r="S344" i="9"/>
  <c r="S411" i="9"/>
  <c r="S665" i="9"/>
  <c r="S718" i="9"/>
  <c r="S694" i="9"/>
  <c r="S689" i="9"/>
  <c r="S136" i="9"/>
  <c r="S147" i="9"/>
  <c r="S710" i="9"/>
  <c r="S701" i="9"/>
  <c r="S392" i="9"/>
  <c r="S111" i="9"/>
  <c r="S672" i="9"/>
  <c r="S381" i="9"/>
  <c r="S110" i="9"/>
  <c r="S193" i="9"/>
  <c r="S270" i="9"/>
  <c r="S601" i="9"/>
  <c r="S402" i="9"/>
  <c r="S649" i="9"/>
  <c r="S420" i="9"/>
  <c r="S241" i="9"/>
  <c r="S371" i="9"/>
  <c r="S229" i="9"/>
  <c r="S510" i="9"/>
  <c r="S295" i="9"/>
  <c r="S256" i="9"/>
  <c r="S397" i="9"/>
  <c r="S338" i="9"/>
  <c r="S309" i="9"/>
  <c r="S325" i="9"/>
  <c r="S603" i="9"/>
  <c r="S249" i="9"/>
  <c r="S587" i="9"/>
  <c r="S595" i="9"/>
  <c r="S237" i="9"/>
  <c r="S557" i="9"/>
  <c r="S271" i="9"/>
  <c r="S354" i="9"/>
  <c r="S582" i="9"/>
  <c r="S292" i="9"/>
  <c r="S318" i="9"/>
  <c r="S623" i="9"/>
  <c r="S225" i="9"/>
  <c r="S458" i="9"/>
  <c r="S334" i="9"/>
  <c r="S674" i="9"/>
  <c r="S182" i="9"/>
  <c r="S468" i="9"/>
  <c r="S161" i="9"/>
  <c r="S543" i="9"/>
  <c r="S607" i="9"/>
  <c r="S150" i="9"/>
  <c r="S594" i="9"/>
  <c r="S599" i="9"/>
  <c r="S340" i="9"/>
  <c r="S406" i="9"/>
  <c r="S160" i="9"/>
  <c r="S244" i="9"/>
  <c r="S236" i="9"/>
  <c r="S324" i="9"/>
  <c r="S380" i="9"/>
  <c r="S360" i="9"/>
  <c r="S113" i="9"/>
  <c r="S413" i="9"/>
  <c r="S714" i="9"/>
  <c r="S451" i="9"/>
  <c r="S291" i="9"/>
  <c r="S596" i="9"/>
  <c r="S662" i="9"/>
  <c r="S533" i="9"/>
  <c r="S89" i="9"/>
  <c r="S210" i="9"/>
  <c r="S427" i="9"/>
  <c r="S523" i="9"/>
  <c r="S668" i="9"/>
  <c r="S114" i="9"/>
  <c r="S106" i="9"/>
  <c r="S194" i="9"/>
  <c r="S250" i="9"/>
  <c r="S597" i="9"/>
  <c r="S395" i="9"/>
  <c r="S646" i="9"/>
  <c r="S208" i="9"/>
  <c r="S101" i="9"/>
  <c r="S454" i="9"/>
  <c r="S166" i="9"/>
  <c r="S409" i="9"/>
  <c r="S504" i="9"/>
  <c r="S625" i="9"/>
  <c r="S707" i="9"/>
  <c r="S605" i="9"/>
  <c r="S345" i="9"/>
  <c r="AA14" i="9" l="1"/>
  <c r="AF13" i="9"/>
  <c r="I10" i="10"/>
  <c r="G11" i="10"/>
  <c r="X6" i="9"/>
  <c r="Y6" i="9" s="1"/>
  <c r="Z730" i="9"/>
  <c r="AG730" i="9" s="1"/>
  <c r="Z729" i="9"/>
  <c r="AG729" i="9" s="1"/>
  <c r="Z728" i="9"/>
  <c r="AG728" i="9" s="1"/>
  <c r="Z727" i="9"/>
  <c r="AG727" i="9" s="1"/>
  <c r="Z726" i="9"/>
  <c r="AG726" i="9" s="1"/>
  <c r="Z725" i="9"/>
  <c r="AG725" i="9" s="1"/>
  <c r="Z724" i="9"/>
  <c r="AG724" i="9" s="1"/>
  <c r="Z723" i="9"/>
  <c r="AG723" i="9" s="1"/>
  <c r="Z722" i="9"/>
  <c r="AG722" i="9" s="1"/>
  <c r="Z721" i="9"/>
  <c r="AG721" i="9" s="1"/>
  <c r="Z720" i="9"/>
  <c r="AG720" i="9" s="1"/>
  <c r="Z719" i="9"/>
  <c r="AG719" i="9" s="1"/>
  <c r="Z718" i="9"/>
  <c r="AG718" i="9" s="1"/>
  <c r="Z717" i="9"/>
  <c r="AG717" i="9" s="1"/>
  <c r="Z716" i="9"/>
  <c r="AG716" i="9" s="1"/>
  <c r="Z715" i="9"/>
  <c r="AG715" i="9" s="1"/>
  <c r="Z714" i="9"/>
  <c r="AG714" i="9" s="1"/>
  <c r="Z713" i="9"/>
  <c r="AG713" i="9" s="1"/>
  <c r="Z712" i="9"/>
  <c r="AG712" i="9" s="1"/>
  <c r="Z711" i="9"/>
  <c r="AG711" i="9" s="1"/>
  <c r="Z710" i="9"/>
  <c r="AG710" i="9" s="1"/>
  <c r="Z709" i="9"/>
  <c r="AG709" i="9" s="1"/>
  <c r="Z708" i="9"/>
  <c r="AG708" i="9" s="1"/>
  <c r="Z707" i="9"/>
  <c r="AG707" i="9" s="1"/>
  <c r="Z706" i="9"/>
  <c r="AG706" i="9" s="1"/>
  <c r="Z705" i="9"/>
  <c r="AG705" i="9" s="1"/>
  <c r="Z704" i="9"/>
  <c r="AG704" i="9" s="1"/>
  <c r="Z703" i="9"/>
  <c r="AG703" i="9" s="1"/>
  <c r="Z702" i="9"/>
  <c r="AG702" i="9" s="1"/>
  <c r="Z701" i="9"/>
  <c r="AG701" i="9" s="1"/>
  <c r="Z700" i="9"/>
  <c r="AG700" i="9" s="1"/>
  <c r="Z699" i="9"/>
  <c r="AG699" i="9" s="1"/>
  <c r="Z698" i="9"/>
  <c r="AG698" i="9" s="1"/>
  <c r="Z697" i="9"/>
  <c r="AG697" i="9" s="1"/>
  <c r="Z696" i="9"/>
  <c r="AG696" i="9" s="1"/>
  <c r="Z695" i="9"/>
  <c r="AG695" i="9" s="1"/>
  <c r="Z694" i="9"/>
  <c r="AG694" i="9" s="1"/>
  <c r="Z693" i="9"/>
  <c r="AG693" i="9" s="1"/>
  <c r="Z692" i="9"/>
  <c r="AG692" i="9" s="1"/>
  <c r="Z691" i="9"/>
  <c r="AG691" i="9" s="1"/>
  <c r="Z690" i="9"/>
  <c r="AG690" i="9" s="1"/>
  <c r="Z689" i="9"/>
  <c r="AG689" i="9" s="1"/>
  <c r="Z688" i="9"/>
  <c r="AG688" i="9" s="1"/>
  <c r="Z687" i="9"/>
  <c r="AG687" i="9" s="1"/>
  <c r="Z686" i="9"/>
  <c r="AG686" i="9" s="1"/>
  <c r="Z685" i="9"/>
  <c r="AG685" i="9" s="1"/>
  <c r="Z684" i="9"/>
  <c r="AG684" i="9" s="1"/>
  <c r="Z683" i="9"/>
  <c r="AG683" i="9" s="1"/>
  <c r="Z682" i="9"/>
  <c r="AG682" i="9" s="1"/>
  <c r="Z681" i="9"/>
  <c r="AG681" i="9" s="1"/>
  <c r="Z680" i="9"/>
  <c r="AG680" i="9" s="1"/>
  <c r="Z679" i="9"/>
  <c r="AG679" i="9" s="1"/>
  <c r="Z678" i="9"/>
  <c r="AG678" i="9" s="1"/>
  <c r="Z677" i="9"/>
  <c r="AG677" i="9" s="1"/>
  <c r="Z676" i="9"/>
  <c r="AG676" i="9" s="1"/>
  <c r="Z675" i="9"/>
  <c r="AG675" i="9" s="1"/>
  <c r="Z674" i="9"/>
  <c r="AG674" i="9" s="1"/>
  <c r="Z673" i="9"/>
  <c r="AG673" i="9" s="1"/>
  <c r="Z672" i="9"/>
  <c r="AG672" i="9" s="1"/>
  <c r="Z671" i="9"/>
  <c r="AG671" i="9" s="1"/>
  <c r="Z670" i="9"/>
  <c r="AG670" i="9" s="1"/>
  <c r="Z669" i="9"/>
  <c r="AG669" i="9" s="1"/>
  <c r="Z668" i="9"/>
  <c r="AG668" i="9" s="1"/>
  <c r="Z667" i="9"/>
  <c r="AG667" i="9" s="1"/>
  <c r="Z666" i="9"/>
  <c r="AG666" i="9" s="1"/>
  <c r="Z665" i="9"/>
  <c r="AG665" i="9" s="1"/>
  <c r="Z664" i="9"/>
  <c r="AG664" i="9" s="1"/>
  <c r="Z663" i="9"/>
  <c r="AG663" i="9" s="1"/>
  <c r="Z662" i="9"/>
  <c r="AG662" i="9" s="1"/>
  <c r="Z661" i="9"/>
  <c r="AG661" i="9" s="1"/>
  <c r="Z660" i="9"/>
  <c r="AG660" i="9" s="1"/>
  <c r="Z659" i="9"/>
  <c r="AG659" i="9" s="1"/>
  <c r="Z658" i="9"/>
  <c r="AG658" i="9" s="1"/>
  <c r="Z657" i="9"/>
  <c r="AG657" i="9" s="1"/>
  <c r="Z656" i="9"/>
  <c r="AG656" i="9" s="1"/>
  <c r="Z655" i="9"/>
  <c r="AG655" i="9" s="1"/>
  <c r="Z654" i="9"/>
  <c r="AG654" i="9" s="1"/>
  <c r="Z653" i="9"/>
  <c r="AG653" i="9" s="1"/>
  <c r="Z652" i="9"/>
  <c r="AG652" i="9" s="1"/>
  <c r="Z651" i="9"/>
  <c r="AG651" i="9" s="1"/>
  <c r="Z650" i="9"/>
  <c r="AG650" i="9" s="1"/>
  <c r="Z649" i="9"/>
  <c r="AG649" i="9" s="1"/>
  <c r="Z648" i="9"/>
  <c r="AG648" i="9" s="1"/>
  <c r="Z647" i="9"/>
  <c r="AG647" i="9" s="1"/>
  <c r="Z646" i="9"/>
  <c r="AG646" i="9" s="1"/>
  <c r="Z645" i="9"/>
  <c r="AG645" i="9" s="1"/>
  <c r="Z644" i="9"/>
  <c r="AG644" i="9" s="1"/>
  <c r="Z643" i="9"/>
  <c r="AG643" i="9" s="1"/>
  <c r="Z642" i="9"/>
  <c r="AG642" i="9" s="1"/>
  <c r="Z641" i="9"/>
  <c r="AG641" i="9" s="1"/>
  <c r="Z640" i="9"/>
  <c r="AG640" i="9" s="1"/>
  <c r="Z639" i="9"/>
  <c r="AG639" i="9" s="1"/>
  <c r="Z638" i="9"/>
  <c r="AG638" i="9" s="1"/>
  <c r="Z637" i="9"/>
  <c r="AG637" i="9" s="1"/>
  <c r="Z636" i="9"/>
  <c r="AG636" i="9" s="1"/>
  <c r="Z635" i="9"/>
  <c r="AG635" i="9" s="1"/>
  <c r="Z634" i="9"/>
  <c r="AG634" i="9" s="1"/>
  <c r="Z633" i="9"/>
  <c r="AG633" i="9" s="1"/>
  <c r="Z632" i="9"/>
  <c r="AG632" i="9" s="1"/>
  <c r="Z631" i="9"/>
  <c r="AG631" i="9" s="1"/>
  <c r="Z630" i="9"/>
  <c r="AG630" i="9" s="1"/>
  <c r="Z629" i="9"/>
  <c r="AG629" i="9" s="1"/>
  <c r="Z628" i="9"/>
  <c r="AG628" i="9" s="1"/>
  <c r="Z627" i="9"/>
  <c r="AG627" i="9" s="1"/>
  <c r="Z626" i="9"/>
  <c r="AG626" i="9" s="1"/>
  <c r="Z625" i="9"/>
  <c r="AG625" i="9" s="1"/>
  <c r="Z624" i="9"/>
  <c r="AG624" i="9" s="1"/>
  <c r="Z623" i="9"/>
  <c r="AG623" i="9" s="1"/>
  <c r="Z622" i="9"/>
  <c r="AG622" i="9" s="1"/>
  <c r="Z621" i="9"/>
  <c r="AG621" i="9" s="1"/>
  <c r="Z620" i="9"/>
  <c r="AG620" i="9" s="1"/>
  <c r="Z619" i="9"/>
  <c r="AG619" i="9" s="1"/>
  <c r="Z618" i="9"/>
  <c r="AG618" i="9" s="1"/>
  <c r="Z617" i="9"/>
  <c r="AG617" i="9" s="1"/>
  <c r="Z616" i="9"/>
  <c r="AG616" i="9" s="1"/>
  <c r="Z615" i="9"/>
  <c r="AG615" i="9" s="1"/>
  <c r="Z614" i="9"/>
  <c r="AG614" i="9" s="1"/>
  <c r="Z613" i="9"/>
  <c r="AG613" i="9" s="1"/>
  <c r="Z612" i="9"/>
  <c r="AG612" i="9" s="1"/>
  <c r="Z611" i="9"/>
  <c r="AG611" i="9" s="1"/>
  <c r="Z610" i="9"/>
  <c r="AG610" i="9" s="1"/>
  <c r="Z609" i="9"/>
  <c r="AG609" i="9" s="1"/>
  <c r="Z608" i="9"/>
  <c r="AG608" i="9" s="1"/>
  <c r="Z607" i="9"/>
  <c r="AG607" i="9" s="1"/>
  <c r="Z606" i="9"/>
  <c r="AG606" i="9" s="1"/>
  <c r="Z605" i="9"/>
  <c r="AG605" i="9" s="1"/>
  <c r="Z604" i="9"/>
  <c r="AG604" i="9" s="1"/>
  <c r="Z603" i="9"/>
  <c r="AG603" i="9" s="1"/>
  <c r="Z602" i="9"/>
  <c r="AG602" i="9" s="1"/>
  <c r="Z601" i="9"/>
  <c r="AG601" i="9" s="1"/>
  <c r="Z600" i="9"/>
  <c r="AG600" i="9" s="1"/>
  <c r="Z599" i="9"/>
  <c r="AG599" i="9" s="1"/>
  <c r="Z598" i="9"/>
  <c r="AG598" i="9" s="1"/>
  <c r="Z597" i="9"/>
  <c r="AG597" i="9" s="1"/>
  <c r="Z596" i="9"/>
  <c r="AG596" i="9" s="1"/>
  <c r="Z595" i="9"/>
  <c r="AG595" i="9" s="1"/>
  <c r="Z594" i="9"/>
  <c r="AG594" i="9" s="1"/>
  <c r="Z593" i="9"/>
  <c r="AG593" i="9" s="1"/>
  <c r="Z592" i="9"/>
  <c r="AG592" i="9" s="1"/>
  <c r="Z591" i="9"/>
  <c r="AG591" i="9" s="1"/>
  <c r="Z590" i="9"/>
  <c r="AG590" i="9" s="1"/>
  <c r="Z589" i="9"/>
  <c r="AG589" i="9" s="1"/>
  <c r="Z588" i="9"/>
  <c r="AG588" i="9" s="1"/>
  <c r="Z587" i="9"/>
  <c r="AG587" i="9" s="1"/>
  <c r="Z586" i="9"/>
  <c r="AG586" i="9" s="1"/>
  <c r="Z585" i="9"/>
  <c r="AG585" i="9" s="1"/>
  <c r="Z584" i="9"/>
  <c r="AG584" i="9" s="1"/>
  <c r="Z583" i="9"/>
  <c r="AG583" i="9" s="1"/>
  <c r="Z582" i="9"/>
  <c r="AG582" i="9" s="1"/>
  <c r="Z581" i="9"/>
  <c r="AG581" i="9" s="1"/>
  <c r="Z580" i="9"/>
  <c r="AG580" i="9" s="1"/>
  <c r="Z579" i="9"/>
  <c r="AG579" i="9" s="1"/>
  <c r="Z578" i="9"/>
  <c r="AG578" i="9" s="1"/>
  <c r="Z577" i="9"/>
  <c r="AG577" i="9" s="1"/>
  <c r="Z576" i="9"/>
  <c r="AG576" i="9" s="1"/>
  <c r="Z575" i="9"/>
  <c r="AG575" i="9" s="1"/>
  <c r="Z574" i="9"/>
  <c r="AG574" i="9" s="1"/>
  <c r="Z573" i="9"/>
  <c r="AG573" i="9" s="1"/>
  <c r="Z572" i="9"/>
  <c r="AG572" i="9" s="1"/>
  <c r="Z571" i="9"/>
  <c r="AG571" i="9" s="1"/>
  <c r="Z570" i="9"/>
  <c r="AG570" i="9" s="1"/>
  <c r="Z569" i="9"/>
  <c r="AG569" i="9" s="1"/>
  <c r="Z568" i="9"/>
  <c r="AG568" i="9" s="1"/>
  <c r="Z567" i="9"/>
  <c r="AG567" i="9" s="1"/>
  <c r="Z566" i="9"/>
  <c r="AG566" i="9" s="1"/>
  <c r="Z565" i="9"/>
  <c r="AG565" i="9" s="1"/>
  <c r="Z564" i="9"/>
  <c r="AG564" i="9" s="1"/>
  <c r="Z563" i="9"/>
  <c r="AG563" i="9" s="1"/>
  <c r="Z562" i="9"/>
  <c r="AG562" i="9" s="1"/>
  <c r="Z561" i="9"/>
  <c r="AG561" i="9" s="1"/>
  <c r="Z560" i="9"/>
  <c r="AG560" i="9" s="1"/>
  <c r="Z559" i="9"/>
  <c r="AG559" i="9" s="1"/>
  <c r="Z558" i="9"/>
  <c r="AG558" i="9" s="1"/>
  <c r="Z557" i="9"/>
  <c r="AG557" i="9" s="1"/>
  <c r="Z556" i="9"/>
  <c r="AG556" i="9" s="1"/>
  <c r="Z555" i="9"/>
  <c r="AG555" i="9" s="1"/>
  <c r="Z554" i="9"/>
  <c r="AG554" i="9" s="1"/>
  <c r="Z553" i="9"/>
  <c r="AG553" i="9" s="1"/>
  <c r="Z552" i="9"/>
  <c r="AG552" i="9" s="1"/>
  <c r="Z551" i="9"/>
  <c r="AG551" i="9" s="1"/>
  <c r="Z550" i="9"/>
  <c r="AG550" i="9" s="1"/>
  <c r="Z549" i="9"/>
  <c r="AG549" i="9" s="1"/>
  <c r="Z548" i="9"/>
  <c r="AG548" i="9" s="1"/>
  <c r="Z547" i="9"/>
  <c r="AG547" i="9" s="1"/>
  <c r="Z546" i="9"/>
  <c r="AG546" i="9" s="1"/>
  <c r="Z545" i="9"/>
  <c r="AG545" i="9" s="1"/>
  <c r="Z544" i="9"/>
  <c r="AG544" i="9" s="1"/>
  <c r="Z543" i="9"/>
  <c r="AG543" i="9" s="1"/>
  <c r="Z542" i="9"/>
  <c r="AG542" i="9" s="1"/>
  <c r="Z541" i="9"/>
  <c r="AG541" i="9" s="1"/>
  <c r="Z540" i="9"/>
  <c r="AG540" i="9" s="1"/>
  <c r="Z539" i="9"/>
  <c r="AG539" i="9" s="1"/>
  <c r="Z538" i="9"/>
  <c r="AG538" i="9" s="1"/>
  <c r="Z537" i="9"/>
  <c r="AG537" i="9" s="1"/>
  <c r="Z536" i="9"/>
  <c r="AG536" i="9" s="1"/>
  <c r="Z535" i="9"/>
  <c r="AG535" i="9" s="1"/>
  <c r="Z534" i="9"/>
  <c r="AG534" i="9" s="1"/>
  <c r="Z533" i="9"/>
  <c r="AG533" i="9" s="1"/>
  <c r="Z532" i="9"/>
  <c r="AG532" i="9" s="1"/>
  <c r="Z531" i="9"/>
  <c r="AG531" i="9" s="1"/>
  <c r="Z530" i="9"/>
  <c r="AG530" i="9" s="1"/>
  <c r="Z529" i="9"/>
  <c r="AG529" i="9" s="1"/>
  <c r="Z528" i="9"/>
  <c r="AG528" i="9" s="1"/>
  <c r="Z527" i="9"/>
  <c r="AG527" i="9" s="1"/>
  <c r="Z526" i="9"/>
  <c r="AG526" i="9" s="1"/>
  <c r="Z525" i="9"/>
  <c r="AG525" i="9" s="1"/>
  <c r="Z524" i="9"/>
  <c r="AG524" i="9" s="1"/>
  <c r="Z523" i="9"/>
  <c r="AG523" i="9" s="1"/>
  <c r="Z522" i="9"/>
  <c r="AG522" i="9" s="1"/>
  <c r="Z521" i="9"/>
  <c r="AG521" i="9" s="1"/>
  <c r="Z520" i="9"/>
  <c r="AG520" i="9" s="1"/>
  <c r="Z519" i="9"/>
  <c r="AG519" i="9" s="1"/>
  <c r="Z518" i="9"/>
  <c r="AG518" i="9" s="1"/>
  <c r="Z517" i="9"/>
  <c r="AG517" i="9" s="1"/>
  <c r="Z516" i="9"/>
  <c r="AG516" i="9" s="1"/>
  <c r="Z515" i="9"/>
  <c r="AG515" i="9" s="1"/>
  <c r="Z514" i="9"/>
  <c r="AG514" i="9" s="1"/>
  <c r="Z513" i="9"/>
  <c r="AG513" i="9" s="1"/>
  <c r="Z512" i="9"/>
  <c r="AG512" i="9" s="1"/>
  <c r="Z511" i="9"/>
  <c r="AG511" i="9" s="1"/>
  <c r="Z510" i="9"/>
  <c r="AG510" i="9" s="1"/>
  <c r="Z509" i="9"/>
  <c r="AG509" i="9" s="1"/>
  <c r="Z508" i="9"/>
  <c r="AG508" i="9" s="1"/>
  <c r="Z507" i="9"/>
  <c r="AG507" i="9" s="1"/>
  <c r="Z506" i="9"/>
  <c r="AG506" i="9" s="1"/>
  <c r="Z505" i="9"/>
  <c r="AG505" i="9" s="1"/>
  <c r="Z504" i="9"/>
  <c r="AG504" i="9" s="1"/>
  <c r="Z503" i="9"/>
  <c r="AG503" i="9" s="1"/>
  <c r="Z502" i="9"/>
  <c r="AG502" i="9" s="1"/>
  <c r="Z501" i="9"/>
  <c r="AG501" i="9" s="1"/>
  <c r="Z500" i="9"/>
  <c r="AG500" i="9" s="1"/>
  <c r="Z499" i="9"/>
  <c r="AG499" i="9" s="1"/>
  <c r="Z498" i="9"/>
  <c r="AG498" i="9" s="1"/>
  <c r="Z497" i="9"/>
  <c r="AG497" i="9" s="1"/>
  <c r="Z496" i="9"/>
  <c r="AG496" i="9" s="1"/>
  <c r="Z495" i="9"/>
  <c r="AG495" i="9" s="1"/>
  <c r="Z494" i="9"/>
  <c r="AG494" i="9" s="1"/>
  <c r="Z493" i="9"/>
  <c r="AG493" i="9" s="1"/>
  <c r="Z492" i="9"/>
  <c r="AG492" i="9" s="1"/>
  <c r="Z491" i="9"/>
  <c r="AG491" i="9" s="1"/>
  <c r="Z490" i="9"/>
  <c r="AG490" i="9" s="1"/>
  <c r="Z489" i="9"/>
  <c r="AG489" i="9" s="1"/>
  <c r="Z488" i="9"/>
  <c r="AG488" i="9" s="1"/>
  <c r="Z487" i="9"/>
  <c r="AG487" i="9" s="1"/>
  <c r="Z486" i="9"/>
  <c r="AG486" i="9" s="1"/>
  <c r="Z485" i="9"/>
  <c r="AG485" i="9" s="1"/>
  <c r="Z484" i="9"/>
  <c r="AG484" i="9" s="1"/>
  <c r="Z483" i="9"/>
  <c r="AG483" i="9" s="1"/>
  <c r="Z482" i="9"/>
  <c r="AG482" i="9" s="1"/>
  <c r="Z481" i="9"/>
  <c r="AG481" i="9" s="1"/>
  <c r="Z480" i="9"/>
  <c r="AG480" i="9" s="1"/>
  <c r="Z479" i="9"/>
  <c r="AG479" i="9" s="1"/>
  <c r="Z478" i="9"/>
  <c r="AG478" i="9" s="1"/>
  <c r="Z477" i="9"/>
  <c r="AG477" i="9" s="1"/>
  <c r="Z476" i="9"/>
  <c r="AG476" i="9" s="1"/>
  <c r="Z475" i="9"/>
  <c r="AG475" i="9" s="1"/>
  <c r="Z474" i="9"/>
  <c r="AG474" i="9" s="1"/>
  <c r="Z473" i="9"/>
  <c r="AG473" i="9" s="1"/>
  <c r="Z472" i="9"/>
  <c r="AG472" i="9" s="1"/>
  <c r="Z471" i="9"/>
  <c r="AG471" i="9" s="1"/>
  <c r="Z470" i="9"/>
  <c r="AG470" i="9" s="1"/>
  <c r="Z469" i="9"/>
  <c r="AG469" i="9" s="1"/>
  <c r="Z468" i="9"/>
  <c r="AG468" i="9" s="1"/>
  <c r="Z467" i="9"/>
  <c r="AG467" i="9" s="1"/>
  <c r="Z466" i="9"/>
  <c r="AG466" i="9" s="1"/>
  <c r="Z465" i="9"/>
  <c r="AG465" i="9" s="1"/>
  <c r="Z464" i="9"/>
  <c r="AG464" i="9" s="1"/>
  <c r="Z463" i="9"/>
  <c r="AG463" i="9" s="1"/>
  <c r="Z462" i="9"/>
  <c r="AG462" i="9" s="1"/>
  <c r="Z461" i="9"/>
  <c r="AG461" i="9" s="1"/>
  <c r="Z460" i="9"/>
  <c r="AG460" i="9" s="1"/>
  <c r="Z459" i="9"/>
  <c r="AG459" i="9" s="1"/>
  <c r="Z458" i="9"/>
  <c r="AG458" i="9" s="1"/>
  <c r="Z457" i="9"/>
  <c r="AG457" i="9" s="1"/>
  <c r="Z456" i="9"/>
  <c r="AG456" i="9" s="1"/>
  <c r="Z455" i="9"/>
  <c r="AG455" i="9" s="1"/>
  <c r="Z454" i="9"/>
  <c r="AG454" i="9" s="1"/>
  <c r="Z453" i="9"/>
  <c r="AG453" i="9" s="1"/>
  <c r="Z452" i="9"/>
  <c r="AG452" i="9" s="1"/>
  <c r="Z451" i="9"/>
  <c r="AG451" i="9" s="1"/>
  <c r="Z450" i="9"/>
  <c r="AG450" i="9" s="1"/>
  <c r="Z449" i="9"/>
  <c r="AG449" i="9" s="1"/>
  <c r="Z448" i="9"/>
  <c r="AG448" i="9" s="1"/>
  <c r="Z447" i="9"/>
  <c r="AG447" i="9" s="1"/>
  <c r="Z446" i="9"/>
  <c r="AG446" i="9" s="1"/>
  <c r="Z445" i="9"/>
  <c r="AG445" i="9" s="1"/>
  <c r="Z444" i="9"/>
  <c r="AG444" i="9" s="1"/>
  <c r="Z443" i="9"/>
  <c r="AG443" i="9" s="1"/>
  <c r="Z442" i="9"/>
  <c r="AG442" i="9" s="1"/>
  <c r="Z441" i="9"/>
  <c r="AG441" i="9" s="1"/>
  <c r="Z440" i="9"/>
  <c r="AG440" i="9" s="1"/>
  <c r="Z439" i="9"/>
  <c r="AG439" i="9" s="1"/>
  <c r="Z438" i="9"/>
  <c r="AG438" i="9" s="1"/>
  <c r="Z437" i="9"/>
  <c r="AG437" i="9" s="1"/>
  <c r="Z436" i="9"/>
  <c r="AG436" i="9" s="1"/>
  <c r="Z435" i="9"/>
  <c r="AG435" i="9" s="1"/>
  <c r="Z434" i="9"/>
  <c r="AG434" i="9" s="1"/>
  <c r="Z433" i="9"/>
  <c r="AG433" i="9" s="1"/>
  <c r="Z432" i="9"/>
  <c r="AG432" i="9" s="1"/>
  <c r="Z431" i="9"/>
  <c r="AG431" i="9" s="1"/>
  <c r="Z430" i="9"/>
  <c r="AG430" i="9" s="1"/>
  <c r="Z429" i="9"/>
  <c r="AG429" i="9" s="1"/>
  <c r="Z428" i="9"/>
  <c r="AG428" i="9" s="1"/>
  <c r="Z427" i="9"/>
  <c r="AG427" i="9" s="1"/>
  <c r="Z426" i="9"/>
  <c r="AG426" i="9" s="1"/>
  <c r="Z425" i="9"/>
  <c r="AG425" i="9" s="1"/>
  <c r="Z424" i="9"/>
  <c r="AG424" i="9" s="1"/>
  <c r="Z423" i="9"/>
  <c r="AG423" i="9" s="1"/>
  <c r="Z422" i="9"/>
  <c r="AG422" i="9" s="1"/>
  <c r="Z421" i="9"/>
  <c r="AG421" i="9" s="1"/>
  <c r="Z420" i="9"/>
  <c r="AG420" i="9" s="1"/>
  <c r="Z419" i="9"/>
  <c r="AG419" i="9" s="1"/>
  <c r="Z418" i="9"/>
  <c r="AG418" i="9" s="1"/>
  <c r="Z417" i="9"/>
  <c r="AG417" i="9" s="1"/>
  <c r="Z416" i="9"/>
  <c r="AG416" i="9" s="1"/>
  <c r="Z415" i="9"/>
  <c r="AG415" i="9" s="1"/>
  <c r="Z414" i="9"/>
  <c r="AG414" i="9" s="1"/>
  <c r="Z413" i="9"/>
  <c r="AG413" i="9" s="1"/>
  <c r="Z412" i="9"/>
  <c r="AG412" i="9" s="1"/>
  <c r="Z411" i="9"/>
  <c r="AG411" i="9" s="1"/>
  <c r="Z410" i="9"/>
  <c r="AG410" i="9" s="1"/>
  <c r="Z409" i="9"/>
  <c r="AG409" i="9" s="1"/>
  <c r="Z408" i="9"/>
  <c r="AG408" i="9" s="1"/>
  <c r="Z407" i="9"/>
  <c r="AG407" i="9" s="1"/>
  <c r="Z406" i="9"/>
  <c r="AG406" i="9" s="1"/>
  <c r="Z405" i="9"/>
  <c r="AG405" i="9" s="1"/>
  <c r="Z404" i="9"/>
  <c r="AG404" i="9" s="1"/>
  <c r="Z403" i="9"/>
  <c r="AG403" i="9" s="1"/>
  <c r="Z402" i="9"/>
  <c r="AG402" i="9" s="1"/>
  <c r="Z401" i="9"/>
  <c r="AG401" i="9" s="1"/>
  <c r="Z400" i="9"/>
  <c r="AG400" i="9" s="1"/>
  <c r="Z399" i="9"/>
  <c r="AG399" i="9" s="1"/>
  <c r="Z398" i="9"/>
  <c r="AG398" i="9" s="1"/>
  <c r="Z397" i="9"/>
  <c r="AG397" i="9" s="1"/>
  <c r="Z396" i="9"/>
  <c r="AG396" i="9" s="1"/>
  <c r="Z395" i="9"/>
  <c r="AG395" i="9" s="1"/>
  <c r="Z394" i="9"/>
  <c r="AG394" i="9" s="1"/>
  <c r="Z393" i="9"/>
  <c r="AG393" i="9" s="1"/>
  <c r="Z392" i="9"/>
  <c r="AG392" i="9" s="1"/>
  <c r="Z391" i="9"/>
  <c r="AG391" i="9" s="1"/>
  <c r="Z390" i="9"/>
  <c r="AG390" i="9" s="1"/>
  <c r="Z389" i="9"/>
  <c r="AG389" i="9" s="1"/>
  <c r="Z388" i="9"/>
  <c r="AG388" i="9" s="1"/>
  <c r="Z387" i="9"/>
  <c r="AG387" i="9" s="1"/>
  <c r="Z386" i="9"/>
  <c r="AG386" i="9" s="1"/>
  <c r="Z385" i="9"/>
  <c r="AG385" i="9" s="1"/>
  <c r="Z384" i="9"/>
  <c r="AG384" i="9" s="1"/>
  <c r="Z383" i="9"/>
  <c r="AG383" i="9" s="1"/>
  <c r="Z382" i="9"/>
  <c r="AG382" i="9" s="1"/>
  <c r="Z381" i="9"/>
  <c r="AG381" i="9" s="1"/>
  <c r="Z380" i="9"/>
  <c r="AG380" i="9" s="1"/>
  <c r="Z379" i="9"/>
  <c r="AG379" i="9" s="1"/>
  <c r="Z378" i="9"/>
  <c r="AG378" i="9" s="1"/>
  <c r="Z377" i="9"/>
  <c r="AG377" i="9" s="1"/>
  <c r="Z376" i="9"/>
  <c r="AG376" i="9" s="1"/>
  <c r="Z375" i="9"/>
  <c r="AG375" i="9" s="1"/>
  <c r="Z374" i="9"/>
  <c r="AG374" i="9" s="1"/>
  <c r="Z373" i="9"/>
  <c r="AG373" i="9" s="1"/>
  <c r="Z372" i="9"/>
  <c r="AG372" i="9" s="1"/>
  <c r="Z371" i="9"/>
  <c r="AG371" i="9" s="1"/>
  <c r="Z370" i="9"/>
  <c r="AG370" i="9" s="1"/>
  <c r="Z369" i="9"/>
  <c r="AG369" i="9" s="1"/>
  <c r="Z368" i="9"/>
  <c r="AG368" i="9" s="1"/>
  <c r="Z367" i="9"/>
  <c r="AG367" i="9" s="1"/>
  <c r="Z366" i="9"/>
  <c r="AG366" i="9" s="1"/>
  <c r="Z365" i="9"/>
  <c r="AG365" i="9" s="1"/>
  <c r="Z364" i="9"/>
  <c r="AG364" i="9" s="1"/>
  <c r="Z363" i="9"/>
  <c r="AG363" i="9" s="1"/>
  <c r="Z362" i="9"/>
  <c r="AG362" i="9" s="1"/>
  <c r="Z361" i="9"/>
  <c r="AG361" i="9" s="1"/>
  <c r="Z360" i="9"/>
  <c r="AG360" i="9" s="1"/>
  <c r="Z359" i="9"/>
  <c r="AG359" i="9" s="1"/>
  <c r="Z358" i="9"/>
  <c r="AG358" i="9" s="1"/>
  <c r="Z357" i="9"/>
  <c r="AG357" i="9" s="1"/>
  <c r="Z356" i="9"/>
  <c r="AG356" i="9" s="1"/>
  <c r="Z355" i="9"/>
  <c r="AG355" i="9" s="1"/>
  <c r="Z354" i="9"/>
  <c r="AG354" i="9" s="1"/>
  <c r="Z353" i="9"/>
  <c r="AG353" i="9" s="1"/>
  <c r="Z352" i="9"/>
  <c r="AG352" i="9" s="1"/>
  <c r="Z351" i="9"/>
  <c r="AG351" i="9" s="1"/>
  <c r="Z350" i="9"/>
  <c r="AG350" i="9" s="1"/>
  <c r="Z349" i="9"/>
  <c r="AG349" i="9" s="1"/>
  <c r="Z348" i="9"/>
  <c r="AG348" i="9" s="1"/>
  <c r="Z347" i="9"/>
  <c r="AG347" i="9" s="1"/>
  <c r="Z346" i="9"/>
  <c r="AG346" i="9" s="1"/>
  <c r="Z345" i="9"/>
  <c r="AG345" i="9" s="1"/>
  <c r="Z344" i="9"/>
  <c r="AG344" i="9" s="1"/>
  <c r="Z343" i="9"/>
  <c r="AG343" i="9" s="1"/>
  <c r="Z342" i="9"/>
  <c r="AG342" i="9" s="1"/>
  <c r="Z341" i="9"/>
  <c r="AG341" i="9" s="1"/>
  <c r="Z340" i="9"/>
  <c r="AG340" i="9" s="1"/>
  <c r="Z339" i="9"/>
  <c r="AG339" i="9" s="1"/>
  <c r="Z338" i="9"/>
  <c r="AG338" i="9" s="1"/>
  <c r="Z337" i="9"/>
  <c r="AG337" i="9" s="1"/>
  <c r="Z336" i="9"/>
  <c r="AG336" i="9" s="1"/>
  <c r="Z335" i="9"/>
  <c r="AG335" i="9" s="1"/>
  <c r="Z334" i="9"/>
  <c r="AG334" i="9" s="1"/>
  <c r="Z333" i="9"/>
  <c r="AG333" i="9" s="1"/>
  <c r="Z332" i="9"/>
  <c r="AG332" i="9" s="1"/>
  <c r="Z331" i="9"/>
  <c r="AG331" i="9" s="1"/>
  <c r="Z330" i="9"/>
  <c r="AG330" i="9" s="1"/>
  <c r="Z329" i="9"/>
  <c r="AG329" i="9" s="1"/>
  <c r="Z328" i="9"/>
  <c r="AG328" i="9" s="1"/>
  <c r="Z327" i="9"/>
  <c r="AG327" i="9" s="1"/>
  <c r="Z326" i="9"/>
  <c r="AG326" i="9" s="1"/>
  <c r="Z325" i="9"/>
  <c r="AG325" i="9" s="1"/>
  <c r="Z324" i="9"/>
  <c r="AG324" i="9" s="1"/>
  <c r="Z323" i="9"/>
  <c r="AG323" i="9" s="1"/>
  <c r="Z322" i="9"/>
  <c r="AG322" i="9" s="1"/>
  <c r="Z321" i="9"/>
  <c r="AG321" i="9" s="1"/>
  <c r="Z320" i="9"/>
  <c r="AG320" i="9" s="1"/>
  <c r="Z319" i="9"/>
  <c r="AG319" i="9" s="1"/>
  <c r="Z318" i="9"/>
  <c r="AG318" i="9" s="1"/>
  <c r="Z317" i="9"/>
  <c r="AG317" i="9" s="1"/>
  <c r="Z316" i="9"/>
  <c r="AG316" i="9" s="1"/>
  <c r="Z315" i="9"/>
  <c r="AG315" i="9" s="1"/>
  <c r="Z314" i="9"/>
  <c r="AG314" i="9" s="1"/>
  <c r="Z313" i="9"/>
  <c r="AG313" i="9" s="1"/>
  <c r="Z312" i="9"/>
  <c r="AG312" i="9" s="1"/>
  <c r="Z311" i="9"/>
  <c r="AG311" i="9" s="1"/>
  <c r="Z310" i="9"/>
  <c r="AG310" i="9" s="1"/>
  <c r="Z309" i="9"/>
  <c r="AG309" i="9" s="1"/>
  <c r="Z308" i="9"/>
  <c r="AG308" i="9" s="1"/>
  <c r="Z307" i="9"/>
  <c r="AG307" i="9" s="1"/>
  <c r="Z306" i="9"/>
  <c r="AG306" i="9" s="1"/>
  <c r="Z305" i="9"/>
  <c r="AG305" i="9" s="1"/>
  <c r="Z304" i="9"/>
  <c r="AG304" i="9" s="1"/>
  <c r="Z303" i="9"/>
  <c r="AG303" i="9" s="1"/>
  <c r="Z302" i="9"/>
  <c r="AG302" i="9" s="1"/>
  <c r="Z301" i="9"/>
  <c r="AG301" i="9" s="1"/>
  <c r="Z300" i="9"/>
  <c r="AG300" i="9" s="1"/>
  <c r="Z299" i="9"/>
  <c r="AG299" i="9" s="1"/>
  <c r="Z298" i="9"/>
  <c r="AG298" i="9" s="1"/>
  <c r="Z297" i="9"/>
  <c r="AG297" i="9" s="1"/>
  <c r="Z296" i="9"/>
  <c r="AG296" i="9" s="1"/>
  <c r="Z295" i="9"/>
  <c r="AG295" i="9" s="1"/>
  <c r="Z294" i="9"/>
  <c r="AG294" i="9" s="1"/>
  <c r="Z293" i="9"/>
  <c r="AG293" i="9" s="1"/>
  <c r="Z292" i="9"/>
  <c r="AG292" i="9" s="1"/>
  <c r="Z291" i="9"/>
  <c r="AG291" i="9" s="1"/>
  <c r="Z290" i="9"/>
  <c r="AG290" i="9" s="1"/>
  <c r="Z289" i="9"/>
  <c r="AG289" i="9" s="1"/>
  <c r="Z288" i="9"/>
  <c r="AG288" i="9" s="1"/>
  <c r="Z287" i="9"/>
  <c r="AG287" i="9" s="1"/>
  <c r="Z286" i="9"/>
  <c r="AG286" i="9" s="1"/>
  <c r="Z285" i="9"/>
  <c r="AG285" i="9" s="1"/>
  <c r="Z284" i="9"/>
  <c r="AG284" i="9" s="1"/>
  <c r="Z283" i="9"/>
  <c r="AG283" i="9" s="1"/>
  <c r="Z282" i="9"/>
  <c r="AG282" i="9" s="1"/>
  <c r="Z281" i="9"/>
  <c r="AG281" i="9" s="1"/>
  <c r="Z280" i="9"/>
  <c r="AG280" i="9" s="1"/>
  <c r="Z279" i="9"/>
  <c r="AG279" i="9" s="1"/>
  <c r="Z278" i="9"/>
  <c r="AG278" i="9" s="1"/>
  <c r="Z277" i="9"/>
  <c r="AG277" i="9" s="1"/>
  <c r="Z276" i="9"/>
  <c r="AG276" i="9" s="1"/>
  <c r="Z275" i="9"/>
  <c r="AG275" i="9" s="1"/>
  <c r="Z274" i="9"/>
  <c r="AG274" i="9" s="1"/>
  <c r="Z273" i="9"/>
  <c r="AG273" i="9" s="1"/>
  <c r="Z272" i="9"/>
  <c r="AG272" i="9" s="1"/>
  <c r="Z271" i="9"/>
  <c r="AG271" i="9" s="1"/>
  <c r="Z270" i="9"/>
  <c r="AG270" i="9" s="1"/>
  <c r="Z269" i="9"/>
  <c r="AG269" i="9" s="1"/>
  <c r="Z268" i="9"/>
  <c r="AG268" i="9" s="1"/>
  <c r="Z267" i="9"/>
  <c r="AG267" i="9" s="1"/>
  <c r="Z266" i="9"/>
  <c r="AG266" i="9" s="1"/>
  <c r="Z265" i="9"/>
  <c r="AG265" i="9" s="1"/>
  <c r="Z264" i="9"/>
  <c r="AG264" i="9" s="1"/>
  <c r="Z263" i="9"/>
  <c r="AG263" i="9" s="1"/>
  <c r="Z262" i="9"/>
  <c r="AG262" i="9" s="1"/>
  <c r="Z261" i="9"/>
  <c r="AG261" i="9" s="1"/>
  <c r="Z260" i="9"/>
  <c r="AG260" i="9" s="1"/>
  <c r="Z259" i="9"/>
  <c r="AG259" i="9" s="1"/>
  <c r="Z258" i="9"/>
  <c r="AG258" i="9" s="1"/>
  <c r="Z257" i="9"/>
  <c r="AG257" i="9" s="1"/>
  <c r="Z256" i="9"/>
  <c r="AG256" i="9" s="1"/>
  <c r="Z255" i="9"/>
  <c r="AG255" i="9" s="1"/>
  <c r="Z254" i="9"/>
  <c r="AG254" i="9" s="1"/>
  <c r="Z253" i="9"/>
  <c r="AG253" i="9" s="1"/>
  <c r="Z252" i="9"/>
  <c r="AG252" i="9" s="1"/>
  <c r="Z251" i="9"/>
  <c r="AG251" i="9" s="1"/>
  <c r="Z250" i="9"/>
  <c r="AG250" i="9" s="1"/>
  <c r="Z249" i="9"/>
  <c r="AG249" i="9" s="1"/>
  <c r="Z248" i="9"/>
  <c r="AG248" i="9" s="1"/>
  <c r="Z247" i="9"/>
  <c r="AG247" i="9" s="1"/>
  <c r="Z246" i="9"/>
  <c r="AG246" i="9" s="1"/>
  <c r="Z245" i="9"/>
  <c r="AG245" i="9" s="1"/>
  <c r="Z244" i="9"/>
  <c r="AG244" i="9" s="1"/>
  <c r="Z243" i="9"/>
  <c r="AG243" i="9" s="1"/>
  <c r="Z242" i="9"/>
  <c r="AG242" i="9" s="1"/>
  <c r="Z241" i="9"/>
  <c r="AG241" i="9" s="1"/>
  <c r="Z240" i="9"/>
  <c r="AG240" i="9" s="1"/>
  <c r="Z239" i="9"/>
  <c r="AG239" i="9" s="1"/>
  <c r="Z238" i="9"/>
  <c r="AG238" i="9" s="1"/>
  <c r="Z237" i="9"/>
  <c r="AG237" i="9" s="1"/>
  <c r="Z236" i="9"/>
  <c r="AG236" i="9" s="1"/>
  <c r="Z235" i="9"/>
  <c r="AG235" i="9" s="1"/>
  <c r="Z234" i="9"/>
  <c r="AG234" i="9" s="1"/>
  <c r="Z233" i="9"/>
  <c r="AG233" i="9" s="1"/>
  <c r="Z232" i="9"/>
  <c r="AG232" i="9" s="1"/>
  <c r="Z231" i="9"/>
  <c r="AG231" i="9" s="1"/>
  <c r="Z230" i="9"/>
  <c r="AG230" i="9" s="1"/>
  <c r="Z229" i="9"/>
  <c r="AG229" i="9" s="1"/>
  <c r="Z228" i="9"/>
  <c r="AG228" i="9" s="1"/>
  <c r="Z227" i="9"/>
  <c r="AG227" i="9" s="1"/>
  <c r="Z226" i="9"/>
  <c r="AG226" i="9" s="1"/>
  <c r="Z225" i="9"/>
  <c r="AG225" i="9" s="1"/>
  <c r="Z224" i="9"/>
  <c r="AG224" i="9" s="1"/>
  <c r="Z223" i="9"/>
  <c r="AG223" i="9" s="1"/>
  <c r="Z222" i="9"/>
  <c r="AG222" i="9" s="1"/>
  <c r="Z221" i="9"/>
  <c r="AG221" i="9" s="1"/>
  <c r="Z220" i="9"/>
  <c r="AG220" i="9" s="1"/>
  <c r="Z219" i="9"/>
  <c r="AG219" i="9" s="1"/>
  <c r="Z218" i="9"/>
  <c r="AG218" i="9" s="1"/>
  <c r="Z217" i="9"/>
  <c r="AG217" i="9" s="1"/>
  <c r="Z216" i="9"/>
  <c r="AG216" i="9" s="1"/>
  <c r="Z215" i="9"/>
  <c r="AG215" i="9" s="1"/>
  <c r="Z214" i="9"/>
  <c r="AG214" i="9" s="1"/>
  <c r="Z213" i="9"/>
  <c r="AG213" i="9" s="1"/>
  <c r="Z212" i="9"/>
  <c r="AG212" i="9" s="1"/>
  <c r="Z211" i="9"/>
  <c r="AG211" i="9" s="1"/>
  <c r="Z210" i="9"/>
  <c r="AG210" i="9" s="1"/>
  <c r="Z209" i="9"/>
  <c r="AG209" i="9" s="1"/>
  <c r="Z208" i="9"/>
  <c r="AG208" i="9" s="1"/>
  <c r="Z207" i="9"/>
  <c r="AG207" i="9" s="1"/>
  <c r="Z206" i="9"/>
  <c r="AG206" i="9" s="1"/>
  <c r="Z205" i="9"/>
  <c r="AG205" i="9" s="1"/>
  <c r="Z204" i="9"/>
  <c r="AG204" i="9" s="1"/>
  <c r="Z203" i="9"/>
  <c r="AG203" i="9" s="1"/>
  <c r="Z202" i="9"/>
  <c r="AG202" i="9" s="1"/>
  <c r="Z201" i="9"/>
  <c r="AG201" i="9" s="1"/>
  <c r="Z200" i="9"/>
  <c r="AG200" i="9" s="1"/>
  <c r="Z199" i="9"/>
  <c r="AG199" i="9" s="1"/>
  <c r="Z198" i="9"/>
  <c r="AG198" i="9" s="1"/>
  <c r="Z197" i="9"/>
  <c r="AG197" i="9" s="1"/>
  <c r="Z196" i="9"/>
  <c r="AG196" i="9" s="1"/>
  <c r="Z195" i="9"/>
  <c r="AG195" i="9" s="1"/>
  <c r="Z194" i="9"/>
  <c r="AG194" i="9" s="1"/>
  <c r="Z193" i="9"/>
  <c r="AG193" i="9" s="1"/>
  <c r="Z192" i="9"/>
  <c r="AG192" i="9" s="1"/>
  <c r="Z191" i="9"/>
  <c r="AG191" i="9" s="1"/>
  <c r="Z190" i="9"/>
  <c r="AG190" i="9" s="1"/>
  <c r="Z189" i="9"/>
  <c r="AG189" i="9" s="1"/>
  <c r="Z188" i="9"/>
  <c r="AG188" i="9" s="1"/>
  <c r="Z187" i="9"/>
  <c r="AG187" i="9" s="1"/>
  <c r="Z186" i="9"/>
  <c r="AG186" i="9" s="1"/>
  <c r="Z185" i="9"/>
  <c r="AG185" i="9" s="1"/>
  <c r="Z184" i="9"/>
  <c r="AG184" i="9" s="1"/>
  <c r="Z183" i="9"/>
  <c r="AG183" i="9" s="1"/>
  <c r="Z182" i="9"/>
  <c r="AG182" i="9" s="1"/>
  <c r="Z181" i="9"/>
  <c r="AG181" i="9" s="1"/>
  <c r="Z180" i="9"/>
  <c r="AG180" i="9" s="1"/>
  <c r="Z179" i="9"/>
  <c r="AG179" i="9" s="1"/>
  <c r="Z178" i="9"/>
  <c r="AG178" i="9" s="1"/>
  <c r="Z177" i="9"/>
  <c r="AG177" i="9" s="1"/>
  <c r="Z176" i="9"/>
  <c r="AG176" i="9" s="1"/>
  <c r="Z175" i="9"/>
  <c r="AG175" i="9" s="1"/>
  <c r="Z174" i="9"/>
  <c r="AG174" i="9" s="1"/>
  <c r="Z173" i="9"/>
  <c r="AG173" i="9" s="1"/>
  <c r="Z172" i="9"/>
  <c r="AG172" i="9" s="1"/>
  <c r="Z171" i="9"/>
  <c r="AG171" i="9" s="1"/>
  <c r="Z170" i="9"/>
  <c r="AG170" i="9" s="1"/>
  <c r="Z169" i="9"/>
  <c r="AG169" i="9" s="1"/>
  <c r="Z168" i="9"/>
  <c r="AG168" i="9" s="1"/>
  <c r="Z167" i="9"/>
  <c r="AG167" i="9" s="1"/>
  <c r="Z166" i="9"/>
  <c r="AG166" i="9" s="1"/>
  <c r="Z165" i="9"/>
  <c r="AG165" i="9" s="1"/>
  <c r="Z164" i="9"/>
  <c r="AG164" i="9" s="1"/>
  <c r="Z163" i="9"/>
  <c r="AG163" i="9" s="1"/>
  <c r="Z162" i="9"/>
  <c r="AG162" i="9" s="1"/>
  <c r="Z161" i="9"/>
  <c r="AG161" i="9" s="1"/>
  <c r="Z160" i="9"/>
  <c r="AG160" i="9" s="1"/>
  <c r="Z159" i="9"/>
  <c r="AG159" i="9" s="1"/>
  <c r="Z158" i="9"/>
  <c r="AG158" i="9" s="1"/>
  <c r="Z157" i="9"/>
  <c r="AG157" i="9" s="1"/>
  <c r="Z156" i="9"/>
  <c r="AG156" i="9" s="1"/>
  <c r="Z155" i="9"/>
  <c r="AG155" i="9" s="1"/>
  <c r="Z154" i="9"/>
  <c r="AG154" i="9" s="1"/>
  <c r="Z153" i="9"/>
  <c r="AG153" i="9" s="1"/>
  <c r="Z152" i="9"/>
  <c r="AG152" i="9" s="1"/>
  <c r="Z151" i="9"/>
  <c r="AG151" i="9" s="1"/>
  <c r="Z150" i="9"/>
  <c r="AG150" i="9" s="1"/>
  <c r="Z149" i="9"/>
  <c r="AG149" i="9" s="1"/>
  <c r="Z148" i="9"/>
  <c r="AG148" i="9" s="1"/>
  <c r="Z147" i="9"/>
  <c r="AG147" i="9" s="1"/>
  <c r="Z146" i="9"/>
  <c r="AG146" i="9" s="1"/>
  <c r="Z145" i="9"/>
  <c r="AG145" i="9" s="1"/>
  <c r="Z144" i="9"/>
  <c r="AG144" i="9" s="1"/>
  <c r="Z143" i="9"/>
  <c r="AG143" i="9" s="1"/>
  <c r="Z142" i="9"/>
  <c r="AG142" i="9" s="1"/>
  <c r="Z141" i="9"/>
  <c r="AG141" i="9" s="1"/>
  <c r="Z140" i="9"/>
  <c r="AG140" i="9" s="1"/>
  <c r="Z139" i="9"/>
  <c r="AG139" i="9" s="1"/>
  <c r="Z138" i="9"/>
  <c r="AG138" i="9" s="1"/>
  <c r="Z137" i="9"/>
  <c r="AG137" i="9" s="1"/>
  <c r="Z136" i="9"/>
  <c r="AG136" i="9" s="1"/>
  <c r="Z135" i="9"/>
  <c r="AG135" i="9" s="1"/>
  <c r="Z134" i="9"/>
  <c r="AG134" i="9" s="1"/>
  <c r="Z133" i="9"/>
  <c r="AG133" i="9" s="1"/>
  <c r="Z132" i="9"/>
  <c r="AG132" i="9" s="1"/>
  <c r="Z131" i="9"/>
  <c r="AG131" i="9" s="1"/>
  <c r="Z130" i="9"/>
  <c r="AG130" i="9" s="1"/>
  <c r="Z129" i="9"/>
  <c r="AG129" i="9" s="1"/>
  <c r="Z128" i="9"/>
  <c r="AG128" i="9" s="1"/>
  <c r="Z127" i="9"/>
  <c r="AG127" i="9" s="1"/>
  <c r="Z126" i="9"/>
  <c r="AG126" i="9" s="1"/>
  <c r="Z125" i="9"/>
  <c r="AG125" i="9" s="1"/>
  <c r="Z124" i="9"/>
  <c r="AG124" i="9" s="1"/>
  <c r="Z123" i="9"/>
  <c r="AG123" i="9" s="1"/>
  <c r="Z122" i="9"/>
  <c r="AG122" i="9" s="1"/>
  <c r="Z121" i="9"/>
  <c r="AG121" i="9" s="1"/>
  <c r="Z120" i="9"/>
  <c r="AG120" i="9" s="1"/>
  <c r="Z119" i="9"/>
  <c r="AG119" i="9" s="1"/>
  <c r="Z118" i="9"/>
  <c r="AG118" i="9" s="1"/>
  <c r="Z117" i="9"/>
  <c r="AG117" i="9" s="1"/>
  <c r="Z116" i="9"/>
  <c r="AG116" i="9" s="1"/>
  <c r="Z115" i="9"/>
  <c r="AG115" i="9" s="1"/>
  <c r="Z114" i="9"/>
  <c r="AG114" i="9" s="1"/>
  <c r="Z113" i="9"/>
  <c r="AG113" i="9" s="1"/>
  <c r="Z112" i="9"/>
  <c r="AG112" i="9" s="1"/>
  <c r="Z111" i="9"/>
  <c r="AG111" i="9" s="1"/>
  <c r="Z110" i="9"/>
  <c r="AG110" i="9" s="1"/>
  <c r="Z109" i="9"/>
  <c r="AG109" i="9" s="1"/>
  <c r="Z108" i="9"/>
  <c r="AG108" i="9" s="1"/>
  <c r="Z107" i="9"/>
  <c r="AG107" i="9" s="1"/>
  <c r="Z106" i="9"/>
  <c r="AG106" i="9" s="1"/>
  <c r="Z105" i="9"/>
  <c r="AG105" i="9" s="1"/>
  <c r="Z104" i="9"/>
  <c r="AG104" i="9" s="1"/>
  <c r="Z103" i="9"/>
  <c r="AG103" i="9" s="1"/>
  <c r="Z102" i="9"/>
  <c r="AG102" i="9" s="1"/>
  <c r="Z101" i="9"/>
  <c r="AG101" i="9" s="1"/>
  <c r="Z100" i="9"/>
  <c r="AG100" i="9" s="1"/>
  <c r="Z99" i="9"/>
  <c r="AG99" i="9" s="1"/>
  <c r="Z98" i="9"/>
  <c r="AG98" i="9" s="1"/>
  <c r="Z97" i="9"/>
  <c r="AG97" i="9" s="1"/>
  <c r="Z96" i="9"/>
  <c r="AG96" i="9" s="1"/>
  <c r="Z95" i="9"/>
  <c r="AG95" i="9" s="1"/>
  <c r="Z94" i="9"/>
  <c r="AG94" i="9" s="1"/>
  <c r="Z93" i="9"/>
  <c r="AG93" i="9" s="1"/>
  <c r="Z92" i="9"/>
  <c r="AG92" i="9" s="1"/>
  <c r="Z91" i="9"/>
  <c r="AG91" i="9" s="1"/>
  <c r="Z90" i="9"/>
  <c r="AG90" i="9" s="1"/>
  <c r="Z89" i="9"/>
  <c r="AG89" i="9" s="1"/>
  <c r="Z88" i="9"/>
  <c r="AG88" i="9" s="1"/>
  <c r="Z87" i="9"/>
  <c r="AG87" i="9" s="1"/>
  <c r="T730" i="9"/>
  <c r="W730" i="9" s="1"/>
  <c r="T729" i="9"/>
  <c r="W729" i="9" s="1"/>
  <c r="T728" i="9"/>
  <c r="W728" i="9" s="1"/>
  <c r="T727" i="9"/>
  <c r="W727" i="9" s="1"/>
  <c r="T726" i="9"/>
  <c r="W726" i="9" s="1"/>
  <c r="T725" i="9"/>
  <c r="W725" i="9" s="1"/>
  <c r="T724" i="9"/>
  <c r="W724" i="9" s="1"/>
  <c r="T723" i="9"/>
  <c r="W723" i="9" s="1"/>
  <c r="T722" i="9"/>
  <c r="W722" i="9" s="1"/>
  <c r="T721" i="9"/>
  <c r="W721" i="9" s="1"/>
  <c r="T720" i="9"/>
  <c r="W720" i="9" s="1"/>
  <c r="T719" i="9"/>
  <c r="W719" i="9" s="1"/>
  <c r="T718" i="9"/>
  <c r="W718" i="9" s="1"/>
  <c r="T717" i="9"/>
  <c r="W717" i="9" s="1"/>
  <c r="T716" i="9"/>
  <c r="W716" i="9" s="1"/>
  <c r="T715" i="9"/>
  <c r="W715" i="9" s="1"/>
  <c r="T714" i="9"/>
  <c r="W714" i="9" s="1"/>
  <c r="T713" i="9"/>
  <c r="W713" i="9" s="1"/>
  <c r="T712" i="9"/>
  <c r="W712" i="9" s="1"/>
  <c r="T711" i="9"/>
  <c r="W711" i="9" s="1"/>
  <c r="T710" i="9"/>
  <c r="W710" i="9" s="1"/>
  <c r="T709" i="9"/>
  <c r="W709" i="9" s="1"/>
  <c r="T708" i="9"/>
  <c r="W708" i="9" s="1"/>
  <c r="T707" i="9"/>
  <c r="W707" i="9" s="1"/>
  <c r="T706" i="9"/>
  <c r="W706" i="9" s="1"/>
  <c r="T705" i="9"/>
  <c r="W705" i="9" s="1"/>
  <c r="T704" i="9"/>
  <c r="W704" i="9" s="1"/>
  <c r="T703" i="9"/>
  <c r="W703" i="9" s="1"/>
  <c r="T702" i="9"/>
  <c r="W702" i="9" s="1"/>
  <c r="T701" i="9"/>
  <c r="W701" i="9" s="1"/>
  <c r="T700" i="9"/>
  <c r="W700" i="9" s="1"/>
  <c r="T699" i="9"/>
  <c r="W699" i="9" s="1"/>
  <c r="T698" i="9"/>
  <c r="W698" i="9" s="1"/>
  <c r="T697" i="9"/>
  <c r="W697" i="9" s="1"/>
  <c r="T696" i="9"/>
  <c r="W696" i="9" s="1"/>
  <c r="T695" i="9"/>
  <c r="W695" i="9" s="1"/>
  <c r="T694" i="9"/>
  <c r="W694" i="9" s="1"/>
  <c r="T693" i="9"/>
  <c r="W693" i="9" s="1"/>
  <c r="T692" i="9"/>
  <c r="W692" i="9" s="1"/>
  <c r="T691" i="9"/>
  <c r="W691" i="9" s="1"/>
  <c r="T690" i="9"/>
  <c r="W690" i="9" s="1"/>
  <c r="T689" i="9"/>
  <c r="W689" i="9" s="1"/>
  <c r="T688" i="9"/>
  <c r="W688" i="9" s="1"/>
  <c r="T687" i="9"/>
  <c r="W687" i="9" s="1"/>
  <c r="T686" i="9"/>
  <c r="W686" i="9" s="1"/>
  <c r="T685" i="9"/>
  <c r="W685" i="9" s="1"/>
  <c r="T684" i="9"/>
  <c r="W684" i="9" s="1"/>
  <c r="T683" i="9"/>
  <c r="W683" i="9" s="1"/>
  <c r="T682" i="9"/>
  <c r="W682" i="9" s="1"/>
  <c r="X682" i="9" s="1"/>
  <c r="T681" i="9"/>
  <c r="W681" i="9" s="1"/>
  <c r="T680" i="9"/>
  <c r="W680" i="9" s="1"/>
  <c r="T679" i="9"/>
  <c r="W679" i="9" s="1"/>
  <c r="T678" i="9"/>
  <c r="W678" i="9" s="1"/>
  <c r="T677" i="9"/>
  <c r="W677" i="9" s="1"/>
  <c r="T676" i="9"/>
  <c r="W676" i="9" s="1"/>
  <c r="T675" i="9"/>
  <c r="W675" i="9" s="1"/>
  <c r="T674" i="9"/>
  <c r="W674" i="9" s="1"/>
  <c r="T673" i="9"/>
  <c r="W673" i="9" s="1"/>
  <c r="T672" i="9"/>
  <c r="W672" i="9" s="1"/>
  <c r="T671" i="9"/>
  <c r="W671" i="9" s="1"/>
  <c r="T670" i="9"/>
  <c r="W670" i="9" s="1"/>
  <c r="T669" i="9"/>
  <c r="W669" i="9" s="1"/>
  <c r="T668" i="9"/>
  <c r="W668" i="9" s="1"/>
  <c r="T667" i="9"/>
  <c r="W667" i="9" s="1"/>
  <c r="T666" i="9"/>
  <c r="W666" i="9" s="1"/>
  <c r="T665" i="9"/>
  <c r="W665" i="9" s="1"/>
  <c r="T664" i="9"/>
  <c r="W664" i="9" s="1"/>
  <c r="T663" i="9"/>
  <c r="W663" i="9" s="1"/>
  <c r="T662" i="9"/>
  <c r="W662" i="9" s="1"/>
  <c r="T661" i="9"/>
  <c r="W661" i="9" s="1"/>
  <c r="T660" i="9"/>
  <c r="W660" i="9" s="1"/>
  <c r="T659" i="9"/>
  <c r="W659" i="9" s="1"/>
  <c r="T658" i="9"/>
  <c r="W658" i="9" s="1"/>
  <c r="T657" i="9"/>
  <c r="W657" i="9" s="1"/>
  <c r="T656" i="9"/>
  <c r="W656" i="9" s="1"/>
  <c r="T655" i="9"/>
  <c r="W655" i="9" s="1"/>
  <c r="T654" i="9"/>
  <c r="W654" i="9" s="1"/>
  <c r="T653" i="9"/>
  <c r="W653" i="9" s="1"/>
  <c r="T652" i="9"/>
  <c r="W652" i="9" s="1"/>
  <c r="T651" i="9"/>
  <c r="W651" i="9" s="1"/>
  <c r="T650" i="9"/>
  <c r="W650" i="9" s="1"/>
  <c r="T649" i="9"/>
  <c r="W649" i="9" s="1"/>
  <c r="T648" i="9"/>
  <c r="W648" i="9" s="1"/>
  <c r="T647" i="9"/>
  <c r="W647" i="9" s="1"/>
  <c r="T646" i="9"/>
  <c r="W646" i="9" s="1"/>
  <c r="T645" i="9"/>
  <c r="W645" i="9" s="1"/>
  <c r="T644" i="9"/>
  <c r="W644" i="9" s="1"/>
  <c r="T643" i="9"/>
  <c r="W643" i="9" s="1"/>
  <c r="T642" i="9"/>
  <c r="W642" i="9" s="1"/>
  <c r="T641" i="9"/>
  <c r="W641" i="9" s="1"/>
  <c r="T640" i="9"/>
  <c r="W640" i="9" s="1"/>
  <c r="T639" i="9"/>
  <c r="W639" i="9" s="1"/>
  <c r="T638" i="9"/>
  <c r="W638" i="9" s="1"/>
  <c r="T637" i="9"/>
  <c r="W637" i="9" s="1"/>
  <c r="T636" i="9"/>
  <c r="W636" i="9" s="1"/>
  <c r="T635" i="9"/>
  <c r="W635" i="9" s="1"/>
  <c r="T634" i="9"/>
  <c r="W634" i="9" s="1"/>
  <c r="T633" i="9"/>
  <c r="W633" i="9" s="1"/>
  <c r="T632" i="9"/>
  <c r="W632" i="9" s="1"/>
  <c r="T631" i="9"/>
  <c r="W631" i="9" s="1"/>
  <c r="T630" i="9"/>
  <c r="W630" i="9" s="1"/>
  <c r="T629" i="9"/>
  <c r="W629" i="9" s="1"/>
  <c r="T628" i="9"/>
  <c r="W628" i="9" s="1"/>
  <c r="T627" i="9"/>
  <c r="W627" i="9" s="1"/>
  <c r="T626" i="9"/>
  <c r="W626" i="9" s="1"/>
  <c r="T625" i="9"/>
  <c r="W625" i="9" s="1"/>
  <c r="T624" i="9"/>
  <c r="W624" i="9" s="1"/>
  <c r="T623" i="9"/>
  <c r="W623" i="9" s="1"/>
  <c r="T622" i="9"/>
  <c r="W622" i="9" s="1"/>
  <c r="T621" i="9"/>
  <c r="W621" i="9" s="1"/>
  <c r="T620" i="9"/>
  <c r="W620" i="9" s="1"/>
  <c r="T619" i="9"/>
  <c r="W619" i="9" s="1"/>
  <c r="T618" i="9"/>
  <c r="W618" i="9" s="1"/>
  <c r="X618" i="9" s="1"/>
  <c r="Y618" i="9" s="1"/>
  <c r="T617" i="9"/>
  <c r="W617" i="9" s="1"/>
  <c r="T616" i="9"/>
  <c r="W616" i="9" s="1"/>
  <c r="T615" i="9"/>
  <c r="W615" i="9" s="1"/>
  <c r="T614" i="9"/>
  <c r="W614" i="9" s="1"/>
  <c r="T613" i="9"/>
  <c r="W613" i="9" s="1"/>
  <c r="T612" i="9"/>
  <c r="W612" i="9" s="1"/>
  <c r="T611" i="9"/>
  <c r="W611" i="9" s="1"/>
  <c r="T610" i="9"/>
  <c r="W610" i="9" s="1"/>
  <c r="T609" i="9"/>
  <c r="W609" i="9" s="1"/>
  <c r="T608" i="9"/>
  <c r="W608" i="9" s="1"/>
  <c r="T607" i="9"/>
  <c r="W607" i="9" s="1"/>
  <c r="T606" i="9"/>
  <c r="W606" i="9" s="1"/>
  <c r="T605" i="9"/>
  <c r="W605" i="9" s="1"/>
  <c r="T604" i="9"/>
  <c r="W604" i="9" s="1"/>
  <c r="T603" i="9"/>
  <c r="W603" i="9" s="1"/>
  <c r="T602" i="9"/>
  <c r="W602" i="9" s="1"/>
  <c r="T601" i="9"/>
  <c r="W601" i="9" s="1"/>
  <c r="T600" i="9"/>
  <c r="W600" i="9" s="1"/>
  <c r="T599" i="9"/>
  <c r="W599" i="9" s="1"/>
  <c r="T598" i="9"/>
  <c r="W598" i="9" s="1"/>
  <c r="T597" i="9"/>
  <c r="W597" i="9" s="1"/>
  <c r="T596" i="9"/>
  <c r="W596" i="9" s="1"/>
  <c r="T595" i="9"/>
  <c r="W595" i="9" s="1"/>
  <c r="T594" i="9"/>
  <c r="W594" i="9" s="1"/>
  <c r="T593" i="9"/>
  <c r="W593" i="9" s="1"/>
  <c r="T592" i="9"/>
  <c r="W592" i="9" s="1"/>
  <c r="T591" i="9"/>
  <c r="W591" i="9" s="1"/>
  <c r="T590" i="9"/>
  <c r="W590" i="9" s="1"/>
  <c r="T589" i="9"/>
  <c r="W589" i="9" s="1"/>
  <c r="T588" i="9"/>
  <c r="W588" i="9" s="1"/>
  <c r="T587" i="9"/>
  <c r="W587" i="9" s="1"/>
  <c r="T586" i="9"/>
  <c r="W586" i="9" s="1"/>
  <c r="T585" i="9"/>
  <c r="W585" i="9" s="1"/>
  <c r="T584" i="9"/>
  <c r="W584" i="9" s="1"/>
  <c r="T583" i="9"/>
  <c r="W583" i="9" s="1"/>
  <c r="T582" i="9"/>
  <c r="W582" i="9" s="1"/>
  <c r="T581" i="9"/>
  <c r="W581" i="9" s="1"/>
  <c r="T580" i="9"/>
  <c r="W580" i="9" s="1"/>
  <c r="T579" i="9"/>
  <c r="W579" i="9" s="1"/>
  <c r="T578" i="9"/>
  <c r="W578" i="9" s="1"/>
  <c r="T577" i="9"/>
  <c r="W577" i="9" s="1"/>
  <c r="T576" i="9"/>
  <c r="W576" i="9" s="1"/>
  <c r="T575" i="9"/>
  <c r="W575" i="9" s="1"/>
  <c r="T574" i="9"/>
  <c r="W574" i="9" s="1"/>
  <c r="T573" i="9"/>
  <c r="W573" i="9" s="1"/>
  <c r="T572" i="9"/>
  <c r="W572" i="9" s="1"/>
  <c r="T571" i="9"/>
  <c r="W571" i="9" s="1"/>
  <c r="T570" i="9"/>
  <c r="W570" i="9" s="1"/>
  <c r="T569" i="9"/>
  <c r="W569" i="9" s="1"/>
  <c r="T568" i="9"/>
  <c r="W568" i="9" s="1"/>
  <c r="T567" i="9"/>
  <c r="W567" i="9" s="1"/>
  <c r="T566" i="9"/>
  <c r="W566" i="9" s="1"/>
  <c r="T565" i="9"/>
  <c r="W565" i="9" s="1"/>
  <c r="T564" i="9"/>
  <c r="W564" i="9" s="1"/>
  <c r="T563" i="9"/>
  <c r="W563" i="9" s="1"/>
  <c r="T562" i="9"/>
  <c r="W562" i="9" s="1"/>
  <c r="T561" i="9"/>
  <c r="W561" i="9" s="1"/>
  <c r="T560" i="9"/>
  <c r="W560" i="9" s="1"/>
  <c r="T559" i="9"/>
  <c r="W559" i="9" s="1"/>
  <c r="T558" i="9"/>
  <c r="W558" i="9" s="1"/>
  <c r="T557" i="9"/>
  <c r="W557" i="9" s="1"/>
  <c r="T556" i="9"/>
  <c r="W556" i="9" s="1"/>
  <c r="T555" i="9"/>
  <c r="W555" i="9" s="1"/>
  <c r="T554" i="9"/>
  <c r="W554" i="9" s="1"/>
  <c r="T553" i="9"/>
  <c r="W553" i="9" s="1"/>
  <c r="T552" i="9"/>
  <c r="W552" i="9" s="1"/>
  <c r="T551" i="9"/>
  <c r="W551" i="9" s="1"/>
  <c r="T550" i="9"/>
  <c r="W550" i="9" s="1"/>
  <c r="T549" i="9"/>
  <c r="W549" i="9" s="1"/>
  <c r="T548" i="9"/>
  <c r="W548" i="9" s="1"/>
  <c r="T547" i="9"/>
  <c r="W547" i="9" s="1"/>
  <c r="T546" i="9"/>
  <c r="W546" i="9" s="1"/>
  <c r="T545" i="9"/>
  <c r="W545" i="9" s="1"/>
  <c r="T544" i="9"/>
  <c r="W544" i="9" s="1"/>
  <c r="T543" i="9"/>
  <c r="W543" i="9" s="1"/>
  <c r="T542" i="9"/>
  <c r="W542" i="9" s="1"/>
  <c r="T541" i="9"/>
  <c r="W541" i="9" s="1"/>
  <c r="T540" i="9"/>
  <c r="W540" i="9" s="1"/>
  <c r="T539" i="9"/>
  <c r="W539" i="9" s="1"/>
  <c r="T538" i="9"/>
  <c r="W538" i="9" s="1"/>
  <c r="T537" i="9"/>
  <c r="W537" i="9" s="1"/>
  <c r="T536" i="9"/>
  <c r="W536" i="9" s="1"/>
  <c r="T535" i="9"/>
  <c r="W535" i="9" s="1"/>
  <c r="T534" i="9"/>
  <c r="W534" i="9" s="1"/>
  <c r="T533" i="9"/>
  <c r="W533" i="9" s="1"/>
  <c r="T532" i="9"/>
  <c r="W532" i="9" s="1"/>
  <c r="T531" i="9"/>
  <c r="W531" i="9" s="1"/>
  <c r="T530" i="9"/>
  <c r="W530" i="9" s="1"/>
  <c r="T529" i="9"/>
  <c r="W529" i="9" s="1"/>
  <c r="T528" i="9"/>
  <c r="W528" i="9" s="1"/>
  <c r="T527" i="9"/>
  <c r="W527" i="9" s="1"/>
  <c r="T526" i="9"/>
  <c r="W526" i="9" s="1"/>
  <c r="T525" i="9"/>
  <c r="W525" i="9" s="1"/>
  <c r="T524" i="9"/>
  <c r="W524" i="9" s="1"/>
  <c r="T523" i="9"/>
  <c r="W523" i="9" s="1"/>
  <c r="T522" i="9"/>
  <c r="W522" i="9" s="1"/>
  <c r="T521" i="9"/>
  <c r="W521" i="9" s="1"/>
  <c r="T520" i="9"/>
  <c r="W520" i="9" s="1"/>
  <c r="T519" i="9"/>
  <c r="W519" i="9" s="1"/>
  <c r="T518" i="9"/>
  <c r="W518" i="9" s="1"/>
  <c r="T517" i="9"/>
  <c r="W517" i="9" s="1"/>
  <c r="T516" i="9"/>
  <c r="W516" i="9" s="1"/>
  <c r="T515" i="9"/>
  <c r="W515" i="9" s="1"/>
  <c r="T514" i="9"/>
  <c r="W514" i="9" s="1"/>
  <c r="T513" i="9"/>
  <c r="W513" i="9" s="1"/>
  <c r="T512" i="9"/>
  <c r="W512" i="9" s="1"/>
  <c r="T511" i="9"/>
  <c r="W511" i="9" s="1"/>
  <c r="T510" i="9"/>
  <c r="W510" i="9" s="1"/>
  <c r="T509" i="9"/>
  <c r="W509" i="9" s="1"/>
  <c r="T508" i="9"/>
  <c r="W508" i="9" s="1"/>
  <c r="T507" i="9"/>
  <c r="W507" i="9" s="1"/>
  <c r="T506" i="9"/>
  <c r="W506" i="9" s="1"/>
  <c r="T505" i="9"/>
  <c r="W505" i="9" s="1"/>
  <c r="T504" i="9"/>
  <c r="W504" i="9" s="1"/>
  <c r="T503" i="9"/>
  <c r="W503" i="9" s="1"/>
  <c r="T502" i="9"/>
  <c r="W502" i="9" s="1"/>
  <c r="T501" i="9"/>
  <c r="W501" i="9" s="1"/>
  <c r="T500" i="9"/>
  <c r="W500" i="9" s="1"/>
  <c r="T499" i="9"/>
  <c r="W499" i="9" s="1"/>
  <c r="T498" i="9"/>
  <c r="W498" i="9" s="1"/>
  <c r="T497" i="9"/>
  <c r="W497" i="9" s="1"/>
  <c r="T496" i="9"/>
  <c r="W496" i="9" s="1"/>
  <c r="T495" i="9"/>
  <c r="W495" i="9" s="1"/>
  <c r="T494" i="9"/>
  <c r="W494" i="9" s="1"/>
  <c r="T493" i="9"/>
  <c r="W493" i="9" s="1"/>
  <c r="T492" i="9"/>
  <c r="W492" i="9" s="1"/>
  <c r="T491" i="9"/>
  <c r="W491" i="9" s="1"/>
  <c r="T490" i="9"/>
  <c r="W490" i="9" s="1"/>
  <c r="T489" i="9"/>
  <c r="W489" i="9" s="1"/>
  <c r="T488" i="9"/>
  <c r="W488" i="9" s="1"/>
  <c r="T487" i="9"/>
  <c r="W487" i="9" s="1"/>
  <c r="T486" i="9"/>
  <c r="W486" i="9" s="1"/>
  <c r="T485" i="9"/>
  <c r="W485" i="9" s="1"/>
  <c r="T484" i="9"/>
  <c r="W484" i="9" s="1"/>
  <c r="T483" i="9"/>
  <c r="W483" i="9" s="1"/>
  <c r="T482" i="9"/>
  <c r="W482" i="9" s="1"/>
  <c r="T481" i="9"/>
  <c r="W481" i="9" s="1"/>
  <c r="T480" i="9"/>
  <c r="W480" i="9" s="1"/>
  <c r="T479" i="9"/>
  <c r="W479" i="9" s="1"/>
  <c r="T478" i="9"/>
  <c r="W478" i="9" s="1"/>
  <c r="T477" i="9"/>
  <c r="W477" i="9" s="1"/>
  <c r="T476" i="9"/>
  <c r="W476" i="9" s="1"/>
  <c r="T475" i="9"/>
  <c r="W475" i="9" s="1"/>
  <c r="T474" i="9"/>
  <c r="W474" i="9" s="1"/>
  <c r="T473" i="9"/>
  <c r="W473" i="9" s="1"/>
  <c r="T472" i="9"/>
  <c r="W472" i="9" s="1"/>
  <c r="T471" i="9"/>
  <c r="W471" i="9" s="1"/>
  <c r="T470" i="9"/>
  <c r="W470" i="9" s="1"/>
  <c r="T469" i="9"/>
  <c r="W469" i="9" s="1"/>
  <c r="T468" i="9"/>
  <c r="W468" i="9" s="1"/>
  <c r="T467" i="9"/>
  <c r="W467" i="9" s="1"/>
  <c r="T466" i="9"/>
  <c r="W466" i="9" s="1"/>
  <c r="T465" i="9"/>
  <c r="W465" i="9" s="1"/>
  <c r="T464" i="9"/>
  <c r="W464" i="9" s="1"/>
  <c r="T463" i="9"/>
  <c r="W463" i="9" s="1"/>
  <c r="T462" i="9"/>
  <c r="W462" i="9" s="1"/>
  <c r="T461" i="9"/>
  <c r="W461" i="9" s="1"/>
  <c r="T460" i="9"/>
  <c r="W460" i="9" s="1"/>
  <c r="T459" i="9"/>
  <c r="W459" i="9" s="1"/>
  <c r="T458" i="9"/>
  <c r="W458" i="9" s="1"/>
  <c r="T457" i="9"/>
  <c r="W457" i="9" s="1"/>
  <c r="T456" i="9"/>
  <c r="W456" i="9" s="1"/>
  <c r="T455" i="9"/>
  <c r="W455" i="9" s="1"/>
  <c r="T454" i="9"/>
  <c r="W454" i="9" s="1"/>
  <c r="T453" i="9"/>
  <c r="W453" i="9" s="1"/>
  <c r="T452" i="9"/>
  <c r="W452" i="9" s="1"/>
  <c r="T451" i="9"/>
  <c r="W451" i="9" s="1"/>
  <c r="T450" i="9"/>
  <c r="W450" i="9" s="1"/>
  <c r="T449" i="9"/>
  <c r="W449" i="9" s="1"/>
  <c r="T448" i="9"/>
  <c r="W448" i="9" s="1"/>
  <c r="T447" i="9"/>
  <c r="W447" i="9" s="1"/>
  <c r="T446" i="9"/>
  <c r="W446" i="9" s="1"/>
  <c r="T445" i="9"/>
  <c r="W445" i="9" s="1"/>
  <c r="T444" i="9"/>
  <c r="W444" i="9" s="1"/>
  <c r="T443" i="9"/>
  <c r="W443" i="9" s="1"/>
  <c r="T442" i="9"/>
  <c r="W442" i="9" s="1"/>
  <c r="T441" i="9"/>
  <c r="W441" i="9" s="1"/>
  <c r="T440" i="9"/>
  <c r="W440" i="9" s="1"/>
  <c r="T439" i="9"/>
  <c r="W439" i="9" s="1"/>
  <c r="T438" i="9"/>
  <c r="W438" i="9" s="1"/>
  <c r="T437" i="9"/>
  <c r="W437" i="9" s="1"/>
  <c r="T436" i="9"/>
  <c r="W436" i="9" s="1"/>
  <c r="T435" i="9"/>
  <c r="W435" i="9" s="1"/>
  <c r="T434" i="9"/>
  <c r="W434" i="9" s="1"/>
  <c r="T433" i="9"/>
  <c r="W433" i="9" s="1"/>
  <c r="T432" i="9"/>
  <c r="W432" i="9" s="1"/>
  <c r="T431" i="9"/>
  <c r="W431" i="9" s="1"/>
  <c r="T430" i="9"/>
  <c r="W430" i="9" s="1"/>
  <c r="T429" i="9"/>
  <c r="W429" i="9" s="1"/>
  <c r="T428" i="9"/>
  <c r="W428" i="9" s="1"/>
  <c r="T427" i="9"/>
  <c r="W427" i="9" s="1"/>
  <c r="T426" i="9"/>
  <c r="W426" i="9" s="1"/>
  <c r="T425" i="9"/>
  <c r="W425" i="9" s="1"/>
  <c r="T424" i="9"/>
  <c r="W424" i="9" s="1"/>
  <c r="T423" i="9"/>
  <c r="W423" i="9" s="1"/>
  <c r="T422" i="9"/>
  <c r="W422" i="9" s="1"/>
  <c r="T421" i="9"/>
  <c r="W421" i="9" s="1"/>
  <c r="T420" i="9"/>
  <c r="W420" i="9" s="1"/>
  <c r="T419" i="9"/>
  <c r="W419" i="9" s="1"/>
  <c r="T418" i="9"/>
  <c r="W418" i="9" s="1"/>
  <c r="T417" i="9"/>
  <c r="W417" i="9" s="1"/>
  <c r="T416" i="9"/>
  <c r="W416" i="9" s="1"/>
  <c r="T415" i="9"/>
  <c r="W415" i="9" s="1"/>
  <c r="T414" i="9"/>
  <c r="W414" i="9" s="1"/>
  <c r="T413" i="9"/>
  <c r="W413" i="9" s="1"/>
  <c r="T412" i="9"/>
  <c r="W412" i="9" s="1"/>
  <c r="T411" i="9"/>
  <c r="W411" i="9" s="1"/>
  <c r="T410" i="9"/>
  <c r="W410" i="9" s="1"/>
  <c r="T409" i="9"/>
  <c r="W409" i="9" s="1"/>
  <c r="T408" i="9"/>
  <c r="W408" i="9" s="1"/>
  <c r="T407" i="9"/>
  <c r="W407" i="9" s="1"/>
  <c r="T406" i="9"/>
  <c r="W406" i="9" s="1"/>
  <c r="T405" i="9"/>
  <c r="W405" i="9" s="1"/>
  <c r="T404" i="9"/>
  <c r="W404" i="9" s="1"/>
  <c r="T403" i="9"/>
  <c r="W403" i="9" s="1"/>
  <c r="T402" i="9"/>
  <c r="W402" i="9" s="1"/>
  <c r="T401" i="9"/>
  <c r="W401" i="9" s="1"/>
  <c r="T400" i="9"/>
  <c r="W400" i="9" s="1"/>
  <c r="T399" i="9"/>
  <c r="W399" i="9" s="1"/>
  <c r="T398" i="9"/>
  <c r="W398" i="9" s="1"/>
  <c r="T397" i="9"/>
  <c r="W397" i="9" s="1"/>
  <c r="T396" i="9"/>
  <c r="W396" i="9" s="1"/>
  <c r="T395" i="9"/>
  <c r="W395" i="9" s="1"/>
  <c r="T394" i="9"/>
  <c r="W394" i="9" s="1"/>
  <c r="T393" i="9"/>
  <c r="W393" i="9" s="1"/>
  <c r="T392" i="9"/>
  <c r="W392" i="9" s="1"/>
  <c r="T391" i="9"/>
  <c r="W391" i="9" s="1"/>
  <c r="T390" i="9"/>
  <c r="W390" i="9" s="1"/>
  <c r="T389" i="9"/>
  <c r="W389" i="9" s="1"/>
  <c r="T388" i="9"/>
  <c r="W388" i="9" s="1"/>
  <c r="T387" i="9"/>
  <c r="W387" i="9" s="1"/>
  <c r="T386" i="9"/>
  <c r="W386" i="9" s="1"/>
  <c r="T385" i="9"/>
  <c r="W385" i="9" s="1"/>
  <c r="T384" i="9"/>
  <c r="W384" i="9" s="1"/>
  <c r="T383" i="9"/>
  <c r="W383" i="9" s="1"/>
  <c r="T382" i="9"/>
  <c r="W382" i="9" s="1"/>
  <c r="T381" i="9"/>
  <c r="W381" i="9" s="1"/>
  <c r="T380" i="9"/>
  <c r="W380" i="9" s="1"/>
  <c r="T379" i="9"/>
  <c r="W379" i="9" s="1"/>
  <c r="T378" i="9"/>
  <c r="W378" i="9" s="1"/>
  <c r="X378" i="9" s="1"/>
  <c r="Y378" i="9" s="1"/>
  <c r="T377" i="9"/>
  <c r="W377" i="9" s="1"/>
  <c r="T376" i="9"/>
  <c r="W376" i="9" s="1"/>
  <c r="T375" i="9"/>
  <c r="W375" i="9" s="1"/>
  <c r="T374" i="9"/>
  <c r="W374" i="9" s="1"/>
  <c r="T373" i="9"/>
  <c r="W373" i="9" s="1"/>
  <c r="T372" i="9"/>
  <c r="W372" i="9" s="1"/>
  <c r="T371" i="9"/>
  <c r="W371" i="9" s="1"/>
  <c r="T370" i="9"/>
  <c r="W370" i="9" s="1"/>
  <c r="T369" i="9"/>
  <c r="W369" i="9" s="1"/>
  <c r="T368" i="9"/>
  <c r="W368" i="9" s="1"/>
  <c r="T367" i="9"/>
  <c r="W367" i="9" s="1"/>
  <c r="T366" i="9"/>
  <c r="W366" i="9" s="1"/>
  <c r="T365" i="9"/>
  <c r="W365" i="9" s="1"/>
  <c r="T364" i="9"/>
  <c r="W364" i="9" s="1"/>
  <c r="T363" i="9"/>
  <c r="W363" i="9" s="1"/>
  <c r="T362" i="9"/>
  <c r="W362" i="9" s="1"/>
  <c r="T361" i="9"/>
  <c r="W361" i="9" s="1"/>
  <c r="T360" i="9"/>
  <c r="W360" i="9" s="1"/>
  <c r="T359" i="9"/>
  <c r="W359" i="9" s="1"/>
  <c r="T358" i="9"/>
  <c r="W358" i="9" s="1"/>
  <c r="T357" i="9"/>
  <c r="W357" i="9" s="1"/>
  <c r="T356" i="9"/>
  <c r="W356" i="9" s="1"/>
  <c r="T355" i="9"/>
  <c r="W355" i="9" s="1"/>
  <c r="T354" i="9"/>
  <c r="W354" i="9" s="1"/>
  <c r="T353" i="9"/>
  <c r="W353" i="9" s="1"/>
  <c r="T352" i="9"/>
  <c r="W352" i="9" s="1"/>
  <c r="T351" i="9"/>
  <c r="W351" i="9" s="1"/>
  <c r="T350" i="9"/>
  <c r="W350" i="9" s="1"/>
  <c r="T349" i="9"/>
  <c r="W349" i="9" s="1"/>
  <c r="T348" i="9"/>
  <c r="W348" i="9" s="1"/>
  <c r="T347" i="9"/>
  <c r="W347" i="9" s="1"/>
  <c r="T346" i="9"/>
  <c r="W346" i="9" s="1"/>
  <c r="T345" i="9"/>
  <c r="W345" i="9" s="1"/>
  <c r="T344" i="9"/>
  <c r="W344" i="9" s="1"/>
  <c r="T343" i="9"/>
  <c r="W343" i="9" s="1"/>
  <c r="T342" i="9"/>
  <c r="W342" i="9" s="1"/>
  <c r="T341" i="9"/>
  <c r="W341" i="9" s="1"/>
  <c r="T340" i="9"/>
  <c r="W340" i="9" s="1"/>
  <c r="T339" i="9"/>
  <c r="W339" i="9" s="1"/>
  <c r="T338" i="9"/>
  <c r="W338" i="9" s="1"/>
  <c r="T337" i="9"/>
  <c r="W337" i="9" s="1"/>
  <c r="T336" i="9"/>
  <c r="W336" i="9" s="1"/>
  <c r="T335" i="9"/>
  <c r="W335" i="9" s="1"/>
  <c r="T334" i="9"/>
  <c r="W334" i="9" s="1"/>
  <c r="T333" i="9"/>
  <c r="W333" i="9" s="1"/>
  <c r="T332" i="9"/>
  <c r="W332" i="9" s="1"/>
  <c r="T331" i="9"/>
  <c r="W331" i="9" s="1"/>
  <c r="T330" i="9"/>
  <c r="W330" i="9" s="1"/>
  <c r="T329" i="9"/>
  <c r="W329" i="9" s="1"/>
  <c r="T328" i="9"/>
  <c r="W328" i="9" s="1"/>
  <c r="T327" i="9"/>
  <c r="W327" i="9" s="1"/>
  <c r="T326" i="9"/>
  <c r="W326" i="9" s="1"/>
  <c r="T325" i="9"/>
  <c r="W325" i="9" s="1"/>
  <c r="T324" i="9"/>
  <c r="W324" i="9" s="1"/>
  <c r="T323" i="9"/>
  <c r="W323" i="9" s="1"/>
  <c r="T322" i="9"/>
  <c r="W322" i="9" s="1"/>
  <c r="T321" i="9"/>
  <c r="W321" i="9" s="1"/>
  <c r="T320" i="9"/>
  <c r="W320" i="9" s="1"/>
  <c r="T319" i="9"/>
  <c r="W319" i="9" s="1"/>
  <c r="T318" i="9"/>
  <c r="W318" i="9" s="1"/>
  <c r="T317" i="9"/>
  <c r="W317" i="9" s="1"/>
  <c r="T316" i="9"/>
  <c r="W316" i="9" s="1"/>
  <c r="T315" i="9"/>
  <c r="W315" i="9" s="1"/>
  <c r="T314" i="9"/>
  <c r="W314" i="9" s="1"/>
  <c r="T313" i="9"/>
  <c r="W313" i="9" s="1"/>
  <c r="T312" i="9"/>
  <c r="W312" i="9" s="1"/>
  <c r="T311" i="9"/>
  <c r="W311" i="9" s="1"/>
  <c r="T310" i="9"/>
  <c r="W310" i="9" s="1"/>
  <c r="T309" i="9"/>
  <c r="W309" i="9" s="1"/>
  <c r="T308" i="9"/>
  <c r="W308" i="9" s="1"/>
  <c r="T307" i="9"/>
  <c r="W307" i="9" s="1"/>
  <c r="T306" i="9"/>
  <c r="W306" i="9" s="1"/>
  <c r="T305" i="9"/>
  <c r="W305" i="9" s="1"/>
  <c r="T304" i="9"/>
  <c r="W304" i="9" s="1"/>
  <c r="T303" i="9"/>
  <c r="W303" i="9" s="1"/>
  <c r="T302" i="9"/>
  <c r="W302" i="9" s="1"/>
  <c r="T301" i="9"/>
  <c r="W301" i="9" s="1"/>
  <c r="T300" i="9"/>
  <c r="W300" i="9" s="1"/>
  <c r="T299" i="9"/>
  <c r="W299" i="9" s="1"/>
  <c r="T298" i="9"/>
  <c r="W298" i="9" s="1"/>
  <c r="T297" i="9"/>
  <c r="W297" i="9" s="1"/>
  <c r="T296" i="9"/>
  <c r="W296" i="9" s="1"/>
  <c r="T295" i="9"/>
  <c r="W295" i="9" s="1"/>
  <c r="T294" i="9"/>
  <c r="W294" i="9" s="1"/>
  <c r="T293" i="9"/>
  <c r="W293" i="9" s="1"/>
  <c r="T292" i="9"/>
  <c r="W292" i="9" s="1"/>
  <c r="T291" i="9"/>
  <c r="W291" i="9" s="1"/>
  <c r="T290" i="9"/>
  <c r="W290" i="9" s="1"/>
  <c r="T289" i="9"/>
  <c r="W289" i="9" s="1"/>
  <c r="T288" i="9"/>
  <c r="W288" i="9" s="1"/>
  <c r="T287" i="9"/>
  <c r="W287" i="9" s="1"/>
  <c r="T286" i="9"/>
  <c r="W286" i="9" s="1"/>
  <c r="T285" i="9"/>
  <c r="W285" i="9" s="1"/>
  <c r="T284" i="9"/>
  <c r="W284" i="9" s="1"/>
  <c r="T283" i="9"/>
  <c r="W283" i="9" s="1"/>
  <c r="T282" i="9"/>
  <c r="W282" i="9" s="1"/>
  <c r="T281" i="9"/>
  <c r="W281" i="9" s="1"/>
  <c r="T280" i="9"/>
  <c r="W280" i="9" s="1"/>
  <c r="T279" i="9"/>
  <c r="W279" i="9" s="1"/>
  <c r="T278" i="9"/>
  <c r="W278" i="9" s="1"/>
  <c r="T277" i="9"/>
  <c r="W277" i="9" s="1"/>
  <c r="T276" i="9"/>
  <c r="W276" i="9" s="1"/>
  <c r="T275" i="9"/>
  <c r="W275" i="9" s="1"/>
  <c r="T274" i="9"/>
  <c r="W274" i="9" s="1"/>
  <c r="T273" i="9"/>
  <c r="W273" i="9" s="1"/>
  <c r="T272" i="9"/>
  <c r="W272" i="9" s="1"/>
  <c r="T271" i="9"/>
  <c r="W271" i="9" s="1"/>
  <c r="T270" i="9"/>
  <c r="W270" i="9" s="1"/>
  <c r="T269" i="9"/>
  <c r="W269" i="9" s="1"/>
  <c r="T268" i="9"/>
  <c r="W268" i="9" s="1"/>
  <c r="T267" i="9"/>
  <c r="W267" i="9" s="1"/>
  <c r="T266" i="9"/>
  <c r="W266" i="9" s="1"/>
  <c r="T265" i="9"/>
  <c r="W265" i="9" s="1"/>
  <c r="T264" i="9"/>
  <c r="W264" i="9" s="1"/>
  <c r="T263" i="9"/>
  <c r="W263" i="9" s="1"/>
  <c r="T262" i="9"/>
  <c r="W262" i="9" s="1"/>
  <c r="T261" i="9"/>
  <c r="W261" i="9" s="1"/>
  <c r="T260" i="9"/>
  <c r="W260" i="9" s="1"/>
  <c r="T259" i="9"/>
  <c r="W259" i="9" s="1"/>
  <c r="T258" i="9"/>
  <c r="W258" i="9" s="1"/>
  <c r="T257" i="9"/>
  <c r="W257" i="9" s="1"/>
  <c r="T256" i="9"/>
  <c r="W256" i="9" s="1"/>
  <c r="T255" i="9"/>
  <c r="W255" i="9" s="1"/>
  <c r="T254" i="9"/>
  <c r="W254" i="9" s="1"/>
  <c r="T253" i="9"/>
  <c r="W253" i="9" s="1"/>
  <c r="T252" i="9"/>
  <c r="W252" i="9" s="1"/>
  <c r="T251" i="9"/>
  <c r="W251" i="9" s="1"/>
  <c r="T250" i="9"/>
  <c r="W250" i="9" s="1"/>
  <c r="T249" i="9"/>
  <c r="W249" i="9" s="1"/>
  <c r="T248" i="9"/>
  <c r="W248" i="9" s="1"/>
  <c r="T247" i="9"/>
  <c r="W247" i="9" s="1"/>
  <c r="T246" i="9"/>
  <c r="W246" i="9" s="1"/>
  <c r="T245" i="9"/>
  <c r="W245" i="9" s="1"/>
  <c r="T244" i="9"/>
  <c r="W244" i="9" s="1"/>
  <c r="T243" i="9"/>
  <c r="W243" i="9" s="1"/>
  <c r="T242" i="9"/>
  <c r="W242" i="9" s="1"/>
  <c r="T241" i="9"/>
  <c r="W241" i="9" s="1"/>
  <c r="T240" i="9"/>
  <c r="W240" i="9" s="1"/>
  <c r="T239" i="9"/>
  <c r="W239" i="9" s="1"/>
  <c r="T238" i="9"/>
  <c r="W238" i="9" s="1"/>
  <c r="T237" i="9"/>
  <c r="W237" i="9" s="1"/>
  <c r="T236" i="9"/>
  <c r="W236" i="9" s="1"/>
  <c r="T235" i="9"/>
  <c r="W235" i="9" s="1"/>
  <c r="T234" i="9"/>
  <c r="W234" i="9" s="1"/>
  <c r="T233" i="9"/>
  <c r="W233" i="9" s="1"/>
  <c r="T232" i="9"/>
  <c r="W232" i="9" s="1"/>
  <c r="T231" i="9"/>
  <c r="W231" i="9" s="1"/>
  <c r="T230" i="9"/>
  <c r="W230" i="9" s="1"/>
  <c r="T229" i="9"/>
  <c r="W229" i="9" s="1"/>
  <c r="T228" i="9"/>
  <c r="W228" i="9" s="1"/>
  <c r="T227" i="9"/>
  <c r="W227" i="9" s="1"/>
  <c r="T226" i="9"/>
  <c r="W226" i="9" s="1"/>
  <c r="T225" i="9"/>
  <c r="W225" i="9" s="1"/>
  <c r="T224" i="9"/>
  <c r="W224" i="9" s="1"/>
  <c r="T223" i="9"/>
  <c r="W223" i="9" s="1"/>
  <c r="T222" i="9"/>
  <c r="W222" i="9" s="1"/>
  <c r="T221" i="9"/>
  <c r="W221" i="9" s="1"/>
  <c r="T220" i="9"/>
  <c r="W220" i="9" s="1"/>
  <c r="T219" i="9"/>
  <c r="W219" i="9" s="1"/>
  <c r="T218" i="9"/>
  <c r="W218" i="9" s="1"/>
  <c r="T217" i="9"/>
  <c r="W217" i="9" s="1"/>
  <c r="T216" i="9"/>
  <c r="W216" i="9" s="1"/>
  <c r="T215" i="9"/>
  <c r="W215" i="9" s="1"/>
  <c r="T214" i="9"/>
  <c r="W214" i="9" s="1"/>
  <c r="T213" i="9"/>
  <c r="W213" i="9" s="1"/>
  <c r="T212" i="9"/>
  <c r="W212" i="9" s="1"/>
  <c r="T211" i="9"/>
  <c r="W211" i="9" s="1"/>
  <c r="T210" i="9"/>
  <c r="W210" i="9" s="1"/>
  <c r="T209" i="9"/>
  <c r="W209" i="9" s="1"/>
  <c r="T208" i="9"/>
  <c r="W208" i="9" s="1"/>
  <c r="T207" i="9"/>
  <c r="W207" i="9" s="1"/>
  <c r="T206" i="9"/>
  <c r="W206" i="9" s="1"/>
  <c r="T205" i="9"/>
  <c r="W205" i="9" s="1"/>
  <c r="T204" i="9"/>
  <c r="W204" i="9" s="1"/>
  <c r="T203" i="9"/>
  <c r="W203" i="9" s="1"/>
  <c r="T202" i="9"/>
  <c r="W202" i="9" s="1"/>
  <c r="T201" i="9"/>
  <c r="W201" i="9" s="1"/>
  <c r="T200" i="9"/>
  <c r="W200" i="9" s="1"/>
  <c r="T199" i="9"/>
  <c r="W199" i="9" s="1"/>
  <c r="T198" i="9"/>
  <c r="W198" i="9" s="1"/>
  <c r="T197" i="9"/>
  <c r="W197" i="9" s="1"/>
  <c r="T196" i="9"/>
  <c r="W196" i="9" s="1"/>
  <c r="T195" i="9"/>
  <c r="W195" i="9" s="1"/>
  <c r="T194" i="9"/>
  <c r="W194" i="9" s="1"/>
  <c r="T193" i="9"/>
  <c r="W193" i="9" s="1"/>
  <c r="T192" i="9"/>
  <c r="W192" i="9" s="1"/>
  <c r="T191" i="9"/>
  <c r="W191" i="9" s="1"/>
  <c r="T190" i="9"/>
  <c r="W190" i="9" s="1"/>
  <c r="T189" i="9"/>
  <c r="W189" i="9" s="1"/>
  <c r="T188" i="9"/>
  <c r="W188" i="9" s="1"/>
  <c r="T187" i="9"/>
  <c r="W187" i="9" s="1"/>
  <c r="T186" i="9"/>
  <c r="W186" i="9" s="1"/>
  <c r="T185" i="9"/>
  <c r="W185" i="9" s="1"/>
  <c r="T184" i="9"/>
  <c r="W184" i="9" s="1"/>
  <c r="T183" i="9"/>
  <c r="W183" i="9" s="1"/>
  <c r="T182" i="9"/>
  <c r="W182" i="9" s="1"/>
  <c r="T181" i="9"/>
  <c r="W181" i="9" s="1"/>
  <c r="T180" i="9"/>
  <c r="W180" i="9" s="1"/>
  <c r="T179" i="9"/>
  <c r="W179" i="9" s="1"/>
  <c r="T178" i="9"/>
  <c r="W178" i="9" s="1"/>
  <c r="T177" i="9"/>
  <c r="W177" i="9" s="1"/>
  <c r="T176" i="9"/>
  <c r="W176" i="9" s="1"/>
  <c r="T175" i="9"/>
  <c r="W175" i="9" s="1"/>
  <c r="T174" i="9"/>
  <c r="W174" i="9" s="1"/>
  <c r="T173" i="9"/>
  <c r="W173" i="9" s="1"/>
  <c r="T172" i="9"/>
  <c r="W172" i="9" s="1"/>
  <c r="T171" i="9"/>
  <c r="W171" i="9" s="1"/>
  <c r="T170" i="9"/>
  <c r="W170" i="9" s="1"/>
  <c r="T169" i="9"/>
  <c r="W169" i="9" s="1"/>
  <c r="T168" i="9"/>
  <c r="W168" i="9" s="1"/>
  <c r="T167" i="9"/>
  <c r="W167" i="9" s="1"/>
  <c r="T166" i="9"/>
  <c r="W166" i="9" s="1"/>
  <c r="T165" i="9"/>
  <c r="W165" i="9" s="1"/>
  <c r="T164" i="9"/>
  <c r="W164" i="9" s="1"/>
  <c r="T163" i="9"/>
  <c r="W163" i="9" s="1"/>
  <c r="T162" i="9"/>
  <c r="W162" i="9" s="1"/>
  <c r="T161" i="9"/>
  <c r="W161" i="9" s="1"/>
  <c r="T160" i="9"/>
  <c r="W160" i="9" s="1"/>
  <c r="T159" i="9"/>
  <c r="W159" i="9" s="1"/>
  <c r="T158" i="9"/>
  <c r="W158" i="9" s="1"/>
  <c r="T157" i="9"/>
  <c r="W157" i="9" s="1"/>
  <c r="T156" i="9"/>
  <c r="W156" i="9" s="1"/>
  <c r="T155" i="9"/>
  <c r="W155" i="9" s="1"/>
  <c r="T154" i="9"/>
  <c r="W154" i="9" s="1"/>
  <c r="T153" i="9"/>
  <c r="W153" i="9" s="1"/>
  <c r="T152" i="9"/>
  <c r="W152" i="9" s="1"/>
  <c r="T151" i="9"/>
  <c r="W151" i="9" s="1"/>
  <c r="T150" i="9"/>
  <c r="W150" i="9" s="1"/>
  <c r="T149" i="9"/>
  <c r="W149" i="9" s="1"/>
  <c r="T148" i="9"/>
  <c r="W148" i="9" s="1"/>
  <c r="T147" i="9"/>
  <c r="W147" i="9" s="1"/>
  <c r="T146" i="9"/>
  <c r="W146" i="9" s="1"/>
  <c r="T145" i="9"/>
  <c r="W145" i="9" s="1"/>
  <c r="T144" i="9"/>
  <c r="W144" i="9" s="1"/>
  <c r="T143" i="9"/>
  <c r="W143" i="9" s="1"/>
  <c r="T142" i="9"/>
  <c r="W142" i="9" s="1"/>
  <c r="T141" i="9"/>
  <c r="W141" i="9" s="1"/>
  <c r="T140" i="9"/>
  <c r="W140" i="9" s="1"/>
  <c r="T139" i="9"/>
  <c r="W139" i="9" s="1"/>
  <c r="T138" i="9"/>
  <c r="W138" i="9" s="1"/>
  <c r="T137" i="9"/>
  <c r="W137" i="9" s="1"/>
  <c r="T136" i="9"/>
  <c r="W136" i="9" s="1"/>
  <c r="T135" i="9"/>
  <c r="W135" i="9" s="1"/>
  <c r="T134" i="9"/>
  <c r="W134" i="9" s="1"/>
  <c r="T133" i="9"/>
  <c r="W133" i="9" s="1"/>
  <c r="T132" i="9"/>
  <c r="W132" i="9" s="1"/>
  <c r="T131" i="9"/>
  <c r="W131" i="9" s="1"/>
  <c r="T130" i="9"/>
  <c r="W130" i="9" s="1"/>
  <c r="T129" i="9"/>
  <c r="W129" i="9" s="1"/>
  <c r="T128" i="9"/>
  <c r="W128" i="9" s="1"/>
  <c r="T127" i="9"/>
  <c r="W127" i="9" s="1"/>
  <c r="T126" i="9"/>
  <c r="W126" i="9" s="1"/>
  <c r="T125" i="9"/>
  <c r="W125" i="9" s="1"/>
  <c r="T124" i="9"/>
  <c r="W124" i="9" s="1"/>
  <c r="T123" i="9"/>
  <c r="W123" i="9" s="1"/>
  <c r="T122" i="9"/>
  <c r="W122" i="9" s="1"/>
  <c r="T121" i="9"/>
  <c r="W121" i="9" s="1"/>
  <c r="T120" i="9"/>
  <c r="W120" i="9" s="1"/>
  <c r="T119" i="9"/>
  <c r="W119" i="9" s="1"/>
  <c r="T118" i="9"/>
  <c r="W118" i="9" s="1"/>
  <c r="T117" i="9"/>
  <c r="W117" i="9" s="1"/>
  <c r="T116" i="9"/>
  <c r="W116" i="9" s="1"/>
  <c r="T115" i="9"/>
  <c r="W115" i="9" s="1"/>
  <c r="T114" i="9"/>
  <c r="W114" i="9" s="1"/>
  <c r="T113" i="9"/>
  <c r="W113" i="9" s="1"/>
  <c r="T112" i="9"/>
  <c r="W112" i="9" s="1"/>
  <c r="T111" i="9"/>
  <c r="W111" i="9" s="1"/>
  <c r="T110" i="9"/>
  <c r="W110" i="9" s="1"/>
  <c r="T109" i="9"/>
  <c r="W109" i="9" s="1"/>
  <c r="T108" i="9"/>
  <c r="W108" i="9" s="1"/>
  <c r="T107" i="9"/>
  <c r="W107" i="9" s="1"/>
  <c r="T106" i="9"/>
  <c r="W106" i="9" s="1"/>
  <c r="T105" i="9"/>
  <c r="W105" i="9" s="1"/>
  <c r="T104" i="9"/>
  <c r="W104" i="9" s="1"/>
  <c r="T103" i="9"/>
  <c r="W103" i="9" s="1"/>
  <c r="T102" i="9"/>
  <c r="W102" i="9" s="1"/>
  <c r="T101" i="9"/>
  <c r="W101" i="9" s="1"/>
  <c r="T100" i="9"/>
  <c r="W100" i="9" s="1"/>
  <c r="T99" i="9"/>
  <c r="W99" i="9" s="1"/>
  <c r="T98" i="9"/>
  <c r="W98" i="9" s="1"/>
  <c r="T97" i="9"/>
  <c r="W97" i="9" s="1"/>
  <c r="T96" i="9"/>
  <c r="W96" i="9" s="1"/>
  <c r="T95" i="9"/>
  <c r="W95" i="9" s="1"/>
  <c r="T94" i="9"/>
  <c r="W94" i="9" s="1"/>
  <c r="T93" i="9"/>
  <c r="W93" i="9" s="1"/>
  <c r="T92" i="9"/>
  <c r="W92" i="9" s="1"/>
  <c r="T91" i="9"/>
  <c r="W91" i="9" s="1"/>
  <c r="T90" i="9"/>
  <c r="W90" i="9" s="1"/>
  <c r="T89" i="9"/>
  <c r="W89" i="9" s="1"/>
  <c r="T88" i="9"/>
  <c r="W88" i="9" s="1"/>
  <c r="T87" i="9"/>
  <c r="W87" i="9" s="1"/>
  <c r="Y682" i="9"/>
  <c r="V731" i="9"/>
  <c r="U731" i="9"/>
  <c r="V86" i="9"/>
  <c r="U86" i="9"/>
  <c r="V85" i="9"/>
  <c r="U85" i="9"/>
  <c r="V84" i="9"/>
  <c r="U84" i="9"/>
  <c r="V83" i="9"/>
  <c r="U83" i="9"/>
  <c r="V82" i="9"/>
  <c r="U82" i="9"/>
  <c r="V81" i="9"/>
  <c r="U81" i="9"/>
  <c r="V80" i="9"/>
  <c r="U80" i="9"/>
  <c r="V79" i="9"/>
  <c r="U79" i="9"/>
  <c r="V78" i="9"/>
  <c r="U78" i="9"/>
  <c r="V77" i="9"/>
  <c r="U77" i="9"/>
  <c r="V76" i="9"/>
  <c r="U76" i="9"/>
  <c r="V75" i="9"/>
  <c r="U75" i="9"/>
  <c r="V74" i="9"/>
  <c r="U74" i="9"/>
  <c r="V73" i="9"/>
  <c r="U73" i="9"/>
  <c r="V72" i="9"/>
  <c r="U72" i="9"/>
  <c r="V71" i="9"/>
  <c r="U71" i="9"/>
  <c r="V70" i="9"/>
  <c r="U70" i="9"/>
  <c r="V69" i="9"/>
  <c r="U69" i="9"/>
  <c r="V68" i="9"/>
  <c r="U68" i="9"/>
  <c r="V67" i="9"/>
  <c r="U67" i="9"/>
  <c r="V66" i="9"/>
  <c r="U66" i="9"/>
  <c r="V65" i="9"/>
  <c r="U65" i="9"/>
  <c r="V64" i="9"/>
  <c r="U64" i="9"/>
  <c r="V63" i="9"/>
  <c r="U63" i="9"/>
  <c r="V62" i="9"/>
  <c r="U62" i="9"/>
  <c r="V61" i="9"/>
  <c r="U61" i="9"/>
  <c r="V60" i="9"/>
  <c r="U60" i="9"/>
  <c r="V59" i="9"/>
  <c r="U59" i="9"/>
  <c r="V58" i="9"/>
  <c r="U58" i="9"/>
  <c r="V57" i="9"/>
  <c r="U57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U13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S72" i="9"/>
  <c r="S70" i="9"/>
  <c r="S57" i="9"/>
  <c r="S76" i="9"/>
  <c r="S68" i="9"/>
  <c r="S731" i="9"/>
  <c r="S55" i="9"/>
  <c r="S71" i="9"/>
  <c r="S31" i="9"/>
  <c r="S18" i="9"/>
  <c r="S43" i="9"/>
  <c r="S83" i="9"/>
  <c r="S38" i="9"/>
  <c r="S29" i="9"/>
  <c r="S21" i="9"/>
  <c r="S15" i="9"/>
  <c r="S45" i="9"/>
  <c r="S80" i="9"/>
  <c r="S52" i="9"/>
  <c r="S13" i="9"/>
  <c r="S17" i="9"/>
  <c r="S79" i="9"/>
  <c r="S28" i="9"/>
  <c r="S66" i="9"/>
  <c r="S48" i="9"/>
  <c r="S25" i="9"/>
  <c r="S23" i="9"/>
  <c r="S14" i="9"/>
  <c r="S34" i="9"/>
  <c r="S62" i="9"/>
  <c r="S32" i="9"/>
  <c r="S61" i="9"/>
  <c r="S82" i="9"/>
  <c r="S60" i="9"/>
  <c r="S47" i="9"/>
  <c r="S20" i="9"/>
  <c r="S85" i="9"/>
  <c r="S49" i="9"/>
  <c r="S75" i="9"/>
  <c r="S26" i="9"/>
  <c r="S41" i="9"/>
  <c r="S65" i="9"/>
  <c r="S42" i="9"/>
  <c r="S74" i="9"/>
  <c r="S36" i="9"/>
  <c r="S24" i="9"/>
  <c r="S50" i="9"/>
  <c r="S54" i="9"/>
  <c r="S46" i="9"/>
  <c r="S37" i="9"/>
  <c r="S33" i="9"/>
  <c r="S51" i="9"/>
  <c r="S69" i="9"/>
  <c r="S78" i="9"/>
  <c r="S67" i="9"/>
  <c r="S27" i="9"/>
  <c r="S44" i="9"/>
  <c r="S84" i="9"/>
  <c r="S35" i="9"/>
  <c r="S77" i="9"/>
  <c r="S19" i="9"/>
  <c r="S58" i="9"/>
  <c r="S16" i="9"/>
  <c r="S56" i="9"/>
  <c r="S39" i="9"/>
  <c r="S63" i="9"/>
  <c r="S81" i="9"/>
  <c r="S40" i="9"/>
  <c r="S73" i="9"/>
  <c r="S86" i="9"/>
  <c r="S53" i="9"/>
  <c r="S64" i="9"/>
  <c r="S22" i="9"/>
  <c r="S59" i="9"/>
  <c r="S30" i="9"/>
  <c r="T14" i="9" l="1"/>
  <c r="W14" i="9" s="1"/>
  <c r="X14" i="9" s="1"/>
  <c r="Y14" i="9" s="1"/>
  <c r="X131" i="9"/>
  <c r="Y131" i="9" s="1"/>
  <c r="X175" i="9"/>
  <c r="Y175" i="9" s="1"/>
  <c r="X311" i="9"/>
  <c r="Y311" i="9" s="1"/>
  <c r="X543" i="9"/>
  <c r="Y543" i="9" s="1"/>
  <c r="X671" i="9"/>
  <c r="Y671" i="9" s="1"/>
  <c r="X547" i="9"/>
  <c r="Y547" i="9" s="1"/>
  <c r="X88" i="9"/>
  <c r="Y88" i="9" s="1"/>
  <c r="X96" i="9"/>
  <c r="Y96" i="9" s="1"/>
  <c r="X112" i="9"/>
  <c r="Y112" i="9" s="1"/>
  <c r="X124" i="9"/>
  <c r="Y124" i="9" s="1"/>
  <c r="X132" i="9"/>
  <c r="Y132" i="9" s="1"/>
  <c r="X144" i="9"/>
  <c r="Y144" i="9" s="1"/>
  <c r="X156" i="9"/>
  <c r="Y156" i="9" s="1"/>
  <c r="X164" i="9"/>
  <c r="Y164" i="9" s="1"/>
  <c r="X176" i="9"/>
  <c r="Y176" i="9" s="1"/>
  <c r="X188" i="9"/>
  <c r="Y188" i="9" s="1"/>
  <c r="X192" i="9"/>
  <c r="Y192" i="9" s="1"/>
  <c r="X204" i="9"/>
  <c r="Y204" i="9" s="1"/>
  <c r="X212" i="9"/>
  <c r="Y212" i="9" s="1"/>
  <c r="X224" i="9"/>
  <c r="Y224" i="9" s="1"/>
  <c r="X236" i="9"/>
  <c r="Y236" i="9" s="1"/>
  <c r="X248" i="9"/>
  <c r="Y248" i="9" s="1"/>
  <c r="X260" i="9"/>
  <c r="Y260" i="9" s="1"/>
  <c r="X268" i="9"/>
  <c r="Y268" i="9" s="1"/>
  <c r="X280" i="9"/>
  <c r="Y280" i="9" s="1"/>
  <c r="X292" i="9"/>
  <c r="Y292" i="9" s="1"/>
  <c r="X300" i="9"/>
  <c r="Y300" i="9" s="1"/>
  <c r="X312" i="9"/>
  <c r="Y312" i="9" s="1"/>
  <c r="X316" i="9"/>
  <c r="Y316" i="9" s="1"/>
  <c r="X328" i="9"/>
  <c r="Y328" i="9" s="1"/>
  <c r="X344" i="9"/>
  <c r="Y344" i="9" s="1"/>
  <c r="X352" i="9"/>
  <c r="Y352" i="9" s="1"/>
  <c r="X360" i="9"/>
  <c r="Y360" i="9" s="1"/>
  <c r="X372" i="9"/>
  <c r="Y372" i="9" s="1"/>
  <c r="X384" i="9"/>
  <c r="Y384" i="9" s="1"/>
  <c r="X396" i="9"/>
  <c r="Y396" i="9" s="1"/>
  <c r="X404" i="9"/>
  <c r="Y404" i="9" s="1"/>
  <c r="X416" i="9"/>
  <c r="Y416" i="9" s="1"/>
  <c r="X428" i="9"/>
  <c r="Y428" i="9" s="1"/>
  <c r="X436" i="9"/>
  <c r="Y436" i="9" s="1"/>
  <c r="X444" i="9"/>
  <c r="Y444" i="9" s="1"/>
  <c r="X464" i="9"/>
  <c r="Y464" i="9" s="1"/>
  <c r="X476" i="9"/>
  <c r="Y476" i="9" s="1"/>
  <c r="X488" i="9"/>
  <c r="Y488" i="9" s="1"/>
  <c r="X500" i="9"/>
  <c r="Y500" i="9" s="1"/>
  <c r="X508" i="9"/>
  <c r="Y508" i="9" s="1"/>
  <c r="X520" i="9"/>
  <c r="Y520" i="9" s="1"/>
  <c r="X528" i="9"/>
  <c r="Y528" i="9" s="1"/>
  <c r="X540" i="9"/>
  <c r="Y540" i="9" s="1"/>
  <c r="X552" i="9"/>
  <c r="Y552" i="9" s="1"/>
  <c r="X560" i="9"/>
  <c r="Y560" i="9" s="1"/>
  <c r="X572" i="9"/>
  <c r="Y572" i="9" s="1"/>
  <c r="X580" i="9"/>
  <c r="Y580" i="9" s="1"/>
  <c r="X592" i="9"/>
  <c r="Y592" i="9" s="1"/>
  <c r="X608" i="9"/>
  <c r="Y608" i="9" s="1"/>
  <c r="X612" i="9"/>
  <c r="Y612" i="9" s="1"/>
  <c r="X628" i="9"/>
  <c r="Y628" i="9" s="1"/>
  <c r="X636" i="9"/>
  <c r="Y636" i="9" s="1"/>
  <c r="X648" i="9"/>
  <c r="Y648" i="9" s="1"/>
  <c r="X656" i="9"/>
  <c r="Y656" i="9" s="1"/>
  <c r="X668" i="9"/>
  <c r="Y668" i="9" s="1"/>
  <c r="X680" i="9"/>
  <c r="Y680" i="9" s="1"/>
  <c r="X688" i="9"/>
  <c r="Y688" i="9" s="1"/>
  <c r="X700" i="9"/>
  <c r="Y700" i="9" s="1"/>
  <c r="X712" i="9"/>
  <c r="Y712" i="9" s="1"/>
  <c r="X720" i="9"/>
  <c r="Y720" i="9" s="1"/>
  <c r="X123" i="9"/>
  <c r="Y123" i="9" s="1"/>
  <c r="X319" i="9"/>
  <c r="Y319" i="9" s="1"/>
  <c r="X327" i="9"/>
  <c r="Y327" i="9" s="1"/>
  <c r="X475" i="9"/>
  <c r="Y475" i="9" s="1"/>
  <c r="X291" i="9"/>
  <c r="Y291" i="9" s="1"/>
  <c r="X247" i="9"/>
  <c r="Y247" i="9" s="1"/>
  <c r="X467" i="9"/>
  <c r="Y467" i="9" s="1"/>
  <c r="X675" i="9"/>
  <c r="Y675" i="9" s="1"/>
  <c r="X100" i="9"/>
  <c r="Y100" i="9" s="1"/>
  <c r="X116" i="9"/>
  <c r="Y116" i="9" s="1"/>
  <c r="X136" i="9"/>
  <c r="Y136" i="9" s="1"/>
  <c r="X148" i="9"/>
  <c r="Y148" i="9" s="1"/>
  <c r="X168" i="9"/>
  <c r="Y168" i="9" s="1"/>
  <c r="X184" i="9"/>
  <c r="Y184" i="9" s="1"/>
  <c r="X200" i="9"/>
  <c r="Y200" i="9" s="1"/>
  <c r="X220" i="9"/>
  <c r="Y220" i="9" s="1"/>
  <c r="X232" i="9"/>
  <c r="Y232" i="9" s="1"/>
  <c r="X252" i="9"/>
  <c r="Y252" i="9" s="1"/>
  <c r="X272" i="9"/>
  <c r="Y272" i="9" s="1"/>
  <c r="X284" i="9"/>
  <c r="Y284" i="9" s="1"/>
  <c r="X304" i="9"/>
  <c r="Y304" i="9" s="1"/>
  <c r="X324" i="9"/>
  <c r="Y324" i="9" s="1"/>
  <c r="X336" i="9"/>
  <c r="Y336" i="9" s="1"/>
  <c r="X356" i="9"/>
  <c r="Y356" i="9" s="1"/>
  <c r="X376" i="9"/>
  <c r="Y376" i="9" s="1"/>
  <c r="X392" i="9"/>
  <c r="Y392" i="9" s="1"/>
  <c r="X408" i="9"/>
  <c r="Y408" i="9" s="1"/>
  <c r="X420" i="9"/>
  <c r="Y420" i="9" s="1"/>
  <c r="X440" i="9"/>
  <c r="Y440" i="9" s="1"/>
  <c r="X452" i="9"/>
  <c r="Y452" i="9" s="1"/>
  <c r="X456" i="9"/>
  <c r="Y456" i="9" s="1"/>
  <c r="X460" i="9"/>
  <c r="Y460" i="9" s="1"/>
  <c r="X468" i="9"/>
  <c r="Y468" i="9" s="1"/>
  <c r="X484" i="9"/>
  <c r="Y484" i="9" s="1"/>
  <c r="X496" i="9"/>
  <c r="Y496" i="9" s="1"/>
  <c r="X516" i="9"/>
  <c r="Y516" i="9" s="1"/>
  <c r="X536" i="9"/>
  <c r="Y536" i="9" s="1"/>
  <c r="X548" i="9"/>
  <c r="Y548" i="9" s="1"/>
  <c r="X564" i="9"/>
  <c r="Y564" i="9" s="1"/>
  <c r="X584" i="9"/>
  <c r="Y584" i="9" s="1"/>
  <c r="X600" i="9"/>
  <c r="Y600" i="9" s="1"/>
  <c r="X620" i="9"/>
  <c r="Y620" i="9" s="1"/>
  <c r="X640" i="9"/>
  <c r="Y640" i="9" s="1"/>
  <c r="X660" i="9"/>
  <c r="Y660" i="9" s="1"/>
  <c r="X676" i="9"/>
  <c r="Y676" i="9" s="1"/>
  <c r="X692" i="9"/>
  <c r="Y692" i="9" s="1"/>
  <c r="X708" i="9"/>
  <c r="Y708" i="9" s="1"/>
  <c r="X728" i="9"/>
  <c r="Y728" i="9" s="1"/>
  <c r="X163" i="9"/>
  <c r="Y163" i="9" s="1"/>
  <c r="X203" i="9"/>
  <c r="Y203" i="9" s="1"/>
  <c r="X151" i="9"/>
  <c r="Y151" i="9" s="1"/>
  <c r="X563" i="9"/>
  <c r="Y563" i="9" s="1"/>
  <c r="X259" i="9"/>
  <c r="Y259" i="9" s="1"/>
  <c r="X139" i="9"/>
  <c r="Y139" i="9" s="1"/>
  <c r="X119" i="9"/>
  <c r="Y119" i="9" s="1"/>
  <c r="X607" i="9"/>
  <c r="Y607" i="9" s="1"/>
  <c r="X499" i="9"/>
  <c r="Y499" i="9" s="1"/>
  <c r="X611" i="9"/>
  <c r="Y611" i="9" s="1"/>
  <c r="X92" i="9"/>
  <c r="Y92" i="9" s="1"/>
  <c r="X104" i="9"/>
  <c r="Y104" i="9" s="1"/>
  <c r="X108" i="9"/>
  <c r="Y108" i="9" s="1"/>
  <c r="X120" i="9"/>
  <c r="Y120" i="9" s="1"/>
  <c r="X128" i="9"/>
  <c r="Y128" i="9" s="1"/>
  <c r="X140" i="9"/>
  <c r="Y140" i="9" s="1"/>
  <c r="X152" i="9"/>
  <c r="Y152" i="9" s="1"/>
  <c r="X160" i="9"/>
  <c r="Y160" i="9" s="1"/>
  <c r="X172" i="9"/>
  <c r="Y172" i="9" s="1"/>
  <c r="X180" i="9"/>
  <c r="Y180" i="9" s="1"/>
  <c r="X196" i="9"/>
  <c r="Y196" i="9" s="1"/>
  <c r="X208" i="9"/>
  <c r="Y208" i="9" s="1"/>
  <c r="X216" i="9"/>
  <c r="Y216" i="9" s="1"/>
  <c r="X228" i="9"/>
  <c r="Y228" i="9" s="1"/>
  <c r="X240" i="9"/>
  <c r="Y240" i="9" s="1"/>
  <c r="X244" i="9"/>
  <c r="Y244" i="9" s="1"/>
  <c r="X256" i="9"/>
  <c r="Y256" i="9" s="1"/>
  <c r="X264" i="9"/>
  <c r="Y264" i="9" s="1"/>
  <c r="X276" i="9"/>
  <c r="Y276" i="9" s="1"/>
  <c r="X288" i="9"/>
  <c r="Y288" i="9" s="1"/>
  <c r="X296" i="9"/>
  <c r="Y296" i="9" s="1"/>
  <c r="X308" i="9"/>
  <c r="Y308" i="9" s="1"/>
  <c r="X320" i="9"/>
  <c r="Y320" i="9" s="1"/>
  <c r="X332" i="9"/>
  <c r="Y332" i="9" s="1"/>
  <c r="X340" i="9"/>
  <c r="Y340" i="9" s="1"/>
  <c r="X348" i="9"/>
  <c r="Y348" i="9" s="1"/>
  <c r="X364" i="9"/>
  <c r="Y364" i="9" s="1"/>
  <c r="X368" i="9"/>
  <c r="Y368" i="9" s="1"/>
  <c r="X380" i="9"/>
  <c r="Y380" i="9" s="1"/>
  <c r="X388" i="9"/>
  <c r="Y388" i="9" s="1"/>
  <c r="X400" i="9"/>
  <c r="Y400" i="9" s="1"/>
  <c r="X412" i="9"/>
  <c r="Y412" i="9" s="1"/>
  <c r="X424" i="9"/>
  <c r="Y424" i="9" s="1"/>
  <c r="X432" i="9"/>
  <c r="Y432" i="9" s="1"/>
  <c r="X448" i="9"/>
  <c r="Y448" i="9" s="1"/>
  <c r="X472" i="9"/>
  <c r="Y472" i="9" s="1"/>
  <c r="X480" i="9"/>
  <c r="Y480" i="9" s="1"/>
  <c r="X492" i="9"/>
  <c r="Y492" i="9" s="1"/>
  <c r="X504" i="9"/>
  <c r="Y504" i="9" s="1"/>
  <c r="X512" i="9"/>
  <c r="Y512" i="9" s="1"/>
  <c r="X524" i="9"/>
  <c r="Y524" i="9" s="1"/>
  <c r="X532" i="9"/>
  <c r="Y532" i="9" s="1"/>
  <c r="X544" i="9"/>
  <c r="Y544" i="9" s="1"/>
  <c r="X556" i="9"/>
  <c r="Y556" i="9" s="1"/>
  <c r="X568" i="9"/>
  <c r="Y568" i="9" s="1"/>
  <c r="X576" i="9"/>
  <c r="Y576" i="9" s="1"/>
  <c r="X588" i="9"/>
  <c r="Y588" i="9" s="1"/>
  <c r="X596" i="9"/>
  <c r="Y596" i="9" s="1"/>
  <c r="X604" i="9"/>
  <c r="Y604" i="9" s="1"/>
  <c r="X616" i="9"/>
  <c r="Y616" i="9" s="1"/>
  <c r="X624" i="9"/>
  <c r="Y624" i="9" s="1"/>
  <c r="X632" i="9"/>
  <c r="Y632" i="9" s="1"/>
  <c r="X644" i="9"/>
  <c r="Y644" i="9" s="1"/>
  <c r="X652" i="9"/>
  <c r="Y652" i="9" s="1"/>
  <c r="X664" i="9"/>
  <c r="Y664" i="9" s="1"/>
  <c r="X672" i="9"/>
  <c r="Y672" i="9" s="1"/>
  <c r="X684" i="9"/>
  <c r="Y684" i="9" s="1"/>
  <c r="X696" i="9"/>
  <c r="Y696" i="9" s="1"/>
  <c r="X704" i="9"/>
  <c r="Y704" i="9" s="1"/>
  <c r="X716" i="9"/>
  <c r="Y716" i="9" s="1"/>
  <c r="X724" i="9"/>
  <c r="Y724" i="9" s="1"/>
  <c r="X207" i="9"/>
  <c r="Y207" i="9" s="1"/>
  <c r="X559" i="9"/>
  <c r="Y559" i="9" s="1"/>
  <c r="X623" i="9"/>
  <c r="Y623" i="9" s="1"/>
  <c r="X687" i="9"/>
  <c r="Y687" i="9" s="1"/>
  <c r="X507" i="9"/>
  <c r="Y507" i="9" s="1"/>
  <c r="X627" i="9"/>
  <c r="Y627" i="9" s="1"/>
  <c r="X89" i="9"/>
  <c r="Y89" i="9" s="1"/>
  <c r="X97" i="9"/>
  <c r="Y97" i="9" s="1"/>
  <c r="X105" i="9"/>
  <c r="Y105" i="9" s="1"/>
  <c r="X113" i="9"/>
  <c r="Y113" i="9" s="1"/>
  <c r="X121" i="9"/>
  <c r="Y121" i="9" s="1"/>
  <c r="X125" i="9"/>
  <c r="Y125" i="9" s="1"/>
  <c r="X133" i="9"/>
  <c r="Y133" i="9" s="1"/>
  <c r="X141" i="9"/>
  <c r="Y141" i="9" s="1"/>
  <c r="X149" i="9"/>
  <c r="Y149" i="9" s="1"/>
  <c r="X157" i="9"/>
  <c r="Y157" i="9" s="1"/>
  <c r="X165" i="9"/>
  <c r="Y165" i="9" s="1"/>
  <c r="X173" i="9"/>
  <c r="Y173" i="9" s="1"/>
  <c r="X181" i="9"/>
  <c r="Y181" i="9" s="1"/>
  <c r="X189" i="9"/>
  <c r="Y189" i="9" s="1"/>
  <c r="X197" i="9"/>
  <c r="Y197" i="9" s="1"/>
  <c r="X205" i="9"/>
  <c r="Y205" i="9" s="1"/>
  <c r="X213" i="9"/>
  <c r="Y213" i="9" s="1"/>
  <c r="X217" i="9"/>
  <c r="Y217" i="9" s="1"/>
  <c r="X225" i="9"/>
  <c r="Y225" i="9" s="1"/>
  <c r="X233" i="9"/>
  <c r="Y233" i="9" s="1"/>
  <c r="X241" i="9"/>
  <c r="Y241" i="9" s="1"/>
  <c r="X249" i="9"/>
  <c r="Y249" i="9" s="1"/>
  <c r="X257" i="9"/>
  <c r="Y257" i="9" s="1"/>
  <c r="X269" i="9"/>
  <c r="Y269" i="9" s="1"/>
  <c r="X277" i="9"/>
  <c r="Y277" i="9" s="1"/>
  <c r="X285" i="9"/>
  <c r="Y285" i="9" s="1"/>
  <c r="X293" i="9"/>
  <c r="Y293" i="9" s="1"/>
  <c r="X297" i="9"/>
  <c r="Y297" i="9" s="1"/>
  <c r="X309" i="9"/>
  <c r="Y309" i="9" s="1"/>
  <c r="X313" i="9"/>
  <c r="Y313" i="9" s="1"/>
  <c r="X321" i="9"/>
  <c r="Y321" i="9" s="1"/>
  <c r="X329" i="9"/>
  <c r="Y329" i="9" s="1"/>
  <c r="X337" i="9"/>
  <c r="Y337" i="9" s="1"/>
  <c r="X345" i="9"/>
  <c r="Y345" i="9" s="1"/>
  <c r="X353" i="9"/>
  <c r="Y353" i="9" s="1"/>
  <c r="X361" i="9"/>
  <c r="Y361" i="9" s="1"/>
  <c r="X369" i="9"/>
  <c r="Y369" i="9" s="1"/>
  <c r="X381" i="9"/>
  <c r="Y381" i="9" s="1"/>
  <c r="X385" i="9"/>
  <c r="Y385" i="9" s="1"/>
  <c r="X397" i="9"/>
  <c r="Y397" i="9" s="1"/>
  <c r="X401" i="9"/>
  <c r="Y401" i="9" s="1"/>
  <c r="X413" i="9"/>
  <c r="Y413" i="9" s="1"/>
  <c r="X421" i="9"/>
  <c r="Y421" i="9" s="1"/>
  <c r="X433" i="9"/>
  <c r="Y433" i="9" s="1"/>
  <c r="X441" i="9"/>
  <c r="Y441" i="9" s="1"/>
  <c r="X449" i="9"/>
  <c r="Y449" i="9" s="1"/>
  <c r="X457" i="9"/>
  <c r="Y457" i="9" s="1"/>
  <c r="X465" i="9"/>
  <c r="Y465" i="9" s="1"/>
  <c r="X473" i="9"/>
  <c r="Y473" i="9" s="1"/>
  <c r="X481" i="9"/>
  <c r="Y481" i="9" s="1"/>
  <c r="X489" i="9"/>
  <c r="Y489" i="9" s="1"/>
  <c r="X497" i="9"/>
  <c r="Y497" i="9" s="1"/>
  <c r="X505" i="9"/>
  <c r="Y505" i="9" s="1"/>
  <c r="X513" i="9"/>
  <c r="Y513" i="9" s="1"/>
  <c r="X521" i="9"/>
  <c r="Y521" i="9" s="1"/>
  <c r="X529" i="9"/>
  <c r="Y529" i="9" s="1"/>
  <c r="X537" i="9"/>
  <c r="Y537" i="9" s="1"/>
  <c r="X545" i="9"/>
  <c r="Y545" i="9" s="1"/>
  <c r="X553" i="9"/>
  <c r="Y553" i="9" s="1"/>
  <c r="X561" i="9"/>
  <c r="Y561" i="9" s="1"/>
  <c r="X573" i="9"/>
  <c r="Y573" i="9" s="1"/>
  <c r="X577" i="9"/>
  <c r="Y577" i="9" s="1"/>
  <c r="X585" i="9"/>
  <c r="Y585" i="9" s="1"/>
  <c r="X593" i="9"/>
  <c r="Y593" i="9" s="1"/>
  <c r="X601" i="9"/>
  <c r="Y601" i="9" s="1"/>
  <c r="X609" i="9"/>
  <c r="Y609" i="9" s="1"/>
  <c r="X617" i="9"/>
  <c r="Y617" i="9" s="1"/>
  <c r="X625" i="9"/>
  <c r="Y625" i="9" s="1"/>
  <c r="X633" i="9"/>
  <c r="Y633" i="9" s="1"/>
  <c r="X641" i="9"/>
  <c r="Y641" i="9" s="1"/>
  <c r="X649" i="9"/>
  <c r="Y649" i="9" s="1"/>
  <c r="X657" i="9"/>
  <c r="Y657" i="9" s="1"/>
  <c r="X665" i="9"/>
  <c r="Y665" i="9" s="1"/>
  <c r="X673" i="9"/>
  <c r="Y673" i="9" s="1"/>
  <c r="X677" i="9"/>
  <c r="Y677" i="9" s="1"/>
  <c r="X685" i="9"/>
  <c r="Y685" i="9" s="1"/>
  <c r="X697" i="9"/>
  <c r="Y697" i="9" s="1"/>
  <c r="X705" i="9"/>
  <c r="Y705" i="9" s="1"/>
  <c r="X713" i="9"/>
  <c r="Y713" i="9" s="1"/>
  <c r="X721" i="9"/>
  <c r="Y721" i="9" s="1"/>
  <c r="X729" i="9"/>
  <c r="Y729" i="9" s="1"/>
  <c r="X195" i="9"/>
  <c r="Y195" i="9" s="1"/>
  <c r="X187" i="9"/>
  <c r="Y187" i="9" s="1"/>
  <c r="X111" i="9"/>
  <c r="Y111" i="9" s="1"/>
  <c r="X239" i="9"/>
  <c r="Y239" i="9" s="1"/>
  <c r="X295" i="9"/>
  <c r="Y295" i="9" s="1"/>
  <c r="X335" i="9"/>
  <c r="Y335" i="9" s="1"/>
  <c r="X183" i="9"/>
  <c r="Y183" i="9" s="1"/>
  <c r="X714" i="9"/>
  <c r="Y714" i="9" s="1"/>
  <c r="X575" i="9"/>
  <c r="Y575" i="9" s="1"/>
  <c r="X639" i="9"/>
  <c r="Y639" i="9" s="1"/>
  <c r="X451" i="9"/>
  <c r="Y451" i="9" s="1"/>
  <c r="X483" i="9"/>
  <c r="Y483" i="9" s="1"/>
  <c r="X515" i="9"/>
  <c r="Y515" i="9" s="1"/>
  <c r="X579" i="9"/>
  <c r="Y579" i="9" s="1"/>
  <c r="X643" i="9"/>
  <c r="Y643" i="9" s="1"/>
  <c r="X90" i="9"/>
  <c r="Y90" i="9" s="1"/>
  <c r="X94" i="9"/>
  <c r="Y94" i="9" s="1"/>
  <c r="X98" i="9"/>
  <c r="Y98" i="9" s="1"/>
  <c r="X102" i="9"/>
  <c r="Y102" i="9" s="1"/>
  <c r="X106" i="9"/>
  <c r="Y106" i="9" s="1"/>
  <c r="X110" i="9"/>
  <c r="Y110" i="9" s="1"/>
  <c r="X114" i="9"/>
  <c r="Y114" i="9" s="1"/>
  <c r="X118" i="9"/>
  <c r="Y118" i="9" s="1"/>
  <c r="X122" i="9"/>
  <c r="Y122" i="9" s="1"/>
  <c r="X126" i="9"/>
  <c r="Y126" i="9" s="1"/>
  <c r="X130" i="9"/>
  <c r="Y130" i="9" s="1"/>
  <c r="X134" i="9"/>
  <c r="Y134" i="9" s="1"/>
  <c r="X138" i="9"/>
  <c r="Y138" i="9" s="1"/>
  <c r="X142" i="9"/>
  <c r="Y142" i="9" s="1"/>
  <c r="X146" i="9"/>
  <c r="Y146" i="9" s="1"/>
  <c r="X150" i="9"/>
  <c r="Y150" i="9" s="1"/>
  <c r="X154" i="9"/>
  <c r="Y154" i="9" s="1"/>
  <c r="X158" i="9"/>
  <c r="Y158" i="9" s="1"/>
  <c r="X162" i="9"/>
  <c r="Y162" i="9" s="1"/>
  <c r="X166" i="9"/>
  <c r="Y166" i="9" s="1"/>
  <c r="X170" i="9"/>
  <c r="Y170" i="9" s="1"/>
  <c r="X174" i="9"/>
  <c r="Y174" i="9" s="1"/>
  <c r="X178" i="9"/>
  <c r="Y178" i="9" s="1"/>
  <c r="X182" i="9"/>
  <c r="Y182" i="9" s="1"/>
  <c r="X186" i="9"/>
  <c r="Y186" i="9" s="1"/>
  <c r="X190" i="9"/>
  <c r="Y190" i="9" s="1"/>
  <c r="X194" i="9"/>
  <c r="Y194" i="9" s="1"/>
  <c r="X198" i="9"/>
  <c r="Y198" i="9" s="1"/>
  <c r="X202" i="9"/>
  <c r="Y202" i="9" s="1"/>
  <c r="X206" i="9"/>
  <c r="Y206" i="9" s="1"/>
  <c r="X210" i="9"/>
  <c r="Y210" i="9" s="1"/>
  <c r="X214" i="9"/>
  <c r="Y214" i="9" s="1"/>
  <c r="X218" i="9"/>
  <c r="Y218" i="9" s="1"/>
  <c r="X222" i="9"/>
  <c r="Y222" i="9" s="1"/>
  <c r="X226" i="9"/>
  <c r="Y226" i="9" s="1"/>
  <c r="X230" i="9"/>
  <c r="Y230" i="9" s="1"/>
  <c r="X234" i="9"/>
  <c r="Y234" i="9" s="1"/>
  <c r="X238" i="9"/>
  <c r="Y238" i="9" s="1"/>
  <c r="X242" i="9"/>
  <c r="Y242" i="9" s="1"/>
  <c r="X246" i="9"/>
  <c r="Y246" i="9" s="1"/>
  <c r="X250" i="9"/>
  <c r="Y250" i="9" s="1"/>
  <c r="X254" i="9"/>
  <c r="Y254" i="9" s="1"/>
  <c r="X258" i="9"/>
  <c r="Y258" i="9" s="1"/>
  <c r="X262" i="9"/>
  <c r="Y262" i="9" s="1"/>
  <c r="X266" i="9"/>
  <c r="Y266" i="9" s="1"/>
  <c r="X270" i="9"/>
  <c r="Y270" i="9" s="1"/>
  <c r="X274" i="9"/>
  <c r="Y274" i="9" s="1"/>
  <c r="X278" i="9"/>
  <c r="Y278" i="9" s="1"/>
  <c r="X282" i="9"/>
  <c r="Y282" i="9" s="1"/>
  <c r="X286" i="9"/>
  <c r="Y286" i="9" s="1"/>
  <c r="X290" i="9"/>
  <c r="Y290" i="9" s="1"/>
  <c r="X294" i="9"/>
  <c r="Y294" i="9" s="1"/>
  <c r="X298" i="9"/>
  <c r="Y298" i="9" s="1"/>
  <c r="X302" i="9"/>
  <c r="Y302" i="9" s="1"/>
  <c r="X306" i="9"/>
  <c r="Y306" i="9" s="1"/>
  <c r="X310" i="9"/>
  <c r="Y310" i="9" s="1"/>
  <c r="X314" i="9"/>
  <c r="Y314" i="9" s="1"/>
  <c r="X318" i="9"/>
  <c r="Y318" i="9" s="1"/>
  <c r="X322" i="9"/>
  <c r="Y322" i="9" s="1"/>
  <c r="X326" i="9"/>
  <c r="Y326" i="9" s="1"/>
  <c r="X330" i="9"/>
  <c r="Y330" i="9" s="1"/>
  <c r="X334" i="9"/>
  <c r="Y334" i="9" s="1"/>
  <c r="X338" i="9"/>
  <c r="Y338" i="9" s="1"/>
  <c r="X342" i="9"/>
  <c r="Y342" i="9" s="1"/>
  <c r="X346" i="9"/>
  <c r="Y346" i="9" s="1"/>
  <c r="X350" i="9"/>
  <c r="Y350" i="9" s="1"/>
  <c r="X354" i="9"/>
  <c r="Y354" i="9" s="1"/>
  <c r="X358" i="9"/>
  <c r="Y358" i="9" s="1"/>
  <c r="X362" i="9"/>
  <c r="Y362" i="9" s="1"/>
  <c r="X366" i="9"/>
  <c r="Y366" i="9" s="1"/>
  <c r="X370" i="9"/>
  <c r="Y370" i="9" s="1"/>
  <c r="X374" i="9"/>
  <c r="Y374" i="9" s="1"/>
  <c r="X382" i="9"/>
  <c r="Y382" i="9" s="1"/>
  <c r="X386" i="9"/>
  <c r="Y386" i="9" s="1"/>
  <c r="X390" i="9"/>
  <c r="Y390" i="9" s="1"/>
  <c r="X394" i="9"/>
  <c r="Y394" i="9" s="1"/>
  <c r="X398" i="9"/>
  <c r="Y398" i="9" s="1"/>
  <c r="X402" i="9"/>
  <c r="Y402" i="9" s="1"/>
  <c r="X406" i="9"/>
  <c r="Y406" i="9" s="1"/>
  <c r="X410" i="9"/>
  <c r="Y410" i="9" s="1"/>
  <c r="X414" i="9"/>
  <c r="Y414" i="9" s="1"/>
  <c r="X418" i="9"/>
  <c r="Y418" i="9" s="1"/>
  <c r="X422" i="9"/>
  <c r="Y422" i="9" s="1"/>
  <c r="X426" i="9"/>
  <c r="Y426" i="9" s="1"/>
  <c r="X430" i="9"/>
  <c r="Y430" i="9" s="1"/>
  <c r="X434" i="9"/>
  <c r="Y434" i="9" s="1"/>
  <c r="X438" i="9"/>
  <c r="Y438" i="9" s="1"/>
  <c r="X442" i="9"/>
  <c r="Y442" i="9" s="1"/>
  <c r="X446" i="9"/>
  <c r="Y446" i="9" s="1"/>
  <c r="X450" i="9"/>
  <c r="Y450" i="9" s="1"/>
  <c r="X454" i="9"/>
  <c r="Y454" i="9" s="1"/>
  <c r="X458" i="9"/>
  <c r="Y458" i="9" s="1"/>
  <c r="X462" i="9"/>
  <c r="Y462" i="9" s="1"/>
  <c r="X466" i="9"/>
  <c r="Y466" i="9" s="1"/>
  <c r="X470" i="9"/>
  <c r="Y470" i="9" s="1"/>
  <c r="X474" i="9"/>
  <c r="Y474" i="9" s="1"/>
  <c r="X478" i="9"/>
  <c r="Y478" i="9" s="1"/>
  <c r="X482" i="9"/>
  <c r="Y482" i="9" s="1"/>
  <c r="X486" i="9"/>
  <c r="Y486" i="9" s="1"/>
  <c r="X490" i="9"/>
  <c r="Y490" i="9" s="1"/>
  <c r="X494" i="9"/>
  <c r="Y494" i="9" s="1"/>
  <c r="X498" i="9"/>
  <c r="Y498" i="9" s="1"/>
  <c r="X502" i="9"/>
  <c r="Y502" i="9" s="1"/>
  <c r="X506" i="9"/>
  <c r="Y506" i="9" s="1"/>
  <c r="X510" i="9"/>
  <c r="Y510" i="9" s="1"/>
  <c r="X514" i="9"/>
  <c r="Y514" i="9" s="1"/>
  <c r="X518" i="9"/>
  <c r="Y518" i="9" s="1"/>
  <c r="X522" i="9"/>
  <c r="Y522" i="9" s="1"/>
  <c r="X526" i="9"/>
  <c r="Y526" i="9" s="1"/>
  <c r="X530" i="9"/>
  <c r="Y530" i="9" s="1"/>
  <c r="X534" i="9"/>
  <c r="Y534" i="9" s="1"/>
  <c r="X538" i="9"/>
  <c r="Y538" i="9" s="1"/>
  <c r="X542" i="9"/>
  <c r="Y542" i="9" s="1"/>
  <c r="X546" i="9"/>
  <c r="Y546" i="9" s="1"/>
  <c r="X550" i="9"/>
  <c r="Y550" i="9" s="1"/>
  <c r="X554" i="9"/>
  <c r="Y554" i="9" s="1"/>
  <c r="X558" i="9"/>
  <c r="Y558" i="9" s="1"/>
  <c r="X562" i="9"/>
  <c r="Y562" i="9" s="1"/>
  <c r="X566" i="9"/>
  <c r="Y566" i="9" s="1"/>
  <c r="X570" i="9"/>
  <c r="Y570" i="9" s="1"/>
  <c r="X574" i="9"/>
  <c r="Y574" i="9" s="1"/>
  <c r="X578" i="9"/>
  <c r="Y578" i="9" s="1"/>
  <c r="X582" i="9"/>
  <c r="Y582" i="9" s="1"/>
  <c r="X586" i="9"/>
  <c r="Y586" i="9" s="1"/>
  <c r="X590" i="9"/>
  <c r="Y590" i="9" s="1"/>
  <c r="X594" i="9"/>
  <c r="Y594" i="9" s="1"/>
  <c r="X598" i="9"/>
  <c r="Y598" i="9" s="1"/>
  <c r="X602" i="9"/>
  <c r="Y602" i="9" s="1"/>
  <c r="X606" i="9"/>
  <c r="Y606" i="9" s="1"/>
  <c r="X610" i="9"/>
  <c r="Y610" i="9" s="1"/>
  <c r="X614" i="9"/>
  <c r="Y614" i="9" s="1"/>
  <c r="X622" i="9"/>
  <c r="Y622" i="9" s="1"/>
  <c r="X626" i="9"/>
  <c r="Y626" i="9" s="1"/>
  <c r="X630" i="9"/>
  <c r="Y630" i="9" s="1"/>
  <c r="X634" i="9"/>
  <c r="Y634" i="9" s="1"/>
  <c r="X638" i="9"/>
  <c r="Y638" i="9" s="1"/>
  <c r="X642" i="9"/>
  <c r="Y642" i="9" s="1"/>
  <c r="X646" i="9"/>
  <c r="Y646" i="9" s="1"/>
  <c r="X650" i="9"/>
  <c r="Y650" i="9" s="1"/>
  <c r="X654" i="9"/>
  <c r="Y654" i="9" s="1"/>
  <c r="X658" i="9"/>
  <c r="Y658" i="9" s="1"/>
  <c r="X662" i="9"/>
  <c r="Y662" i="9" s="1"/>
  <c r="X666" i="9"/>
  <c r="Y666" i="9" s="1"/>
  <c r="X670" i="9"/>
  <c r="Y670" i="9" s="1"/>
  <c r="X674" i="9"/>
  <c r="Y674" i="9" s="1"/>
  <c r="X678" i="9"/>
  <c r="Y678" i="9" s="1"/>
  <c r="X686" i="9"/>
  <c r="Y686" i="9" s="1"/>
  <c r="X690" i="9"/>
  <c r="Y690" i="9" s="1"/>
  <c r="X694" i="9"/>
  <c r="Y694" i="9" s="1"/>
  <c r="X698" i="9"/>
  <c r="Y698" i="9" s="1"/>
  <c r="X702" i="9"/>
  <c r="Y702" i="9" s="1"/>
  <c r="X706" i="9"/>
  <c r="Y706" i="9" s="1"/>
  <c r="X710" i="9"/>
  <c r="Y710" i="9" s="1"/>
  <c r="X718" i="9"/>
  <c r="Y718" i="9" s="1"/>
  <c r="X722" i="9"/>
  <c r="Y722" i="9" s="1"/>
  <c r="X726" i="9"/>
  <c r="Y726" i="9" s="1"/>
  <c r="X730" i="9"/>
  <c r="Y730" i="9" s="1"/>
  <c r="X93" i="9"/>
  <c r="Y93" i="9" s="1"/>
  <c r="X101" i="9"/>
  <c r="Y101" i="9" s="1"/>
  <c r="X109" i="9"/>
  <c r="Y109" i="9" s="1"/>
  <c r="X117" i="9"/>
  <c r="Y117" i="9" s="1"/>
  <c r="X129" i="9"/>
  <c r="Y129" i="9" s="1"/>
  <c r="X137" i="9"/>
  <c r="Y137" i="9" s="1"/>
  <c r="X145" i="9"/>
  <c r="Y145" i="9" s="1"/>
  <c r="X153" i="9"/>
  <c r="Y153" i="9" s="1"/>
  <c r="X161" i="9"/>
  <c r="Y161" i="9" s="1"/>
  <c r="X169" i="9"/>
  <c r="Y169" i="9" s="1"/>
  <c r="X177" i="9"/>
  <c r="Y177" i="9" s="1"/>
  <c r="X185" i="9"/>
  <c r="Y185" i="9" s="1"/>
  <c r="X193" i="9"/>
  <c r="Y193" i="9" s="1"/>
  <c r="X201" i="9"/>
  <c r="Y201" i="9" s="1"/>
  <c r="X209" i="9"/>
  <c r="Y209" i="9" s="1"/>
  <c r="X221" i="9"/>
  <c r="Y221" i="9" s="1"/>
  <c r="X229" i="9"/>
  <c r="Y229" i="9" s="1"/>
  <c r="X237" i="9"/>
  <c r="Y237" i="9" s="1"/>
  <c r="X245" i="9"/>
  <c r="Y245" i="9" s="1"/>
  <c r="X253" i="9"/>
  <c r="Y253" i="9" s="1"/>
  <c r="X261" i="9"/>
  <c r="Y261" i="9" s="1"/>
  <c r="X265" i="9"/>
  <c r="Y265" i="9" s="1"/>
  <c r="X273" i="9"/>
  <c r="Y273" i="9" s="1"/>
  <c r="X281" i="9"/>
  <c r="Y281" i="9" s="1"/>
  <c r="X289" i="9"/>
  <c r="Y289" i="9" s="1"/>
  <c r="X301" i="9"/>
  <c r="Y301" i="9" s="1"/>
  <c r="X305" i="9"/>
  <c r="Y305" i="9" s="1"/>
  <c r="X317" i="9"/>
  <c r="Y317" i="9" s="1"/>
  <c r="X325" i="9"/>
  <c r="Y325" i="9" s="1"/>
  <c r="X333" i="9"/>
  <c r="Y333" i="9" s="1"/>
  <c r="X341" i="9"/>
  <c r="Y341" i="9" s="1"/>
  <c r="X349" i="9"/>
  <c r="Y349" i="9" s="1"/>
  <c r="X357" i="9"/>
  <c r="Y357" i="9" s="1"/>
  <c r="X365" i="9"/>
  <c r="Y365" i="9" s="1"/>
  <c r="X373" i="9"/>
  <c r="Y373" i="9" s="1"/>
  <c r="X377" i="9"/>
  <c r="Y377" i="9" s="1"/>
  <c r="X389" i="9"/>
  <c r="Y389" i="9" s="1"/>
  <c r="X393" i="9"/>
  <c r="Y393" i="9" s="1"/>
  <c r="X405" i="9"/>
  <c r="Y405" i="9" s="1"/>
  <c r="X409" i="9"/>
  <c r="Y409" i="9" s="1"/>
  <c r="X417" i="9"/>
  <c r="Y417" i="9" s="1"/>
  <c r="X425" i="9"/>
  <c r="Y425" i="9" s="1"/>
  <c r="X429" i="9"/>
  <c r="Y429" i="9" s="1"/>
  <c r="X437" i="9"/>
  <c r="Y437" i="9" s="1"/>
  <c r="X445" i="9"/>
  <c r="Y445" i="9" s="1"/>
  <c r="X453" i="9"/>
  <c r="Y453" i="9" s="1"/>
  <c r="X461" i="9"/>
  <c r="Y461" i="9" s="1"/>
  <c r="X469" i="9"/>
  <c r="Y469" i="9" s="1"/>
  <c r="X477" i="9"/>
  <c r="Y477" i="9" s="1"/>
  <c r="X485" i="9"/>
  <c r="Y485" i="9" s="1"/>
  <c r="X493" i="9"/>
  <c r="Y493" i="9" s="1"/>
  <c r="X501" i="9"/>
  <c r="Y501" i="9" s="1"/>
  <c r="X509" i="9"/>
  <c r="Y509" i="9" s="1"/>
  <c r="X517" i="9"/>
  <c r="Y517" i="9" s="1"/>
  <c r="X525" i="9"/>
  <c r="Y525" i="9" s="1"/>
  <c r="X533" i="9"/>
  <c r="Y533" i="9" s="1"/>
  <c r="X541" i="9"/>
  <c r="Y541" i="9" s="1"/>
  <c r="X549" i="9"/>
  <c r="Y549" i="9" s="1"/>
  <c r="X557" i="9"/>
  <c r="Y557" i="9" s="1"/>
  <c r="X565" i="9"/>
  <c r="Y565" i="9" s="1"/>
  <c r="X569" i="9"/>
  <c r="Y569" i="9" s="1"/>
  <c r="X581" i="9"/>
  <c r="Y581" i="9" s="1"/>
  <c r="X589" i="9"/>
  <c r="Y589" i="9" s="1"/>
  <c r="X597" i="9"/>
  <c r="Y597" i="9" s="1"/>
  <c r="X605" i="9"/>
  <c r="Y605" i="9" s="1"/>
  <c r="X613" i="9"/>
  <c r="Y613" i="9" s="1"/>
  <c r="X621" i="9"/>
  <c r="Y621" i="9" s="1"/>
  <c r="X629" i="9"/>
  <c r="Y629" i="9" s="1"/>
  <c r="X637" i="9"/>
  <c r="Y637" i="9" s="1"/>
  <c r="X645" i="9"/>
  <c r="Y645" i="9" s="1"/>
  <c r="X653" i="9"/>
  <c r="Y653" i="9" s="1"/>
  <c r="X661" i="9"/>
  <c r="Y661" i="9" s="1"/>
  <c r="X669" i="9"/>
  <c r="Y669" i="9" s="1"/>
  <c r="X681" i="9"/>
  <c r="Y681" i="9" s="1"/>
  <c r="X689" i="9"/>
  <c r="Y689" i="9" s="1"/>
  <c r="X693" i="9"/>
  <c r="Y693" i="9" s="1"/>
  <c r="X701" i="9"/>
  <c r="Y701" i="9" s="1"/>
  <c r="X709" i="9"/>
  <c r="Y709" i="9" s="1"/>
  <c r="X717" i="9"/>
  <c r="Y717" i="9" s="1"/>
  <c r="X725" i="9"/>
  <c r="Y725" i="9" s="1"/>
  <c r="X99" i="9"/>
  <c r="Y99" i="9" s="1"/>
  <c r="X227" i="9"/>
  <c r="Y227" i="9" s="1"/>
  <c r="X251" i="9"/>
  <c r="Y251" i="9" s="1"/>
  <c r="X143" i="9"/>
  <c r="Y143" i="9" s="1"/>
  <c r="X91" i="9"/>
  <c r="Y91" i="9" s="1"/>
  <c r="X303" i="9"/>
  <c r="Y303" i="9" s="1"/>
  <c r="X87" i="9"/>
  <c r="Y87" i="9" s="1"/>
  <c r="X215" i="9"/>
  <c r="Y215" i="9" s="1"/>
  <c r="X527" i="9"/>
  <c r="Y527" i="9" s="1"/>
  <c r="X591" i="9"/>
  <c r="Y591" i="9" s="1"/>
  <c r="X655" i="9"/>
  <c r="Y655" i="9" s="1"/>
  <c r="X459" i="9"/>
  <c r="Y459" i="9" s="1"/>
  <c r="X491" i="9"/>
  <c r="Y491" i="9" s="1"/>
  <c r="X531" i="9"/>
  <c r="Y531" i="9" s="1"/>
  <c r="X595" i="9"/>
  <c r="Y595" i="9" s="1"/>
  <c r="X659" i="9"/>
  <c r="Y659" i="9" s="1"/>
  <c r="X95" i="9"/>
  <c r="Y95" i="9" s="1"/>
  <c r="X103" i="9"/>
  <c r="Y103" i="9" s="1"/>
  <c r="X107" i="9"/>
  <c r="Y107" i="9" s="1"/>
  <c r="X115" i="9"/>
  <c r="Y115" i="9" s="1"/>
  <c r="X127" i="9"/>
  <c r="Y127" i="9" s="1"/>
  <c r="X135" i="9"/>
  <c r="Y135" i="9" s="1"/>
  <c r="X147" i="9"/>
  <c r="Y147" i="9" s="1"/>
  <c r="X155" i="9"/>
  <c r="Y155" i="9" s="1"/>
  <c r="X159" i="9"/>
  <c r="Y159" i="9" s="1"/>
  <c r="X167" i="9"/>
  <c r="Y167" i="9" s="1"/>
  <c r="X171" i="9"/>
  <c r="Y171" i="9" s="1"/>
  <c r="X179" i="9"/>
  <c r="Y179" i="9" s="1"/>
  <c r="X191" i="9"/>
  <c r="Y191" i="9" s="1"/>
  <c r="X199" i="9"/>
  <c r="Y199" i="9" s="1"/>
  <c r="X211" i="9"/>
  <c r="Y211" i="9" s="1"/>
  <c r="X219" i="9"/>
  <c r="Y219" i="9" s="1"/>
  <c r="X223" i="9"/>
  <c r="Y223" i="9" s="1"/>
  <c r="X231" i="9"/>
  <c r="Y231" i="9" s="1"/>
  <c r="X235" i="9"/>
  <c r="Y235" i="9" s="1"/>
  <c r="X243" i="9"/>
  <c r="Y243" i="9" s="1"/>
  <c r="X255" i="9"/>
  <c r="Y255" i="9" s="1"/>
  <c r="X263" i="9"/>
  <c r="Y263" i="9" s="1"/>
  <c r="X267" i="9"/>
  <c r="Y267" i="9" s="1"/>
  <c r="X271" i="9"/>
  <c r="Y271" i="9" s="1"/>
  <c r="X275" i="9"/>
  <c r="Y275" i="9" s="1"/>
  <c r="X279" i="9"/>
  <c r="Y279" i="9" s="1"/>
  <c r="X283" i="9"/>
  <c r="Y283" i="9" s="1"/>
  <c r="X287" i="9"/>
  <c r="Y287" i="9" s="1"/>
  <c r="X299" i="9"/>
  <c r="Y299" i="9" s="1"/>
  <c r="X307" i="9"/>
  <c r="Y307" i="9" s="1"/>
  <c r="X315" i="9"/>
  <c r="Y315" i="9" s="1"/>
  <c r="X323" i="9"/>
  <c r="Y323" i="9" s="1"/>
  <c r="X331" i="9"/>
  <c r="Y331" i="9" s="1"/>
  <c r="X339" i="9"/>
  <c r="Y339" i="9" s="1"/>
  <c r="X343" i="9"/>
  <c r="Y343" i="9" s="1"/>
  <c r="X347" i="9"/>
  <c r="Y347" i="9" s="1"/>
  <c r="X351" i="9"/>
  <c r="Y351" i="9" s="1"/>
  <c r="X355" i="9"/>
  <c r="Y355" i="9" s="1"/>
  <c r="X359" i="9"/>
  <c r="Y359" i="9" s="1"/>
  <c r="X363" i="9"/>
  <c r="Y363" i="9" s="1"/>
  <c r="X367" i="9"/>
  <c r="Y367" i="9" s="1"/>
  <c r="X371" i="9"/>
  <c r="Y371" i="9" s="1"/>
  <c r="X375" i="9"/>
  <c r="Y375" i="9" s="1"/>
  <c r="X379" i="9"/>
  <c r="Y379" i="9" s="1"/>
  <c r="X383" i="9"/>
  <c r="Y383" i="9" s="1"/>
  <c r="X387" i="9"/>
  <c r="Y387" i="9" s="1"/>
  <c r="X391" i="9"/>
  <c r="Y391" i="9" s="1"/>
  <c r="X395" i="9"/>
  <c r="Y395" i="9" s="1"/>
  <c r="X399" i="9"/>
  <c r="Y399" i="9" s="1"/>
  <c r="X403" i="9"/>
  <c r="Y403" i="9" s="1"/>
  <c r="X407" i="9"/>
  <c r="Y407" i="9" s="1"/>
  <c r="X411" i="9"/>
  <c r="Y411" i="9" s="1"/>
  <c r="X415" i="9"/>
  <c r="Y415" i="9" s="1"/>
  <c r="X419" i="9"/>
  <c r="Y419" i="9" s="1"/>
  <c r="X423" i="9"/>
  <c r="Y423" i="9" s="1"/>
  <c r="X427" i="9"/>
  <c r="Y427" i="9" s="1"/>
  <c r="X431" i="9"/>
  <c r="Y431" i="9" s="1"/>
  <c r="X435" i="9"/>
  <c r="Y435" i="9" s="1"/>
  <c r="X439" i="9"/>
  <c r="Y439" i="9" s="1"/>
  <c r="X443" i="9"/>
  <c r="Y443" i="9" s="1"/>
  <c r="X447" i="9"/>
  <c r="Y447" i="9" s="1"/>
  <c r="X455" i="9"/>
  <c r="Y455" i="9" s="1"/>
  <c r="X463" i="9"/>
  <c r="Y463" i="9" s="1"/>
  <c r="X471" i="9"/>
  <c r="Y471" i="9" s="1"/>
  <c r="X479" i="9"/>
  <c r="Y479" i="9" s="1"/>
  <c r="X487" i="9"/>
  <c r="Y487" i="9" s="1"/>
  <c r="X495" i="9"/>
  <c r="Y495" i="9" s="1"/>
  <c r="X503" i="9"/>
  <c r="Y503" i="9" s="1"/>
  <c r="X511" i="9"/>
  <c r="Y511" i="9" s="1"/>
  <c r="X519" i="9"/>
  <c r="Y519" i="9" s="1"/>
  <c r="X523" i="9"/>
  <c r="Y523" i="9" s="1"/>
  <c r="X535" i="9"/>
  <c r="Y535" i="9" s="1"/>
  <c r="X539" i="9"/>
  <c r="Y539" i="9" s="1"/>
  <c r="X551" i="9"/>
  <c r="Y551" i="9" s="1"/>
  <c r="X555" i="9"/>
  <c r="Y555" i="9" s="1"/>
  <c r="X567" i="9"/>
  <c r="Y567" i="9" s="1"/>
  <c r="X571" i="9"/>
  <c r="Y571" i="9" s="1"/>
  <c r="X583" i="9"/>
  <c r="Y583" i="9" s="1"/>
  <c r="X587" i="9"/>
  <c r="Y587" i="9" s="1"/>
  <c r="X599" i="9"/>
  <c r="Y599" i="9" s="1"/>
  <c r="X603" i="9"/>
  <c r="Y603" i="9" s="1"/>
  <c r="X615" i="9"/>
  <c r="Y615" i="9" s="1"/>
  <c r="X619" i="9"/>
  <c r="Y619" i="9" s="1"/>
  <c r="X631" i="9"/>
  <c r="Y631" i="9" s="1"/>
  <c r="X635" i="9"/>
  <c r="Y635" i="9" s="1"/>
  <c r="X647" i="9"/>
  <c r="Y647" i="9" s="1"/>
  <c r="X651" i="9"/>
  <c r="Y651" i="9" s="1"/>
  <c r="X663" i="9"/>
  <c r="Y663" i="9" s="1"/>
  <c r="X667" i="9"/>
  <c r="Y667" i="9" s="1"/>
  <c r="X679" i="9"/>
  <c r="Y679" i="9" s="1"/>
  <c r="X683" i="9"/>
  <c r="Y683" i="9" s="1"/>
  <c r="X691" i="9"/>
  <c r="Y691" i="9" s="1"/>
  <c r="X695" i="9"/>
  <c r="Y695" i="9" s="1"/>
  <c r="X699" i="9"/>
  <c r="Y699" i="9" s="1"/>
  <c r="X703" i="9"/>
  <c r="Y703" i="9" s="1"/>
  <c r="X707" i="9"/>
  <c r="Y707" i="9" s="1"/>
  <c r="X711" i="9"/>
  <c r="Y711" i="9" s="1"/>
  <c r="X715" i="9"/>
  <c r="Y715" i="9" s="1"/>
  <c r="X719" i="9"/>
  <c r="Y719" i="9" s="1"/>
  <c r="X723" i="9"/>
  <c r="Y723" i="9" s="1"/>
  <c r="X727" i="9"/>
  <c r="Y727" i="9" s="1"/>
  <c r="AA15" i="9"/>
  <c r="AF14" i="9"/>
  <c r="G12" i="10"/>
  <c r="F12" i="10" s="1"/>
  <c r="I12" i="10" s="1"/>
  <c r="F11" i="10"/>
  <c r="I11" i="10" s="1"/>
  <c r="Z14" i="9"/>
  <c r="AG14" i="9" s="1"/>
  <c r="Z82" i="9"/>
  <c r="AG82" i="9" s="1"/>
  <c r="Z78" i="9"/>
  <c r="AG78" i="9" s="1"/>
  <c r="Z74" i="9"/>
  <c r="AG74" i="9" s="1"/>
  <c r="Z70" i="9"/>
  <c r="AG70" i="9" s="1"/>
  <c r="Z66" i="9"/>
  <c r="AG66" i="9" s="1"/>
  <c r="Z62" i="9"/>
  <c r="AG62" i="9" s="1"/>
  <c r="Z58" i="9"/>
  <c r="AG58" i="9" s="1"/>
  <c r="Z54" i="9"/>
  <c r="AG54" i="9" s="1"/>
  <c r="Z50" i="9"/>
  <c r="AG50" i="9" s="1"/>
  <c r="Z46" i="9"/>
  <c r="AG46" i="9" s="1"/>
  <c r="Z42" i="9"/>
  <c r="AG42" i="9" s="1"/>
  <c r="Z38" i="9"/>
  <c r="AG38" i="9" s="1"/>
  <c r="Z34" i="9"/>
  <c r="AG34" i="9" s="1"/>
  <c r="Z30" i="9"/>
  <c r="AG30" i="9" s="1"/>
  <c r="Z26" i="9"/>
  <c r="AG26" i="9" s="1"/>
  <c r="Z22" i="9"/>
  <c r="AG22" i="9" s="1"/>
  <c r="Z18" i="9"/>
  <c r="AG18" i="9" s="1"/>
  <c r="Z13" i="9"/>
  <c r="AG13" i="9" s="1"/>
  <c r="Z83" i="9"/>
  <c r="AG83" i="9" s="1"/>
  <c r="Z79" i="9"/>
  <c r="AG79" i="9" s="1"/>
  <c r="Z75" i="9"/>
  <c r="AG75" i="9" s="1"/>
  <c r="Z71" i="9"/>
  <c r="AG71" i="9" s="1"/>
  <c r="Z67" i="9"/>
  <c r="AG67" i="9" s="1"/>
  <c r="Z63" i="9"/>
  <c r="AG63" i="9" s="1"/>
  <c r="Z59" i="9"/>
  <c r="AG59" i="9" s="1"/>
  <c r="Z55" i="9"/>
  <c r="AG55" i="9" s="1"/>
  <c r="Z51" i="9"/>
  <c r="AG51" i="9" s="1"/>
  <c r="Z47" i="9"/>
  <c r="AG47" i="9" s="1"/>
  <c r="Z43" i="9"/>
  <c r="AG43" i="9" s="1"/>
  <c r="Z39" i="9"/>
  <c r="AG39" i="9" s="1"/>
  <c r="Z35" i="9"/>
  <c r="AG35" i="9" s="1"/>
  <c r="Z31" i="9"/>
  <c r="AG31" i="9" s="1"/>
  <c r="Z27" i="9"/>
  <c r="AG27" i="9" s="1"/>
  <c r="Z23" i="9"/>
  <c r="AG23" i="9" s="1"/>
  <c r="Z19" i="9"/>
  <c r="AG19" i="9" s="1"/>
  <c r="Z15" i="9"/>
  <c r="AG15" i="9" s="1"/>
  <c r="Z12" i="9"/>
  <c r="AG12" i="9" s="1"/>
  <c r="Z80" i="9"/>
  <c r="AG80" i="9" s="1"/>
  <c r="Z72" i="9"/>
  <c r="AG72" i="9" s="1"/>
  <c r="Z64" i="9"/>
  <c r="AG64" i="9" s="1"/>
  <c r="Z56" i="9"/>
  <c r="AG56" i="9" s="1"/>
  <c r="Z48" i="9"/>
  <c r="AG48" i="9" s="1"/>
  <c r="Z24" i="9"/>
  <c r="AG24" i="9" s="1"/>
  <c r="Z84" i="9"/>
  <c r="AG84" i="9" s="1"/>
  <c r="Z76" i="9"/>
  <c r="AG76" i="9" s="1"/>
  <c r="Z68" i="9"/>
  <c r="AG68" i="9" s="1"/>
  <c r="Z60" i="9"/>
  <c r="AG60" i="9" s="1"/>
  <c r="Z52" i="9"/>
  <c r="AG52" i="9" s="1"/>
  <c r="Z44" i="9"/>
  <c r="AG44" i="9" s="1"/>
  <c r="Z40" i="9"/>
  <c r="AG40" i="9" s="1"/>
  <c r="Z36" i="9"/>
  <c r="AG36" i="9" s="1"/>
  <c r="Z32" i="9"/>
  <c r="AG32" i="9" s="1"/>
  <c r="Z28" i="9"/>
  <c r="AG28" i="9" s="1"/>
  <c r="Z20" i="9"/>
  <c r="AG20" i="9" s="1"/>
  <c r="Z16" i="9"/>
  <c r="AG16" i="9" s="1"/>
  <c r="Z85" i="9"/>
  <c r="AG85" i="9" s="1"/>
  <c r="Z81" i="9"/>
  <c r="AG81" i="9" s="1"/>
  <c r="Z77" i="9"/>
  <c r="AG77" i="9" s="1"/>
  <c r="Z73" i="9"/>
  <c r="AG73" i="9" s="1"/>
  <c r="Z69" i="9"/>
  <c r="AG69" i="9" s="1"/>
  <c r="Z65" i="9"/>
  <c r="AG65" i="9" s="1"/>
  <c r="Z61" i="9"/>
  <c r="AG61" i="9" s="1"/>
  <c r="Z57" i="9"/>
  <c r="AG57" i="9" s="1"/>
  <c r="Z53" i="9"/>
  <c r="AG53" i="9" s="1"/>
  <c r="Z49" i="9"/>
  <c r="AG49" i="9" s="1"/>
  <c r="Z45" i="9"/>
  <c r="AG45" i="9" s="1"/>
  <c r="Z41" i="9"/>
  <c r="AG41" i="9" s="1"/>
  <c r="Z37" i="9"/>
  <c r="AG37" i="9" s="1"/>
  <c r="Z33" i="9"/>
  <c r="AG33" i="9" s="1"/>
  <c r="Z29" i="9"/>
  <c r="AG29" i="9" s="1"/>
  <c r="Z25" i="9"/>
  <c r="AG25" i="9" s="1"/>
  <c r="Z21" i="9"/>
  <c r="AG21" i="9" s="1"/>
  <c r="Z17" i="9"/>
  <c r="AG17" i="9" s="1"/>
  <c r="Z731" i="9"/>
  <c r="AG731" i="9" s="1"/>
  <c r="Z86" i="9"/>
  <c r="AG86" i="9" s="1"/>
  <c r="T86" i="9"/>
  <c r="W86" i="9" s="1"/>
  <c r="T82" i="9"/>
  <c r="W82" i="9" s="1"/>
  <c r="T78" i="9"/>
  <c r="W78" i="9" s="1"/>
  <c r="T74" i="9"/>
  <c r="W74" i="9" s="1"/>
  <c r="T70" i="9"/>
  <c r="W70" i="9" s="1"/>
  <c r="T66" i="9"/>
  <c r="W66" i="9" s="1"/>
  <c r="T62" i="9"/>
  <c r="W62" i="9" s="1"/>
  <c r="T58" i="9"/>
  <c r="W58" i="9" s="1"/>
  <c r="T83" i="9"/>
  <c r="W83" i="9" s="1"/>
  <c r="T79" i="9"/>
  <c r="W79" i="9" s="1"/>
  <c r="T75" i="9"/>
  <c r="W75" i="9" s="1"/>
  <c r="T71" i="9"/>
  <c r="W71" i="9" s="1"/>
  <c r="T67" i="9"/>
  <c r="W67" i="9" s="1"/>
  <c r="T63" i="9"/>
  <c r="W63" i="9" s="1"/>
  <c r="T59" i="9"/>
  <c r="W59" i="9" s="1"/>
  <c r="T80" i="9"/>
  <c r="W80" i="9" s="1"/>
  <c r="T72" i="9"/>
  <c r="W72" i="9" s="1"/>
  <c r="T64" i="9"/>
  <c r="W64" i="9" s="1"/>
  <c r="T84" i="9"/>
  <c r="W84" i="9" s="1"/>
  <c r="T76" i="9"/>
  <c r="W76" i="9" s="1"/>
  <c r="T68" i="9"/>
  <c r="W68" i="9" s="1"/>
  <c r="T60" i="9"/>
  <c r="W60" i="9" s="1"/>
  <c r="T85" i="9"/>
  <c r="W85" i="9" s="1"/>
  <c r="T81" i="9"/>
  <c r="W81" i="9" s="1"/>
  <c r="T77" i="9"/>
  <c r="W77" i="9" s="1"/>
  <c r="T73" i="9"/>
  <c r="W73" i="9" s="1"/>
  <c r="T69" i="9"/>
  <c r="W69" i="9" s="1"/>
  <c r="T65" i="9"/>
  <c r="W65" i="9" s="1"/>
  <c r="T61" i="9"/>
  <c r="W61" i="9" s="1"/>
  <c r="T57" i="9"/>
  <c r="W57" i="9" s="1"/>
  <c r="T731" i="9"/>
  <c r="W731" i="9" s="1"/>
  <c r="X731" i="9" l="1"/>
  <c r="Y731" i="9" s="1"/>
  <c r="X85" i="9"/>
  <c r="Y85" i="9" s="1"/>
  <c r="X59" i="9"/>
  <c r="Y59" i="9" s="1"/>
  <c r="X60" i="9"/>
  <c r="Y60" i="9" s="1"/>
  <c r="X63" i="9"/>
  <c r="Y63" i="9" s="1"/>
  <c r="X66" i="9"/>
  <c r="Y66" i="9" s="1"/>
  <c r="X77" i="9"/>
  <c r="Y77" i="9" s="1"/>
  <c r="X67" i="9"/>
  <c r="Y67" i="9" s="1"/>
  <c r="X70" i="9"/>
  <c r="Y70" i="9" s="1"/>
  <c r="X69" i="9"/>
  <c r="Y69" i="9" s="1"/>
  <c r="X84" i="9"/>
  <c r="Y84" i="9" s="1"/>
  <c r="X75" i="9"/>
  <c r="Y75" i="9" s="1"/>
  <c r="X62" i="9"/>
  <c r="Y62" i="9" s="1"/>
  <c r="X78" i="9"/>
  <c r="Y78" i="9" s="1"/>
  <c r="X57" i="9"/>
  <c r="Y57" i="9" s="1"/>
  <c r="X73" i="9"/>
  <c r="Y73" i="9" s="1"/>
  <c r="X64" i="9"/>
  <c r="Y64" i="9" s="1"/>
  <c r="X79" i="9"/>
  <c r="Y79" i="9" s="1"/>
  <c r="X82" i="9"/>
  <c r="Y82" i="9" s="1"/>
  <c r="X61" i="9"/>
  <c r="Y61" i="9" s="1"/>
  <c r="X68" i="9"/>
  <c r="Y68" i="9" s="1"/>
  <c r="X72" i="9"/>
  <c r="Y72" i="9" s="1"/>
  <c r="X83" i="9"/>
  <c r="Y83" i="9" s="1"/>
  <c r="X86" i="9"/>
  <c r="Y86" i="9" s="1"/>
  <c r="X65" i="9"/>
  <c r="Y65" i="9" s="1"/>
  <c r="X81" i="9"/>
  <c r="Y81" i="9" s="1"/>
  <c r="X76" i="9"/>
  <c r="Y76" i="9" s="1"/>
  <c r="X80" i="9"/>
  <c r="Y80" i="9" s="1"/>
  <c r="X71" i="9"/>
  <c r="Y71" i="9" s="1"/>
  <c r="X58" i="9"/>
  <c r="Y58" i="9" s="1"/>
  <c r="X74" i="9"/>
  <c r="Y74" i="9" s="1"/>
  <c r="AA16" i="9"/>
  <c r="AF15" i="9"/>
  <c r="G13" i="10"/>
  <c r="F13" i="10" s="1"/>
  <c r="I13" i="10" s="1"/>
  <c r="T49" i="9"/>
  <c r="W49" i="9" s="1"/>
  <c r="T17" i="9"/>
  <c r="W17" i="9" s="1"/>
  <c r="T34" i="9"/>
  <c r="W34" i="9" s="1"/>
  <c r="T47" i="9"/>
  <c r="W47" i="9" s="1"/>
  <c r="T15" i="9"/>
  <c r="W15" i="9" s="1"/>
  <c r="T53" i="9"/>
  <c r="W53" i="9" s="1"/>
  <c r="T37" i="9"/>
  <c r="W37" i="9" s="1"/>
  <c r="T21" i="9"/>
  <c r="W21" i="9" s="1"/>
  <c r="T54" i="9"/>
  <c r="W54" i="9" s="1"/>
  <c r="T38" i="9"/>
  <c r="W38" i="9" s="1"/>
  <c r="T22" i="9"/>
  <c r="W22" i="9" s="1"/>
  <c r="T51" i="9"/>
  <c r="W51" i="9" s="1"/>
  <c r="T35" i="9"/>
  <c r="W35" i="9" s="1"/>
  <c r="T19" i="9"/>
  <c r="W19" i="9" s="1"/>
  <c r="T48" i="9"/>
  <c r="W48" i="9" s="1"/>
  <c r="T32" i="9"/>
  <c r="W32" i="9" s="1"/>
  <c r="T16" i="9"/>
  <c r="W16" i="9" s="1"/>
  <c r="Y12" i="9"/>
  <c r="T26" i="9"/>
  <c r="W26" i="9" s="1"/>
  <c r="T23" i="9"/>
  <c r="W23" i="9" s="1"/>
  <c r="T20" i="9"/>
  <c r="W20" i="9" s="1"/>
  <c r="T25" i="9"/>
  <c r="W25" i="9" s="1"/>
  <c r="T42" i="9"/>
  <c r="W42" i="9" s="1"/>
  <c r="T55" i="9"/>
  <c r="W55" i="9" s="1"/>
  <c r="T39" i="9"/>
  <c r="W39" i="9" s="1"/>
  <c r="T52" i="9"/>
  <c r="W52" i="9" s="1"/>
  <c r="T36" i="9"/>
  <c r="W36" i="9" s="1"/>
  <c r="T45" i="9"/>
  <c r="W45" i="9" s="1"/>
  <c r="T29" i="9"/>
  <c r="W29" i="9" s="1"/>
  <c r="T13" i="9"/>
  <c r="W13" i="9" s="1"/>
  <c r="X13" i="9" s="1"/>
  <c r="Y13" i="9" s="1"/>
  <c r="T46" i="9"/>
  <c r="W46" i="9" s="1"/>
  <c r="T30" i="9"/>
  <c r="W30" i="9" s="1"/>
  <c r="T43" i="9"/>
  <c r="W43" i="9" s="1"/>
  <c r="T27" i="9"/>
  <c r="W27" i="9" s="1"/>
  <c r="T56" i="9"/>
  <c r="W56" i="9" s="1"/>
  <c r="T40" i="9"/>
  <c r="W40" i="9" s="1"/>
  <c r="T24" i="9"/>
  <c r="W24" i="9" s="1"/>
  <c r="T41" i="9"/>
  <c r="W41" i="9" s="1"/>
  <c r="T33" i="9"/>
  <c r="W33" i="9" s="1"/>
  <c r="T50" i="9"/>
  <c r="W50" i="9" s="1"/>
  <c r="T18" i="9"/>
  <c r="W18" i="9" s="1"/>
  <c r="T31" i="9"/>
  <c r="W31" i="9" s="1"/>
  <c r="T44" i="9"/>
  <c r="W44" i="9" s="1"/>
  <c r="T28" i="9"/>
  <c r="W28" i="9" s="1"/>
  <c r="X44" i="9" l="1"/>
  <c r="Y44" i="9" s="1"/>
  <c r="X56" i="9"/>
  <c r="Y56" i="9" s="1"/>
  <c r="X46" i="9"/>
  <c r="Y46" i="9" s="1"/>
  <c r="X26" i="9"/>
  <c r="Y26" i="9" s="1"/>
  <c r="X48" i="9"/>
  <c r="Y48" i="9" s="1"/>
  <c r="X37" i="9"/>
  <c r="Y37" i="9" s="1"/>
  <c r="X38" i="9"/>
  <c r="Y38" i="9" s="1"/>
  <c r="X17" i="9"/>
  <c r="Y17" i="9" s="1"/>
  <c r="X24" i="9"/>
  <c r="Y24" i="9" s="1"/>
  <c r="X29" i="9"/>
  <c r="Y29" i="9" s="1"/>
  <c r="X20" i="9"/>
  <c r="Y20" i="9" s="1"/>
  <c r="X16" i="9"/>
  <c r="Y16" i="9" s="1"/>
  <c r="X35" i="9"/>
  <c r="Y35" i="9" s="1"/>
  <c r="X54" i="9"/>
  <c r="Y54" i="9" s="1"/>
  <c r="X15" i="9"/>
  <c r="Y15" i="9" s="1"/>
  <c r="X49" i="9"/>
  <c r="Y49" i="9" s="1"/>
  <c r="X33" i="9"/>
  <c r="Y33" i="9" s="1"/>
  <c r="X36" i="9"/>
  <c r="Y36" i="9" s="1"/>
  <c r="X42" i="9"/>
  <c r="Y42" i="9" s="1"/>
  <c r="X22" i="9"/>
  <c r="Y22" i="9" s="1"/>
  <c r="X34" i="9"/>
  <c r="Y34" i="9" s="1"/>
  <c r="X31" i="9"/>
  <c r="Y31" i="9" s="1"/>
  <c r="X41" i="9"/>
  <c r="Y41" i="9" s="1"/>
  <c r="X27" i="9"/>
  <c r="Y27" i="9" s="1"/>
  <c r="X52" i="9"/>
  <c r="Y52" i="9" s="1"/>
  <c r="X25" i="9"/>
  <c r="Y25" i="9" s="1"/>
  <c r="X19" i="9"/>
  <c r="Y19" i="9" s="1"/>
  <c r="X53" i="9"/>
  <c r="Y53" i="9" s="1"/>
  <c r="X18" i="9"/>
  <c r="Y18" i="9" s="1"/>
  <c r="X43" i="9"/>
  <c r="Y43" i="9" s="1"/>
  <c r="X39" i="9"/>
  <c r="Y39" i="9" s="1"/>
  <c r="X28" i="9"/>
  <c r="Y28" i="9" s="1"/>
  <c r="X50" i="9"/>
  <c r="Y50" i="9" s="1"/>
  <c r="X40" i="9"/>
  <c r="Y40" i="9" s="1"/>
  <c r="X30" i="9"/>
  <c r="Y30" i="9" s="1"/>
  <c r="X45" i="9"/>
  <c r="Y45" i="9" s="1"/>
  <c r="X55" i="9"/>
  <c r="Y55" i="9" s="1"/>
  <c r="X23" i="9"/>
  <c r="Y23" i="9" s="1"/>
  <c r="X32" i="9"/>
  <c r="Y32" i="9" s="1"/>
  <c r="X51" i="9"/>
  <c r="Y51" i="9" s="1"/>
  <c r="X21" i="9"/>
  <c r="Y21" i="9" s="1"/>
  <c r="X47" i="9"/>
  <c r="Y47" i="9" s="1"/>
  <c r="AA17" i="9"/>
  <c r="AF16" i="9"/>
  <c r="G14" i="10"/>
  <c r="F14" i="10" s="1"/>
  <c r="I14" i="10" s="1"/>
  <c r="AA18" i="9" l="1"/>
  <c r="AF17" i="9"/>
  <c r="G15" i="10"/>
  <c r="F15" i="10" s="1"/>
  <c r="I15" i="10" s="1"/>
  <c r="AA19" i="9" l="1"/>
  <c r="AF18" i="9"/>
  <c r="G16" i="10"/>
  <c r="F16" i="10" s="1"/>
  <c r="I16" i="10" s="1"/>
  <c r="AA20" i="9" l="1"/>
  <c r="AF19" i="9"/>
  <c r="G17" i="10"/>
  <c r="F17" i="10" s="1"/>
  <c r="I17" i="10" s="1"/>
  <c r="AA21" i="9" l="1"/>
  <c r="AF20" i="9"/>
  <c r="G18" i="10"/>
  <c r="F18" i="10" s="1"/>
  <c r="I18" i="10" s="1"/>
  <c r="AA22" i="9" l="1"/>
  <c r="AF21" i="9"/>
  <c r="G19" i="10"/>
  <c r="F19" i="10" s="1"/>
  <c r="I19" i="10" s="1"/>
  <c r="AA23" i="9" l="1"/>
  <c r="AF22" i="9"/>
  <c r="G20" i="10"/>
  <c r="F20" i="10" s="1"/>
  <c r="I20" i="10" s="1"/>
  <c r="AA24" i="9" l="1"/>
  <c r="AF23" i="9"/>
  <c r="G21" i="10"/>
  <c r="F21" i="10" s="1"/>
  <c r="I21" i="10" s="1"/>
  <c r="AA25" i="9" l="1"/>
  <c r="AF24" i="9"/>
  <c r="G22" i="10"/>
  <c r="F22" i="10" s="1"/>
  <c r="I22" i="10" s="1"/>
  <c r="AA26" i="9" l="1"/>
  <c r="AF25" i="9"/>
  <c r="G23" i="10"/>
  <c r="F23" i="10" s="1"/>
  <c r="I23" i="10" s="1"/>
  <c r="AA27" i="9" l="1"/>
  <c r="AF26" i="9"/>
  <c r="G24" i="10"/>
  <c r="F24" i="10" s="1"/>
  <c r="I24" i="10" s="1"/>
  <c r="AA28" i="9" l="1"/>
  <c r="AF27" i="9"/>
  <c r="G25" i="10"/>
  <c r="G26" i="10" s="1"/>
  <c r="F26" i="10" s="1"/>
  <c r="I26" i="10" s="1"/>
  <c r="AA29" i="9" l="1"/>
  <c r="AF28" i="9"/>
  <c r="G27" i="10"/>
  <c r="F27" i="10" s="1"/>
  <c r="I27" i="10" s="1"/>
  <c r="F25" i="10"/>
  <c r="I25" i="10" s="1"/>
  <c r="AA30" i="9" l="1"/>
  <c r="AF29" i="9"/>
  <c r="G28" i="10"/>
  <c r="F28" i="10" s="1"/>
  <c r="I28" i="10" s="1"/>
  <c r="AA31" i="9" l="1"/>
  <c r="AF30" i="9"/>
  <c r="G29" i="10"/>
  <c r="F29" i="10" s="1"/>
  <c r="I29" i="10" s="1"/>
  <c r="AA32" i="9" l="1"/>
  <c r="AF31" i="9"/>
  <c r="G30" i="10"/>
  <c r="F30" i="10" s="1"/>
  <c r="I30" i="10" s="1"/>
  <c r="AA33" i="9" l="1"/>
  <c r="AF32" i="9"/>
  <c r="G31" i="10"/>
  <c r="F31" i="10" s="1"/>
  <c r="I31" i="10" s="1"/>
  <c r="AA34" i="9" l="1"/>
  <c r="AF33" i="9"/>
  <c r="G32" i="10"/>
  <c r="AA35" i="9" l="1"/>
  <c r="AF34" i="9"/>
  <c r="F32" i="10"/>
  <c r="I32" i="10" s="1"/>
  <c r="G33" i="10"/>
  <c r="F33" i="10" s="1"/>
  <c r="I33" i="10" s="1"/>
  <c r="AA36" i="9" l="1"/>
  <c r="AF35" i="9"/>
  <c r="G34" i="10"/>
  <c r="F34" i="10" s="1"/>
  <c r="I34" i="10" s="1"/>
  <c r="G35" i="10"/>
  <c r="F35" i="10" s="1"/>
  <c r="I35" i="10" s="1"/>
  <c r="AA37" i="9" l="1"/>
  <c r="AF36" i="9"/>
  <c r="G36" i="10"/>
  <c r="F36" i="10" s="1"/>
  <c r="I36" i="10" s="1"/>
  <c r="AA38" i="9" l="1"/>
  <c r="AF37" i="9"/>
  <c r="G37" i="10"/>
  <c r="AA39" i="9" l="1"/>
  <c r="AF38" i="9"/>
  <c r="F37" i="10"/>
  <c r="I37" i="10" s="1"/>
  <c r="G38" i="10"/>
  <c r="F38" i="10" s="1"/>
  <c r="I38" i="10" s="1"/>
  <c r="AA40" i="9" l="1"/>
  <c r="AF39" i="9"/>
  <c r="G39" i="10"/>
  <c r="F39" i="10" s="1"/>
  <c r="I39" i="10" s="1"/>
  <c r="AA41" i="9" l="1"/>
  <c r="AF40" i="9"/>
  <c r="G40" i="10"/>
  <c r="F40" i="10" s="1"/>
  <c r="I40" i="10" s="1"/>
  <c r="G41" i="10" l="1"/>
  <c r="F41" i="10" s="1"/>
  <c r="I41" i="10" s="1"/>
  <c r="AA42" i="9"/>
  <c r="AF41" i="9"/>
  <c r="G42" i="10" l="1"/>
  <c r="AA43" i="9"/>
  <c r="AF42" i="9"/>
  <c r="G44" i="10" l="1"/>
  <c r="F44" i="10" s="1"/>
  <c r="I44" i="10" s="1"/>
  <c r="F42" i="10"/>
  <c r="I42" i="10" s="1"/>
  <c r="G43" i="10"/>
  <c r="F43" i="10" s="1"/>
  <c r="I43" i="10" s="1"/>
  <c r="AA44" i="9"/>
  <c r="AF43" i="9"/>
  <c r="G45" i="10"/>
  <c r="AA45" i="9" l="1"/>
  <c r="AF44" i="9"/>
  <c r="G46" i="10"/>
  <c r="F45" i="10"/>
  <c r="I45" i="10" s="1"/>
  <c r="AA46" i="9" l="1"/>
  <c r="AF45" i="9"/>
  <c r="G47" i="10"/>
  <c r="F46" i="10"/>
  <c r="I46" i="10" s="1"/>
  <c r="AA47" i="9" l="1"/>
  <c r="AF46" i="9"/>
  <c r="G48" i="10"/>
  <c r="F47" i="10"/>
  <c r="I47" i="10" s="1"/>
  <c r="AA48" i="9" l="1"/>
  <c r="AF47" i="9"/>
  <c r="G49" i="10"/>
  <c r="F48" i="10"/>
  <c r="I48" i="10" s="1"/>
  <c r="AA49" i="9" l="1"/>
  <c r="AF48" i="9"/>
  <c r="G50" i="10"/>
  <c r="F49" i="10"/>
  <c r="I49" i="10" s="1"/>
  <c r="AA50" i="9" l="1"/>
  <c r="AF49" i="9"/>
  <c r="G51" i="10"/>
  <c r="F50" i="10"/>
  <c r="I50" i="10" s="1"/>
  <c r="AA51" i="9" l="1"/>
  <c r="AF50" i="9"/>
  <c r="G52" i="10"/>
  <c r="F51" i="10"/>
  <c r="I51" i="10" s="1"/>
  <c r="AA52" i="9" l="1"/>
  <c r="AF51" i="9"/>
  <c r="G53" i="10"/>
  <c r="F52" i="10"/>
  <c r="I52" i="10" s="1"/>
  <c r="AA53" i="9" l="1"/>
  <c r="AF52" i="9"/>
  <c r="G54" i="10"/>
  <c r="F53" i="10"/>
  <c r="I53" i="10" s="1"/>
  <c r="AA54" i="9" l="1"/>
  <c r="AF53" i="9"/>
  <c r="G55" i="10"/>
  <c r="F54" i="10"/>
  <c r="I54" i="10" s="1"/>
  <c r="AA55" i="9" l="1"/>
  <c r="AF54" i="9"/>
  <c r="G56" i="10"/>
  <c r="F55" i="10"/>
  <c r="I55" i="10" s="1"/>
  <c r="AA56" i="9" l="1"/>
  <c r="AF55" i="9"/>
  <c r="G57" i="10"/>
  <c r="F56" i="10"/>
  <c r="I56" i="10" s="1"/>
  <c r="AA57" i="9" l="1"/>
  <c r="AF56" i="9"/>
  <c r="G58" i="10"/>
  <c r="F57" i="10"/>
  <c r="I57" i="10" s="1"/>
  <c r="AA58" i="9" l="1"/>
  <c r="AF57" i="9"/>
  <c r="G59" i="10"/>
  <c r="F58" i="10"/>
  <c r="I58" i="10" s="1"/>
  <c r="AA59" i="9" l="1"/>
  <c r="AF58" i="9"/>
  <c r="G60" i="10"/>
  <c r="F60" i="10" s="1"/>
  <c r="I60" i="10" s="1"/>
  <c r="F59" i="10"/>
  <c r="I59" i="10" s="1"/>
  <c r="AA60" i="9" l="1"/>
  <c r="AF59" i="9"/>
  <c r="AA61" i="9" l="1"/>
  <c r="AF60" i="9"/>
  <c r="AA62" i="9" l="1"/>
  <c r="AF61" i="9"/>
  <c r="AA63" i="9" l="1"/>
  <c r="AF62" i="9"/>
  <c r="AA64" i="9" l="1"/>
  <c r="AF63" i="9"/>
  <c r="AA65" i="9" l="1"/>
  <c r="AF64" i="9"/>
  <c r="AA66" i="9" l="1"/>
  <c r="AF65" i="9"/>
  <c r="AA67" i="9" l="1"/>
  <c r="AF66" i="9"/>
  <c r="AA68" i="9" l="1"/>
  <c r="AF67" i="9"/>
  <c r="AA69" i="9" l="1"/>
  <c r="AF68" i="9"/>
  <c r="AA70" i="9" l="1"/>
  <c r="AF69" i="9"/>
  <c r="AA71" i="9" l="1"/>
  <c r="AF70" i="9"/>
  <c r="AA72" i="9" l="1"/>
  <c r="AF71" i="9"/>
  <c r="AA73" i="9" l="1"/>
  <c r="AF72" i="9"/>
  <c r="AA74" i="9" l="1"/>
  <c r="AF73" i="9"/>
  <c r="AA75" i="9" l="1"/>
  <c r="AF74" i="9"/>
  <c r="AA76" i="9" l="1"/>
  <c r="AF75" i="9"/>
  <c r="AA77" i="9" l="1"/>
  <c r="AF76" i="9"/>
  <c r="AA78" i="9" l="1"/>
  <c r="AF77" i="9"/>
  <c r="AA79" i="9" l="1"/>
  <c r="AF78" i="9"/>
  <c r="AA80" i="9" l="1"/>
  <c r="AF79" i="9"/>
  <c r="AA81" i="9" l="1"/>
  <c r="AF80" i="9"/>
  <c r="AA82" i="9" l="1"/>
  <c r="AF81" i="9"/>
  <c r="AA83" i="9" l="1"/>
  <c r="AF82" i="9"/>
  <c r="AA84" i="9" l="1"/>
  <c r="AF83" i="9"/>
  <c r="AA85" i="9" l="1"/>
  <c r="AF84" i="9"/>
  <c r="AA86" i="9" l="1"/>
  <c r="AF85" i="9"/>
  <c r="AA87" i="9" l="1"/>
  <c r="AF86" i="9"/>
  <c r="AA88" i="9" l="1"/>
  <c r="AF87" i="9"/>
  <c r="AA89" i="9" l="1"/>
  <c r="AF88" i="9"/>
  <c r="AA90" i="9" l="1"/>
  <c r="AF89" i="9"/>
  <c r="AA91" i="9" l="1"/>
  <c r="AF90" i="9"/>
  <c r="AA92" i="9" l="1"/>
  <c r="AF91" i="9"/>
  <c r="AA93" i="9" l="1"/>
  <c r="AF92" i="9"/>
  <c r="AA94" i="9" l="1"/>
  <c r="AF93" i="9"/>
  <c r="AA95" i="9" l="1"/>
  <c r="AF94" i="9"/>
  <c r="AA96" i="9" l="1"/>
  <c r="AF95" i="9"/>
  <c r="AA97" i="9" l="1"/>
  <c r="AF96" i="9"/>
  <c r="AA98" i="9" l="1"/>
  <c r="AF97" i="9"/>
  <c r="AA99" i="9" l="1"/>
  <c r="AF98" i="9"/>
  <c r="AA100" i="9" l="1"/>
  <c r="AF99" i="9"/>
  <c r="AA101" i="9" l="1"/>
  <c r="AF100" i="9"/>
  <c r="AA102" i="9" l="1"/>
  <c r="AF101" i="9"/>
  <c r="AA103" i="9" l="1"/>
  <c r="AF102" i="9"/>
  <c r="AA104" i="9" l="1"/>
  <c r="AF103" i="9"/>
  <c r="AA105" i="9" l="1"/>
  <c r="AF104" i="9"/>
  <c r="AA106" i="9" l="1"/>
  <c r="AF105" i="9"/>
  <c r="AA107" i="9" l="1"/>
  <c r="AF106" i="9"/>
  <c r="AA108" i="9" l="1"/>
  <c r="AF107" i="9"/>
  <c r="AA109" i="9" l="1"/>
  <c r="AF108" i="9"/>
  <c r="AA110" i="9" l="1"/>
  <c r="AF109" i="9"/>
  <c r="AA111" i="9" l="1"/>
  <c r="AF110" i="9"/>
  <c r="AA112" i="9" l="1"/>
  <c r="AF111" i="9"/>
  <c r="AA113" i="9" l="1"/>
  <c r="AF112" i="9"/>
  <c r="AA114" i="9" l="1"/>
  <c r="AF113" i="9"/>
  <c r="AA115" i="9" l="1"/>
  <c r="AF114" i="9"/>
  <c r="AA116" i="9" l="1"/>
  <c r="AF115" i="9"/>
  <c r="AA117" i="9" l="1"/>
  <c r="AF116" i="9"/>
  <c r="AA118" i="9" l="1"/>
  <c r="AF117" i="9"/>
  <c r="AA119" i="9" l="1"/>
  <c r="AF118" i="9"/>
  <c r="AA120" i="9" l="1"/>
  <c r="AF119" i="9"/>
  <c r="AA121" i="9" l="1"/>
  <c r="AF120" i="9"/>
  <c r="AA122" i="9" l="1"/>
  <c r="AF121" i="9"/>
  <c r="AA123" i="9" l="1"/>
  <c r="AF122" i="9"/>
  <c r="AA124" i="9" l="1"/>
  <c r="AF123" i="9"/>
  <c r="AA125" i="9" l="1"/>
  <c r="AF124" i="9"/>
  <c r="AA126" i="9" l="1"/>
  <c r="AF125" i="9"/>
  <c r="AA127" i="9" l="1"/>
  <c r="AF126" i="9"/>
  <c r="AA128" i="9" l="1"/>
  <c r="AF127" i="9"/>
  <c r="AA129" i="9" l="1"/>
  <c r="AF128" i="9"/>
  <c r="AA130" i="9" l="1"/>
  <c r="AF129" i="9"/>
  <c r="AA131" i="9" l="1"/>
  <c r="AF130" i="9"/>
  <c r="AA132" i="9" l="1"/>
  <c r="AF131" i="9"/>
  <c r="AA133" i="9" l="1"/>
  <c r="AF132" i="9"/>
  <c r="AA134" i="9" l="1"/>
  <c r="AF133" i="9"/>
  <c r="AA135" i="9" l="1"/>
  <c r="AF134" i="9"/>
  <c r="AA136" i="9" l="1"/>
  <c r="AF135" i="9"/>
  <c r="AA137" i="9" l="1"/>
  <c r="AF136" i="9"/>
  <c r="AA138" i="9" l="1"/>
  <c r="AF137" i="9"/>
  <c r="AA139" i="9" l="1"/>
  <c r="AF138" i="9"/>
  <c r="AA140" i="9" l="1"/>
  <c r="AF139" i="9"/>
  <c r="AA141" i="9" l="1"/>
  <c r="AF140" i="9"/>
  <c r="AA142" i="9" l="1"/>
  <c r="AF141" i="9"/>
  <c r="AA143" i="9" l="1"/>
  <c r="AF142" i="9"/>
  <c r="AA144" i="9" l="1"/>
  <c r="AF143" i="9"/>
  <c r="AA145" i="9" l="1"/>
  <c r="AF144" i="9"/>
  <c r="AA146" i="9" l="1"/>
  <c r="AF145" i="9"/>
  <c r="AA147" i="9" l="1"/>
  <c r="AF146" i="9"/>
  <c r="AA148" i="9" l="1"/>
  <c r="AF147" i="9"/>
  <c r="AA149" i="9" l="1"/>
  <c r="AF148" i="9"/>
  <c r="AA150" i="9" l="1"/>
  <c r="AF149" i="9"/>
  <c r="AA151" i="9" l="1"/>
  <c r="AF150" i="9"/>
  <c r="AA152" i="9" l="1"/>
  <c r="AF151" i="9"/>
  <c r="AA153" i="9" l="1"/>
  <c r="AF152" i="9"/>
  <c r="AA154" i="9" l="1"/>
  <c r="AF153" i="9"/>
  <c r="AA155" i="9" l="1"/>
  <c r="AF154" i="9"/>
  <c r="AA156" i="9" l="1"/>
  <c r="AF155" i="9"/>
  <c r="AA157" i="9" l="1"/>
  <c r="AF156" i="9"/>
  <c r="AA158" i="9" l="1"/>
  <c r="AF157" i="9"/>
  <c r="AA159" i="9" l="1"/>
  <c r="AF158" i="9"/>
  <c r="AA160" i="9" l="1"/>
  <c r="AF159" i="9"/>
  <c r="AA161" i="9" l="1"/>
  <c r="AF160" i="9"/>
  <c r="AA162" i="9" l="1"/>
  <c r="AF161" i="9"/>
  <c r="AA163" i="9" l="1"/>
  <c r="AF162" i="9"/>
  <c r="AA164" i="9" l="1"/>
  <c r="AF163" i="9"/>
  <c r="AA165" i="9" l="1"/>
  <c r="AF164" i="9"/>
  <c r="AA166" i="9" l="1"/>
  <c r="AF165" i="9"/>
  <c r="AA167" i="9" l="1"/>
  <c r="AF166" i="9"/>
  <c r="AA168" i="9" l="1"/>
  <c r="AF167" i="9"/>
  <c r="AA169" i="9" l="1"/>
  <c r="AF168" i="9"/>
  <c r="AA170" i="9" l="1"/>
  <c r="AF169" i="9"/>
  <c r="AA171" i="9" l="1"/>
  <c r="AF170" i="9"/>
  <c r="AA172" i="9" l="1"/>
  <c r="AF171" i="9"/>
  <c r="AA173" i="9" l="1"/>
  <c r="AF172" i="9"/>
  <c r="AA174" i="9" l="1"/>
  <c r="AF173" i="9"/>
  <c r="AA175" i="9" l="1"/>
  <c r="AF174" i="9"/>
  <c r="AA176" i="9" l="1"/>
  <c r="AF175" i="9"/>
  <c r="AA177" i="9" l="1"/>
  <c r="AF176" i="9"/>
  <c r="AA178" i="9" l="1"/>
  <c r="AF177" i="9"/>
  <c r="AA179" i="9" l="1"/>
  <c r="AF178" i="9"/>
  <c r="AA180" i="9" l="1"/>
  <c r="AF179" i="9"/>
  <c r="AA181" i="9" l="1"/>
  <c r="AF180" i="9"/>
  <c r="AA182" i="9" l="1"/>
  <c r="AF181" i="9"/>
  <c r="AA183" i="9" l="1"/>
  <c r="AF182" i="9"/>
  <c r="AA184" i="9" l="1"/>
  <c r="AF183" i="9"/>
  <c r="AA185" i="9" l="1"/>
  <c r="AF184" i="9"/>
  <c r="AA186" i="9" l="1"/>
  <c r="AF185" i="9"/>
  <c r="AA187" i="9" l="1"/>
  <c r="AF186" i="9"/>
  <c r="AA188" i="9" l="1"/>
  <c r="AF187" i="9"/>
  <c r="AA189" i="9" l="1"/>
  <c r="AF188" i="9"/>
  <c r="AA190" i="9" l="1"/>
  <c r="AF189" i="9"/>
  <c r="AA191" i="9" l="1"/>
  <c r="AF190" i="9"/>
  <c r="AA192" i="9" l="1"/>
  <c r="AF191" i="9"/>
  <c r="AA193" i="9" l="1"/>
  <c r="AF192" i="9"/>
  <c r="AA194" i="9" l="1"/>
  <c r="AF193" i="9"/>
  <c r="AA195" i="9" l="1"/>
  <c r="AF194" i="9"/>
  <c r="AA196" i="9" l="1"/>
  <c r="AF195" i="9"/>
  <c r="AA197" i="9" l="1"/>
  <c r="AF196" i="9"/>
  <c r="AA198" i="9" l="1"/>
  <c r="AF197" i="9"/>
  <c r="AA199" i="9" l="1"/>
  <c r="AF198" i="9"/>
  <c r="AA200" i="9" l="1"/>
  <c r="AF199" i="9"/>
  <c r="AA201" i="9" l="1"/>
  <c r="AF200" i="9"/>
  <c r="AA202" i="9" l="1"/>
  <c r="AF201" i="9"/>
  <c r="AA203" i="9" l="1"/>
  <c r="AF202" i="9"/>
  <c r="AA204" i="9" l="1"/>
  <c r="AF203" i="9"/>
  <c r="AA205" i="9" l="1"/>
  <c r="AF204" i="9"/>
  <c r="AA206" i="9" l="1"/>
  <c r="AF205" i="9"/>
  <c r="AA207" i="9" l="1"/>
  <c r="AF206" i="9"/>
  <c r="AA208" i="9" l="1"/>
  <c r="AF207" i="9"/>
  <c r="AA209" i="9" l="1"/>
  <c r="AF208" i="9"/>
  <c r="AA210" i="9" l="1"/>
  <c r="AF209" i="9"/>
  <c r="AA211" i="9" l="1"/>
  <c r="AF210" i="9"/>
  <c r="AA212" i="9" l="1"/>
  <c r="AF211" i="9"/>
  <c r="AA213" i="9" l="1"/>
  <c r="AF212" i="9"/>
  <c r="AA214" i="9" l="1"/>
  <c r="AF213" i="9"/>
  <c r="AA215" i="9" l="1"/>
  <c r="AF214" i="9"/>
  <c r="AA216" i="9" l="1"/>
  <c r="AF215" i="9"/>
  <c r="AA217" i="9" l="1"/>
  <c r="AF216" i="9"/>
  <c r="AA218" i="9" l="1"/>
  <c r="AF217" i="9"/>
  <c r="AA219" i="9" l="1"/>
  <c r="AF218" i="9"/>
  <c r="AA220" i="9" l="1"/>
  <c r="AF219" i="9"/>
  <c r="AA221" i="9" l="1"/>
  <c r="AF220" i="9"/>
  <c r="AA222" i="9" l="1"/>
  <c r="AF221" i="9"/>
  <c r="AA223" i="9" l="1"/>
  <c r="AF222" i="9"/>
  <c r="AA224" i="9" l="1"/>
  <c r="AF223" i="9"/>
  <c r="AA225" i="9" l="1"/>
  <c r="AF224" i="9"/>
  <c r="AA226" i="9" l="1"/>
  <c r="AF225" i="9"/>
  <c r="AA227" i="9" l="1"/>
  <c r="AF226" i="9"/>
  <c r="AA228" i="9" l="1"/>
  <c r="AF227" i="9"/>
  <c r="AA229" i="9" l="1"/>
  <c r="AF228" i="9"/>
  <c r="AA230" i="9" l="1"/>
  <c r="AF229" i="9"/>
  <c r="AA231" i="9" l="1"/>
  <c r="AF230" i="9"/>
  <c r="AA232" i="9" l="1"/>
  <c r="AF231" i="9"/>
  <c r="AA233" i="9" l="1"/>
  <c r="AF232" i="9"/>
  <c r="AA234" i="9" l="1"/>
  <c r="AF233" i="9"/>
  <c r="AA235" i="9" l="1"/>
  <c r="AF234" i="9"/>
  <c r="AA236" i="9" l="1"/>
  <c r="AF235" i="9"/>
  <c r="AA237" i="9" l="1"/>
  <c r="AF236" i="9"/>
  <c r="AA238" i="9" l="1"/>
  <c r="AF237" i="9"/>
  <c r="AA239" i="9" l="1"/>
  <c r="AF238" i="9"/>
  <c r="AA240" i="9" l="1"/>
  <c r="AF239" i="9"/>
  <c r="AA241" i="9" l="1"/>
  <c r="AF240" i="9"/>
  <c r="AA242" i="9" l="1"/>
  <c r="AF241" i="9"/>
  <c r="AA243" i="9" l="1"/>
  <c r="AF242" i="9"/>
  <c r="AA244" i="9" l="1"/>
  <c r="AF243" i="9"/>
  <c r="AA245" i="9" l="1"/>
  <c r="AF244" i="9"/>
  <c r="AA246" i="9" l="1"/>
  <c r="AF245" i="9"/>
  <c r="AA247" i="9" l="1"/>
  <c r="AF246" i="9"/>
  <c r="AA248" i="9" l="1"/>
  <c r="AF247" i="9"/>
  <c r="AA249" i="9" l="1"/>
  <c r="AF248" i="9"/>
  <c r="AA250" i="9" l="1"/>
  <c r="AF249" i="9"/>
  <c r="AA251" i="9" l="1"/>
  <c r="AF250" i="9"/>
  <c r="AA252" i="9" l="1"/>
  <c r="AF251" i="9"/>
  <c r="AA253" i="9" l="1"/>
  <c r="AF252" i="9"/>
  <c r="AA254" i="9" l="1"/>
  <c r="AF253" i="9"/>
  <c r="AA255" i="9" l="1"/>
  <c r="AF254" i="9"/>
  <c r="AA256" i="9" l="1"/>
  <c r="AF255" i="9"/>
  <c r="AA257" i="9" l="1"/>
  <c r="AF256" i="9"/>
  <c r="AA258" i="9" l="1"/>
  <c r="AF257" i="9"/>
  <c r="AA259" i="9" l="1"/>
  <c r="AF258" i="9"/>
  <c r="AA260" i="9" l="1"/>
  <c r="AF259" i="9"/>
  <c r="AA261" i="9" l="1"/>
  <c r="AF260" i="9"/>
  <c r="AA262" i="9" l="1"/>
  <c r="AF261" i="9"/>
  <c r="AA263" i="9" l="1"/>
  <c r="AF262" i="9"/>
  <c r="AA264" i="9" l="1"/>
  <c r="AF263" i="9"/>
  <c r="AA265" i="9" l="1"/>
  <c r="AF264" i="9"/>
  <c r="AA266" i="9" l="1"/>
  <c r="AF265" i="9"/>
  <c r="AA267" i="9" l="1"/>
  <c r="AF266" i="9"/>
  <c r="AA268" i="9" l="1"/>
  <c r="AF267" i="9"/>
  <c r="AA269" i="9" l="1"/>
  <c r="AF268" i="9"/>
  <c r="AA270" i="9" l="1"/>
  <c r="AF269" i="9"/>
  <c r="AA271" i="9" l="1"/>
  <c r="AF270" i="9"/>
  <c r="AA272" i="9" l="1"/>
  <c r="AF271" i="9"/>
  <c r="AA273" i="9" l="1"/>
  <c r="AF272" i="9"/>
  <c r="AA274" i="9" l="1"/>
  <c r="AF273" i="9"/>
  <c r="AA275" i="9" l="1"/>
  <c r="AF274" i="9"/>
  <c r="AA276" i="9" l="1"/>
  <c r="AF275" i="9"/>
  <c r="AA277" i="9" l="1"/>
  <c r="AF276" i="9"/>
  <c r="AA278" i="9" l="1"/>
  <c r="AF277" i="9"/>
  <c r="AA279" i="9" l="1"/>
  <c r="AF278" i="9"/>
  <c r="AA280" i="9" l="1"/>
  <c r="AF279" i="9"/>
  <c r="AA281" i="9" l="1"/>
  <c r="AF280" i="9"/>
  <c r="AA282" i="9" l="1"/>
  <c r="AF281" i="9"/>
  <c r="AA283" i="9" l="1"/>
  <c r="AF282" i="9"/>
  <c r="AA284" i="9" l="1"/>
  <c r="AF283" i="9"/>
  <c r="AA285" i="9" l="1"/>
  <c r="AF284" i="9"/>
  <c r="AA286" i="9" l="1"/>
  <c r="AF285" i="9"/>
  <c r="AA287" i="9" l="1"/>
  <c r="AF286" i="9"/>
  <c r="AA288" i="9" l="1"/>
  <c r="AF287" i="9"/>
  <c r="AA289" i="9" l="1"/>
  <c r="AF288" i="9"/>
  <c r="AA290" i="9" l="1"/>
  <c r="AF289" i="9"/>
  <c r="AA291" i="9" l="1"/>
  <c r="AF290" i="9"/>
  <c r="AA292" i="9" l="1"/>
  <c r="AF291" i="9"/>
  <c r="AA293" i="9" l="1"/>
  <c r="AF292" i="9"/>
  <c r="AA294" i="9" l="1"/>
  <c r="AF293" i="9"/>
  <c r="AA295" i="9" l="1"/>
  <c r="AF294" i="9"/>
  <c r="AA296" i="9" l="1"/>
  <c r="AF295" i="9"/>
  <c r="AA297" i="9" l="1"/>
  <c r="AF296" i="9"/>
  <c r="AA298" i="9" l="1"/>
  <c r="AF297" i="9"/>
  <c r="AA299" i="9" l="1"/>
  <c r="AF298" i="9"/>
  <c r="AA300" i="9" l="1"/>
  <c r="AF299" i="9"/>
  <c r="AA301" i="9" l="1"/>
  <c r="AF300" i="9"/>
  <c r="AA302" i="9" l="1"/>
  <c r="AF301" i="9"/>
  <c r="AA303" i="9" l="1"/>
  <c r="AF302" i="9"/>
  <c r="AA304" i="9" l="1"/>
  <c r="AF303" i="9"/>
  <c r="AA305" i="9" l="1"/>
  <c r="AF304" i="9"/>
  <c r="AA306" i="9" l="1"/>
  <c r="AF305" i="9"/>
  <c r="AA307" i="9" l="1"/>
  <c r="AF306" i="9"/>
  <c r="AA308" i="9" l="1"/>
  <c r="AF307" i="9"/>
  <c r="AA309" i="9" l="1"/>
  <c r="AF308" i="9"/>
  <c r="AA310" i="9" l="1"/>
  <c r="AF309" i="9"/>
  <c r="AA311" i="9" l="1"/>
  <c r="AF310" i="9"/>
  <c r="AA312" i="9" l="1"/>
  <c r="AF311" i="9"/>
  <c r="AA313" i="9" l="1"/>
  <c r="AF312" i="9"/>
  <c r="AA314" i="9" l="1"/>
  <c r="AF313" i="9"/>
  <c r="AA315" i="9" l="1"/>
  <c r="AF314" i="9"/>
  <c r="AA316" i="9" l="1"/>
  <c r="AF315" i="9"/>
  <c r="AA317" i="9" l="1"/>
  <c r="AF316" i="9"/>
  <c r="AA318" i="9" l="1"/>
  <c r="AF317" i="9"/>
  <c r="AA319" i="9" l="1"/>
  <c r="AF318" i="9"/>
  <c r="AA320" i="9" l="1"/>
  <c r="AF319" i="9"/>
  <c r="AA321" i="9" l="1"/>
  <c r="AF320" i="9"/>
  <c r="AA322" i="9" l="1"/>
  <c r="AF321" i="9"/>
  <c r="AA323" i="9" l="1"/>
  <c r="AF322" i="9"/>
  <c r="AA324" i="9" l="1"/>
  <c r="AF323" i="9"/>
  <c r="AA325" i="9" l="1"/>
  <c r="AF324" i="9"/>
  <c r="AA326" i="9" l="1"/>
  <c r="AF325" i="9"/>
  <c r="AA327" i="9" l="1"/>
  <c r="AF326" i="9"/>
  <c r="AA328" i="9" l="1"/>
  <c r="AF327" i="9"/>
  <c r="AA329" i="9" l="1"/>
  <c r="AF328" i="9"/>
  <c r="AA330" i="9" l="1"/>
  <c r="AF329" i="9"/>
  <c r="AA331" i="9" l="1"/>
  <c r="AF330" i="9"/>
  <c r="AA332" i="9" l="1"/>
  <c r="AF331" i="9"/>
  <c r="AA333" i="9" l="1"/>
  <c r="AF332" i="9"/>
  <c r="AA334" i="9" l="1"/>
  <c r="AF333" i="9"/>
  <c r="AA335" i="9" l="1"/>
  <c r="AF334" i="9"/>
  <c r="AA336" i="9" l="1"/>
  <c r="AF335" i="9"/>
  <c r="AA337" i="9" l="1"/>
  <c r="AF336" i="9"/>
  <c r="AA338" i="9" l="1"/>
  <c r="AF337" i="9"/>
  <c r="AA339" i="9" l="1"/>
  <c r="AF338" i="9"/>
  <c r="AA340" i="9" l="1"/>
  <c r="AF339" i="9"/>
  <c r="AA341" i="9" l="1"/>
  <c r="AF340" i="9"/>
  <c r="AA342" i="9" l="1"/>
  <c r="AF341" i="9"/>
  <c r="AA343" i="9" l="1"/>
  <c r="AF342" i="9"/>
  <c r="AA344" i="9" l="1"/>
  <c r="AF343" i="9"/>
  <c r="AA345" i="9" l="1"/>
  <c r="AF344" i="9"/>
  <c r="AA346" i="9" l="1"/>
  <c r="AF345" i="9"/>
  <c r="AA347" i="9" l="1"/>
  <c r="AF346" i="9"/>
  <c r="AA348" i="9" l="1"/>
  <c r="AF347" i="9"/>
  <c r="AA349" i="9" l="1"/>
  <c r="AF348" i="9"/>
  <c r="AA350" i="9" l="1"/>
  <c r="AF349" i="9"/>
  <c r="AA351" i="9" l="1"/>
  <c r="AF350" i="9"/>
  <c r="AA352" i="9" l="1"/>
  <c r="AF351" i="9"/>
  <c r="AA353" i="9" l="1"/>
  <c r="AF352" i="9"/>
  <c r="AA354" i="9" l="1"/>
  <c r="AF353" i="9"/>
  <c r="AA355" i="9" l="1"/>
  <c r="AF354" i="9"/>
  <c r="AA356" i="9" l="1"/>
  <c r="AF355" i="9"/>
  <c r="AA357" i="9" l="1"/>
  <c r="AF356" i="9"/>
  <c r="AA358" i="9" l="1"/>
  <c r="AF357" i="9"/>
  <c r="AA359" i="9" l="1"/>
  <c r="AF358" i="9"/>
  <c r="AA360" i="9" l="1"/>
  <c r="AF359" i="9"/>
  <c r="AA361" i="9" l="1"/>
  <c r="AF360" i="9"/>
  <c r="AA362" i="9" l="1"/>
  <c r="AF361" i="9"/>
  <c r="AA363" i="9" l="1"/>
  <c r="AF362" i="9"/>
  <c r="AA364" i="9" l="1"/>
  <c r="AF363" i="9"/>
  <c r="AA365" i="9" l="1"/>
  <c r="AF364" i="9"/>
  <c r="AA366" i="9" l="1"/>
  <c r="AF365" i="9"/>
  <c r="AA367" i="9" l="1"/>
  <c r="AF366" i="9"/>
  <c r="AA368" i="9" l="1"/>
  <c r="AF367" i="9"/>
  <c r="AA369" i="9" l="1"/>
  <c r="AF368" i="9"/>
  <c r="AA370" i="9" l="1"/>
  <c r="AF369" i="9"/>
  <c r="AA371" i="9" l="1"/>
  <c r="AF370" i="9"/>
  <c r="AA372" i="9" l="1"/>
  <c r="AF371" i="9"/>
  <c r="AA373" i="9" l="1"/>
  <c r="AF372" i="9"/>
  <c r="AA374" i="9" l="1"/>
  <c r="AF373" i="9"/>
  <c r="AA375" i="9" l="1"/>
  <c r="AF374" i="9"/>
  <c r="AA376" i="9" l="1"/>
  <c r="AF375" i="9"/>
  <c r="AA377" i="9" l="1"/>
  <c r="AF376" i="9"/>
  <c r="AA378" i="9" l="1"/>
  <c r="AF377" i="9"/>
  <c r="AA379" i="9" l="1"/>
  <c r="AF378" i="9"/>
  <c r="AA380" i="9" l="1"/>
  <c r="AF379" i="9"/>
  <c r="AA381" i="9" l="1"/>
  <c r="AF380" i="9"/>
  <c r="AA382" i="9" l="1"/>
  <c r="AF381" i="9"/>
  <c r="AA383" i="9" l="1"/>
  <c r="AF382" i="9"/>
  <c r="AA384" i="9" l="1"/>
  <c r="AF383" i="9"/>
  <c r="AA385" i="9" l="1"/>
  <c r="AF384" i="9"/>
  <c r="AA386" i="9" l="1"/>
  <c r="AF385" i="9"/>
  <c r="AA387" i="9" l="1"/>
  <c r="AF386" i="9"/>
  <c r="AA388" i="9" l="1"/>
  <c r="AF387" i="9"/>
  <c r="AA389" i="9" l="1"/>
  <c r="AF388" i="9"/>
  <c r="AA390" i="9" l="1"/>
  <c r="AF389" i="9"/>
  <c r="AA391" i="9" l="1"/>
  <c r="AF390" i="9"/>
  <c r="AA392" i="9" l="1"/>
  <c r="AF391" i="9"/>
  <c r="AA393" i="9" l="1"/>
  <c r="AF392" i="9"/>
  <c r="AA394" i="9" l="1"/>
  <c r="AF393" i="9"/>
  <c r="AA395" i="9" l="1"/>
  <c r="AF394" i="9"/>
  <c r="AA396" i="9" l="1"/>
  <c r="AF395" i="9"/>
  <c r="AA397" i="9" l="1"/>
  <c r="AF396" i="9"/>
  <c r="AA398" i="9" l="1"/>
  <c r="AF397" i="9"/>
  <c r="AA399" i="9" l="1"/>
  <c r="AF398" i="9"/>
  <c r="AA400" i="9" l="1"/>
  <c r="AF399" i="9"/>
  <c r="AA401" i="9" l="1"/>
  <c r="AF400" i="9"/>
  <c r="AA402" i="9" l="1"/>
  <c r="AF401" i="9"/>
  <c r="AA403" i="9" l="1"/>
  <c r="AF402" i="9"/>
  <c r="AA404" i="9" l="1"/>
  <c r="AF403" i="9"/>
  <c r="AA405" i="9" l="1"/>
  <c r="AF404" i="9"/>
  <c r="AA406" i="9" l="1"/>
  <c r="AF405" i="9"/>
  <c r="AA407" i="9" l="1"/>
  <c r="AF406" i="9"/>
  <c r="AA408" i="9" l="1"/>
  <c r="AF407" i="9"/>
  <c r="AA409" i="9" l="1"/>
  <c r="AF408" i="9"/>
  <c r="AA410" i="9" l="1"/>
  <c r="AF409" i="9"/>
  <c r="AA411" i="9" l="1"/>
  <c r="AF410" i="9"/>
  <c r="AA412" i="9" l="1"/>
  <c r="AF411" i="9"/>
  <c r="AA413" i="9" l="1"/>
  <c r="AF412" i="9"/>
  <c r="AA414" i="9" l="1"/>
  <c r="AF413" i="9"/>
  <c r="AA415" i="9" l="1"/>
  <c r="AF414" i="9"/>
  <c r="AA416" i="9" l="1"/>
  <c r="AF415" i="9"/>
  <c r="AA417" i="9" l="1"/>
  <c r="AF416" i="9"/>
  <c r="AA418" i="9" l="1"/>
  <c r="AF417" i="9"/>
  <c r="AA419" i="9" l="1"/>
  <c r="AF418" i="9"/>
  <c r="AA420" i="9" l="1"/>
  <c r="AF419" i="9"/>
  <c r="AA421" i="9" l="1"/>
  <c r="AF420" i="9"/>
  <c r="AA422" i="9" l="1"/>
  <c r="AF421" i="9"/>
  <c r="AA423" i="9" l="1"/>
  <c r="AF422" i="9"/>
  <c r="AA424" i="9" l="1"/>
  <c r="AF423" i="9"/>
  <c r="AA425" i="9" l="1"/>
  <c r="AF424" i="9"/>
  <c r="AA426" i="9" l="1"/>
  <c r="AF425" i="9"/>
  <c r="AA427" i="9" l="1"/>
  <c r="AF426" i="9"/>
  <c r="AA428" i="9" l="1"/>
  <c r="AF427" i="9"/>
  <c r="AA429" i="9" l="1"/>
  <c r="AF428" i="9"/>
  <c r="AA430" i="9" l="1"/>
  <c r="AF429" i="9"/>
  <c r="AA431" i="9" l="1"/>
  <c r="AF430" i="9"/>
  <c r="AA432" i="9" l="1"/>
  <c r="AF431" i="9"/>
  <c r="AA433" i="9" l="1"/>
  <c r="AF432" i="9"/>
  <c r="AA434" i="9" l="1"/>
  <c r="AF433" i="9"/>
  <c r="AA435" i="9" l="1"/>
  <c r="AF434" i="9"/>
  <c r="AA436" i="9" l="1"/>
  <c r="AF435" i="9"/>
  <c r="AA437" i="9" l="1"/>
  <c r="AF436" i="9"/>
  <c r="AA438" i="9" l="1"/>
  <c r="AF437" i="9"/>
  <c r="AA439" i="9" l="1"/>
  <c r="AF438" i="9"/>
  <c r="AA440" i="9" l="1"/>
  <c r="AF439" i="9"/>
  <c r="AA441" i="9" l="1"/>
  <c r="AF440" i="9"/>
  <c r="AA442" i="9" l="1"/>
  <c r="AF441" i="9"/>
  <c r="AA443" i="9" l="1"/>
  <c r="AF442" i="9"/>
  <c r="AA444" i="9" l="1"/>
  <c r="AF443" i="9"/>
  <c r="AA445" i="9" l="1"/>
  <c r="AF444" i="9"/>
  <c r="AA446" i="9" l="1"/>
  <c r="AF445" i="9"/>
  <c r="AA447" i="9" l="1"/>
  <c r="AF446" i="9"/>
  <c r="AA448" i="9" l="1"/>
  <c r="AF447" i="9"/>
  <c r="AA449" i="9" l="1"/>
  <c r="AF448" i="9"/>
  <c r="AA450" i="9" l="1"/>
  <c r="AF449" i="9"/>
  <c r="AA451" i="9" l="1"/>
  <c r="AF450" i="9"/>
  <c r="AA452" i="9" l="1"/>
  <c r="AF451" i="9"/>
  <c r="AA453" i="9" l="1"/>
  <c r="AF452" i="9"/>
  <c r="AA454" i="9" l="1"/>
  <c r="AF453" i="9"/>
  <c r="AA455" i="9" l="1"/>
  <c r="AF454" i="9"/>
  <c r="AA456" i="9" l="1"/>
  <c r="AF455" i="9"/>
  <c r="AA457" i="9" l="1"/>
  <c r="AF456" i="9"/>
  <c r="AA458" i="9" l="1"/>
  <c r="AF457" i="9"/>
  <c r="AA459" i="9" l="1"/>
  <c r="AF458" i="9"/>
  <c r="AA460" i="9" l="1"/>
  <c r="AF459" i="9"/>
  <c r="AA461" i="9" l="1"/>
  <c r="AF460" i="9"/>
  <c r="AA462" i="9" l="1"/>
  <c r="AF461" i="9"/>
  <c r="AA463" i="9" l="1"/>
  <c r="AF462" i="9"/>
  <c r="AA464" i="9" l="1"/>
  <c r="AF463" i="9"/>
  <c r="AA465" i="9" l="1"/>
  <c r="AF464" i="9"/>
  <c r="AA466" i="9" l="1"/>
  <c r="AF465" i="9"/>
  <c r="AA467" i="9" l="1"/>
  <c r="AF466" i="9"/>
  <c r="AA468" i="9" l="1"/>
  <c r="AF467" i="9"/>
  <c r="AA469" i="9" l="1"/>
  <c r="AF468" i="9"/>
  <c r="AA470" i="9" l="1"/>
  <c r="AF469" i="9"/>
  <c r="AA471" i="9" l="1"/>
  <c r="AF470" i="9"/>
  <c r="AA472" i="9" l="1"/>
  <c r="AF471" i="9"/>
  <c r="AA473" i="9" l="1"/>
  <c r="AF472" i="9"/>
  <c r="AA474" i="9" l="1"/>
  <c r="AF473" i="9"/>
  <c r="AA475" i="9" l="1"/>
  <c r="AF474" i="9"/>
  <c r="AA476" i="9" l="1"/>
  <c r="AF475" i="9"/>
  <c r="AA477" i="9" l="1"/>
  <c r="AF476" i="9"/>
  <c r="AA478" i="9" l="1"/>
  <c r="AF477" i="9"/>
  <c r="AA479" i="9" l="1"/>
  <c r="AF478" i="9"/>
  <c r="AA480" i="9" l="1"/>
  <c r="AF479" i="9"/>
  <c r="AA481" i="9" l="1"/>
  <c r="AF480" i="9"/>
  <c r="AA482" i="9" l="1"/>
  <c r="AF481" i="9"/>
  <c r="AA483" i="9" l="1"/>
  <c r="AF482" i="9"/>
  <c r="AA484" i="9" l="1"/>
  <c r="AF483" i="9"/>
  <c r="AA485" i="9" l="1"/>
  <c r="AF484" i="9"/>
  <c r="AA486" i="9" l="1"/>
  <c r="AF485" i="9"/>
  <c r="AA487" i="9" l="1"/>
  <c r="AF486" i="9"/>
  <c r="AA488" i="9" l="1"/>
  <c r="AF487" i="9"/>
  <c r="AA489" i="9" l="1"/>
  <c r="AF488" i="9"/>
  <c r="AA490" i="9" l="1"/>
  <c r="AF489" i="9"/>
  <c r="AA491" i="9" l="1"/>
  <c r="AF490" i="9"/>
  <c r="AA492" i="9" l="1"/>
  <c r="AF491" i="9"/>
  <c r="AA493" i="9" l="1"/>
  <c r="AF492" i="9"/>
  <c r="AA494" i="9" l="1"/>
  <c r="AF493" i="9"/>
  <c r="AA495" i="9" l="1"/>
  <c r="AF494" i="9"/>
  <c r="AA496" i="9" l="1"/>
  <c r="AF495" i="9"/>
  <c r="AA497" i="9" l="1"/>
  <c r="AF496" i="9"/>
  <c r="AA498" i="9" l="1"/>
  <c r="AF497" i="9"/>
  <c r="AA499" i="9" l="1"/>
  <c r="AF498" i="9"/>
  <c r="AA500" i="9" l="1"/>
  <c r="AF499" i="9"/>
  <c r="AA501" i="9" l="1"/>
  <c r="AF500" i="9"/>
  <c r="AA502" i="9" l="1"/>
  <c r="AF501" i="9"/>
  <c r="AA503" i="9" l="1"/>
  <c r="AF502" i="9"/>
  <c r="AA504" i="9" l="1"/>
  <c r="AF503" i="9"/>
  <c r="AA505" i="9" l="1"/>
  <c r="AF504" i="9"/>
  <c r="AA506" i="9" l="1"/>
  <c r="AF505" i="9"/>
  <c r="AA507" i="9" l="1"/>
  <c r="AF506" i="9"/>
  <c r="AA508" i="9" l="1"/>
  <c r="AF507" i="9"/>
  <c r="AA509" i="9" l="1"/>
  <c r="AF508" i="9"/>
  <c r="AA510" i="9" l="1"/>
  <c r="AF509" i="9"/>
  <c r="AA511" i="9" l="1"/>
  <c r="AF510" i="9"/>
  <c r="AA512" i="9" l="1"/>
  <c r="AF511" i="9"/>
  <c r="AA513" i="9" l="1"/>
  <c r="AF512" i="9"/>
  <c r="AA514" i="9" l="1"/>
  <c r="AF513" i="9"/>
  <c r="AA515" i="9" l="1"/>
  <c r="AF514" i="9"/>
  <c r="AA516" i="9" l="1"/>
  <c r="AF515" i="9"/>
  <c r="AA517" i="9" l="1"/>
  <c r="AF516" i="9"/>
  <c r="AA518" i="9" l="1"/>
  <c r="AF517" i="9"/>
  <c r="AA519" i="9" l="1"/>
  <c r="AF518" i="9"/>
  <c r="AA520" i="9" l="1"/>
  <c r="AF519" i="9"/>
  <c r="AA521" i="9" l="1"/>
  <c r="AF520" i="9"/>
  <c r="AA522" i="9" l="1"/>
  <c r="AF521" i="9"/>
  <c r="AA523" i="9" l="1"/>
  <c r="AF522" i="9"/>
  <c r="AA524" i="9" l="1"/>
  <c r="AF523" i="9"/>
  <c r="AA525" i="9" l="1"/>
  <c r="AF524" i="9"/>
  <c r="AA526" i="9" l="1"/>
  <c r="AF525" i="9"/>
  <c r="AA527" i="9" l="1"/>
  <c r="AF526" i="9"/>
  <c r="AA528" i="9" l="1"/>
  <c r="AF527" i="9"/>
  <c r="AA529" i="9" l="1"/>
  <c r="AF528" i="9"/>
  <c r="AA530" i="9" l="1"/>
  <c r="AF529" i="9"/>
  <c r="AA531" i="9" l="1"/>
  <c r="AF530" i="9"/>
  <c r="AA532" i="9" l="1"/>
  <c r="AF531" i="9"/>
  <c r="AA533" i="9" l="1"/>
  <c r="AF532" i="9"/>
  <c r="AA534" i="9" l="1"/>
  <c r="AF533" i="9"/>
  <c r="AA535" i="9" l="1"/>
  <c r="AF534" i="9"/>
  <c r="AA536" i="9" l="1"/>
  <c r="AF535" i="9"/>
  <c r="AA537" i="9" l="1"/>
  <c r="AF536" i="9"/>
  <c r="AA538" i="9" l="1"/>
  <c r="AF537" i="9"/>
  <c r="AA539" i="9" l="1"/>
  <c r="AF538" i="9"/>
  <c r="AA540" i="9" l="1"/>
  <c r="AF539" i="9"/>
  <c r="AA541" i="9" l="1"/>
  <c r="AF540" i="9"/>
  <c r="AA542" i="9" l="1"/>
  <c r="AF541" i="9"/>
  <c r="AA543" i="9" l="1"/>
  <c r="AF542" i="9"/>
  <c r="AA544" i="9" l="1"/>
  <c r="AF543" i="9"/>
  <c r="AA545" i="9" l="1"/>
  <c r="AF544" i="9"/>
  <c r="AA546" i="9" l="1"/>
  <c r="AF545" i="9"/>
  <c r="AA547" i="9" l="1"/>
  <c r="AF546" i="9"/>
  <c r="AA548" i="9" l="1"/>
  <c r="AF547" i="9"/>
  <c r="AA549" i="9" l="1"/>
  <c r="AF548" i="9"/>
  <c r="AA550" i="9" l="1"/>
  <c r="AF549" i="9"/>
  <c r="AA551" i="9" l="1"/>
  <c r="AF550" i="9"/>
  <c r="AA552" i="9" l="1"/>
  <c r="AF551" i="9"/>
  <c r="AA553" i="9" l="1"/>
  <c r="AF552" i="9"/>
  <c r="AA554" i="9" l="1"/>
  <c r="AF553" i="9"/>
  <c r="AA555" i="9" l="1"/>
  <c r="AF554" i="9"/>
  <c r="AA556" i="9" l="1"/>
  <c r="AF555" i="9"/>
  <c r="AA557" i="9" l="1"/>
  <c r="AF556" i="9"/>
  <c r="AA558" i="9" l="1"/>
  <c r="AF557" i="9"/>
  <c r="AA559" i="9" l="1"/>
  <c r="AF558" i="9"/>
  <c r="AA560" i="9" l="1"/>
  <c r="AF559" i="9"/>
  <c r="AA561" i="9" l="1"/>
  <c r="AF560" i="9"/>
  <c r="AA562" i="9" l="1"/>
  <c r="AF561" i="9"/>
  <c r="AA563" i="9" l="1"/>
  <c r="AF562" i="9"/>
  <c r="AA564" i="9" l="1"/>
  <c r="AF563" i="9"/>
  <c r="AA565" i="9" l="1"/>
  <c r="AF564" i="9"/>
  <c r="AA566" i="9" l="1"/>
  <c r="AF565" i="9"/>
  <c r="AA567" i="9" l="1"/>
  <c r="AF566" i="9"/>
  <c r="AA568" i="9" l="1"/>
  <c r="AF567" i="9"/>
  <c r="AA569" i="9" l="1"/>
  <c r="AF568" i="9"/>
  <c r="AA570" i="9" l="1"/>
  <c r="AF569" i="9"/>
  <c r="AA571" i="9" l="1"/>
  <c r="AF570" i="9"/>
  <c r="AA572" i="9" l="1"/>
  <c r="AF571" i="9"/>
  <c r="AA573" i="9" l="1"/>
  <c r="AF572" i="9"/>
  <c r="AA574" i="9" l="1"/>
  <c r="AF573" i="9"/>
  <c r="AA575" i="9" l="1"/>
  <c r="AF574" i="9"/>
  <c r="AA576" i="9" l="1"/>
  <c r="AF575" i="9"/>
  <c r="AA577" i="9" l="1"/>
  <c r="AF576" i="9"/>
  <c r="AA578" i="9" l="1"/>
  <c r="AF577" i="9"/>
  <c r="AA579" i="9" l="1"/>
  <c r="AF578" i="9"/>
  <c r="AA580" i="9" l="1"/>
  <c r="AF579" i="9"/>
  <c r="AA581" i="9" l="1"/>
  <c r="AF580" i="9"/>
  <c r="AA582" i="9" l="1"/>
  <c r="AF581" i="9"/>
  <c r="AA583" i="9" l="1"/>
  <c r="AF582" i="9"/>
  <c r="AA584" i="9" l="1"/>
  <c r="AF583" i="9"/>
  <c r="AA585" i="9" l="1"/>
  <c r="AF584" i="9"/>
  <c r="AA586" i="9" l="1"/>
  <c r="AF585" i="9"/>
  <c r="AA587" i="9" l="1"/>
  <c r="AF586" i="9"/>
  <c r="AA588" i="9" l="1"/>
  <c r="AF587" i="9"/>
  <c r="AA589" i="9" l="1"/>
  <c r="AF588" i="9"/>
  <c r="AA590" i="9" l="1"/>
  <c r="AF589" i="9"/>
  <c r="AA591" i="9" l="1"/>
  <c r="AF590" i="9"/>
  <c r="AA592" i="9" l="1"/>
  <c r="AF591" i="9"/>
  <c r="AA593" i="9" l="1"/>
  <c r="AF592" i="9"/>
  <c r="AA594" i="9" l="1"/>
  <c r="AF593" i="9"/>
  <c r="AA595" i="9" l="1"/>
  <c r="AF594" i="9"/>
  <c r="AA596" i="9" l="1"/>
  <c r="AF595" i="9"/>
  <c r="AA597" i="9" l="1"/>
  <c r="AF596" i="9"/>
  <c r="AA598" i="9" l="1"/>
  <c r="AF597" i="9"/>
  <c r="AA599" i="9" l="1"/>
  <c r="AF598" i="9"/>
  <c r="AA600" i="9" l="1"/>
  <c r="AF599" i="9"/>
  <c r="AA601" i="9" l="1"/>
  <c r="AF600" i="9"/>
  <c r="AA602" i="9" l="1"/>
  <c r="AF601" i="9"/>
  <c r="AA603" i="9" l="1"/>
  <c r="AF602" i="9"/>
  <c r="AA604" i="9" l="1"/>
  <c r="AF603" i="9"/>
  <c r="AA605" i="9" l="1"/>
  <c r="AF604" i="9"/>
  <c r="AA606" i="9" l="1"/>
  <c r="AF605" i="9"/>
  <c r="AA607" i="9" l="1"/>
  <c r="AF606" i="9"/>
  <c r="AA608" i="9" l="1"/>
  <c r="AF607" i="9"/>
  <c r="AA609" i="9" l="1"/>
  <c r="AF608" i="9"/>
  <c r="AA610" i="9" l="1"/>
  <c r="AF609" i="9"/>
  <c r="AA611" i="9" l="1"/>
  <c r="AF610" i="9"/>
  <c r="AA612" i="9" l="1"/>
  <c r="AF611" i="9"/>
  <c r="AA613" i="9" l="1"/>
  <c r="AF612" i="9"/>
  <c r="AA614" i="9" l="1"/>
  <c r="AF613" i="9"/>
  <c r="AA615" i="9" l="1"/>
  <c r="AF614" i="9"/>
  <c r="AA616" i="9" l="1"/>
  <c r="AF615" i="9"/>
  <c r="AA617" i="9" l="1"/>
  <c r="AF616" i="9"/>
  <c r="AA618" i="9" l="1"/>
  <c r="AF617" i="9"/>
  <c r="AA619" i="9" l="1"/>
  <c r="AF618" i="9"/>
  <c r="AA620" i="9" l="1"/>
  <c r="AF619" i="9"/>
  <c r="AA621" i="9" l="1"/>
  <c r="AF620" i="9"/>
  <c r="AA622" i="9" l="1"/>
  <c r="AF621" i="9"/>
  <c r="AA623" i="9" l="1"/>
  <c r="AF622" i="9"/>
  <c r="AA624" i="9" l="1"/>
  <c r="AF623" i="9"/>
  <c r="AA625" i="9" l="1"/>
  <c r="AF624" i="9"/>
  <c r="AA626" i="9" l="1"/>
  <c r="AF625" i="9"/>
  <c r="AA627" i="9" l="1"/>
  <c r="AF626" i="9"/>
  <c r="AA628" i="9" l="1"/>
  <c r="AF627" i="9"/>
  <c r="AA629" i="9" l="1"/>
  <c r="AF628" i="9"/>
  <c r="AA630" i="9" l="1"/>
  <c r="AF629" i="9"/>
  <c r="AA631" i="9" l="1"/>
  <c r="AF630" i="9"/>
  <c r="AA632" i="9" l="1"/>
  <c r="AF631" i="9"/>
  <c r="AA633" i="9" l="1"/>
  <c r="AF632" i="9"/>
  <c r="AA634" i="9" l="1"/>
  <c r="AF633" i="9"/>
  <c r="AA635" i="9" l="1"/>
  <c r="AF634" i="9"/>
  <c r="AA636" i="9" l="1"/>
  <c r="AF635" i="9"/>
  <c r="AA637" i="9" l="1"/>
  <c r="AF636" i="9"/>
  <c r="AA638" i="9" l="1"/>
  <c r="AF637" i="9"/>
  <c r="AA639" i="9" l="1"/>
  <c r="AF638" i="9"/>
  <c r="AA640" i="9" l="1"/>
  <c r="AF639" i="9"/>
  <c r="AA641" i="9" l="1"/>
  <c r="AF640" i="9"/>
  <c r="AA642" i="9" l="1"/>
  <c r="AF641" i="9"/>
  <c r="AA643" i="9" l="1"/>
  <c r="AF642" i="9"/>
  <c r="AA644" i="9" l="1"/>
  <c r="AF643" i="9"/>
  <c r="AA645" i="9" l="1"/>
  <c r="AF644" i="9"/>
  <c r="AA646" i="9" l="1"/>
  <c r="AF645" i="9"/>
  <c r="AA647" i="9" l="1"/>
  <c r="AF646" i="9"/>
  <c r="AA648" i="9" l="1"/>
  <c r="AF647" i="9"/>
  <c r="AA649" i="9" l="1"/>
  <c r="AF648" i="9"/>
  <c r="AA650" i="9" l="1"/>
  <c r="AF649" i="9"/>
  <c r="AA651" i="9" l="1"/>
  <c r="AF650" i="9"/>
  <c r="AA652" i="9" l="1"/>
  <c r="AF651" i="9"/>
  <c r="AA653" i="9" l="1"/>
  <c r="AF652" i="9"/>
  <c r="AA654" i="9" l="1"/>
  <c r="AF653" i="9"/>
  <c r="AA655" i="9" l="1"/>
  <c r="AF654" i="9"/>
  <c r="AA656" i="9" l="1"/>
  <c r="AF655" i="9"/>
  <c r="AA657" i="9" l="1"/>
  <c r="AF656" i="9"/>
  <c r="AA658" i="9" l="1"/>
  <c r="AF657" i="9"/>
  <c r="AA659" i="9" l="1"/>
  <c r="AF658" i="9"/>
  <c r="AA660" i="9" l="1"/>
  <c r="AF659" i="9"/>
  <c r="AA661" i="9" l="1"/>
  <c r="AF660" i="9"/>
  <c r="AA662" i="9" l="1"/>
  <c r="AF661" i="9"/>
  <c r="AA663" i="9" l="1"/>
  <c r="AF662" i="9"/>
  <c r="AA664" i="9" l="1"/>
  <c r="AF663" i="9"/>
  <c r="AA665" i="9" l="1"/>
  <c r="AF664" i="9"/>
  <c r="AA666" i="9" l="1"/>
  <c r="AF665" i="9"/>
  <c r="AA667" i="9" l="1"/>
  <c r="AF666" i="9"/>
  <c r="AA668" i="9" l="1"/>
  <c r="AF667" i="9"/>
  <c r="AA669" i="9" l="1"/>
  <c r="AF668" i="9"/>
  <c r="AA670" i="9" l="1"/>
  <c r="AF669" i="9"/>
  <c r="AA671" i="9" l="1"/>
  <c r="AF670" i="9"/>
  <c r="AA672" i="9" l="1"/>
  <c r="AF671" i="9"/>
  <c r="AA673" i="9" l="1"/>
  <c r="AF672" i="9"/>
  <c r="AA674" i="9" l="1"/>
  <c r="AF673" i="9"/>
  <c r="AA675" i="9" l="1"/>
  <c r="AF674" i="9"/>
  <c r="AA676" i="9" l="1"/>
  <c r="AF675" i="9"/>
  <c r="AA677" i="9" l="1"/>
  <c r="AF676" i="9"/>
  <c r="AA678" i="9" l="1"/>
  <c r="AF677" i="9"/>
  <c r="AA679" i="9" l="1"/>
  <c r="AF678" i="9"/>
  <c r="AA680" i="9" l="1"/>
  <c r="AF679" i="9"/>
  <c r="AA681" i="9" l="1"/>
  <c r="AF680" i="9"/>
  <c r="AA682" i="9" l="1"/>
  <c r="AF681" i="9"/>
  <c r="AA683" i="9" l="1"/>
  <c r="AF682" i="9"/>
  <c r="AA684" i="9" l="1"/>
  <c r="AF683" i="9"/>
  <c r="AA685" i="9" l="1"/>
  <c r="AF684" i="9"/>
  <c r="AA686" i="9" l="1"/>
  <c r="AF685" i="9"/>
  <c r="AA687" i="9" l="1"/>
  <c r="AF686" i="9"/>
  <c r="AA688" i="9" l="1"/>
  <c r="AF687" i="9"/>
  <c r="AA689" i="9" l="1"/>
  <c r="AF688" i="9"/>
  <c r="AA690" i="9" l="1"/>
  <c r="AF689" i="9"/>
  <c r="AA691" i="9" l="1"/>
  <c r="AF690" i="9"/>
  <c r="AA692" i="9" l="1"/>
  <c r="AF691" i="9"/>
  <c r="AA693" i="9" l="1"/>
  <c r="AF692" i="9"/>
  <c r="AA694" i="9" l="1"/>
  <c r="AF693" i="9"/>
  <c r="AA695" i="9" l="1"/>
  <c r="AF694" i="9"/>
  <c r="AA696" i="9" l="1"/>
  <c r="AF695" i="9"/>
  <c r="AA697" i="9" l="1"/>
  <c r="AF696" i="9"/>
  <c r="AA698" i="9" l="1"/>
  <c r="AF697" i="9"/>
  <c r="AA699" i="9" l="1"/>
  <c r="AF698" i="9"/>
  <c r="AA700" i="9" l="1"/>
  <c r="AF699" i="9"/>
  <c r="AA701" i="9" l="1"/>
  <c r="AF700" i="9"/>
  <c r="AA702" i="9" l="1"/>
  <c r="AF701" i="9"/>
  <c r="AA703" i="9" l="1"/>
  <c r="AF702" i="9"/>
  <c r="AA704" i="9" l="1"/>
  <c r="AF703" i="9"/>
  <c r="AA705" i="9" l="1"/>
  <c r="AF704" i="9"/>
  <c r="AA706" i="9" l="1"/>
  <c r="AF705" i="9"/>
  <c r="AA707" i="9" l="1"/>
  <c r="AF706" i="9"/>
  <c r="AA708" i="9" l="1"/>
  <c r="AF707" i="9"/>
  <c r="AA709" i="9" l="1"/>
  <c r="AF708" i="9"/>
  <c r="AA710" i="9" l="1"/>
  <c r="AF709" i="9"/>
  <c r="AA711" i="9" l="1"/>
  <c r="AF710" i="9"/>
  <c r="AA712" i="9" l="1"/>
  <c r="AF711" i="9"/>
  <c r="AA713" i="9" l="1"/>
  <c r="AF712" i="9"/>
  <c r="AA714" i="9" l="1"/>
  <c r="AF713" i="9"/>
  <c r="AA715" i="9" l="1"/>
  <c r="AF714" i="9"/>
  <c r="AA716" i="9" l="1"/>
  <c r="AF715" i="9"/>
  <c r="AA717" i="9" l="1"/>
  <c r="AF716" i="9"/>
  <c r="AA718" i="9" l="1"/>
  <c r="AF717" i="9"/>
  <c r="AA719" i="9" l="1"/>
  <c r="AF718" i="9"/>
  <c r="AA720" i="9" l="1"/>
  <c r="AF719" i="9"/>
  <c r="AA721" i="9" l="1"/>
  <c r="AF720" i="9"/>
  <c r="AA722" i="9" l="1"/>
  <c r="AF721" i="9"/>
  <c r="AA723" i="9" l="1"/>
  <c r="AF722" i="9"/>
  <c r="AA724" i="9" l="1"/>
  <c r="AF723" i="9"/>
  <c r="AA725" i="9" l="1"/>
  <c r="AF724" i="9"/>
  <c r="AA726" i="9" l="1"/>
  <c r="AF725" i="9"/>
  <c r="AA727" i="9" l="1"/>
  <c r="AF726" i="9"/>
  <c r="AA728" i="9" l="1"/>
  <c r="AF727" i="9"/>
  <c r="AA729" i="9" l="1"/>
  <c r="AF728" i="9"/>
  <c r="AA730" i="9" l="1"/>
  <c r="AF729" i="9"/>
  <c r="AA731" i="9" l="1"/>
  <c r="AF731" i="9" s="1"/>
  <c r="AF730" i="9"/>
</calcChain>
</file>

<file path=xl/sharedStrings.xml><?xml version="1.0" encoding="utf-8"?>
<sst xmlns="http://schemas.openxmlformats.org/spreadsheetml/2006/main" count="16" uniqueCount="14">
  <si>
    <t>name</t>
  </si>
  <si>
    <t>dir</t>
  </si>
  <si>
    <t>scn_numb</t>
  </si>
  <si>
    <t>a</t>
  </si>
  <si>
    <t>signma</t>
  </si>
  <si>
    <t>corel</t>
  </si>
  <si>
    <t>delta</t>
  </si>
  <si>
    <t>C:\Users\b029735\NoBackupData\10_C++ Code New Version2013(working version)\NEW_SETUP\03_Scenario_Gen\Output\</t>
  </si>
  <si>
    <t>C:\Users\b029735\NoBackupData\12_MONTHLY_PROCESS\03_Scenario_Gen\</t>
  </si>
  <si>
    <t>6bps</t>
  </si>
  <si>
    <t>alpha</t>
  </si>
  <si>
    <t>sigma</t>
  </si>
  <si>
    <t>vol</t>
  </si>
  <si>
    <t>scenario_2_1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</si>
</sst>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 * #,##0.00_ ;_ * \-#,##0.00_ ;_ * &quot;-&quot;??_ ;_ @_ "/>
    <numFmt numFmtId="164" formatCode="_-* #,##0.00_-;\-* #,##0.00_-;_-* &quot;-&quot;??_-;_-@_-"/>
    <numFmt numFmtId="165" formatCode="0.000%"/>
    <numFmt numFmtId="166" formatCode="0.00000%"/>
    <numFmt numFmtId="167" formatCode="0.0000000%"/>
    <numFmt numFmtId="168" formatCode="0.0%"/>
    <numFmt numFmtId="169" formatCode="0.000000000000000%"/>
    <numFmt numFmtId="171" formatCode="_-* #,##0_-;\-* #,##0_-;_-* &quot;-&quot;??_-;_-@_-"/>
    <numFmt numFmtId="173" formatCode="_ * #,##0_ ;_ * \-#,##0_ ;_ * &quot;-&quot;??_ ;_ @_ "/>
  </numFmts>
  <fonts count="3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165" fontId="0" fillId="2" borderId="0" xfId="1" applyNumberFormat="1" applyFont="1" applyFill="1"/>
    <xf numFmtId="166" fontId="0" fillId="2" borderId="0" xfId="1" applyNumberFormat="1" applyFont="1" applyFill="1"/>
    <xf numFmtId="167" fontId="0" fillId="2" borderId="0" xfId="1" applyNumberFormat="1" applyFont="1" applyFill="1"/>
    <xf numFmtId="167" fontId="2" fillId="2" borderId="0" xfId="0" applyNumberFormat="1" applyFont="1" applyFill="1"/>
    <xf numFmtId="0" fontId="2" fillId="2" borderId="0" xfId="0" applyFont="1" applyFill="1"/>
    <xf numFmtId="9" fontId="0" fillId="2" borderId="0" xfId="1" applyFont="1" applyFill="1"/>
    <xf numFmtId="164" fontId="0" fillId="2" borderId="0" xfId="2" applyFont="1" applyFill="1"/>
    <xf numFmtId="165" fontId="0" fillId="0" borderId="0" xfId="1" applyNumberFormat="1" applyFont="1"/>
    <xf numFmtId="164" fontId="0" fillId="0" borderId="0" xfId="2" applyFont="1"/>
    <xf numFmtId="164" fontId="0" fillId="2" borderId="0" xfId="0" applyNumberFormat="1" applyFill="1"/>
    <xf numFmtId="9" fontId="0" fillId="0" borderId="0" xfId="0" applyNumberFormat="1"/>
    <xf numFmtId="9" fontId="0" fillId="0" borderId="0" xfId="1" applyFont="1"/>
    <xf numFmtId="168" fontId="0" fillId="0" borderId="0" xfId="1" applyNumberFormat="1" applyFont="1"/>
    <xf numFmtId="10" fontId="0" fillId="0" borderId="0" xfId="1" applyNumberFormat="1" applyFont="1"/>
    <xf numFmtId="10" fontId="0" fillId="0" borderId="0" xfId="0" applyNumberFormat="1"/>
    <xf numFmtId="169" fontId="0" fillId="0" borderId="0" xfId="0" applyNumberFormat="1"/>
    <xf numFmtId="165" fontId="0" fillId="0" borderId="0" xfId="0" applyNumberFormat="1"/>
    <xf numFmtId="0" fontId="0" fillId="3" borderId="0" xfId="0" applyFill="1"/>
    <xf numFmtId="10" fontId="0" fillId="2" borderId="0" xfId="1" applyNumberFormat="1" applyFont="1" applyFill="1"/>
    <xf numFmtId="171" fontId="0" fillId="2" borderId="0" xfId="2" applyNumberFormat="1" applyFont="1" applyFill="1"/>
    <xf numFmtId="43" fontId="0" fillId="2" borderId="0" xfId="0" applyNumberFormat="1" applyFill="1"/>
    <xf numFmtId="173" fontId="0" fillId="2" borderId="0" xfId="0" applyNumberFormat="1" applyFill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Output!$K$12:$K$731</c:f>
              <c:numCache>
                <c:formatCode>General</c:formatCode>
                <c:ptCount val="720"/>
                <c:pt idx="0">
                  <c:v>1.0000008170269756</c:v>
                </c:pt>
                <c:pt idx="1">
                  <c:v>0.99999798122145445</c:v>
                </c:pt>
                <c:pt idx="2">
                  <c:v>0.99999037921102973</c:v>
                </c:pt>
                <c:pt idx="3">
                  <c:v>0.99998443339241261</c:v>
                </c:pt>
                <c:pt idx="4">
                  <c:v>0.99997642849198431</c:v>
                </c:pt>
                <c:pt idx="5">
                  <c:v>0.99996952121722915</c:v>
                </c:pt>
                <c:pt idx="6">
                  <c:v>0.99997800022820316</c:v>
                </c:pt>
                <c:pt idx="7">
                  <c:v>0.99998560144307447</c:v>
                </c:pt>
                <c:pt idx="8">
                  <c:v>0.99997004303593384</c:v>
                </c:pt>
                <c:pt idx="9">
                  <c:v>0.99996385776886632</c:v>
                </c:pt>
                <c:pt idx="10">
                  <c:v>0.99996990387760631</c:v>
                </c:pt>
                <c:pt idx="11">
                  <c:v>0.99996877266654971</c:v>
                </c:pt>
                <c:pt idx="12">
                  <c:v>0.99996726418043058</c:v>
                </c:pt>
                <c:pt idx="13">
                  <c:v>0.99995666138189077</c:v>
                </c:pt>
                <c:pt idx="14">
                  <c:v>0.99997534145745304</c:v>
                </c:pt>
                <c:pt idx="15">
                  <c:v>0.99996801883145714</c:v>
                </c:pt>
                <c:pt idx="16">
                  <c:v>0.99996557522808527</c:v>
                </c:pt>
                <c:pt idx="17">
                  <c:v>0.99993738344054439</c:v>
                </c:pt>
                <c:pt idx="18">
                  <c:v>0.99995258268271792</c:v>
                </c:pt>
                <c:pt idx="19">
                  <c:v>0.99994854570263469</c:v>
                </c:pt>
                <c:pt idx="20">
                  <c:v>0.99996062880779968</c:v>
                </c:pt>
                <c:pt idx="21">
                  <c:v>0.99996568786671758</c:v>
                </c:pt>
                <c:pt idx="22">
                  <c:v>0.99995980274176777</c:v>
                </c:pt>
                <c:pt idx="23">
                  <c:v>0.9999627242753808</c:v>
                </c:pt>
                <c:pt idx="24">
                  <c:v>0.99999359849789871</c:v>
                </c:pt>
                <c:pt idx="25">
                  <c:v>0.9999668570017004</c:v>
                </c:pt>
                <c:pt idx="26">
                  <c:v>0.99995663093432852</c:v>
                </c:pt>
                <c:pt idx="27">
                  <c:v>0.99995106265978395</c:v>
                </c:pt>
                <c:pt idx="28">
                  <c:v>0.99994479584998042</c:v>
                </c:pt>
                <c:pt idx="29">
                  <c:v>0.99999012048034241</c:v>
                </c:pt>
                <c:pt idx="30">
                  <c:v>0.99998464025141043</c:v>
                </c:pt>
                <c:pt idx="31">
                  <c:v>0.99999685986330678</c:v>
                </c:pt>
                <c:pt idx="32">
                  <c:v>1.0000049854826221</c:v>
                </c:pt>
                <c:pt idx="33">
                  <c:v>0.99995913803976255</c:v>
                </c:pt>
                <c:pt idx="34">
                  <c:v>0.99997145968836743</c:v>
                </c:pt>
                <c:pt idx="35">
                  <c:v>0.99998995791655065</c:v>
                </c:pt>
                <c:pt idx="36">
                  <c:v>1.0000297004506578</c:v>
                </c:pt>
                <c:pt idx="37">
                  <c:v>0.99999048941397273</c:v>
                </c:pt>
                <c:pt idx="38">
                  <c:v>0.99999358030225316</c:v>
                </c:pt>
                <c:pt idx="39">
                  <c:v>1.0000264127375411</c:v>
                </c:pt>
                <c:pt idx="40">
                  <c:v>1.0000295784952622</c:v>
                </c:pt>
                <c:pt idx="41">
                  <c:v>1.0000539262889487</c:v>
                </c:pt>
                <c:pt idx="42">
                  <c:v>1.0001019109619249</c:v>
                </c:pt>
                <c:pt idx="43">
                  <c:v>1.0000929073945906</c:v>
                </c:pt>
                <c:pt idx="44">
                  <c:v>1.0001052876743393</c:v>
                </c:pt>
                <c:pt idx="45">
                  <c:v>1.0000670153838416</c:v>
                </c:pt>
                <c:pt idx="46">
                  <c:v>1.0000781108750674</c:v>
                </c:pt>
                <c:pt idx="47">
                  <c:v>1.0000745888534854</c:v>
                </c:pt>
                <c:pt idx="48">
                  <c:v>1.0000519340188798</c:v>
                </c:pt>
                <c:pt idx="49">
                  <c:v>1.0000284117883262</c:v>
                </c:pt>
                <c:pt idx="50">
                  <c:v>1.0000497972329281</c:v>
                </c:pt>
                <c:pt idx="51">
                  <c:v>1.0000547331351706</c:v>
                </c:pt>
                <c:pt idx="52">
                  <c:v>1.0000320289765097</c:v>
                </c:pt>
                <c:pt idx="53">
                  <c:v>1.0000438343038256</c:v>
                </c:pt>
                <c:pt idx="54">
                  <c:v>1.0000717988812446</c:v>
                </c:pt>
                <c:pt idx="55">
                  <c:v>1.0000760668925102</c:v>
                </c:pt>
                <c:pt idx="56">
                  <c:v>1.00007385889276</c:v>
                </c:pt>
                <c:pt idx="57">
                  <c:v>1.000082900934824</c:v>
                </c:pt>
                <c:pt idx="58">
                  <c:v>1.0000916240850433</c:v>
                </c:pt>
                <c:pt idx="59">
                  <c:v>1.0000893474831352</c:v>
                </c:pt>
                <c:pt idx="60">
                  <c:v>1.0000548149635868</c:v>
                </c:pt>
                <c:pt idx="61">
                  <c:v>1.0001041224138467</c:v>
                </c:pt>
                <c:pt idx="62">
                  <c:v>1.0001313023370577</c:v>
                </c:pt>
                <c:pt idx="63">
                  <c:v>1.0001306507300443</c:v>
                </c:pt>
                <c:pt idx="64">
                  <c:v>1.0001679426322654</c:v>
                </c:pt>
                <c:pt idx="65">
                  <c:v>1.0001866696844244</c:v>
                </c:pt>
                <c:pt idx="66">
                  <c:v>1.0001558373735948</c:v>
                </c:pt>
                <c:pt idx="67">
                  <c:v>1.0001794999668803</c:v>
                </c:pt>
                <c:pt idx="68">
                  <c:v>1.0002162280332672</c:v>
                </c:pt>
                <c:pt idx="69">
                  <c:v>1.0002247715539205</c:v>
                </c:pt>
                <c:pt idx="70">
                  <c:v>1.0002365053546878</c:v>
                </c:pt>
                <c:pt idx="71">
                  <c:v>1.0002419718942555</c:v>
                </c:pt>
                <c:pt idx="72">
                  <c:v>1.0002228361463077</c:v>
                </c:pt>
                <c:pt idx="73">
                  <c:v>1.0002217699945379</c:v>
                </c:pt>
                <c:pt idx="74">
                  <c:v>1.0002577037594094</c:v>
                </c:pt>
                <c:pt idx="75">
                  <c:v>1.0002400805724494</c:v>
                </c:pt>
                <c:pt idx="76">
                  <c:v>1.0002751270663859</c:v>
                </c:pt>
                <c:pt idx="77">
                  <c:v>1.0002881409803195</c:v>
                </c:pt>
                <c:pt idx="78">
                  <c:v>1.000318451774961</c:v>
                </c:pt>
                <c:pt idx="79">
                  <c:v>1.0003720306590276</c:v>
                </c:pt>
                <c:pt idx="80">
                  <c:v>1.0003680300575504</c:v>
                </c:pt>
                <c:pt idx="81">
                  <c:v>1.0003710314766294</c:v>
                </c:pt>
                <c:pt idx="82">
                  <c:v>1.0003043503445099</c:v>
                </c:pt>
                <c:pt idx="83">
                  <c:v>1.0003270844855092</c:v>
                </c:pt>
                <c:pt idx="84">
                  <c:v>1.0003310785851969</c:v>
                </c:pt>
                <c:pt idx="85">
                  <c:v>1.0003311839665809</c:v>
                </c:pt>
                <c:pt idx="86">
                  <c:v>1.0003357273506921</c:v>
                </c:pt>
                <c:pt idx="87">
                  <c:v>1.0003107143379444</c:v>
                </c:pt>
                <c:pt idx="88">
                  <c:v>1.0003262035701681</c:v>
                </c:pt>
                <c:pt idx="89">
                  <c:v>1.0003007876657415</c:v>
                </c:pt>
                <c:pt idx="90">
                  <c:v>1.0003262638270125</c:v>
                </c:pt>
                <c:pt idx="91">
                  <c:v>1.0003685746413244</c:v>
                </c:pt>
                <c:pt idx="92">
                  <c:v>1.0002642345447139</c:v>
                </c:pt>
                <c:pt idx="93">
                  <c:v>1.000290825591003</c:v>
                </c:pt>
                <c:pt idx="94">
                  <c:v>1.0003199488172265</c:v>
                </c:pt>
                <c:pt idx="95">
                  <c:v>1.0003191018019271</c:v>
                </c:pt>
                <c:pt idx="96">
                  <c:v>1.0002549687876801</c:v>
                </c:pt>
                <c:pt idx="97">
                  <c:v>1.0002332434386074</c:v>
                </c:pt>
                <c:pt idx="98">
                  <c:v>1.0002387010915714</c:v>
                </c:pt>
                <c:pt idx="99">
                  <c:v>1.0002761918036669</c:v>
                </c:pt>
                <c:pt idx="100">
                  <c:v>1.0002646715419028</c:v>
                </c:pt>
                <c:pt idx="101">
                  <c:v>1.0002786645718973</c:v>
                </c:pt>
                <c:pt idx="102">
                  <c:v>1.0003220532512243</c:v>
                </c:pt>
                <c:pt idx="103">
                  <c:v>1.0003720688121551</c:v>
                </c:pt>
                <c:pt idx="104">
                  <c:v>1.0004452814826981</c:v>
                </c:pt>
                <c:pt idx="105">
                  <c:v>1.0004879402637259</c:v>
                </c:pt>
                <c:pt idx="106">
                  <c:v>1.0004027310909389</c:v>
                </c:pt>
                <c:pt idx="107">
                  <c:v>1.0003186765088183</c:v>
                </c:pt>
                <c:pt idx="108">
                  <c:v>1.0003271593226288</c:v>
                </c:pt>
                <c:pt idx="109">
                  <c:v>1.0002952364305384</c:v>
                </c:pt>
                <c:pt idx="110">
                  <c:v>1.0002782919632258</c:v>
                </c:pt>
                <c:pt idx="111">
                  <c:v>1.0002918409253341</c:v>
                </c:pt>
                <c:pt idx="112">
                  <c:v>1.0003490968863811</c:v>
                </c:pt>
                <c:pt idx="113">
                  <c:v>1.0004535676379782</c:v>
                </c:pt>
                <c:pt idx="114">
                  <c:v>1.0004529217764007</c:v>
                </c:pt>
                <c:pt idx="115">
                  <c:v>1.000415055489895</c:v>
                </c:pt>
                <c:pt idx="116">
                  <c:v>1.0004417760687965</c:v>
                </c:pt>
                <c:pt idx="117">
                  <c:v>1.0004930617170156</c:v>
                </c:pt>
                <c:pt idx="118">
                  <c:v>1.0004533119580958</c:v>
                </c:pt>
                <c:pt idx="119">
                  <c:v>1.0004705243260406</c:v>
                </c:pt>
                <c:pt idx="120">
                  <c:v>1.0003776888517977</c:v>
                </c:pt>
                <c:pt idx="121">
                  <c:v>1.0003796685772512</c:v>
                </c:pt>
                <c:pt idx="122">
                  <c:v>1.0004096334315966</c:v>
                </c:pt>
                <c:pt idx="123">
                  <c:v>1.000447796884653</c:v>
                </c:pt>
                <c:pt idx="124">
                  <c:v>1.0004197984473853</c:v>
                </c:pt>
                <c:pt idx="125">
                  <c:v>1.0003950373277781</c:v>
                </c:pt>
                <c:pt idx="126">
                  <c:v>1.0004314211700038</c:v>
                </c:pt>
                <c:pt idx="127">
                  <c:v>1.0004863221946541</c:v>
                </c:pt>
                <c:pt idx="128">
                  <c:v>1.000490094078089</c:v>
                </c:pt>
                <c:pt idx="129">
                  <c:v>1.0004687176100138</c:v>
                </c:pt>
                <c:pt idx="130">
                  <c:v>1.0004700108422886</c:v>
                </c:pt>
                <c:pt idx="131">
                  <c:v>1.0004618536568912</c:v>
                </c:pt>
                <c:pt idx="132">
                  <c:v>1.0005238380066879</c:v>
                </c:pt>
                <c:pt idx="133">
                  <c:v>1.0005352022488987</c:v>
                </c:pt>
                <c:pt idx="134">
                  <c:v>1.0005181656354269</c:v>
                </c:pt>
                <c:pt idx="135">
                  <c:v>1.0005289851159629</c:v>
                </c:pt>
                <c:pt idx="136">
                  <c:v>1.0005245142441985</c:v>
                </c:pt>
                <c:pt idx="137">
                  <c:v>1.0004848458026343</c:v>
                </c:pt>
                <c:pt idx="138">
                  <c:v>1.0004723851122121</c:v>
                </c:pt>
                <c:pt idx="139">
                  <c:v>1.0005003716812175</c:v>
                </c:pt>
                <c:pt idx="140">
                  <c:v>1.0005095948702449</c:v>
                </c:pt>
                <c:pt idx="141">
                  <c:v>1.0005194786319722</c:v>
                </c:pt>
                <c:pt idx="142">
                  <c:v>1.0004425511031489</c:v>
                </c:pt>
                <c:pt idx="143">
                  <c:v>1.000535694545398</c:v>
                </c:pt>
                <c:pt idx="144">
                  <c:v>1.0004936471188131</c:v>
                </c:pt>
                <c:pt idx="145">
                  <c:v>1.0005841982975514</c:v>
                </c:pt>
                <c:pt idx="146">
                  <c:v>1.0006270125703427</c:v>
                </c:pt>
                <c:pt idx="147">
                  <c:v>1.0005971436531702</c:v>
                </c:pt>
                <c:pt idx="148">
                  <c:v>1.0005797751333005</c:v>
                </c:pt>
                <c:pt idx="149">
                  <c:v>1.0006171874151071</c:v>
                </c:pt>
                <c:pt idx="150">
                  <c:v>1.000617081981179</c:v>
                </c:pt>
                <c:pt idx="151">
                  <c:v>1.0005998406652308</c:v>
                </c:pt>
                <c:pt idx="152">
                  <c:v>1.0005922341177256</c:v>
                </c:pt>
                <c:pt idx="153">
                  <c:v>1.000643793018996</c:v>
                </c:pt>
                <c:pt idx="154">
                  <c:v>1.0005385170534247</c:v>
                </c:pt>
                <c:pt idx="155">
                  <c:v>1.000460695840621</c:v>
                </c:pt>
                <c:pt idx="156">
                  <c:v>1.0004601240638962</c:v>
                </c:pt>
                <c:pt idx="157">
                  <c:v>1.0004903498439786</c:v>
                </c:pt>
                <c:pt idx="158">
                  <c:v>1.0004548457720173</c:v>
                </c:pt>
                <c:pt idx="159">
                  <c:v>1.0004719349432063</c:v>
                </c:pt>
                <c:pt idx="160">
                  <c:v>1.0004709297047278</c:v>
                </c:pt>
                <c:pt idx="161">
                  <c:v>1.0004469126904183</c:v>
                </c:pt>
                <c:pt idx="162">
                  <c:v>1.0004393986620903</c:v>
                </c:pt>
                <c:pt idx="163">
                  <c:v>1.0004261568111428</c:v>
                </c:pt>
                <c:pt idx="164">
                  <c:v>1.0004474864880983</c:v>
                </c:pt>
                <c:pt idx="165">
                  <c:v>1.0005789354285739</c:v>
                </c:pt>
                <c:pt idx="166">
                  <c:v>1.0005222000749425</c:v>
                </c:pt>
                <c:pt idx="167">
                  <c:v>1.0005226202465569</c:v>
                </c:pt>
                <c:pt idx="168">
                  <c:v>1.0004764709575706</c:v>
                </c:pt>
                <c:pt idx="169">
                  <c:v>1.000471992029963</c:v>
                </c:pt>
                <c:pt idx="170">
                  <c:v>1.00046522048243</c:v>
                </c:pt>
                <c:pt idx="171">
                  <c:v>1.0004847219407713</c:v>
                </c:pt>
                <c:pt idx="172">
                  <c:v>1.0005327903072383</c:v>
                </c:pt>
                <c:pt idx="173">
                  <c:v>1.0005123806326093</c:v>
                </c:pt>
                <c:pt idx="174">
                  <c:v>1.0005725510512433</c:v>
                </c:pt>
                <c:pt idx="175">
                  <c:v>1.0004748678863027</c:v>
                </c:pt>
                <c:pt idx="176">
                  <c:v>1.0005629748593134</c:v>
                </c:pt>
                <c:pt idx="177">
                  <c:v>1.0006668027287275</c:v>
                </c:pt>
                <c:pt idx="178">
                  <c:v>1.0007667777649059</c:v>
                </c:pt>
                <c:pt idx="179">
                  <c:v>1.0006957166712571</c:v>
                </c:pt>
                <c:pt idx="180">
                  <c:v>1.0007287683836701</c:v>
                </c:pt>
                <c:pt idx="181">
                  <c:v>1.0006647934315316</c:v>
                </c:pt>
                <c:pt idx="182">
                  <c:v>1.000726827595132</c:v>
                </c:pt>
                <c:pt idx="183">
                  <c:v>1.0007610549564034</c:v>
                </c:pt>
                <c:pt idx="184">
                  <c:v>1.0008270552813179</c:v>
                </c:pt>
                <c:pt idx="185">
                  <c:v>1.0008432237038716</c:v>
                </c:pt>
                <c:pt idx="186">
                  <c:v>1.000921272434397</c:v>
                </c:pt>
                <c:pt idx="187">
                  <c:v>1.000911936179159</c:v>
                </c:pt>
                <c:pt idx="188">
                  <c:v>1.0009299381703183</c:v>
                </c:pt>
                <c:pt idx="189">
                  <c:v>1.0009393068822667</c:v>
                </c:pt>
                <c:pt idx="190">
                  <c:v>1.0008973519438078</c:v>
                </c:pt>
                <c:pt idx="191">
                  <c:v>1.0008752450086318</c:v>
                </c:pt>
                <c:pt idx="192">
                  <c:v>1.0009093803636326</c:v>
                </c:pt>
                <c:pt idx="193">
                  <c:v>1.0009550456144098</c:v>
                </c:pt>
                <c:pt idx="194">
                  <c:v>1.0010144720402083</c:v>
                </c:pt>
                <c:pt idx="195">
                  <c:v>1.0010379454372493</c:v>
                </c:pt>
                <c:pt idx="196">
                  <c:v>1.0010371171029828</c:v>
                </c:pt>
                <c:pt idx="197">
                  <c:v>1.0010482740370408</c:v>
                </c:pt>
                <c:pt idx="198">
                  <c:v>1.0009909262705647</c:v>
                </c:pt>
                <c:pt idx="199">
                  <c:v>1.0010130808959365</c:v>
                </c:pt>
                <c:pt idx="200">
                  <c:v>1.0009803796409926</c:v>
                </c:pt>
                <c:pt idx="201">
                  <c:v>1.000948701216845</c:v>
                </c:pt>
                <c:pt idx="202">
                  <c:v>1.0010158600426213</c:v>
                </c:pt>
                <c:pt idx="203">
                  <c:v>1.0010112863366509</c:v>
                </c:pt>
                <c:pt idx="204">
                  <c:v>1.0011959686836716</c:v>
                </c:pt>
                <c:pt idx="205">
                  <c:v>1.0011688143158668</c:v>
                </c:pt>
                <c:pt idx="206">
                  <c:v>1.0011684014790638</c:v>
                </c:pt>
                <c:pt idx="207">
                  <c:v>1.0011121025406924</c:v>
                </c:pt>
                <c:pt idx="208">
                  <c:v>1.0010779882406997</c:v>
                </c:pt>
                <c:pt idx="209">
                  <c:v>1.0011367735322152</c:v>
                </c:pt>
                <c:pt idx="210">
                  <c:v>1.0010788920575642</c:v>
                </c:pt>
                <c:pt idx="211">
                  <c:v>1.0009378741123991</c:v>
                </c:pt>
                <c:pt idx="212">
                  <c:v>1.0008500927551134</c:v>
                </c:pt>
                <c:pt idx="213">
                  <c:v>1.0008000731256996</c:v>
                </c:pt>
                <c:pt idx="214">
                  <c:v>1.0006854453399707</c:v>
                </c:pt>
                <c:pt idx="215">
                  <c:v>1.0006762691857065</c:v>
                </c:pt>
                <c:pt idx="216">
                  <c:v>1.0005119863201835</c:v>
                </c:pt>
                <c:pt idx="217">
                  <c:v>1.0004437116164695</c:v>
                </c:pt>
                <c:pt idx="218">
                  <c:v>1.0004214204113067</c:v>
                </c:pt>
                <c:pt idx="219">
                  <c:v>1.0004527911035095</c:v>
                </c:pt>
                <c:pt idx="220">
                  <c:v>1.0004565106387571</c:v>
                </c:pt>
                <c:pt idx="221">
                  <c:v>1.0004272756539745</c:v>
                </c:pt>
                <c:pt idx="222">
                  <c:v>1.0004790050416255</c:v>
                </c:pt>
                <c:pt idx="223">
                  <c:v>1.0004444538242101</c:v>
                </c:pt>
                <c:pt idx="224">
                  <c:v>1.0005121035697662</c:v>
                </c:pt>
                <c:pt idx="225">
                  <c:v>1.0004928172025296</c:v>
                </c:pt>
                <c:pt idx="226">
                  <c:v>1.0005648281692501</c:v>
                </c:pt>
                <c:pt idx="227">
                  <c:v>1.0005534505536253</c:v>
                </c:pt>
                <c:pt idx="228">
                  <c:v>1.0005541564030254</c:v>
                </c:pt>
                <c:pt idx="229">
                  <c:v>1.0005890564468993</c:v>
                </c:pt>
                <c:pt idx="230">
                  <c:v>1.0005675437413089</c:v>
                </c:pt>
                <c:pt idx="231">
                  <c:v>1.0005555015019685</c:v>
                </c:pt>
                <c:pt idx="232">
                  <c:v>1.0004912035273577</c:v>
                </c:pt>
                <c:pt idx="233">
                  <c:v>1.0004694054680423</c:v>
                </c:pt>
                <c:pt idx="234">
                  <c:v>1.0004931498172049</c:v>
                </c:pt>
                <c:pt idx="235">
                  <c:v>1.0004051994105196</c:v>
                </c:pt>
                <c:pt idx="236">
                  <c:v>1.0003714170278613</c:v>
                </c:pt>
                <c:pt idx="237">
                  <c:v>1.0004746122477377</c:v>
                </c:pt>
                <c:pt idx="238">
                  <c:v>1.0005769883316946</c:v>
                </c:pt>
                <c:pt idx="239">
                  <c:v>1.0006021466847193</c:v>
                </c:pt>
                <c:pt idx="240">
                  <c:v>1.0005830488673899</c:v>
                </c:pt>
                <c:pt idx="241">
                  <c:v>1.0005810563866031</c:v>
                </c:pt>
                <c:pt idx="242">
                  <c:v>1.0006577723409991</c:v>
                </c:pt>
                <c:pt idx="243">
                  <c:v>1.0005969820751279</c:v>
                </c:pt>
                <c:pt idx="244">
                  <c:v>1.0007080912760369</c:v>
                </c:pt>
                <c:pt idx="245">
                  <c:v>1.0006108264673557</c:v>
                </c:pt>
                <c:pt idx="246">
                  <c:v>1.0007088115955347</c:v>
                </c:pt>
                <c:pt idx="247">
                  <c:v>1.0008120369178926</c:v>
                </c:pt>
                <c:pt idx="248">
                  <c:v>1.0007750614325353</c:v>
                </c:pt>
                <c:pt idx="249">
                  <c:v>1.0006493758434669</c:v>
                </c:pt>
                <c:pt idx="250">
                  <c:v>1.0005627180935788</c:v>
                </c:pt>
                <c:pt idx="251">
                  <c:v>1.0005367412034538</c:v>
                </c:pt>
                <c:pt idx="252">
                  <c:v>1.0005530269832013</c:v>
                </c:pt>
                <c:pt idx="253">
                  <c:v>1.0004734113766809</c:v>
                </c:pt>
                <c:pt idx="254">
                  <c:v>1.0005052948718969</c:v>
                </c:pt>
                <c:pt idx="255">
                  <c:v>1.0005613469105428</c:v>
                </c:pt>
                <c:pt idx="256">
                  <c:v>1.0007099151942727</c:v>
                </c:pt>
                <c:pt idx="257">
                  <c:v>1.0009255962546173</c:v>
                </c:pt>
                <c:pt idx="258">
                  <c:v>1.000927960333464</c:v>
                </c:pt>
                <c:pt idx="259">
                  <c:v>1.0008198372275849</c:v>
                </c:pt>
                <c:pt idx="260">
                  <c:v>1.0008382635534403</c:v>
                </c:pt>
                <c:pt idx="261">
                  <c:v>1.0008265270024148</c:v>
                </c:pt>
                <c:pt idx="262">
                  <c:v>1.0008678318588657</c:v>
                </c:pt>
                <c:pt idx="263">
                  <c:v>1.0009524442486244</c:v>
                </c:pt>
                <c:pt idx="264">
                  <c:v>1.000954349389207</c:v>
                </c:pt>
                <c:pt idx="265">
                  <c:v>1.0009630566544541</c:v>
                </c:pt>
                <c:pt idx="266">
                  <c:v>1.0009550032345049</c:v>
                </c:pt>
                <c:pt idx="267">
                  <c:v>1.000998940575041</c:v>
                </c:pt>
                <c:pt idx="268">
                  <c:v>1.0010056207979829</c:v>
                </c:pt>
                <c:pt idx="269">
                  <c:v>1.0010525537191004</c:v>
                </c:pt>
                <c:pt idx="270">
                  <c:v>1.0009602495087109</c:v>
                </c:pt>
                <c:pt idx="271">
                  <c:v>1.0009437298838415</c:v>
                </c:pt>
                <c:pt idx="272">
                  <c:v>1.0009275296552342</c:v>
                </c:pt>
                <c:pt idx="273">
                  <c:v>1.0009549520814682</c:v>
                </c:pt>
                <c:pt idx="274">
                  <c:v>1.0010746469755307</c:v>
                </c:pt>
                <c:pt idx="275">
                  <c:v>1.0009688521305777</c:v>
                </c:pt>
                <c:pt idx="276">
                  <c:v>1.0008646560500332</c:v>
                </c:pt>
                <c:pt idx="277">
                  <c:v>1.0008931642330094</c:v>
                </c:pt>
                <c:pt idx="278">
                  <c:v>1.0008453433389592</c:v>
                </c:pt>
                <c:pt idx="279">
                  <c:v>1.0009118314492835</c:v>
                </c:pt>
                <c:pt idx="280">
                  <c:v>1.0009583131103783</c:v>
                </c:pt>
                <c:pt idx="281">
                  <c:v>1.0009769343334121</c:v>
                </c:pt>
                <c:pt idx="282">
                  <c:v>1.0010846378065112</c:v>
                </c:pt>
                <c:pt idx="283">
                  <c:v>1.0010650632394447</c:v>
                </c:pt>
                <c:pt idx="284">
                  <c:v>1.001043773279936</c:v>
                </c:pt>
                <c:pt idx="285">
                  <c:v>1.0011464153595848</c:v>
                </c:pt>
                <c:pt idx="286">
                  <c:v>1.0011792838654647</c:v>
                </c:pt>
                <c:pt idx="287">
                  <c:v>1.0011350865677744</c:v>
                </c:pt>
                <c:pt idx="288">
                  <c:v>1.0011607996327199</c:v>
                </c:pt>
                <c:pt idx="289">
                  <c:v>1.0011657975706183</c:v>
                </c:pt>
                <c:pt idx="290">
                  <c:v>1.0010703968943448</c:v>
                </c:pt>
                <c:pt idx="291">
                  <c:v>1.0010954031508188</c:v>
                </c:pt>
                <c:pt idx="292">
                  <c:v>1.0010589035132735</c:v>
                </c:pt>
                <c:pt idx="293">
                  <c:v>1.0011588850270146</c:v>
                </c:pt>
                <c:pt idx="294">
                  <c:v>1.0011679154969604</c:v>
                </c:pt>
                <c:pt idx="295">
                  <c:v>1.0010845439914626</c:v>
                </c:pt>
                <c:pt idx="296">
                  <c:v>1.0010984138701176</c:v>
                </c:pt>
                <c:pt idx="297">
                  <c:v>1.000848621698804</c:v>
                </c:pt>
                <c:pt idx="298">
                  <c:v>1.0008176148342878</c:v>
                </c:pt>
                <c:pt idx="299">
                  <c:v>1.0007625705145142</c:v>
                </c:pt>
                <c:pt idx="300">
                  <c:v>1.0007813165674835</c:v>
                </c:pt>
                <c:pt idx="301">
                  <c:v>1.000805034584124</c:v>
                </c:pt>
                <c:pt idx="302">
                  <c:v>1.000783498944148</c:v>
                </c:pt>
                <c:pt idx="303">
                  <c:v>1.0008488094607875</c:v>
                </c:pt>
                <c:pt idx="304">
                  <c:v>1.0006710279768183</c:v>
                </c:pt>
                <c:pt idx="305">
                  <c:v>1.0007107309888728</c:v>
                </c:pt>
                <c:pt idx="306">
                  <c:v>1.0007285942732029</c:v>
                </c:pt>
                <c:pt idx="307">
                  <c:v>1.0006776478040824</c:v>
                </c:pt>
                <c:pt idx="308">
                  <c:v>1.0007334818029918</c:v>
                </c:pt>
                <c:pt idx="309">
                  <c:v>1.0008254015948788</c:v>
                </c:pt>
                <c:pt idx="310">
                  <c:v>1.0009130636033208</c:v>
                </c:pt>
                <c:pt idx="311">
                  <c:v>1.000933144651607</c:v>
                </c:pt>
                <c:pt idx="312">
                  <c:v>1.001003048779</c:v>
                </c:pt>
                <c:pt idx="313">
                  <c:v>1.0009959753898723</c:v>
                </c:pt>
                <c:pt idx="314">
                  <c:v>1.0009487720331349</c:v>
                </c:pt>
                <c:pt idx="315">
                  <c:v>1.0009227037242245</c:v>
                </c:pt>
                <c:pt idx="316">
                  <c:v>1.0009232049430956</c:v>
                </c:pt>
                <c:pt idx="317">
                  <c:v>1.000840160462243</c:v>
                </c:pt>
                <c:pt idx="318">
                  <c:v>1.0008316741343295</c:v>
                </c:pt>
                <c:pt idx="319">
                  <c:v>1.0007488949129857</c:v>
                </c:pt>
                <c:pt idx="320">
                  <c:v>1.000752025043578</c:v>
                </c:pt>
                <c:pt idx="321">
                  <c:v>1.0007166216730754</c:v>
                </c:pt>
                <c:pt idx="322">
                  <c:v>1.0006839247215951</c:v>
                </c:pt>
                <c:pt idx="323">
                  <c:v>1.0005945467887289</c:v>
                </c:pt>
                <c:pt idx="324">
                  <c:v>1.0006295771536478</c:v>
                </c:pt>
                <c:pt idx="325">
                  <c:v>1.0006602097450044</c:v>
                </c:pt>
                <c:pt idx="326">
                  <c:v>1.0006051974425911</c:v>
                </c:pt>
                <c:pt idx="327">
                  <c:v>1.0007267297415989</c:v>
                </c:pt>
                <c:pt idx="328">
                  <c:v>1.0007776961290418</c:v>
                </c:pt>
                <c:pt idx="329">
                  <c:v>1.0007438708199103</c:v>
                </c:pt>
                <c:pt idx="330">
                  <c:v>1.0007142826566668</c:v>
                </c:pt>
                <c:pt idx="331">
                  <c:v>1.0007752004583508</c:v>
                </c:pt>
                <c:pt idx="332">
                  <c:v>1.0007523374794041</c:v>
                </c:pt>
                <c:pt idx="333">
                  <c:v>1.0007198867203699</c:v>
                </c:pt>
                <c:pt idx="334">
                  <c:v>1.0007569616292853</c:v>
                </c:pt>
                <c:pt idx="335">
                  <c:v>1.0006410619488657</c:v>
                </c:pt>
                <c:pt idx="336">
                  <c:v>1.000627983323447</c:v>
                </c:pt>
                <c:pt idx="337">
                  <c:v>1.0006386215562189</c:v>
                </c:pt>
                <c:pt idx="338">
                  <c:v>1.0005566865302991</c:v>
                </c:pt>
                <c:pt idx="339">
                  <c:v>1.0004983698284102</c:v>
                </c:pt>
                <c:pt idx="340">
                  <c:v>1.000367987496781</c:v>
                </c:pt>
                <c:pt idx="341">
                  <c:v>1.0004043151055362</c:v>
                </c:pt>
                <c:pt idx="342">
                  <c:v>1.0002381515739365</c:v>
                </c:pt>
                <c:pt idx="343">
                  <c:v>1.000286469047172</c:v>
                </c:pt>
                <c:pt idx="344">
                  <c:v>1.0003719818318761</c:v>
                </c:pt>
                <c:pt idx="345">
                  <c:v>1.0003422301014184</c:v>
                </c:pt>
                <c:pt idx="346">
                  <c:v>1.0004333913460994</c:v>
                </c:pt>
                <c:pt idx="347">
                  <c:v>1.0003833574758898</c:v>
                </c:pt>
                <c:pt idx="348">
                  <c:v>1.0004272040405116</c:v>
                </c:pt>
                <c:pt idx="349">
                  <c:v>1.0003492168615633</c:v>
                </c:pt>
                <c:pt idx="350">
                  <c:v>1.0003127880753955</c:v>
                </c:pt>
                <c:pt idx="351">
                  <c:v>1.000336572513572</c:v>
                </c:pt>
                <c:pt idx="352">
                  <c:v>1.000263648577133</c:v>
                </c:pt>
                <c:pt idx="353">
                  <c:v>1.0002462093912008</c:v>
                </c:pt>
                <c:pt idx="354">
                  <c:v>1.0003673291595971</c:v>
                </c:pt>
                <c:pt idx="355">
                  <c:v>1.0003392868854368</c:v>
                </c:pt>
                <c:pt idx="356">
                  <c:v>1.0004758466837698</c:v>
                </c:pt>
                <c:pt idx="357">
                  <c:v>1.0003827398236793</c:v>
                </c:pt>
                <c:pt idx="358">
                  <c:v>1.0004098444606713</c:v>
                </c:pt>
                <c:pt idx="359">
                  <c:v>1.0003788916972296</c:v>
                </c:pt>
                <c:pt idx="360">
                  <c:v>1.0004077748500497</c:v>
                </c:pt>
                <c:pt idx="361">
                  <c:v>1.0003777313703799</c:v>
                </c:pt>
                <c:pt idx="362">
                  <c:v>1.0003922245245214</c:v>
                </c:pt>
                <c:pt idx="363">
                  <c:v>1.0002992254215153</c:v>
                </c:pt>
                <c:pt idx="364">
                  <c:v>1.0002747714557871</c:v>
                </c:pt>
                <c:pt idx="365">
                  <c:v>1.0002964357586994</c:v>
                </c:pt>
                <c:pt idx="366">
                  <c:v>1.00033754376246</c:v>
                </c:pt>
                <c:pt idx="367">
                  <c:v>1.0003813132721786</c:v>
                </c:pt>
                <c:pt idx="368">
                  <c:v>1.0001995826933576</c:v>
                </c:pt>
                <c:pt idx="369">
                  <c:v>1.0002022510959567</c:v>
                </c:pt>
                <c:pt idx="370">
                  <c:v>1.000169363889011</c:v>
                </c:pt>
                <c:pt idx="371">
                  <c:v>1.0002120838315598</c:v>
                </c:pt>
                <c:pt idx="372">
                  <c:v>1.0003028460889576</c:v>
                </c:pt>
                <c:pt idx="373">
                  <c:v>1.0003426529503627</c:v>
                </c:pt>
                <c:pt idx="374">
                  <c:v>1.0003619568909203</c:v>
                </c:pt>
                <c:pt idx="375">
                  <c:v>1.0004617123911741</c:v>
                </c:pt>
                <c:pt idx="376">
                  <c:v>1.0005328049353472</c:v>
                </c:pt>
                <c:pt idx="377">
                  <c:v>1.000542412752099</c:v>
                </c:pt>
                <c:pt idx="378">
                  <c:v>1.000436979282304</c:v>
                </c:pt>
                <c:pt idx="379">
                  <c:v>1.0004401562270724</c:v>
                </c:pt>
                <c:pt idx="380">
                  <c:v>1.0004545377685758</c:v>
                </c:pt>
                <c:pt idx="381">
                  <c:v>1.0003291818143736</c:v>
                </c:pt>
                <c:pt idx="382">
                  <c:v>1.0003533884209392</c:v>
                </c:pt>
                <c:pt idx="383">
                  <c:v>1.0002933285501894</c:v>
                </c:pt>
                <c:pt idx="384">
                  <c:v>1.0002347590837355</c:v>
                </c:pt>
                <c:pt idx="385">
                  <c:v>1.0001268931837544</c:v>
                </c:pt>
                <c:pt idx="386">
                  <c:v>1.0000829681738439</c:v>
                </c:pt>
                <c:pt idx="387">
                  <c:v>1.0000697110195773</c:v>
                </c:pt>
                <c:pt idx="388">
                  <c:v>1.0000655369638809</c:v>
                </c:pt>
                <c:pt idx="389">
                  <c:v>1.0001253174284439</c:v>
                </c:pt>
                <c:pt idx="390">
                  <c:v>1.0000584195383662</c:v>
                </c:pt>
                <c:pt idx="391">
                  <c:v>1.0001095245230631</c:v>
                </c:pt>
                <c:pt idx="392">
                  <c:v>1.0002596178906398</c:v>
                </c:pt>
                <c:pt idx="393">
                  <c:v>1.0000838365529972</c:v>
                </c:pt>
                <c:pt idx="394">
                  <c:v>0.99998502473547846</c:v>
                </c:pt>
                <c:pt idx="395">
                  <c:v>0.99975937234699264</c:v>
                </c:pt>
                <c:pt idx="396">
                  <c:v>0.99982791647486957</c:v>
                </c:pt>
                <c:pt idx="397">
                  <c:v>0.99974320777802528</c:v>
                </c:pt>
                <c:pt idx="398">
                  <c:v>0.99967662414983005</c:v>
                </c:pt>
                <c:pt idx="399">
                  <c:v>0.99971455905670759</c:v>
                </c:pt>
                <c:pt idx="400">
                  <c:v>0.99978045415690542</c:v>
                </c:pt>
                <c:pt idx="401">
                  <c:v>0.99982394637518734</c:v>
                </c:pt>
                <c:pt idx="402">
                  <c:v>0.99989072157481473</c:v>
                </c:pt>
                <c:pt idx="403">
                  <c:v>1.0000085949801347</c:v>
                </c:pt>
                <c:pt idx="404">
                  <c:v>1.0000139228135814</c:v>
                </c:pt>
                <c:pt idx="405">
                  <c:v>1.000104179581613</c:v>
                </c:pt>
                <c:pt idx="406">
                  <c:v>1.0000587847741187</c:v>
                </c:pt>
                <c:pt idx="407">
                  <c:v>1.0000301160168481</c:v>
                </c:pt>
                <c:pt idx="408">
                  <c:v>1.0000265381839903</c:v>
                </c:pt>
                <c:pt idx="409">
                  <c:v>1.0000570081773936</c:v>
                </c:pt>
                <c:pt idx="410">
                  <c:v>1.0000418932000956</c:v>
                </c:pt>
                <c:pt idx="411">
                  <c:v>1.0000862188804251</c:v>
                </c:pt>
                <c:pt idx="412">
                  <c:v>1.0001251023356204</c:v>
                </c:pt>
                <c:pt idx="413">
                  <c:v>0.9999791801536092</c:v>
                </c:pt>
                <c:pt idx="414">
                  <c:v>0.9999882155216766</c:v>
                </c:pt>
                <c:pt idx="415">
                  <c:v>1.0001830511104604</c:v>
                </c:pt>
                <c:pt idx="416">
                  <c:v>1.0002943486847546</c:v>
                </c:pt>
                <c:pt idx="417">
                  <c:v>1.0002037122460272</c:v>
                </c:pt>
                <c:pt idx="418">
                  <c:v>1.0002747439569297</c:v>
                </c:pt>
                <c:pt idx="419">
                  <c:v>1.0002289369800104</c:v>
                </c:pt>
                <c:pt idx="420">
                  <c:v>1.0002381425952991</c:v>
                </c:pt>
                <c:pt idx="421">
                  <c:v>1.0000992012791647</c:v>
                </c:pt>
                <c:pt idx="422">
                  <c:v>1.0001137902730379</c:v>
                </c:pt>
                <c:pt idx="423">
                  <c:v>1.0000793988736809</c:v>
                </c:pt>
                <c:pt idx="424">
                  <c:v>0.9998271273169852</c:v>
                </c:pt>
                <c:pt idx="425">
                  <c:v>0.99983819623018988</c:v>
                </c:pt>
                <c:pt idx="426">
                  <c:v>0.99985700012053658</c:v>
                </c:pt>
                <c:pt idx="427">
                  <c:v>0.99990261669185743</c:v>
                </c:pt>
                <c:pt idx="428">
                  <c:v>0.99999002882346499</c:v>
                </c:pt>
                <c:pt idx="429">
                  <c:v>0.99978963065149162</c:v>
                </c:pt>
                <c:pt idx="430">
                  <c:v>0.99987121139539226</c:v>
                </c:pt>
                <c:pt idx="431">
                  <c:v>0.99989788611408825</c:v>
                </c:pt>
                <c:pt idx="432">
                  <c:v>0.99983971709016661</c:v>
                </c:pt>
                <c:pt idx="433">
                  <c:v>0.99983444432680058</c:v>
                </c:pt>
                <c:pt idx="434">
                  <c:v>0.99993758192552229</c:v>
                </c:pt>
                <c:pt idx="435">
                  <c:v>1.0000003950253495</c:v>
                </c:pt>
                <c:pt idx="436">
                  <c:v>1.0000408756361849</c:v>
                </c:pt>
                <c:pt idx="437">
                  <c:v>1.0000068845043177</c:v>
                </c:pt>
                <c:pt idx="438">
                  <c:v>1.0000655499552351</c:v>
                </c:pt>
                <c:pt idx="439">
                  <c:v>0.99990068959916256</c:v>
                </c:pt>
                <c:pt idx="440">
                  <c:v>0.99989632157563679</c:v>
                </c:pt>
                <c:pt idx="441">
                  <c:v>0.9998754029322301</c:v>
                </c:pt>
                <c:pt idx="442">
                  <c:v>0.99985459260854037</c:v>
                </c:pt>
                <c:pt idx="443">
                  <c:v>1.0000425104403623</c:v>
                </c:pt>
                <c:pt idx="444">
                  <c:v>1.0001579691968814</c:v>
                </c:pt>
                <c:pt idx="445">
                  <c:v>1.0000776363175958</c:v>
                </c:pt>
                <c:pt idx="446">
                  <c:v>1.0000529242785885</c:v>
                </c:pt>
                <c:pt idx="447">
                  <c:v>0.99991694446806612</c:v>
                </c:pt>
                <c:pt idx="448">
                  <c:v>0.99985542037393715</c:v>
                </c:pt>
                <c:pt idx="449">
                  <c:v>0.99967897735691769</c:v>
                </c:pt>
                <c:pt idx="450">
                  <c:v>0.99969765366051033</c:v>
                </c:pt>
                <c:pt idx="451">
                  <c:v>0.99971685506053676</c:v>
                </c:pt>
                <c:pt idx="452">
                  <c:v>0.99980565878566974</c:v>
                </c:pt>
                <c:pt idx="453">
                  <c:v>0.99986974334239853</c:v>
                </c:pt>
                <c:pt idx="454">
                  <c:v>0.99962580917078636</c:v>
                </c:pt>
                <c:pt idx="455">
                  <c:v>0.99957495334127766</c:v>
                </c:pt>
                <c:pt idx="456">
                  <c:v>0.99948812048982183</c:v>
                </c:pt>
                <c:pt idx="457">
                  <c:v>0.99950939157491847</c:v>
                </c:pt>
                <c:pt idx="458">
                  <c:v>0.9995272338367609</c:v>
                </c:pt>
                <c:pt idx="459">
                  <c:v>0.99961571814965833</c:v>
                </c:pt>
                <c:pt idx="460">
                  <c:v>0.99949223336722393</c:v>
                </c:pt>
                <c:pt idx="461">
                  <c:v>0.9995210227271778</c:v>
                </c:pt>
                <c:pt idx="462">
                  <c:v>0.99961702547216214</c:v>
                </c:pt>
                <c:pt idx="463">
                  <c:v>0.9997379014983393</c:v>
                </c:pt>
                <c:pt idx="464">
                  <c:v>0.99979987155549244</c:v>
                </c:pt>
                <c:pt idx="465">
                  <c:v>0.99979617149422562</c:v>
                </c:pt>
                <c:pt idx="466">
                  <c:v>0.99980931752409741</c:v>
                </c:pt>
                <c:pt idx="467">
                  <c:v>0.99981505932114834</c:v>
                </c:pt>
                <c:pt idx="468">
                  <c:v>0.99985486238658761</c:v>
                </c:pt>
                <c:pt idx="469">
                  <c:v>0.99975153657142035</c:v>
                </c:pt>
                <c:pt idx="470">
                  <c:v>0.99969386638363067</c:v>
                </c:pt>
                <c:pt idx="471">
                  <c:v>0.99969458708642855</c:v>
                </c:pt>
                <c:pt idx="472">
                  <c:v>0.99971940783273805</c:v>
                </c:pt>
                <c:pt idx="473">
                  <c:v>0.99952454675387492</c:v>
                </c:pt>
                <c:pt idx="474">
                  <c:v>0.99958655302817223</c:v>
                </c:pt>
                <c:pt idx="475">
                  <c:v>0.99966736761152497</c:v>
                </c:pt>
                <c:pt idx="476">
                  <c:v>0.9996240835707827</c:v>
                </c:pt>
                <c:pt idx="477">
                  <c:v>0.99960092901986586</c:v>
                </c:pt>
                <c:pt idx="478">
                  <c:v>0.99967820538158592</c:v>
                </c:pt>
                <c:pt idx="479">
                  <c:v>0.99969826039990672</c:v>
                </c:pt>
                <c:pt idx="480">
                  <c:v>0.9996644323760826</c:v>
                </c:pt>
                <c:pt idx="481">
                  <c:v>0.99970525759049056</c:v>
                </c:pt>
                <c:pt idx="482">
                  <c:v>0.99987344988473381</c:v>
                </c:pt>
                <c:pt idx="483">
                  <c:v>0.99977762234991419</c:v>
                </c:pt>
                <c:pt idx="484">
                  <c:v>0.99982222458347647</c:v>
                </c:pt>
                <c:pt idx="485">
                  <c:v>0.99988644230889445</c:v>
                </c:pt>
                <c:pt idx="486">
                  <c:v>0.9998180302002414</c:v>
                </c:pt>
                <c:pt idx="487">
                  <c:v>0.99993229234690462</c:v>
                </c:pt>
                <c:pt idx="488">
                  <c:v>0.99987522993763556</c:v>
                </c:pt>
                <c:pt idx="489">
                  <c:v>0.99969429788124908</c:v>
                </c:pt>
                <c:pt idx="490">
                  <c:v>0.99969218009844329</c:v>
                </c:pt>
                <c:pt idx="491">
                  <c:v>0.99963371422503622</c:v>
                </c:pt>
                <c:pt idx="492">
                  <c:v>0.99964311301872766</c:v>
                </c:pt>
                <c:pt idx="493">
                  <c:v>0.999775359341468</c:v>
                </c:pt>
                <c:pt idx="494">
                  <c:v>0.99970083900690965</c:v>
                </c:pt>
                <c:pt idx="495">
                  <c:v>0.99986076499937915</c:v>
                </c:pt>
                <c:pt idx="496">
                  <c:v>0.99976875584255687</c:v>
                </c:pt>
                <c:pt idx="497">
                  <c:v>0.99961617133843261</c:v>
                </c:pt>
                <c:pt idx="498">
                  <c:v>0.99948602174805001</c:v>
                </c:pt>
                <c:pt idx="499">
                  <c:v>0.99950935581197486</c:v>
                </c:pt>
                <c:pt idx="500">
                  <c:v>0.99949343573318661</c:v>
                </c:pt>
                <c:pt idx="501">
                  <c:v>0.99965017087070285</c:v>
                </c:pt>
                <c:pt idx="502">
                  <c:v>0.99958973053926348</c:v>
                </c:pt>
                <c:pt idx="503">
                  <c:v>0.99969531812525625</c:v>
                </c:pt>
                <c:pt idx="504">
                  <c:v>0.99952865921971079</c:v>
                </c:pt>
                <c:pt idx="505">
                  <c:v>0.99952735459289965</c:v>
                </c:pt>
                <c:pt idx="506">
                  <c:v>0.99962659517211505</c:v>
                </c:pt>
                <c:pt idx="507">
                  <c:v>0.99963176157835676</c:v>
                </c:pt>
                <c:pt idx="508">
                  <c:v>0.99959469900383624</c:v>
                </c:pt>
                <c:pt idx="509">
                  <c:v>0.9996829394858916</c:v>
                </c:pt>
                <c:pt idx="510">
                  <c:v>0.99973545649603335</c:v>
                </c:pt>
                <c:pt idx="511">
                  <c:v>0.99970813556528138</c:v>
                </c:pt>
                <c:pt idx="512">
                  <c:v>0.99978116216080948</c:v>
                </c:pt>
                <c:pt idx="513">
                  <c:v>0.9996570264291067</c:v>
                </c:pt>
                <c:pt idx="514">
                  <c:v>0.99968434369598946</c:v>
                </c:pt>
                <c:pt idx="515">
                  <c:v>0.99956049376423639</c:v>
                </c:pt>
                <c:pt idx="516">
                  <c:v>0.99954512717025901</c:v>
                </c:pt>
                <c:pt idx="517">
                  <c:v>0.99961427907939138</c:v>
                </c:pt>
                <c:pt idx="518">
                  <c:v>0.99949659243454914</c:v>
                </c:pt>
                <c:pt idx="519">
                  <c:v>0.99961525201187962</c:v>
                </c:pt>
                <c:pt idx="520">
                  <c:v>0.99953037625630292</c:v>
                </c:pt>
                <c:pt idx="521">
                  <c:v>0.99952988658400332</c:v>
                </c:pt>
                <c:pt idx="522">
                  <c:v>0.99960453632305812</c:v>
                </c:pt>
                <c:pt idx="523">
                  <c:v>0.99953228734618138</c:v>
                </c:pt>
                <c:pt idx="524">
                  <c:v>0.99960346031448133</c:v>
                </c:pt>
                <c:pt idx="525">
                  <c:v>0.99953884666308546</c:v>
                </c:pt>
                <c:pt idx="526">
                  <c:v>0.99965225169105287</c:v>
                </c:pt>
                <c:pt idx="527">
                  <c:v>0.9997141604742128</c:v>
                </c:pt>
                <c:pt idx="528">
                  <c:v>0.9997889477287647</c:v>
                </c:pt>
                <c:pt idx="529">
                  <c:v>0.99982037712096827</c:v>
                </c:pt>
                <c:pt idx="530">
                  <c:v>0.99965573703765453</c:v>
                </c:pt>
                <c:pt idx="531">
                  <c:v>0.99967561339461608</c:v>
                </c:pt>
                <c:pt idx="532">
                  <c:v>0.99964302470287347</c:v>
                </c:pt>
                <c:pt idx="533">
                  <c:v>0.99955939195377908</c:v>
                </c:pt>
                <c:pt idx="534">
                  <c:v>0.99954852470838884</c:v>
                </c:pt>
                <c:pt idx="535">
                  <c:v>0.99965362842163397</c:v>
                </c:pt>
                <c:pt idx="536">
                  <c:v>0.99950457333017151</c:v>
                </c:pt>
                <c:pt idx="537">
                  <c:v>0.99950418740078273</c:v>
                </c:pt>
                <c:pt idx="538">
                  <c:v>0.99950333121680901</c:v>
                </c:pt>
                <c:pt idx="539">
                  <c:v>0.99949156601971223</c:v>
                </c:pt>
                <c:pt idx="540">
                  <c:v>0.99964470786500648</c:v>
                </c:pt>
                <c:pt idx="541">
                  <c:v>0.99956634282959167</c:v>
                </c:pt>
                <c:pt idx="542">
                  <c:v>0.99948262155243173</c:v>
                </c:pt>
                <c:pt idx="543">
                  <c:v>0.99943849738131152</c:v>
                </c:pt>
                <c:pt idx="544">
                  <c:v>0.99946952205550277</c:v>
                </c:pt>
                <c:pt idx="545">
                  <c:v>0.99936970640844136</c:v>
                </c:pt>
                <c:pt idx="546">
                  <c:v>0.99921899680136816</c:v>
                </c:pt>
                <c:pt idx="547">
                  <c:v>0.99914095328970776</c:v>
                </c:pt>
                <c:pt idx="548">
                  <c:v>0.99916785892980786</c:v>
                </c:pt>
                <c:pt idx="549">
                  <c:v>0.99926806018643854</c:v>
                </c:pt>
                <c:pt idx="550">
                  <c:v>0.99918544329345527</c:v>
                </c:pt>
                <c:pt idx="551">
                  <c:v>0.99913272300842959</c:v>
                </c:pt>
                <c:pt idx="552">
                  <c:v>0.99922464958599388</c:v>
                </c:pt>
                <c:pt idx="553">
                  <c:v>0.99916305433616492</c:v>
                </c:pt>
                <c:pt idx="554">
                  <c:v>0.99924644798184525</c:v>
                </c:pt>
                <c:pt idx="555">
                  <c:v>0.99938110617912213</c:v>
                </c:pt>
                <c:pt idx="556">
                  <c:v>0.99942100442271276</c:v>
                </c:pt>
                <c:pt idx="557">
                  <c:v>0.99947139962045206</c:v>
                </c:pt>
                <c:pt idx="558">
                  <c:v>0.99942906944824628</c:v>
                </c:pt>
                <c:pt idx="559">
                  <c:v>0.99937385143636459</c:v>
                </c:pt>
                <c:pt idx="560">
                  <c:v>0.99949265693401179</c:v>
                </c:pt>
                <c:pt idx="561">
                  <c:v>0.99942341069881646</c:v>
                </c:pt>
                <c:pt idx="562">
                  <c:v>0.99928712131904252</c:v>
                </c:pt>
                <c:pt idx="563">
                  <c:v>0.99924218971700962</c:v>
                </c:pt>
                <c:pt idx="564">
                  <c:v>0.99915730542098935</c:v>
                </c:pt>
                <c:pt idx="565">
                  <c:v>0.99930185241792224</c:v>
                </c:pt>
                <c:pt idx="566">
                  <c:v>0.99924640338861648</c:v>
                </c:pt>
                <c:pt idx="567">
                  <c:v>0.99922352267110781</c:v>
                </c:pt>
                <c:pt idx="568">
                  <c:v>0.99917979473979868</c:v>
                </c:pt>
                <c:pt idx="569">
                  <c:v>0.9992142131899171</c:v>
                </c:pt>
                <c:pt idx="570">
                  <c:v>0.99918378839558331</c:v>
                </c:pt>
                <c:pt idx="571">
                  <c:v>0.99919183834424241</c:v>
                </c:pt>
                <c:pt idx="572">
                  <c:v>0.99936710772004189</c:v>
                </c:pt>
                <c:pt idx="573">
                  <c:v>0.99943756589921318</c:v>
                </c:pt>
                <c:pt idx="574">
                  <c:v>0.99915459229115544</c:v>
                </c:pt>
                <c:pt idx="575">
                  <c:v>0.99909496522173125</c:v>
                </c:pt>
                <c:pt idx="576">
                  <c:v>0.99909288492987869</c:v>
                </c:pt>
                <c:pt idx="577">
                  <c:v>0.99918105653376932</c:v>
                </c:pt>
                <c:pt idx="578">
                  <c:v>0.99932905221696566</c:v>
                </c:pt>
                <c:pt idx="579">
                  <c:v>0.99921559455691056</c:v>
                </c:pt>
                <c:pt idx="580">
                  <c:v>0.99914520506036808</c:v>
                </c:pt>
                <c:pt idx="581">
                  <c:v>0.9991960481057286</c:v>
                </c:pt>
                <c:pt idx="582">
                  <c:v>0.99921801832920665</c:v>
                </c:pt>
                <c:pt idx="583">
                  <c:v>0.99928704777646671</c:v>
                </c:pt>
                <c:pt idx="584">
                  <c:v>0.99928783273047483</c:v>
                </c:pt>
                <c:pt idx="585">
                  <c:v>0.99922644323827059</c:v>
                </c:pt>
                <c:pt idx="586">
                  <c:v>0.99926501001329548</c:v>
                </c:pt>
                <c:pt idx="587">
                  <c:v>0.99935433819513075</c:v>
                </c:pt>
                <c:pt idx="588">
                  <c:v>0.99929834866831824</c:v>
                </c:pt>
                <c:pt idx="589">
                  <c:v>0.99940907518865518</c:v>
                </c:pt>
                <c:pt idx="590">
                  <c:v>0.99951909548263829</c:v>
                </c:pt>
                <c:pt idx="591">
                  <c:v>0.9992641778304574</c:v>
                </c:pt>
                <c:pt idx="592">
                  <c:v>0.99919526327637775</c:v>
                </c:pt>
                <c:pt idx="593">
                  <c:v>0.99902021295081866</c:v>
                </c:pt>
                <c:pt idx="594">
                  <c:v>0.99899752023050692</c:v>
                </c:pt>
                <c:pt idx="595">
                  <c:v>0.99899394240961026</c:v>
                </c:pt>
                <c:pt idx="596">
                  <c:v>0.99900298580464675</c:v>
                </c:pt>
                <c:pt idx="597">
                  <c:v>0.99922106721981141</c:v>
                </c:pt>
                <c:pt idx="598">
                  <c:v>0.99932343195883055</c:v>
                </c:pt>
                <c:pt idx="599">
                  <c:v>0.9992119893131417</c:v>
                </c:pt>
                <c:pt idx="600">
                  <c:v>0.99909144496223201</c:v>
                </c:pt>
                <c:pt idx="601">
                  <c:v>0.99885555655812919</c:v>
                </c:pt>
                <c:pt idx="602">
                  <c:v>0.99890329523177934</c:v>
                </c:pt>
                <c:pt idx="603">
                  <c:v>0.99878716630259734</c:v>
                </c:pt>
                <c:pt idx="604">
                  <c:v>0.9987459654880706</c:v>
                </c:pt>
                <c:pt idx="605">
                  <c:v>0.99877437312338102</c:v>
                </c:pt>
                <c:pt idx="606">
                  <c:v>0.99874747942514563</c:v>
                </c:pt>
                <c:pt idx="607">
                  <c:v>0.99872994535490811</c:v>
                </c:pt>
                <c:pt idx="608">
                  <c:v>0.99874448829909834</c:v>
                </c:pt>
                <c:pt idx="609">
                  <c:v>0.99873264115378535</c:v>
                </c:pt>
                <c:pt idx="610">
                  <c:v>0.99864271687860218</c:v>
                </c:pt>
                <c:pt idx="611">
                  <c:v>0.9987174246514815</c:v>
                </c:pt>
                <c:pt idx="612">
                  <c:v>0.99888055959980615</c:v>
                </c:pt>
                <c:pt idx="613">
                  <c:v>0.99887763853046541</c:v>
                </c:pt>
                <c:pt idx="614">
                  <c:v>0.99881073477316551</c:v>
                </c:pt>
                <c:pt idx="615">
                  <c:v>0.99891752182718285</c:v>
                </c:pt>
                <c:pt idx="616">
                  <c:v>0.99899747689442797</c:v>
                </c:pt>
                <c:pt idx="617">
                  <c:v>0.99904206063517964</c:v>
                </c:pt>
                <c:pt idx="618">
                  <c:v>0.99920109545812552</c:v>
                </c:pt>
                <c:pt idx="619">
                  <c:v>0.99915507256019231</c:v>
                </c:pt>
                <c:pt idx="620">
                  <c:v>0.99905007407023805</c:v>
                </c:pt>
                <c:pt idx="621">
                  <c:v>0.99923339313266968</c:v>
                </c:pt>
                <c:pt idx="622">
                  <c:v>0.99918069278450583</c:v>
                </c:pt>
                <c:pt idx="623">
                  <c:v>0.99925991416888504</c:v>
                </c:pt>
                <c:pt idx="624">
                  <c:v>0.99919275121792217</c:v>
                </c:pt>
                <c:pt idx="625">
                  <c:v>0.99910877063628722</c:v>
                </c:pt>
                <c:pt idx="626">
                  <c:v>0.99902336313663342</c:v>
                </c:pt>
                <c:pt idx="627">
                  <c:v>0.99899176090722352</c:v>
                </c:pt>
                <c:pt idx="628">
                  <c:v>0.99910174632120907</c:v>
                </c:pt>
                <c:pt idx="629">
                  <c:v>0.99916755402654434</c:v>
                </c:pt>
                <c:pt idx="630">
                  <c:v>0.99937651896719204</c:v>
                </c:pt>
                <c:pt idx="631">
                  <c:v>0.99950279135334785</c:v>
                </c:pt>
                <c:pt idx="632">
                  <c:v>0.99932691156395836</c:v>
                </c:pt>
                <c:pt idx="633">
                  <c:v>0.99945063107631593</c:v>
                </c:pt>
                <c:pt idx="634">
                  <c:v>0.99955433849004172</c:v>
                </c:pt>
                <c:pt idx="635">
                  <c:v>0.99933695567113079</c:v>
                </c:pt>
                <c:pt idx="636">
                  <c:v>0.99936005277127438</c:v>
                </c:pt>
                <c:pt idx="637">
                  <c:v>0.99939244150392659</c:v>
                </c:pt>
                <c:pt idx="638">
                  <c:v>0.99922302414754594</c:v>
                </c:pt>
                <c:pt idx="639">
                  <c:v>0.99923966926644137</c:v>
                </c:pt>
                <c:pt idx="640">
                  <c:v>0.99927130984816248</c:v>
                </c:pt>
                <c:pt idx="641">
                  <c:v>0.9993376431491755</c:v>
                </c:pt>
                <c:pt idx="642">
                  <c:v>0.99925491758107077</c:v>
                </c:pt>
                <c:pt idx="643">
                  <c:v>0.99913737469836816</c:v>
                </c:pt>
                <c:pt idx="644">
                  <c:v>0.99922099667425923</c:v>
                </c:pt>
                <c:pt idx="645">
                  <c:v>0.99926213029515087</c:v>
                </c:pt>
                <c:pt idx="646">
                  <c:v>0.99915139648229145</c:v>
                </c:pt>
                <c:pt idx="647">
                  <c:v>0.99908514983371466</c:v>
                </c:pt>
                <c:pt idx="648">
                  <c:v>0.99908050728215458</c:v>
                </c:pt>
                <c:pt idx="649">
                  <c:v>0.99909679130765994</c:v>
                </c:pt>
                <c:pt idx="650">
                  <c:v>0.99915963488672388</c:v>
                </c:pt>
                <c:pt idx="651">
                  <c:v>0.99919512838054503</c:v>
                </c:pt>
                <c:pt idx="652">
                  <c:v>0.99913180277367697</c:v>
                </c:pt>
                <c:pt idx="653">
                  <c:v>0.99922034084834921</c:v>
                </c:pt>
                <c:pt idx="654">
                  <c:v>0.99915356227143204</c:v>
                </c:pt>
                <c:pt idx="655">
                  <c:v>0.99913975519237919</c:v>
                </c:pt>
                <c:pt idx="656">
                  <c:v>0.99899525404856249</c:v>
                </c:pt>
                <c:pt idx="657">
                  <c:v>0.99895442353424646</c:v>
                </c:pt>
                <c:pt idx="658">
                  <c:v>0.99890125211944414</c:v>
                </c:pt>
                <c:pt idx="659">
                  <c:v>0.99886576817659967</c:v>
                </c:pt>
                <c:pt idx="660">
                  <c:v>0.99876879797819307</c:v>
                </c:pt>
                <c:pt idx="661">
                  <c:v>0.99892970743349419</c:v>
                </c:pt>
                <c:pt idx="662">
                  <c:v>0.99877431311657583</c:v>
                </c:pt>
                <c:pt idx="663">
                  <c:v>0.99889453634616299</c:v>
                </c:pt>
                <c:pt idx="664">
                  <c:v>0.99890122437889772</c:v>
                </c:pt>
                <c:pt idx="665">
                  <c:v>0.99901333357536437</c:v>
                </c:pt>
                <c:pt idx="666">
                  <c:v>0.99914597847965703</c:v>
                </c:pt>
                <c:pt idx="667">
                  <c:v>0.99929737631922466</c:v>
                </c:pt>
                <c:pt idx="668">
                  <c:v>0.99929027643525747</c:v>
                </c:pt>
                <c:pt idx="669">
                  <c:v>0.99939702871843128</c:v>
                </c:pt>
                <c:pt idx="670">
                  <c:v>0.99935401122190448</c:v>
                </c:pt>
                <c:pt idx="671">
                  <c:v>0.99933139395749293</c:v>
                </c:pt>
                <c:pt idx="672">
                  <c:v>0.99946739435580689</c:v>
                </c:pt>
                <c:pt idx="673">
                  <c:v>0.99941569689129606</c:v>
                </c:pt>
                <c:pt idx="674">
                  <c:v>0.99938195407949793</c:v>
                </c:pt>
                <c:pt idx="675">
                  <c:v>0.99937232770176521</c:v>
                </c:pt>
                <c:pt idx="676">
                  <c:v>0.99930051728804115</c:v>
                </c:pt>
                <c:pt idx="677">
                  <c:v>0.9993100149895674</c:v>
                </c:pt>
                <c:pt idx="678">
                  <c:v>0.99916763460185143</c:v>
                </c:pt>
                <c:pt idx="679">
                  <c:v>0.99912837638076268</c:v>
                </c:pt>
                <c:pt idx="680">
                  <c:v>0.99904755725274386</c:v>
                </c:pt>
                <c:pt idx="681">
                  <c:v>0.99882707993356523</c:v>
                </c:pt>
                <c:pt idx="682">
                  <c:v>0.99868783700200803</c:v>
                </c:pt>
                <c:pt idx="683">
                  <c:v>0.99867884502740634</c:v>
                </c:pt>
                <c:pt idx="684">
                  <c:v>0.99855932389040025</c:v>
                </c:pt>
                <c:pt idx="685">
                  <c:v>0.99871884984656756</c:v>
                </c:pt>
                <c:pt idx="686">
                  <c:v>0.99865443779309704</c:v>
                </c:pt>
                <c:pt idx="687">
                  <c:v>0.99883306021851659</c:v>
                </c:pt>
                <c:pt idx="688">
                  <c:v>0.99885095489060804</c:v>
                </c:pt>
                <c:pt idx="689">
                  <c:v>0.99903959134519305</c:v>
                </c:pt>
                <c:pt idx="690">
                  <c:v>0.99900457821185173</c:v>
                </c:pt>
                <c:pt idx="691">
                  <c:v>0.99909430162729584</c:v>
                </c:pt>
                <c:pt idx="692">
                  <c:v>0.99888486678108779</c:v>
                </c:pt>
                <c:pt idx="693">
                  <c:v>0.99884854639674581</c:v>
                </c:pt>
                <c:pt idx="694">
                  <c:v>0.9988479949008493</c:v>
                </c:pt>
                <c:pt idx="695">
                  <c:v>0.99879690686752487</c:v>
                </c:pt>
                <c:pt idx="696">
                  <c:v>0.99864146813403187</c:v>
                </c:pt>
                <c:pt idx="697">
                  <c:v>0.99843834589812852</c:v>
                </c:pt>
                <c:pt idx="698">
                  <c:v>0.99846910279736079</c:v>
                </c:pt>
                <c:pt idx="699">
                  <c:v>0.99836494594509528</c:v>
                </c:pt>
                <c:pt idx="700">
                  <c:v>0.99828536512097377</c:v>
                </c:pt>
                <c:pt idx="701">
                  <c:v>0.99834761816974349</c:v>
                </c:pt>
                <c:pt idx="702">
                  <c:v>0.99838249325268391</c:v>
                </c:pt>
                <c:pt idx="703">
                  <c:v>0.99849440550858848</c:v>
                </c:pt>
                <c:pt idx="704">
                  <c:v>0.99851799553802356</c:v>
                </c:pt>
                <c:pt idx="705">
                  <c:v>0.99862160091017849</c:v>
                </c:pt>
                <c:pt idx="706">
                  <c:v>0.9986911953517229</c:v>
                </c:pt>
                <c:pt idx="707">
                  <c:v>0.99867561155856654</c:v>
                </c:pt>
                <c:pt idx="708">
                  <c:v>0.99853885538570086</c:v>
                </c:pt>
                <c:pt idx="709">
                  <c:v>0.99839364122543062</c:v>
                </c:pt>
                <c:pt idx="710">
                  <c:v>0.99837763013305758</c:v>
                </c:pt>
                <c:pt idx="711">
                  <c:v>0.99832481531033412</c:v>
                </c:pt>
                <c:pt idx="712">
                  <c:v>0.99821086748422627</c:v>
                </c:pt>
                <c:pt idx="713">
                  <c:v>0.99798974801566509</c:v>
                </c:pt>
                <c:pt idx="714">
                  <c:v>0.99787953565172316</c:v>
                </c:pt>
                <c:pt idx="715">
                  <c:v>0.99783561694923151</c:v>
                </c:pt>
                <c:pt idx="716">
                  <c:v>0.99796818036022428</c:v>
                </c:pt>
                <c:pt idx="717">
                  <c:v>0.99799901123704515</c:v>
                </c:pt>
                <c:pt idx="718">
                  <c:v>0.99788209786620241</c:v>
                </c:pt>
                <c:pt idx="719">
                  <c:v>0.99775659228659219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Output!$L$12:$L$731</c:f>
              <c:numCache>
                <c:formatCode>General</c:formatCode>
                <c:ptCount val="720"/>
                <c:pt idx="0">
                  <c:v>1.0618288171182881</c:v>
                </c:pt>
                <c:pt idx="1">
                  <c:v>1.0810524714685317</c:v>
                </c:pt>
                <c:pt idx="2">
                  <c:v>1.0905328759056194</c:v>
                </c:pt>
                <c:pt idx="3">
                  <c:v>1.097404336900389</c:v>
                </c:pt>
                <c:pt idx="4">
                  <c:v>1.118685040297418</c:v>
                </c:pt>
                <c:pt idx="5">
                  <c:v>1.1305202143248396</c:v>
                </c:pt>
                <c:pt idx="6">
                  <c:v>1.1490275367664089</c:v>
                </c:pt>
                <c:pt idx="7">
                  <c:v>1.1824049537497143</c:v>
                </c:pt>
                <c:pt idx="8">
                  <c:v>1.1960089043454754</c:v>
                </c:pt>
                <c:pt idx="9">
                  <c:v>1.168082451434826</c:v>
                </c:pt>
                <c:pt idx="10">
                  <c:v>1.1806371623898413</c:v>
                </c:pt>
                <c:pt idx="11">
                  <c:v>1.200551338496793</c:v>
                </c:pt>
                <c:pt idx="12">
                  <c:v>1.1960616351699036</c:v>
                </c:pt>
                <c:pt idx="13">
                  <c:v>1.1955767303726925</c:v>
                </c:pt>
                <c:pt idx="14">
                  <c:v>1.2078128216687074</c:v>
                </c:pt>
                <c:pt idx="15">
                  <c:v>1.2238402044284133</c:v>
                </c:pt>
                <c:pt idx="16">
                  <c:v>1.2453835978271066</c:v>
                </c:pt>
                <c:pt idx="17">
                  <c:v>1.2635586284052276</c:v>
                </c:pt>
                <c:pt idx="18">
                  <c:v>1.2463793988220351</c:v>
                </c:pt>
                <c:pt idx="19">
                  <c:v>1.2537375403357085</c:v>
                </c:pt>
                <c:pt idx="20">
                  <c:v>1.270165897632703</c:v>
                </c:pt>
                <c:pt idx="21">
                  <c:v>1.3051891618303266</c:v>
                </c:pt>
                <c:pt idx="22">
                  <c:v>1.2935125329059358</c:v>
                </c:pt>
                <c:pt idx="23">
                  <c:v>1.290132543236332</c:v>
                </c:pt>
                <c:pt idx="24">
                  <c:v>1.3222943504557261</c:v>
                </c:pt>
                <c:pt idx="25">
                  <c:v>1.316897416226162</c:v>
                </c:pt>
                <c:pt idx="26">
                  <c:v>1.3553070771111886</c:v>
                </c:pt>
                <c:pt idx="27">
                  <c:v>1.3411205059547469</c:v>
                </c:pt>
                <c:pt idx="28">
                  <c:v>1.3455857909013698</c:v>
                </c:pt>
                <c:pt idx="29">
                  <c:v>1.3419398498883033</c:v>
                </c:pt>
                <c:pt idx="30">
                  <c:v>1.3640536697036076</c:v>
                </c:pt>
                <c:pt idx="31">
                  <c:v>1.3694550490787949</c:v>
                </c:pt>
                <c:pt idx="32">
                  <c:v>1.4070276902266714</c:v>
                </c:pt>
                <c:pt idx="33">
                  <c:v>1.449110599969534</c:v>
                </c:pt>
                <c:pt idx="34">
                  <c:v>1.4575565142073774</c:v>
                </c:pt>
                <c:pt idx="35">
                  <c:v>1.4851821905740901</c:v>
                </c:pt>
                <c:pt idx="36">
                  <c:v>1.466478466275444</c:v>
                </c:pt>
                <c:pt idx="37">
                  <c:v>1.4743758286397639</c:v>
                </c:pt>
                <c:pt idx="38">
                  <c:v>1.4984624502013304</c:v>
                </c:pt>
                <c:pt idx="39">
                  <c:v>1.5240335184983467</c:v>
                </c:pt>
                <c:pt idx="40">
                  <c:v>1.5092578395511724</c:v>
                </c:pt>
                <c:pt idx="41">
                  <c:v>1.4951948903989865</c:v>
                </c:pt>
                <c:pt idx="42">
                  <c:v>1.4971766163868745</c:v>
                </c:pt>
                <c:pt idx="43">
                  <c:v>1.498884869652068</c:v>
                </c:pt>
                <c:pt idx="44">
                  <c:v>1.5201903074641807</c:v>
                </c:pt>
                <c:pt idx="45">
                  <c:v>1.5049464489807722</c:v>
                </c:pt>
                <c:pt idx="46">
                  <c:v>1.503893789282909</c:v>
                </c:pt>
                <c:pt idx="47">
                  <c:v>1.4933063621044649</c:v>
                </c:pt>
                <c:pt idx="48">
                  <c:v>1.5101970027096063</c:v>
                </c:pt>
                <c:pt idx="49">
                  <c:v>1.4769253711188235</c:v>
                </c:pt>
                <c:pt idx="50">
                  <c:v>1.5274892838708918</c:v>
                </c:pt>
                <c:pt idx="51">
                  <c:v>1.539288270335569</c:v>
                </c:pt>
                <c:pt idx="52">
                  <c:v>1.5204961921558522</c:v>
                </c:pt>
                <c:pt idx="53">
                  <c:v>1.532802453516765</c:v>
                </c:pt>
                <c:pt idx="54">
                  <c:v>1.5545910620995362</c:v>
                </c:pt>
                <c:pt idx="55">
                  <c:v>1.5439403246931904</c:v>
                </c:pt>
                <c:pt idx="56">
                  <c:v>1.5272691611521159</c:v>
                </c:pt>
                <c:pt idx="57">
                  <c:v>1.5066822631098822</c:v>
                </c:pt>
                <c:pt idx="58">
                  <c:v>1.5365069919215439</c:v>
                </c:pt>
                <c:pt idx="59">
                  <c:v>1.5156420559071209</c:v>
                </c:pt>
                <c:pt idx="60">
                  <c:v>1.5217333287642554</c:v>
                </c:pt>
                <c:pt idx="61">
                  <c:v>1.5630595901117514</c:v>
                </c:pt>
                <c:pt idx="62">
                  <c:v>1.5668247480988058</c:v>
                </c:pt>
                <c:pt idx="63">
                  <c:v>1.5736362846528773</c:v>
                </c:pt>
                <c:pt idx="64">
                  <c:v>1.5854949310107185</c:v>
                </c:pt>
                <c:pt idx="65">
                  <c:v>1.5979580794114638</c:v>
                </c:pt>
                <c:pt idx="66">
                  <c:v>1.5692976118807356</c:v>
                </c:pt>
                <c:pt idx="67">
                  <c:v>1.5839279523178675</c:v>
                </c:pt>
                <c:pt idx="68">
                  <c:v>1.5561922392572356</c:v>
                </c:pt>
                <c:pt idx="69">
                  <c:v>1.5672720970101457</c:v>
                </c:pt>
                <c:pt idx="70">
                  <c:v>1.579266900421129</c:v>
                </c:pt>
                <c:pt idx="71">
                  <c:v>1.5819509620936005</c:v>
                </c:pt>
                <c:pt idx="72">
                  <c:v>1.5521879208607023</c:v>
                </c:pt>
                <c:pt idx="73">
                  <c:v>1.528531767484602</c:v>
                </c:pt>
                <c:pt idx="74">
                  <c:v>1.5200055370887324</c:v>
                </c:pt>
                <c:pt idx="75">
                  <c:v>1.5597112264344855</c:v>
                </c:pt>
                <c:pt idx="76">
                  <c:v>1.5378360718282753</c:v>
                </c:pt>
                <c:pt idx="77">
                  <c:v>1.5781254746281705</c:v>
                </c:pt>
                <c:pt idx="78">
                  <c:v>1.6015035164725391</c:v>
                </c:pt>
                <c:pt idx="79">
                  <c:v>1.5662643807205952</c:v>
                </c:pt>
                <c:pt idx="80">
                  <c:v>1.5722673714419888</c:v>
                </c:pt>
                <c:pt idx="81">
                  <c:v>1.5661055046516166</c:v>
                </c:pt>
                <c:pt idx="82">
                  <c:v>1.5881885909718179</c:v>
                </c:pt>
                <c:pt idx="83">
                  <c:v>1.5767050989892375</c:v>
                </c:pt>
                <c:pt idx="84">
                  <c:v>1.5680143401277964</c:v>
                </c:pt>
                <c:pt idx="85">
                  <c:v>1.554739070293802</c:v>
                </c:pt>
                <c:pt idx="86">
                  <c:v>1.5828803322056042</c:v>
                </c:pt>
                <c:pt idx="87">
                  <c:v>1.5791403313110954</c:v>
                </c:pt>
                <c:pt idx="88">
                  <c:v>1.5563007071707531</c:v>
                </c:pt>
                <c:pt idx="89">
                  <c:v>1.5637305433258539</c:v>
                </c:pt>
                <c:pt idx="90">
                  <c:v>1.6162633070483752</c:v>
                </c:pt>
                <c:pt idx="91">
                  <c:v>1.5879227913072873</c:v>
                </c:pt>
                <c:pt idx="92">
                  <c:v>1.5815840296635615</c:v>
                </c:pt>
                <c:pt idx="93">
                  <c:v>1.5610363003946333</c:v>
                </c:pt>
                <c:pt idx="94">
                  <c:v>1.5650857651455803</c:v>
                </c:pt>
                <c:pt idx="95">
                  <c:v>1.6065653015847725</c:v>
                </c:pt>
                <c:pt idx="96">
                  <c:v>1.6212884968587444</c:v>
                </c:pt>
                <c:pt idx="97">
                  <c:v>1.6041324844350697</c:v>
                </c:pt>
                <c:pt idx="98">
                  <c:v>1.6024436334738672</c:v>
                </c:pt>
                <c:pt idx="99">
                  <c:v>1.6149622479900891</c:v>
                </c:pt>
                <c:pt idx="100">
                  <c:v>1.6412048596365094</c:v>
                </c:pt>
                <c:pt idx="101">
                  <c:v>1.6408770931230949</c:v>
                </c:pt>
                <c:pt idx="102">
                  <c:v>1.6414532467506102</c:v>
                </c:pt>
                <c:pt idx="103">
                  <c:v>1.6351726276851755</c:v>
                </c:pt>
                <c:pt idx="104">
                  <c:v>1.6319581029201022</c:v>
                </c:pt>
                <c:pt idx="105">
                  <c:v>1.6343654968876558</c:v>
                </c:pt>
                <c:pt idx="106">
                  <c:v>1.6336815380760707</c:v>
                </c:pt>
                <c:pt idx="107">
                  <c:v>1.6003071850747999</c:v>
                </c:pt>
                <c:pt idx="108">
                  <c:v>1.6079078981559365</c:v>
                </c:pt>
                <c:pt idx="109">
                  <c:v>1.5893381698401334</c:v>
                </c:pt>
                <c:pt idx="110">
                  <c:v>1.6067898939064313</c:v>
                </c:pt>
                <c:pt idx="111">
                  <c:v>1.6178087577258733</c:v>
                </c:pt>
                <c:pt idx="112">
                  <c:v>1.6355357054000357</c:v>
                </c:pt>
                <c:pt idx="113">
                  <c:v>1.6283154600341203</c:v>
                </c:pt>
                <c:pt idx="114">
                  <c:v>1.6735723641835492</c:v>
                </c:pt>
                <c:pt idx="115">
                  <c:v>1.6732117506191042</c:v>
                </c:pt>
                <c:pt idx="116">
                  <c:v>1.6906257076681475</c:v>
                </c:pt>
                <c:pt idx="117">
                  <c:v>1.652502706997834</c:v>
                </c:pt>
                <c:pt idx="118">
                  <c:v>1.637992715627937</c:v>
                </c:pt>
                <c:pt idx="119">
                  <c:v>1.6690437428707099</c:v>
                </c:pt>
                <c:pt idx="120">
                  <c:v>1.6304089128738501</c:v>
                </c:pt>
                <c:pt idx="121">
                  <c:v>1.6476325503815821</c:v>
                </c:pt>
                <c:pt idx="122">
                  <c:v>1.662985800113099</c:v>
                </c:pt>
                <c:pt idx="123">
                  <c:v>1.6844553181614375</c:v>
                </c:pt>
                <c:pt idx="124">
                  <c:v>1.6976580130540408</c:v>
                </c:pt>
                <c:pt idx="125">
                  <c:v>1.7450552152909524</c:v>
                </c:pt>
                <c:pt idx="126">
                  <c:v>1.7364347641897155</c:v>
                </c:pt>
                <c:pt idx="127">
                  <c:v>1.7436991385659639</c:v>
                </c:pt>
                <c:pt idx="128">
                  <c:v>1.7165640354925813</c:v>
                </c:pt>
                <c:pt idx="129">
                  <c:v>1.7167616608702627</c:v>
                </c:pt>
                <c:pt idx="130">
                  <c:v>1.7127896523157373</c:v>
                </c:pt>
                <c:pt idx="131">
                  <c:v>1.7534942796722992</c:v>
                </c:pt>
                <c:pt idx="132">
                  <c:v>1.7445334997460733</c:v>
                </c:pt>
                <c:pt idx="133">
                  <c:v>1.7946799314217172</c:v>
                </c:pt>
                <c:pt idx="134">
                  <c:v>1.8439322909562967</c:v>
                </c:pt>
                <c:pt idx="135">
                  <c:v>1.8509883674697392</c:v>
                </c:pt>
                <c:pt idx="136">
                  <c:v>1.84090508427379</c:v>
                </c:pt>
                <c:pt idx="137">
                  <c:v>1.8201059233095922</c:v>
                </c:pt>
                <c:pt idx="138">
                  <c:v>1.853907182473157</c:v>
                </c:pt>
                <c:pt idx="139">
                  <c:v>1.8744016957341316</c:v>
                </c:pt>
                <c:pt idx="140">
                  <c:v>1.8851759142825959</c:v>
                </c:pt>
                <c:pt idx="141">
                  <c:v>1.902960466245692</c:v>
                </c:pt>
                <c:pt idx="142">
                  <c:v>1.8876909102156911</c:v>
                </c:pt>
                <c:pt idx="143">
                  <c:v>1.8962984530984863</c:v>
                </c:pt>
                <c:pt idx="144">
                  <c:v>1.8905227056722713</c:v>
                </c:pt>
                <c:pt idx="145">
                  <c:v>1.8314559341632777</c:v>
                </c:pt>
                <c:pt idx="146">
                  <c:v>1.8481947817445099</c:v>
                </c:pt>
                <c:pt idx="147">
                  <c:v>1.8182840594524701</c:v>
                </c:pt>
                <c:pt idx="148">
                  <c:v>1.8119869303821186</c:v>
                </c:pt>
                <c:pt idx="149">
                  <c:v>1.883570977072232</c:v>
                </c:pt>
                <c:pt idx="150">
                  <c:v>1.9089322736654113</c:v>
                </c:pt>
                <c:pt idx="151">
                  <c:v>1.9575589838582335</c:v>
                </c:pt>
                <c:pt idx="152">
                  <c:v>1.9624559742589793</c:v>
                </c:pt>
                <c:pt idx="153">
                  <c:v>1.9461025538146721</c:v>
                </c:pt>
                <c:pt idx="154">
                  <c:v>1.974402088064946</c:v>
                </c:pt>
                <c:pt idx="155">
                  <c:v>1.9632469656104623</c:v>
                </c:pt>
                <c:pt idx="156">
                  <c:v>1.9501167061393683</c:v>
                </c:pt>
                <c:pt idx="157">
                  <c:v>1.9367794981079145</c:v>
                </c:pt>
                <c:pt idx="158">
                  <c:v>1.9876624746798162</c:v>
                </c:pt>
                <c:pt idx="159">
                  <c:v>1.9793884304523943</c:v>
                </c:pt>
                <c:pt idx="160">
                  <c:v>1.9856649864274083</c:v>
                </c:pt>
                <c:pt idx="161">
                  <c:v>2.0130866452011054</c:v>
                </c:pt>
                <c:pt idx="162">
                  <c:v>2.043971463534485</c:v>
                </c:pt>
                <c:pt idx="163">
                  <c:v>2.0700858022151523</c:v>
                </c:pt>
                <c:pt idx="164">
                  <c:v>2.0515409179276793</c:v>
                </c:pt>
                <c:pt idx="165">
                  <c:v>2.0647635259687287</c:v>
                </c:pt>
                <c:pt idx="166">
                  <c:v>2.04952397233418</c:v>
                </c:pt>
                <c:pt idx="167">
                  <c:v>2.0817659271858187</c:v>
                </c:pt>
                <c:pt idx="168">
                  <c:v>2.0983553698843567</c:v>
                </c:pt>
                <c:pt idx="169">
                  <c:v>2.1198167208762175</c:v>
                </c:pt>
                <c:pt idx="170">
                  <c:v>2.090448293602873</c:v>
                </c:pt>
                <c:pt idx="171">
                  <c:v>2.1246031450389125</c:v>
                </c:pt>
                <c:pt idx="172">
                  <c:v>2.0719083244787981</c:v>
                </c:pt>
                <c:pt idx="173">
                  <c:v>2.1231794925668503</c:v>
                </c:pt>
                <c:pt idx="174">
                  <c:v>2.1421235568870687</c:v>
                </c:pt>
                <c:pt idx="175">
                  <c:v>2.1259042436938791</c:v>
                </c:pt>
                <c:pt idx="176">
                  <c:v>2.1194029190708368</c:v>
                </c:pt>
                <c:pt idx="177">
                  <c:v>2.160070830545695</c:v>
                </c:pt>
                <c:pt idx="178">
                  <c:v>2.1923116977021615</c:v>
                </c:pt>
                <c:pt idx="179">
                  <c:v>2.1758696629091672</c:v>
                </c:pt>
                <c:pt idx="180">
                  <c:v>2.1448031899413125</c:v>
                </c:pt>
                <c:pt idx="181">
                  <c:v>2.1827712185836612</c:v>
                </c:pt>
                <c:pt idx="182">
                  <c:v>2.1737028103653562</c:v>
                </c:pt>
                <c:pt idx="183">
                  <c:v>2.0915952506938602</c:v>
                </c:pt>
                <c:pt idx="184">
                  <c:v>2.1063451812765051</c:v>
                </c:pt>
                <c:pt idx="185">
                  <c:v>2.1024106327119716</c:v>
                </c:pt>
                <c:pt idx="186">
                  <c:v>2.1163245842533103</c:v>
                </c:pt>
                <c:pt idx="187">
                  <c:v>2.1561475155135605</c:v>
                </c:pt>
                <c:pt idx="188">
                  <c:v>2.1896680970440658</c:v>
                </c:pt>
                <c:pt idx="189">
                  <c:v>2.1800455509564749</c:v>
                </c:pt>
                <c:pt idx="190">
                  <c:v>2.1961269011543196</c:v>
                </c:pt>
                <c:pt idx="191">
                  <c:v>2.1974046287584783</c:v>
                </c:pt>
                <c:pt idx="192">
                  <c:v>2.2071036306304155</c:v>
                </c:pt>
                <c:pt idx="193">
                  <c:v>2.1946431157312136</c:v>
                </c:pt>
                <c:pt idx="194">
                  <c:v>2.2327200274392252</c:v>
                </c:pt>
                <c:pt idx="195">
                  <c:v>2.2969509080004489</c:v>
                </c:pt>
                <c:pt idx="196">
                  <c:v>2.2561436065911664</c:v>
                </c:pt>
                <c:pt idx="197">
                  <c:v>2.2657632287476099</c:v>
                </c:pt>
                <c:pt idx="198">
                  <c:v>2.2737747941092499</c:v>
                </c:pt>
                <c:pt idx="199">
                  <c:v>2.3114506536142128</c:v>
                </c:pt>
                <c:pt idx="200">
                  <c:v>2.2613364488802969</c:v>
                </c:pt>
                <c:pt idx="201">
                  <c:v>2.2107495625129516</c:v>
                </c:pt>
                <c:pt idx="202">
                  <c:v>2.1734719441635502</c:v>
                </c:pt>
                <c:pt idx="203">
                  <c:v>2.199614667132459</c:v>
                </c:pt>
                <c:pt idx="204">
                  <c:v>2.2182834192280128</c:v>
                </c:pt>
                <c:pt idx="205">
                  <c:v>2.1957348855340646</c:v>
                </c:pt>
                <c:pt idx="206">
                  <c:v>2.2737243687680775</c:v>
                </c:pt>
                <c:pt idx="207">
                  <c:v>2.2261581088957669</c:v>
                </c:pt>
                <c:pt idx="208">
                  <c:v>2.1449982203896583</c:v>
                </c:pt>
                <c:pt idx="209">
                  <c:v>2.0971564325623206</c:v>
                </c:pt>
                <c:pt idx="210">
                  <c:v>2.0962861458121673</c:v>
                </c:pt>
                <c:pt idx="211">
                  <c:v>2.1356707940332313</c:v>
                </c:pt>
                <c:pt idx="212">
                  <c:v>2.1719251634383787</c:v>
                </c:pt>
                <c:pt idx="213">
                  <c:v>2.1510570382140259</c:v>
                </c:pt>
                <c:pt idx="214">
                  <c:v>2.1680942349807428</c:v>
                </c:pt>
                <c:pt idx="215">
                  <c:v>2.1592318079245945</c:v>
                </c:pt>
                <c:pt idx="216">
                  <c:v>2.1317689714118924</c:v>
                </c:pt>
                <c:pt idx="217">
                  <c:v>2.1305662811304962</c:v>
                </c:pt>
                <c:pt idx="218">
                  <c:v>2.1134804013019859</c:v>
                </c:pt>
                <c:pt idx="219">
                  <c:v>2.1327924842697161</c:v>
                </c:pt>
                <c:pt idx="220">
                  <c:v>2.1320054392525054</c:v>
                </c:pt>
                <c:pt idx="221">
                  <c:v>2.092728054407679</c:v>
                </c:pt>
                <c:pt idx="222">
                  <c:v>2.0797090532497222</c:v>
                </c:pt>
                <c:pt idx="223">
                  <c:v>2.0914660802671223</c:v>
                </c:pt>
                <c:pt idx="224">
                  <c:v>2.061468901958722</c:v>
                </c:pt>
                <c:pt idx="225">
                  <c:v>2.0389851143885083</c:v>
                </c:pt>
                <c:pt idx="226">
                  <c:v>2.0665111071749784</c:v>
                </c:pt>
                <c:pt idx="227">
                  <c:v>2.0478559712014706</c:v>
                </c:pt>
                <c:pt idx="228">
                  <c:v>2.0739019594377335</c:v>
                </c:pt>
                <c:pt idx="229">
                  <c:v>2.0742600902505011</c:v>
                </c:pt>
                <c:pt idx="230">
                  <c:v>2.1147590239248202</c:v>
                </c:pt>
                <c:pt idx="231">
                  <c:v>2.0837262461358823</c:v>
                </c:pt>
                <c:pt idx="232">
                  <c:v>2.0399390296191324</c:v>
                </c:pt>
                <c:pt idx="233">
                  <c:v>2.0132312074130856</c:v>
                </c:pt>
                <c:pt idx="234">
                  <c:v>1.9915979788138056</c:v>
                </c:pt>
                <c:pt idx="235">
                  <c:v>2.0123380692986039</c:v>
                </c:pt>
                <c:pt idx="236">
                  <c:v>2.030690485984564</c:v>
                </c:pt>
                <c:pt idx="237">
                  <c:v>2.055036104516085</c:v>
                </c:pt>
                <c:pt idx="238">
                  <c:v>2.0915578974224931</c:v>
                </c:pt>
                <c:pt idx="239">
                  <c:v>2.1146766383251401</c:v>
                </c:pt>
                <c:pt idx="240">
                  <c:v>2.1528482208741195</c:v>
                </c:pt>
                <c:pt idx="241">
                  <c:v>2.2019845613721745</c:v>
                </c:pt>
                <c:pt idx="242">
                  <c:v>2.1915974897613553</c:v>
                </c:pt>
                <c:pt idx="243">
                  <c:v>2.1672084294407052</c:v>
                </c:pt>
                <c:pt idx="244">
                  <c:v>2.1939149176418504</c:v>
                </c:pt>
                <c:pt idx="245">
                  <c:v>2.1903210556150778</c:v>
                </c:pt>
                <c:pt idx="246">
                  <c:v>2.2387349536605776</c:v>
                </c:pt>
                <c:pt idx="247">
                  <c:v>2.2142398299276134</c:v>
                </c:pt>
                <c:pt idx="248">
                  <c:v>2.225430902024764</c:v>
                </c:pt>
                <c:pt idx="249">
                  <c:v>2.1739562871462659</c:v>
                </c:pt>
                <c:pt idx="250">
                  <c:v>2.1529311874886572</c:v>
                </c:pt>
                <c:pt idx="251">
                  <c:v>2.0774808643029914</c:v>
                </c:pt>
                <c:pt idx="252">
                  <c:v>2.0647138196518213</c:v>
                </c:pt>
                <c:pt idx="253">
                  <c:v>2.0559048156203446</c:v>
                </c:pt>
                <c:pt idx="254">
                  <c:v>2.0676069833252386</c:v>
                </c:pt>
                <c:pt idx="255">
                  <c:v>2.1062410497235162</c:v>
                </c:pt>
                <c:pt idx="256">
                  <c:v>2.1578636088991829</c:v>
                </c:pt>
                <c:pt idx="257">
                  <c:v>2.1696347237003493</c:v>
                </c:pt>
                <c:pt idx="258">
                  <c:v>2.1739946583846956</c:v>
                </c:pt>
                <c:pt idx="259">
                  <c:v>2.2180732526106808</c:v>
                </c:pt>
                <c:pt idx="260">
                  <c:v>2.2035864539097139</c:v>
                </c:pt>
                <c:pt idx="261">
                  <c:v>2.2893934290086726</c:v>
                </c:pt>
                <c:pt idx="262">
                  <c:v>2.3124943202734936</c:v>
                </c:pt>
                <c:pt idx="263">
                  <c:v>2.2876964701733447</c:v>
                </c:pt>
                <c:pt idx="264">
                  <c:v>2.2669701680397054</c:v>
                </c:pt>
                <c:pt idx="265">
                  <c:v>2.2694565678777492</c:v>
                </c:pt>
                <c:pt idx="266">
                  <c:v>2.3110217915808349</c:v>
                </c:pt>
                <c:pt idx="267">
                  <c:v>2.3092917895031913</c:v>
                </c:pt>
                <c:pt idx="268">
                  <c:v>2.3413503528804855</c:v>
                </c:pt>
                <c:pt idx="269">
                  <c:v>2.350421636486316</c:v>
                </c:pt>
                <c:pt idx="270">
                  <c:v>2.3451617513823511</c:v>
                </c:pt>
                <c:pt idx="271">
                  <c:v>2.3736531956176492</c:v>
                </c:pt>
                <c:pt idx="272">
                  <c:v>2.3349566526415995</c:v>
                </c:pt>
                <c:pt idx="273">
                  <c:v>2.3323762079331325</c:v>
                </c:pt>
                <c:pt idx="274">
                  <c:v>2.2928920080692969</c:v>
                </c:pt>
                <c:pt idx="275">
                  <c:v>2.3390026228287328</c:v>
                </c:pt>
                <c:pt idx="276">
                  <c:v>2.3572336082467817</c:v>
                </c:pt>
                <c:pt idx="277">
                  <c:v>2.3366969955348864</c:v>
                </c:pt>
                <c:pt idx="278">
                  <c:v>2.2760398436930651</c:v>
                </c:pt>
                <c:pt idx="279">
                  <c:v>2.2889774097023499</c:v>
                </c:pt>
                <c:pt idx="280">
                  <c:v>2.3092141761964502</c:v>
                </c:pt>
                <c:pt idx="281">
                  <c:v>2.3569254982308658</c:v>
                </c:pt>
                <c:pt idx="282">
                  <c:v>2.3465789295467392</c:v>
                </c:pt>
                <c:pt idx="283">
                  <c:v>2.3945807785476174</c:v>
                </c:pt>
                <c:pt idx="284">
                  <c:v>2.3333531914369505</c:v>
                </c:pt>
                <c:pt idx="285">
                  <c:v>2.2988037924373601</c:v>
                </c:pt>
                <c:pt idx="286">
                  <c:v>2.3318209897308071</c:v>
                </c:pt>
                <c:pt idx="287">
                  <c:v>2.3567324058392543</c:v>
                </c:pt>
                <c:pt idx="288">
                  <c:v>2.3534929731617358</c:v>
                </c:pt>
                <c:pt idx="289">
                  <c:v>2.3730872033528225</c:v>
                </c:pt>
                <c:pt idx="290">
                  <c:v>2.3532535216714123</c:v>
                </c:pt>
                <c:pt idx="291">
                  <c:v>2.3214448202574989</c:v>
                </c:pt>
                <c:pt idx="292">
                  <c:v>2.2876964090602416</c:v>
                </c:pt>
                <c:pt idx="293">
                  <c:v>2.3031736034917056</c:v>
                </c:pt>
                <c:pt idx="294">
                  <c:v>2.3045399570085534</c:v>
                </c:pt>
                <c:pt idx="295">
                  <c:v>2.295920960566455</c:v>
                </c:pt>
                <c:pt idx="296">
                  <c:v>2.2809799180119543</c:v>
                </c:pt>
                <c:pt idx="297">
                  <c:v>2.2780289100262352</c:v>
                </c:pt>
                <c:pt idx="298">
                  <c:v>2.2859633578321539</c:v>
                </c:pt>
                <c:pt idx="299">
                  <c:v>2.2705923071984935</c:v>
                </c:pt>
                <c:pt idx="300">
                  <c:v>2.2433432754171307</c:v>
                </c:pt>
                <c:pt idx="301">
                  <c:v>2.3103802695394906</c:v>
                </c:pt>
                <c:pt idx="302">
                  <c:v>2.3295722230766178</c:v>
                </c:pt>
                <c:pt idx="303">
                  <c:v>2.3123870408070504</c:v>
                </c:pt>
                <c:pt idx="304">
                  <c:v>2.2872152067478773</c:v>
                </c:pt>
                <c:pt idx="305">
                  <c:v>2.2873828093301674</c:v>
                </c:pt>
                <c:pt idx="306">
                  <c:v>2.2969078808590351</c:v>
                </c:pt>
                <c:pt idx="307">
                  <c:v>2.3106869765604046</c:v>
                </c:pt>
                <c:pt idx="308">
                  <c:v>2.2900929665471814</c:v>
                </c:pt>
                <c:pt idx="309">
                  <c:v>2.272907558120119</c:v>
                </c:pt>
                <c:pt idx="310">
                  <c:v>2.2335478875208228</c:v>
                </c:pt>
                <c:pt idx="311">
                  <c:v>2.2679882057304659</c:v>
                </c:pt>
                <c:pt idx="312">
                  <c:v>2.2438531956446854</c:v>
                </c:pt>
                <c:pt idx="313">
                  <c:v>2.3532968282297526</c:v>
                </c:pt>
                <c:pt idx="314">
                  <c:v>2.403773281180984</c:v>
                </c:pt>
                <c:pt idx="315">
                  <c:v>2.4168541400767816</c:v>
                </c:pt>
                <c:pt idx="316">
                  <c:v>2.4333532127522939</c:v>
                </c:pt>
                <c:pt idx="317">
                  <c:v>2.4422899321040892</c:v>
                </c:pt>
                <c:pt idx="318">
                  <c:v>2.4534568019045677</c:v>
                </c:pt>
                <c:pt idx="319">
                  <c:v>2.4037174446033296</c:v>
                </c:pt>
                <c:pt idx="320">
                  <c:v>2.419598634571364</c:v>
                </c:pt>
                <c:pt idx="321">
                  <c:v>2.4182538113837819</c:v>
                </c:pt>
                <c:pt idx="322">
                  <c:v>2.4501387326731034</c:v>
                </c:pt>
                <c:pt idx="323">
                  <c:v>2.401207096937255</c:v>
                </c:pt>
                <c:pt idx="324">
                  <c:v>2.4030902148591058</c:v>
                </c:pt>
                <c:pt idx="325">
                  <c:v>2.385351753632956</c:v>
                </c:pt>
                <c:pt idx="326">
                  <c:v>2.5176278578234137</c:v>
                </c:pt>
                <c:pt idx="327">
                  <c:v>2.5136143362915719</c:v>
                </c:pt>
                <c:pt idx="328">
                  <c:v>2.566573376402951</c:v>
                </c:pt>
                <c:pt idx="329">
                  <c:v>2.5251241266395548</c:v>
                </c:pt>
                <c:pt idx="330">
                  <c:v>2.4877344823899485</c:v>
                </c:pt>
                <c:pt idx="331">
                  <c:v>2.4709811725483131</c:v>
                </c:pt>
                <c:pt idx="332">
                  <c:v>2.4771710616663594</c:v>
                </c:pt>
                <c:pt idx="333">
                  <c:v>2.489429012442006</c:v>
                </c:pt>
                <c:pt idx="334">
                  <c:v>2.4380643348704685</c:v>
                </c:pt>
                <c:pt idx="335">
                  <c:v>2.429964966031481</c:v>
                </c:pt>
                <c:pt idx="336">
                  <c:v>2.4154439804654642</c:v>
                </c:pt>
                <c:pt idx="337">
                  <c:v>2.392105979595613</c:v>
                </c:pt>
                <c:pt idx="338">
                  <c:v>2.3617152213475543</c:v>
                </c:pt>
                <c:pt idx="339">
                  <c:v>2.3390266643028061</c:v>
                </c:pt>
                <c:pt idx="340">
                  <c:v>2.3412307351636046</c:v>
                </c:pt>
                <c:pt idx="341">
                  <c:v>2.3041010402449875</c:v>
                </c:pt>
                <c:pt idx="342">
                  <c:v>2.3072336851806705</c:v>
                </c:pt>
                <c:pt idx="343">
                  <c:v>2.3242472556962821</c:v>
                </c:pt>
                <c:pt idx="344">
                  <c:v>2.3948035567045016</c:v>
                </c:pt>
                <c:pt idx="345">
                  <c:v>2.4107058919804003</c:v>
                </c:pt>
                <c:pt idx="346">
                  <c:v>2.4293885889643483</c:v>
                </c:pt>
                <c:pt idx="347">
                  <c:v>2.4783082502109641</c:v>
                </c:pt>
                <c:pt idx="348">
                  <c:v>2.4304675172484149</c:v>
                </c:pt>
                <c:pt idx="349">
                  <c:v>2.3974149567790857</c:v>
                </c:pt>
                <c:pt idx="350">
                  <c:v>2.3820077136872397</c:v>
                </c:pt>
                <c:pt idx="351">
                  <c:v>2.3904168375945618</c:v>
                </c:pt>
                <c:pt idx="352">
                  <c:v>2.3608777550874311</c:v>
                </c:pt>
                <c:pt idx="353">
                  <c:v>2.3667718308618326</c:v>
                </c:pt>
                <c:pt idx="354">
                  <c:v>2.3951031253728283</c:v>
                </c:pt>
                <c:pt idx="355">
                  <c:v>2.4097984213404477</c:v>
                </c:pt>
                <c:pt idx="356">
                  <c:v>2.4043874301663251</c:v>
                </c:pt>
                <c:pt idx="357">
                  <c:v>2.4166748008477041</c:v>
                </c:pt>
                <c:pt idx="358">
                  <c:v>2.45478912286065</c:v>
                </c:pt>
                <c:pt idx="359">
                  <c:v>2.4904083663137451</c:v>
                </c:pt>
                <c:pt idx="360">
                  <c:v>2.444482490251747</c:v>
                </c:pt>
                <c:pt idx="361">
                  <c:v>2.4548683721440465</c:v>
                </c:pt>
                <c:pt idx="362">
                  <c:v>2.4473515426601113</c:v>
                </c:pt>
                <c:pt idx="363">
                  <c:v>2.5011503261445118</c:v>
                </c:pt>
                <c:pt idx="364">
                  <c:v>2.5434112997742107</c:v>
                </c:pt>
                <c:pt idx="365">
                  <c:v>2.5517928192023009</c:v>
                </c:pt>
                <c:pt idx="366">
                  <c:v>2.5302894365653015</c:v>
                </c:pt>
                <c:pt idx="367">
                  <c:v>2.556154097323811</c:v>
                </c:pt>
                <c:pt idx="368">
                  <c:v>2.5099691788289458</c:v>
                </c:pt>
                <c:pt idx="369">
                  <c:v>2.5371902317325277</c:v>
                </c:pt>
                <c:pt idx="370">
                  <c:v>2.5079512241770261</c:v>
                </c:pt>
                <c:pt idx="371">
                  <c:v>2.4658309777393166</c:v>
                </c:pt>
                <c:pt idx="372">
                  <c:v>2.4599009773623361</c:v>
                </c:pt>
                <c:pt idx="373">
                  <c:v>2.4711876545978235</c:v>
                </c:pt>
                <c:pt idx="374">
                  <c:v>2.4709760397087086</c:v>
                </c:pt>
                <c:pt idx="375">
                  <c:v>2.4946193839057362</c:v>
                </c:pt>
                <c:pt idx="376">
                  <c:v>2.5131083345318839</c:v>
                </c:pt>
                <c:pt idx="377">
                  <c:v>2.5090015379856232</c:v>
                </c:pt>
                <c:pt idx="378">
                  <c:v>2.4897086316898998</c:v>
                </c:pt>
                <c:pt idx="379">
                  <c:v>2.4146958245632106</c:v>
                </c:pt>
                <c:pt idx="380">
                  <c:v>2.4560425775509529</c:v>
                </c:pt>
                <c:pt idx="381">
                  <c:v>2.4329260937519308</c:v>
                </c:pt>
                <c:pt idx="382">
                  <c:v>2.4333505493770997</c:v>
                </c:pt>
                <c:pt idx="383">
                  <c:v>2.4331460593148835</c:v>
                </c:pt>
                <c:pt idx="384">
                  <c:v>2.4359121175178609</c:v>
                </c:pt>
                <c:pt idx="385">
                  <c:v>2.4002990947855674</c:v>
                </c:pt>
                <c:pt idx="386">
                  <c:v>2.3850187962399181</c:v>
                </c:pt>
                <c:pt idx="387">
                  <c:v>2.433408192818213</c:v>
                </c:pt>
                <c:pt idx="388">
                  <c:v>2.3852573057182682</c:v>
                </c:pt>
                <c:pt idx="389">
                  <c:v>2.389918529282141</c:v>
                </c:pt>
                <c:pt idx="390">
                  <c:v>2.4045271335261056</c:v>
                </c:pt>
                <c:pt idx="391">
                  <c:v>2.4378779701754083</c:v>
                </c:pt>
                <c:pt idx="392">
                  <c:v>2.4174524090232401</c:v>
                </c:pt>
                <c:pt idx="393">
                  <c:v>2.4236976009117339</c:v>
                </c:pt>
                <c:pt idx="394">
                  <c:v>2.4417065567714809</c:v>
                </c:pt>
                <c:pt idx="395">
                  <c:v>2.4015288990900414</c:v>
                </c:pt>
                <c:pt idx="396">
                  <c:v>2.3667947171504222</c:v>
                </c:pt>
                <c:pt idx="397">
                  <c:v>2.4239976050254688</c:v>
                </c:pt>
                <c:pt idx="398">
                  <c:v>2.4675928013675303</c:v>
                </c:pt>
                <c:pt idx="399">
                  <c:v>2.509846048940402</c:v>
                </c:pt>
                <c:pt idx="400">
                  <c:v>2.5017277838664063</c:v>
                </c:pt>
                <c:pt idx="401">
                  <c:v>2.587533960555489</c:v>
                </c:pt>
                <c:pt idx="402">
                  <c:v>2.5603031854966458</c:v>
                </c:pt>
                <c:pt idx="403">
                  <c:v>2.5521827892042839</c:v>
                </c:pt>
                <c:pt idx="404">
                  <c:v>2.530416956802394</c:v>
                </c:pt>
                <c:pt idx="405">
                  <c:v>2.5394561401952438</c:v>
                </c:pt>
                <c:pt idx="406">
                  <c:v>2.6338330597183512</c:v>
                </c:pt>
                <c:pt idx="407">
                  <c:v>2.6584251372455294</c:v>
                </c:pt>
                <c:pt idx="408">
                  <c:v>2.6857050470977515</c:v>
                </c:pt>
                <c:pt idx="409">
                  <c:v>2.699059532097523</c:v>
                </c:pt>
                <c:pt idx="410">
                  <c:v>2.7172267589625636</c:v>
                </c:pt>
                <c:pt idx="411">
                  <c:v>2.7534278245888788</c:v>
                </c:pt>
                <c:pt idx="412">
                  <c:v>2.7005115995148672</c:v>
                </c:pt>
                <c:pt idx="413">
                  <c:v>2.7120304457824429</c:v>
                </c:pt>
                <c:pt idx="414">
                  <c:v>2.726432612824472</c:v>
                </c:pt>
                <c:pt idx="415">
                  <c:v>2.7988555029191953</c:v>
                </c:pt>
                <c:pt idx="416">
                  <c:v>2.756840108563809</c:v>
                </c:pt>
                <c:pt idx="417">
                  <c:v>2.7890635563003046</c:v>
                </c:pt>
                <c:pt idx="418">
                  <c:v>2.7847550055213151</c:v>
                </c:pt>
                <c:pt idx="419">
                  <c:v>2.7283774323063592</c:v>
                </c:pt>
                <c:pt idx="420">
                  <c:v>2.683934871505345</c:v>
                </c:pt>
                <c:pt idx="421">
                  <c:v>2.7032981841826866</c:v>
                </c:pt>
                <c:pt idx="422">
                  <c:v>2.7070706559134377</c:v>
                </c:pt>
                <c:pt idx="423">
                  <c:v>2.730724792516432</c:v>
                </c:pt>
                <c:pt idx="424">
                  <c:v>2.745762761575461</c:v>
                </c:pt>
                <c:pt idx="425">
                  <c:v>2.799108400175343</c:v>
                </c:pt>
                <c:pt idx="426">
                  <c:v>2.8030064221538695</c:v>
                </c:pt>
                <c:pt idx="427">
                  <c:v>2.8271889450058079</c:v>
                </c:pt>
                <c:pt idx="428">
                  <c:v>2.7881570828482269</c:v>
                </c:pt>
                <c:pt idx="429">
                  <c:v>2.7552600080304122</c:v>
                </c:pt>
                <c:pt idx="430">
                  <c:v>2.7535387856985807</c:v>
                </c:pt>
                <c:pt idx="431">
                  <c:v>2.706702610068104</c:v>
                </c:pt>
                <c:pt idx="432">
                  <c:v>2.6981218505541884</c:v>
                </c:pt>
                <c:pt idx="433">
                  <c:v>2.6822350038449709</c:v>
                </c:pt>
                <c:pt idx="434">
                  <c:v>2.6700486609185274</c:v>
                </c:pt>
                <c:pt idx="435">
                  <c:v>2.716318508275382</c:v>
                </c:pt>
                <c:pt idx="436">
                  <c:v>2.6675385905439701</c:v>
                </c:pt>
                <c:pt idx="437">
                  <c:v>2.6547035109688575</c:v>
                </c:pt>
                <c:pt idx="438">
                  <c:v>2.6307859032142291</c:v>
                </c:pt>
                <c:pt idx="439">
                  <c:v>2.6517292570284536</c:v>
                </c:pt>
                <c:pt idx="440">
                  <c:v>2.7063727694226101</c:v>
                </c:pt>
                <c:pt idx="441">
                  <c:v>2.796920245929587</c:v>
                </c:pt>
                <c:pt idx="442">
                  <c:v>2.8198171289335918</c:v>
                </c:pt>
                <c:pt idx="443">
                  <c:v>2.8348511225185602</c:v>
                </c:pt>
                <c:pt idx="444">
                  <c:v>2.8848225556374572</c:v>
                </c:pt>
                <c:pt idx="445">
                  <c:v>2.8753944481671172</c:v>
                </c:pt>
                <c:pt idx="446">
                  <c:v>2.8081945318213686</c:v>
                </c:pt>
                <c:pt idx="447">
                  <c:v>2.786444539949795</c:v>
                </c:pt>
                <c:pt idx="448">
                  <c:v>2.7965147470429144</c:v>
                </c:pt>
                <c:pt idx="449">
                  <c:v>2.7886772065896017</c:v>
                </c:pt>
                <c:pt idx="450">
                  <c:v>2.8839913093633553</c:v>
                </c:pt>
                <c:pt idx="451">
                  <c:v>2.9007400886196737</c:v>
                </c:pt>
                <c:pt idx="452">
                  <c:v>2.9332292633542645</c:v>
                </c:pt>
                <c:pt idx="453">
                  <c:v>2.9409384131810619</c:v>
                </c:pt>
                <c:pt idx="454">
                  <c:v>2.8625377688245974</c:v>
                </c:pt>
                <c:pt idx="455">
                  <c:v>2.8867183122753852</c:v>
                </c:pt>
                <c:pt idx="456">
                  <c:v>2.8197266274434476</c:v>
                </c:pt>
                <c:pt idx="457">
                  <c:v>2.8908671809772613</c:v>
                </c:pt>
                <c:pt idx="458">
                  <c:v>2.8734602259337994</c:v>
                </c:pt>
                <c:pt idx="459">
                  <c:v>2.9224596689677411</c:v>
                </c:pt>
                <c:pt idx="460">
                  <c:v>2.882380903801478</c:v>
                </c:pt>
                <c:pt idx="461">
                  <c:v>2.8557508132087683</c:v>
                </c:pt>
                <c:pt idx="462">
                  <c:v>2.8102037352617151</c:v>
                </c:pt>
                <c:pt idx="463">
                  <c:v>2.7655076533330618</c:v>
                </c:pt>
                <c:pt idx="464">
                  <c:v>2.767934175495713</c:v>
                </c:pt>
                <c:pt idx="465">
                  <c:v>2.7778921680878996</c:v>
                </c:pt>
                <c:pt idx="466">
                  <c:v>2.7375566753853069</c:v>
                </c:pt>
                <c:pt idx="467">
                  <c:v>2.7573046378194643</c:v>
                </c:pt>
                <c:pt idx="468">
                  <c:v>2.7746722252982963</c:v>
                </c:pt>
                <c:pt idx="469">
                  <c:v>2.738272165114922</c:v>
                </c:pt>
                <c:pt idx="470">
                  <c:v>2.6779978034201344</c:v>
                </c:pt>
                <c:pt idx="471">
                  <c:v>2.6378343815758818</c:v>
                </c:pt>
                <c:pt idx="472">
                  <c:v>2.6262460657655873</c:v>
                </c:pt>
                <c:pt idx="473">
                  <c:v>2.7201905228727803</c:v>
                </c:pt>
                <c:pt idx="474">
                  <c:v>2.7190072804232583</c:v>
                </c:pt>
                <c:pt idx="475">
                  <c:v>2.7212112164444293</c:v>
                </c:pt>
                <c:pt idx="476">
                  <c:v>2.7619140943131484</c:v>
                </c:pt>
                <c:pt idx="477">
                  <c:v>2.7275276052522606</c:v>
                </c:pt>
                <c:pt idx="478">
                  <c:v>2.6721349629795541</c:v>
                </c:pt>
                <c:pt idx="479">
                  <c:v>2.6729431202229343</c:v>
                </c:pt>
                <c:pt idx="480">
                  <c:v>2.6685854364657131</c:v>
                </c:pt>
                <c:pt idx="481">
                  <c:v>2.7094965951605663</c:v>
                </c:pt>
                <c:pt idx="482">
                  <c:v>2.7752243008654673</c:v>
                </c:pt>
                <c:pt idx="483">
                  <c:v>2.8292471203219143</c:v>
                </c:pt>
                <c:pt idx="484">
                  <c:v>2.86691167029718</c:v>
                </c:pt>
                <c:pt idx="485">
                  <c:v>2.9669311857809135</c:v>
                </c:pt>
                <c:pt idx="486">
                  <c:v>2.9940564598891286</c:v>
                </c:pt>
                <c:pt idx="487">
                  <c:v>2.9059763166435157</c:v>
                </c:pt>
                <c:pt idx="488">
                  <c:v>2.9332210731295452</c:v>
                </c:pt>
                <c:pt idx="489">
                  <c:v>2.8768907528197558</c:v>
                </c:pt>
                <c:pt idx="490">
                  <c:v>2.8931393867828876</c:v>
                </c:pt>
                <c:pt idx="491">
                  <c:v>2.8484824534271693</c:v>
                </c:pt>
                <c:pt idx="492">
                  <c:v>2.8822051994924043</c:v>
                </c:pt>
                <c:pt idx="493">
                  <c:v>2.8030902804690272</c:v>
                </c:pt>
                <c:pt idx="494">
                  <c:v>2.7959610938972599</c:v>
                </c:pt>
                <c:pt idx="495">
                  <c:v>2.8252394072598417</c:v>
                </c:pt>
                <c:pt idx="496">
                  <c:v>2.8513628799833994</c:v>
                </c:pt>
                <c:pt idx="497">
                  <c:v>2.818496018211722</c:v>
                </c:pt>
                <c:pt idx="498">
                  <c:v>2.823427776062482</c:v>
                </c:pt>
                <c:pt idx="499">
                  <c:v>2.8330124468093167</c:v>
                </c:pt>
                <c:pt idx="500">
                  <c:v>2.8204544837969365</c:v>
                </c:pt>
                <c:pt idx="501">
                  <c:v>2.8607331788394008</c:v>
                </c:pt>
                <c:pt idx="502">
                  <c:v>2.8778708783853455</c:v>
                </c:pt>
                <c:pt idx="503">
                  <c:v>2.8790569252116924</c:v>
                </c:pt>
                <c:pt idx="504">
                  <c:v>2.8898860752569053</c:v>
                </c:pt>
                <c:pt idx="505">
                  <c:v>2.8975632093680943</c:v>
                </c:pt>
                <c:pt idx="506">
                  <c:v>3.002923389157405</c:v>
                </c:pt>
                <c:pt idx="507">
                  <c:v>2.9492647245278083</c:v>
                </c:pt>
                <c:pt idx="508">
                  <c:v>2.9120738635034589</c:v>
                </c:pt>
                <c:pt idx="509">
                  <c:v>2.9185438010498292</c:v>
                </c:pt>
                <c:pt idx="510">
                  <c:v>2.9783883282391339</c:v>
                </c:pt>
                <c:pt idx="511">
                  <c:v>2.9216109271618191</c:v>
                </c:pt>
                <c:pt idx="512">
                  <c:v>2.9343337529308378</c:v>
                </c:pt>
                <c:pt idx="513">
                  <c:v>2.9806982290856783</c:v>
                </c:pt>
                <c:pt idx="514">
                  <c:v>2.9957836228712797</c:v>
                </c:pt>
                <c:pt idx="515">
                  <c:v>3.064687980919607</c:v>
                </c:pt>
                <c:pt idx="516">
                  <c:v>3.1109750446480038</c:v>
                </c:pt>
                <c:pt idx="517">
                  <c:v>3.1083932465490971</c:v>
                </c:pt>
                <c:pt idx="518">
                  <c:v>3.0657255398267926</c:v>
                </c:pt>
                <c:pt idx="519">
                  <c:v>3.073319713734084</c:v>
                </c:pt>
                <c:pt idx="520">
                  <c:v>3.1479790620901245</c:v>
                </c:pt>
                <c:pt idx="521">
                  <c:v>3.1506112031561204</c:v>
                </c:pt>
                <c:pt idx="522">
                  <c:v>3.1522471017060449</c:v>
                </c:pt>
                <c:pt idx="523">
                  <c:v>3.1410136308216985</c:v>
                </c:pt>
                <c:pt idx="524">
                  <c:v>3.1671646855017412</c:v>
                </c:pt>
                <c:pt idx="525">
                  <c:v>3.2726445739248193</c:v>
                </c:pt>
                <c:pt idx="526">
                  <c:v>3.2620680260140125</c:v>
                </c:pt>
                <c:pt idx="527">
                  <c:v>3.1744986849629959</c:v>
                </c:pt>
                <c:pt idx="528">
                  <c:v>3.1347211263393109</c:v>
                </c:pt>
                <c:pt idx="529">
                  <c:v>3.2342053877791344</c:v>
                </c:pt>
                <c:pt idx="530">
                  <c:v>3.258566856400412</c:v>
                </c:pt>
                <c:pt idx="531">
                  <c:v>3.1907571605520215</c:v>
                </c:pt>
                <c:pt idx="532">
                  <c:v>3.1672411345841063</c:v>
                </c:pt>
                <c:pt idx="533">
                  <c:v>3.1454547801039641</c:v>
                </c:pt>
                <c:pt idx="534">
                  <c:v>3.2223370482243654</c:v>
                </c:pt>
                <c:pt idx="535">
                  <c:v>3.2772629006921736</c:v>
                </c:pt>
                <c:pt idx="536">
                  <c:v>3.2003884683709325</c:v>
                </c:pt>
                <c:pt idx="537">
                  <c:v>3.1902575938787399</c:v>
                </c:pt>
                <c:pt idx="538">
                  <c:v>3.1905747646669935</c:v>
                </c:pt>
                <c:pt idx="539">
                  <c:v>3.2074154404291146</c:v>
                </c:pt>
                <c:pt idx="540">
                  <c:v>3.1417810018276398</c:v>
                </c:pt>
                <c:pt idx="541">
                  <c:v>3.129587927613354</c:v>
                </c:pt>
                <c:pt idx="542">
                  <c:v>3.1534757996969693</c:v>
                </c:pt>
                <c:pt idx="543">
                  <c:v>3.2211833147196143</c:v>
                </c:pt>
                <c:pt idx="544">
                  <c:v>3.2051735999702915</c:v>
                </c:pt>
                <c:pt idx="545">
                  <c:v>3.1605147436726302</c:v>
                </c:pt>
                <c:pt idx="546">
                  <c:v>3.1620552875773078</c:v>
                </c:pt>
                <c:pt idx="547">
                  <c:v>3.1339901176304767</c:v>
                </c:pt>
                <c:pt idx="548">
                  <c:v>3.1986876201202752</c:v>
                </c:pt>
                <c:pt idx="549">
                  <c:v>3.1871370582631102</c:v>
                </c:pt>
                <c:pt idx="550">
                  <c:v>3.1751128032323415</c:v>
                </c:pt>
                <c:pt idx="551">
                  <c:v>3.1287767041484886</c:v>
                </c:pt>
                <c:pt idx="552">
                  <c:v>3.1579382584256921</c:v>
                </c:pt>
                <c:pt idx="553">
                  <c:v>3.2431397049062269</c:v>
                </c:pt>
                <c:pt idx="554">
                  <c:v>3.1299969034131125</c:v>
                </c:pt>
                <c:pt idx="555">
                  <c:v>3.1800899152532875</c:v>
                </c:pt>
                <c:pt idx="556">
                  <c:v>3.1910678141363653</c:v>
                </c:pt>
                <c:pt idx="557">
                  <c:v>3.1892943418086421</c:v>
                </c:pt>
                <c:pt idx="558">
                  <c:v>3.1249145715117934</c:v>
                </c:pt>
                <c:pt idx="559">
                  <c:v>3.1295083551589049</c:v>
                </c:pt>
                <c:pt idx="560">
                  <c:v>3.1309919118702361</c:v>
                </c:pt>
                <c:pt idx="561">
                  <c:v>3.1068483759719725</c:v>
                </c:pt>
                <c:pt idx="562">
                  <c:v>3.2373746390753499</c:v>
                </c:pt>
                <c:pt idx="563">
                  <c:v>3.2430880610000137</c:v>
                </c:pt>
                <c:pt idx="564">
                  <c:v>3.318113649573657</c:v>
                </c:pt>
                <c:pt idx="565">
                  <c:v>3.3441948004348636</c:v>
                </c:pt>
                <c:pt idx="566">
                  <c:v>3.3085137582225621</c:v>
                </c:pt>
                <c:pt idx="567">
                  <c:v>3.3320604521730965</c:v>
                </c:pt>
                <c:pt idx="568">
                  <c:v>3.3491330702356827</c:v>
                </c:pt>
                <c:pt idx="569">
                  <c:v>3.3554441191145776</c:v>
                </c:pt>
                <c:pt idx="570">
                  <c:v>3.4294731830924126</c:v>
                </c:pt>
                <c:pt idx="571">
                  <c:v>3.4318603133967494</c:v>
                </c:pt>
                <c:pt idx="572">
                  <c:v>3.4369933892886375</c:v>
                </c:pt>
                <c:pt idx="573">
                  <c:v>3.435375392110247</c:v>
                </c:pt>
                <c:pt idx="574">
                  <c:v>3.5545285356586653</c:v>
                </c:pt>
                <c:pt idx="575">
                  <c:v>3.5570663020634852</c:v>
                </c:pt>
                <c:pt idx="576">
                  <c:v>3.5737449290888383</c:v>
                </c:pt>
                <c:pt idx="577">
                  <c:v>3.5972626450781884</c:v>
                </c:pt>
                <c:pt idx="578">
                  <c:v>3.6394332766547324</c:v>
                </c:pt>
                <c:pt idx="579">
                  <c:v>3.65838658852031</c:v>
                </c:pt>
                <c:pt idx="580">
                  <c:v>3.6055921941104643</c:v>
                </c:pt>
                <c:pt idx="581">
                  <c:v>3.6742157480236739</c:v>
                </c:pt>
                <c:pt idx="582">
                  <c:v>3.72623938696655</c:v>
                </c:pt>
                <c:pt idx="583">
                  <c:v>3.6767184601944178</c:v>
                </c:pt>
                <c:pt idx="584">
                  <c:v>3.7584691262986936</c:v>
                </c:pt>
                <c:pt idx="585">
                  <c:v>3.8383996194972796</c:v>
                </c:pt>
                <c:pt idx="586">
                  <c:v>3.8762381934962975</c:v>
                </c:pt>
                <c:pt idx="587">
                  <c:v>3.852057497171621</c:v>
                </c:pt>
                <c:pt idx="588">
                  <c:v>3.7795053155777891</c:v>
                </c:pt>
                <c:pt idx="589">
                  <c:v>3.7042044056459416</c:v>
                </c:pt>
                <c:pt idx="590">
                  <c:v>3.6427154183984229</c:v>
                </c:pt>
                <c:pt idx="591">
                  <c:v>3.6201738332857207</c:v>
                </c:pt>
                <c:pt idx="592">
                  <c:v>3.5902462498363974</c:v>
                </c:pt>
                <c:pt idx="593">
                  <c:v>3.6039283698389384</c:v>
                </c:pt>
                <c:pt idx="594">
                  <c:v>3.6107890632262869</c:v>
                </c:pt>
                <c:pt idx="595">
                  <c:v>3.5926290976020612</c:v>
                </c:pt>
                <c:pt idx="596">
                  <c:v>3.5383643872185293</c:v>
                </c:pt>
                <c:pt idx="597">
                  <c:v>3.5757527045726993</c:v>
                </c:pt>
                <c:pt idx="598">
                  <c:v>3.5039741737915486</c:v>
                </c:pt>
                <c:pt idx="599">
                  <c:v>3.5623225584152358</c:v>
                </c:pt>
                <c:pt idx="600">
                  <c:v>3.5377154493375018</c:v>
                </c:pt>
                <c:pt idx="601">
                  <c:v>3.5624726077477007</c:v>
                </c:pt>
                <c:pt idx="602">
                  <c:v>3.5693137816808784</c:v>
                </c:pt>
                <c:pt idx="603">
                  <c:v>3.5080530747804319</c:v>
                </c:pt>
                <c:pt idx="604">
                  <c:v>3.5248324006543617</c:v>
                </c:pt>
                <c:pt idx="605">
                  <c:v>3.5446849935170941</c:v>
                </c:pt>
                <c:pt idx="606">
                  <c:v>3.5408331930507497</c:v>
                </c:pt>
                <c:pt idx="607">
                  <c:v>3.570923612829632</c:v>
                </c:pt>
                <c:pt idx="608">
                  <c:v>3.5457292748188634</c:v>
                </c:pt>
                <c:pt idx="609">
                  <c:v>3.5081400840231671</c:v>
                </c:pt>
                <c:pt idx="610">
                  <c:v>3.5258575175485469</c:v>
                </c:pt>
                <c:pt idx="611">
                  <c:v>3.5119965823016521</c:v>
                </c:pt>
                <c:pt idx="612">
                  <c:v>3.5635484388985792</c:v>
                </c:pt>
                <c:pt idx="613">
                  <c:v>3.5177247787303449</c:v>
                </c:pt>
                <c:pt idx="614">
                  <c:v>3.4865951628913514</c:v>
                </c:pt>
                <c:pt idx="615">
                  <c:v>3.4605180368462278</c:v>
                </c:pt>
                <c:pt idx="616">
                  <c:v>3.3884441911030971</c:v>
                </c:pt>
                <c:pt idx="617">
                  <c:v>3.3991364000218245</c:v>
                </c:pt>
                <c:pt idx="618">
                  <c:v>3.3689177707611853</c:v>
                </c:pt>
                <c:pt idx="619">
                  <c:v>3.324782418727168</c:v>
                </c:pt>
                <c:pt idx="620">
                  <c:v>3.3081477567498414</c:v>
                </c:pt>
                <c:pt idx="621">
                  <c:v>3.2890125841186477</c:v>
                </c:pt>
                <c:pt idx="622">
                  <c:v>3.2419204247593445</c:v>
                </c:pt>
                <c:pt idx="623">
                  <c:v>3.2882652902555942</c:v>
                </c:pt>
                <c:pt idx="624">
                  <c:v>3.2866002899861888</c:v>
                </c:pt>
                <c:pt idx="625">
                  <c:v>3.3224842078302861</c:v>
                </c:pt>
                <c:pt idx="626">
                  <c:v>3.318816144955246</c:v>
                </c:pt>
                <c:pt idx="627">
                  <c:v>3.4293970240598184</c:v>
                </c:pt>
                <c:pt idx="628">
                  <c:v>3.4148437914137708</c:v>
                </c:pt>
                <c:pt idx="629">
                  <c:v>3.4479157035419989</c:v>
                </c:pt>
                <c:pt idx="630">
                  <c:v>3.464653074273663</c:v>
                </c:pt>
                <c:pt idx="631">
                  <c:v>3.5397665460987446</c:v>
                </c:pt>
                <c:pt idx="632">
                  <c:v>3.4894332252458153</c:v>
                </c:pt>
                <c:pt idx="633">
                  <c:v>3.5141518043059428</c:v>
                </c:pt>
                <c:pt idx="634">
                  <c:v>3.4509937441741121</c:v>
                </c:pt>
                <c:pt idx="635">
                  <c:v>3.4358329240635022</c:v>
                </c:pt>
                <c:pt idx="636">
                  <c:v>3.4769013645540006</c:v>
                </c:pt>
                <c:pt idx="637">
                  <c:v>3.5280872904090641</c:v>
                </c:pt>
                <c:pt idx="638">
                  <c:v>3.57619974656963</c:v>
                </c:pt>
                <c:pt idx="639">
                  <c:v>3.5533107359536276</c:v>
                </c:pt>
                <c:pt idx="640">
                  <c:v>3.5234514089384126</c:v>
                </c:pt>
                <c:pt idx="641">
                  <c:v>3.4674972078476505</c:v>
                </c:pt>
                <c:pt idx="642">
                  <c:v>3.4555662524145077</c:v>
                </c:pt>
                <c:pt idx="643">
                  <c:v>3.480934889637016</c:v>
                </c:pt>
                <c:pt idx="644">
                  <c:v>3.4623811702466947</c:v>
                </c:pt>
                <c:pt idx="645">
                  <c:v>3.5019219908088695</c:v>
                </c:pt>
                <c:pt idx="646">
                  <c:v>3.4753346568195127</c:v>
                </c:pt>
                <c:pt idx="647">
                  <c:v>3.4972700735280591</c:v>
                </c:pt>
                <c:pt idx="648">
                  <c:v>3.5342200210911505</c:v>
                </c:pt>
                <c:pt idx="649">
                  <c:v>3.5272900963034459</c:v>
                </c:pt>
                <c:pt idx="650">
                  <c:v>3.5734359129960001</c:v>
                </c:pt>
                <c:pt idx="651">
                  <c:v>3.5421614839312139</c:v>
                </c:pt>
                <c:pt idx="652">
                  <c:v>3.4938217402496576</c:v>
                </c:pt>
                <c:pt idx="653">
                  <c:v>3.4688754598289027</c:v>
                </c:pt>
                <c:pt idx="654">
                  <c:v>3.4439850626147446</c:v>
                </c:pt>
                <c:pt idx="655">
                  <c:v>3.4918497558003625</c:v>
                </c:pt>
                <c:pt idx="656">
                  <c:v>3.4561462461340038</c:v>
                </c:pt>
                <c:pt idx="657">
                  <c:v>3.4667059759380794</c:v>
                </c:pt>
                <c:pt idx="658">
                  <c:v>3.4331560983728</c:v>
                </c:pt>
                <c:pt idx="659">
                  <c:v>3.4073887213604346</c:v>
                </c:pt>
                <c:pt idx="660">
                  <c:v>3.3974417854017709</c:v>
                </c:pt>
                <c:pt idx="661">
                  <c:v>3.4034660852506877</c:v>
                </c:pt>
                <c:pt idx="662">
                  <c:v>3.4160621575729997</c:v>
                </c:pt>
                <c:pt idx="663">
                  <c:v>3.3980723783937328</c:v>
                </c:pt>
                <c:pt idx="664">
                  <c:v>3.4284898250422917</c:v>
                </c:pt>
                <c:pt idx="665">
                  <c:v>3.4277680739043337</c:v>
                </c:pt>
                <c:pt idx="666">
                  <c:v>3.4485088329061142</c:v>
                </c:pt>
                <c:pt idx="667">
                  <c:v>3.5018222729493798</c:v>
                </c:pt>
                <c:pt idx="668">
                  <c:v>3.5324001466748016</c:v>
                </c:pt>
                <c:pt idx="669">
                  <c:v>3.5162144020997701</c:v>
                </c:pt>
                <c:pt idx="670">
                  <c:v>3.6420995408059103</c:v>
                </c:pt>
                <c:pt idx="671">
                  <c:v>3.5689228788567466</c:v>
                </c:pt>
                <c:pt idx="672">
                  <c:v>3.5904351958911129</c:v>
                </c:pt>
                <c:pt idx="673">
                  <c:v>3.5357320034908883</c:v>
                </c:pt>
                <c:pt idx="674">
                  <c:v>3.5167010755760515</c:v>
                </c:pt>
                <c:pt idx="675">
                  <c:v>3.6183922602593794</c:v>
                </c:pt>
                <c:pt idx="676">
                  <c:v>3.6690463599613983</c:v>
                </c:pt>
                <c:pt idx="677">
                  <c:v>3.6838701470589874</c:v>
                </c:pt>
                <c:pt idx="678">
                  <c:v>3.6790382469944909</c:v>
                </c:pt>
                <c:pt idx="679">
                  <c:v>3.6806272413314192</c:v>
                </c:pt>
                <c:pt idx="680">
                  <c:v>3.6001623037922044</c:v>
                </c:pt>
                <c:pt idx="681">
                  <c:v>3.6559957913215264</c:v>
                </c:pt>
                <c:pt idx="682">
                  <c:v>3.7282149497189336</c:v>
                </c:pt>
                <c:pt idx="683">
                  <c:v>3.7155183305294743</c:v>
                </c:pt>
                <c:pt idx="684">
                  <c:v>3.6957781281341626</c:v>
                </c:pt>
                <c:pt idx="685">
                  <c:v>3.6680890035783609</c:v>
                </c:pt>
                <c:pt idx="686">
                  <c:v>3.7177010920841957</c:v>
                </c:pt>
                <c:pt idx="687">
                  <c:v>3.6521064823184122</c:v>
                </c:pt>
                <c:pt idx="688">
                  <c:v>3.737563907702881</c:v>
                </c:pt>
                <c:pt idx="689">
                  <c:v>3.6685592430615634</c:v>
                </c:pt>
                <c:pt idx="690">
                  <c:v>3.6068634756588263</c:v>
                </c:pt>
                <c:pt idx="691">
                  <c:v>3.5597545470173237</c:v>
                </c:pt>
                <c:pt idx="692">
                  <c:v>3.6060501461971377</c:v>
                </c:pt>
                <c:pt idx="693">
                  <c:v>3.593798663996814</c:v>
                </c:pt>
                <c:pt idx="694">
                  <c:v>3.6136894958373693</c:v>
                </c:pt>
                <c:pt idx="695">
                  <c:v>3.5772224996039883</c:v>
                </c:pt>
                <c:pt idx="696">
                  <c:v>3.5054232943253458</c:v>
                </c:pt>
                <c:pt idx="697">
                  <c:v>3.4949947231911422</c:v>
                </c:pt>
                <c:pt idx="698">
                  <c:v>3.4624837840915421</c:v>
                </c:pt>
                <c:pt idx="699">
                  <c:v>3.4550947562908063</c:v>
                </c:pt>
                <c:pt idx="700">
                  <c:v>3.4715132761140941</c:v>
                </c:pt>
                <c:pt idx="701">
                  <c:v>3.4169829156756268</c:v>
                </c:pt>
                <c:pt idx="702">
                  <c:v>3.4001834177669812</c:v>
                </c:pt>
                <c:pt idx="703">
                  <c:v>3.5257444351489795</c:v>
                </c:pt>
                <c:pt idx="704">
                  <c:v>3.5274144110053989</c:v>
                </c:pt>
                <c:pt idx="705">
                  <c:v>3.6260382423456106</c:v>
                </c:pt>
                <c:pt idx="706">
                  <c:v>3.5366935211251604</c:v>
                </c:pt>
                <c:pt idx="707">
                  <c:v>3.5199849134938015</c:v>
                </c:pt>
                <c:pt idx="708">
                  <c:v>3.5710566679553235</c:v>
                </c:pt>
                <c:pt idx="709">
                  <c:v>3.5342623296953271</c:v>
                </c:pt>
                <c:pt idx="710">
                  <c:v>3.5481352807158051</c:v>
                </c:pt>
                <c:pt idx="711">
                  <c:v>3.5990816938286856</c:v>
                </c:pt>
                <c:pt idx="712">
                  <c:v>3.5354835745107724</c:v>
                </c:pt>
                <c:pt idx="713">
                  <c:v>3.5706970204021418</c:v>
                </c:pt>
                <c:pt idx="714">
                  <c:v>3.6044239373383293</c:v>
                </c:pt>
                <c:pt idx="715">
                  <c:v>3.5491949966904275</c:v>
                </c:pt>
                <c:pt idx="716">
                  <c:v>3.5847474761824847</c:v>
                </c:pt>
                <c:pt idx="717">
                  <c:v>3.7118515084536257</c:v>
                </c:pt>
                <c:pt idx="718">
                  <c:v>3.6812531331986817</c:v>
                </c:pt>
                <c:pt idx="719">
                  <c:v>3.7911031612030026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Output!$M$12:$M$731</c:f>
              <c:numCache>
                <c:formatCode>General</c:formatCode>
                <c:ptCount val="720"/>
                <c:pt idx="0">
                  <c:v>0.94165299999999996</c:v>
                </c:pt>
                <c:pt idx="1">
                  <c:v>0.92461705778524905</c:v>
                </c:pt>
                <c:pt idx="2">
                  <c:v>0.91639299655493967</c:v>
                </c:pt>
                <c:pt idx="3">
                  <c:v>0.91051341966949062</c:v>
                </c:pt>
                <c:pt idx="4">
                  <c:v>0.89296983548641706</c:v>
                </c:pt>
                <c:pt idx="5">
                  <c:v>0.88341087319600642</c:v>
                </c:pt>
                <c:pt idx="6">
                  <c:v>0.86901623427161123</c:v>
                </c:pt>
                <c:pt idx="7">
                  <c:v>0.8442924552433424</c:v>
                </c:pt>
                <c:pt idx="8">
                  <c:v>0.83455020990086282</c:v>
                </c:pt>
                <c:pt idx="9">
                  <c:v>0.85433068975504611</c:v>
                </c:pt>
                <c:pt idx="10">
                  <c:v>0.84503097917155789</c:v>
                </c:pt>
                <c:pt idx="11">
                  <c:v>0.83083941817934848</c:v>
                </c:pt>
                <c:pt idx="12">
                  <c:v>0.83380737212207934</c:v>
                </c:pt>
                <c:pt idx="13">
                  <c:v>0.83401545044436398</c:v>
                </c:pt>
                <c:pt idx="14">
                  <c:v>0.82532653797949995</c:v>
                </c:pt>
                <c:pt idx="15">
                  <c:v>0.81440160340900725</c:v>
                </c:pt>
                <c:pt idx="16">
                  <c:v>0.80009336111846363</c:v>
                </c:pt>
                <c:pt idx="17">
                  <c:v>0.78844977655514381</c:v>
                </c:pt>
                <c:pt idx="18">
                  <c:v>0.79918588190744888</c:v>
                </c:pt>
                <c:pt idx="19">
                  <c:v>0.79429177069687773</c:v>
                </c:pt>
                <c:pt idx="20">
                  <c:v>0.78382978942831993</c:v>
                </c:pt>
                <c:pt idx="21">
                  <c:v>0.76269602589340801</c:v>
                </c:pt>
                <c:pt idx="22">
                  <c:v>0.76939578165104616</c:v>
                </c:pt>
                <c:pt idx="23">
                  <c:v>0.77124024248822864</c:v>
                </c:pt>
                <c:pt idx="24">
                  <c:v>0.75231694495349521</c:v>
                </c:pt>
                <c:pt idx="25">
                  <c:v>0.75528293844866456</c:v>
                </c:pt>
                <c:pt idx="26">
                  <c:v>0.73370961950903024</c:v>
                </c:pt>
                <c:pt idx="27">
                  <c:v>0.74130842225114568</c:v>
                </c:pt>
                <c:pt idx="28">
                  <c:v>0.73871783914196776</c:v>
                </c:pt>
                <c:pt idx="29">
                  <c:v>0.74054099301831744</c:v>
                </c:pt>
                <c:pt idx="30">
                  <c:v>0.7284017405547607</c:v>
                </c:pt>
                <c:pt idx="31">
                  <c:v>0.72535966268070418</c:v>
                </c:pt>
                <c:pt idx="32">
                  <c:v>0.70586145728332383</c:v>
                </c:pt>
                <c:pt idx="33">
                  <c:v>0.68520132016334701</c:v>
                </c:pt>
                <c:pt idx="34">
                  <c:v>0.68111726479396284</c:v>
                </c:pt>
                <c:pt idx="35">
                  <c:v>0.66827256032564597</c:v>
                </c:pt>
                <c:pt idx="36">
                  <c:v>0.67665922299558579</c:v>
                </c:pt>
                <c:pt idx="37">
                  <c:v>0.67292180720173922</c:v>
                </c:pt>
                <c:pt idx="38">
                  <c:v>0.6619596497810003</c:v>
                </c:pt>
                <c:pt idx="39">
                  <c:v>0.65071644394535233</c:v>
                </c:pt>
                <c:pt idx="40">
                  <c:v>0.65693321898277468</c:v>
                </c:pt>
                <c:pt idx="41">
                  <c:v>0.66300513645718007</c:v>
                </c:pt>
                <c:pt idx="42">
                  <c:v>0.66194489266795875</c:v>
                </c:pt>
                <c:pt idx="43">
                  <c:v>0.66107435039195273</c:v>
                </c:pt>
                <c:pt idx="44">
                  <c:v>0.65167512600223598</c:v>
                </c:pt>
                <c:pt idx="45">
                  <c:v>0.6581603045692358</c:v>
                </c:pt>
                <c:pt idx="46">
                  <c:v>0.65845548943600352</c:v>
                </c:pt>
                <c:pt idx="47">
                  <c:v>0.6630079992744462</c:v>
                </c:pt>
                <c:pt idx="48">
                  <c:v>0.65542459559136579</c:v>
                </c:pt>
                <c:pt idx="49">
                  <c:v>0.67004993982908501</c:v>
                </c:pt>
                <c:pt idx="50">
                  <c:v>0.64771864991251205</c:v>
                </c:pt>
                <c:pt idx="51">
                  <c:v>0.64263941009415526</c:v>
                </c:pt>
                <c:pt idx="52">
                  <c:v>0.65047416059900842</c:v>
                </c:pt>
                <c:pt idx="53">
                  <c:v>0.64507459584977389</c:v>
                </c:pt>
                <c:pt idx="54">
                  <c:v>0.6359144707972344</c:v>
                </c:pt>
                <c:pt idx="55">
                  <c:v>0.64019007427771812</c:v>
                </c:pt>
                <c:pt idx="56">
                  <c:v>0.64704546503357208</c:v>
                </c:pt>
                <c:pt idx="57">
                  <c:v>0.65572171115348277</c:v>
                </c:pt>
                <c:pt idx="58">
                  <c:v>0.64288132685909027</c:v>
                </c:pt>
                <c:pt idx="59">
                  <c:v>0.65158584515541096</c:v>
                </c:pt>
                <c:pt idx="60">
                  <c:v>0.64884870428597963</c:v>
                </c:pt>
                <c:pt idx="61">
                  <c:v>0.6315803059374161</c:v>
                </c:pt>
                <c:pt idx="62">
                  <c:v>0.62990012649381888</c:v>
                </c:pt>
                <c:pt idx="63">
                  <c:v>0.62703608136296318</c:v>
                </c:pt>
                <c:pt idx="64">
                  <c:v>0.62220556283559614</c:v>
                </c:pt>
                <c:pt idx="65">
                  <c:v>0.61723420285139319</c:v>
                </c:pt>
                <c:pt idx="66">
                  <c:v>0.62837543074813884</c:v>
                </c:pt>
                <c:pt idx="67">
                  <c:v>0.6224734992674823</c:v>
                </c:pt>
                <c:pt idx="68">
                  <c:v>0.63344068681918864</c:v>
                </c:pt>
                <c:pt idx="69">
                  <c:v>0.6288071580720479</c:v>
                </c:pt>
                <c:pt idx="70">
                  <c:v>0.62390305389856315</c:v>
                </c:pt>
                <c:pt idx="71">
                  <c:v>0.62273688044970998</c:v>
                </c:pt>
                <c:pt idx="72">
                  <c:v>0.63451167764480132</c:v>
                </c:pt>
                <c:pt idx="73">
                  <c:v>0.64421696640699588</c:v>
                </c:pt>
                <c:pt idx="74">
                  <c:v>0.64770425917462338</c:v>
                </c:pt>
                <c:pt idx="75">
                  <c:v>0.63109017539606127</c:v>
                </c:pt>
                <c:pt idx="76">
                  <c:v>0.63994128778687387</c:v>
                </c:pt>
                <c:pt idx="77">
                  <c:v>0.62343951458608915</c:v>
                </c:pt>
                <c:pt idx="78">
                  <c:v>0.61421000883300958</c:v>
                </c:pt>
                <c:pt idx="79">
                  <c:v>0.62792796159603692</c:v>
                </c:pt>
                <c:pt idx="80">
                  <c:v>0.62536499759746667</c:v>
                </c:pt>
                <c:pt idx="81">
                  <c:v>0.62771336511324838</c:v>
                </c:pt>
                <c:pt idx="82">
                  <c:v>0.61880345201499809</c:v>
                </c:pt>
                <c:pt idx="83">
                  <c:v>0.62320701358952624</c:v>
                </c:pt>
                <c:pt idx="84">
                  <c:v>0.62654665003216881</c:v>
                </c:pt>
                <c:pt idx="85">
                  <c:v>0.63176962300979389</c:v>
                </c:pt>
                <c:pt idx="86">
                  <c:v>0.62040123300538697</c:v>
                </c:pt>
                <c:pt idx="87">
                  <c:v>0.62171656575819723</c:v>
                </c:pt>
                <c:pt idx="88">
                  <c:v>0.63073903095138406</c:v>
                </c:pt>
                <c:pt idx="89">
                  <c:v>0.62763610401321202</c:v>
                </c:pt>
                <c:pt idx="90">
                  <c:v>0.60711861488493291</c:v>
                </c:pt>
                <c:pt idx="91">
                  <c:v>0.6178031687328347</c:v>
                </c:pt>
                <c:pt idx="92">
                  <c:v>0.62016017791032862</c:v>
                </c:pt>
                <c:pt idx="93">
                  <c:v>0.62818325569926314</c:v>
                </c:pt>
                <c:pt idx="94">
                  <c:v>0.62644429579941707</c:v>
                </c:pt>
                <c:pt idx="95">
                  <c:v>0.61013057008444849</c:v>
                </c:pt>
                <c:pt idx="96">
                  <c:v>0.60443442877521358</c:v>
                </c:pt>
                <c:pt idx="97">
                  <c:v>0.61079413385261572</c:v>
                </c:pt>
                <c:pt idx="98">
                  <c:v>0.61132842712686608</c:v>
                </c:pt>
                <c:pt idx="99">
                  <c:v>0.60643503910099039</c:v>
                </c:pt>
                <c:pt idx="100">
                  <c:v>0.59660412352475212</c:v>
                </c:pt>
                <c:pt idx="101">
                  <c:v>0.59659347093438764</c:v>
                </c:pt>
                <c:pt idx="102">
                  <c:v>0.59630326687820134</c:v>
                </c:pt>
                <c:pt idx="103">
                  <c:v>0.59845260206024309</c:v>
                </c:pt>
                <c:pt idx="104">
                  <c:v>0.5994642260740316</c:v>
                </c:pt>
                <c:pt idx="105">
                  <c:v>0.59847781223801666</c:v>
                </c:pt>
                <c:pt idx="106">
                  <c:v>0.59864040766540616</c:v>
                </c:pt>
                <c:pt idx="107">
                  <c:v>0.61096700372214052</c:v>
                </c:pt>
                <c:pt idx="108">
                  <c:v>0.6079683385715362</c:v>
                </c:pt>
                <c:pt idx="109">
                  <c:v>0.61492100132291538</c:v>
                </c:pt>
                <c:pt idx="110">
                  <c:v>0.60812177951197</c:v>
                </c:pt>
                <c:pt idx="111">
                  <c:v>0.60385843919722704</c:v>
                </c:pt>
                <c:pt idx="112">
                  <c:v>0.59716961750482878</c:v>
                </c:pt>
                <c:pt idx="113">
                  <c:v>0.59968495903314101</c:v>
                </c:pt>
                <c:pt idx="114">
                  <c:v>0.58342075119882797</c:v>
                </c:pt>
                <c:pt idx="115">
                  <c:v>0.58340210907534917</c:v>
                </c:pt>
                <c:pt idx="116">
                  <c:v>0.57726870119510565</c:v>
                </c:pt>
                <c:pt idx="117">
                  <c:v>0.59044293032705786</c:v>
                </c:pt>
                <c:pt idx="118">
                  <c:v>0.59559118203453953</c:v>
                </c:pt>
                <c:pt idx="119">
                  <c:v>0.58436662979228104</c:v>
                </c:pt>
                <c:pt idx="120">
                  <c:v>0.59805561030556875</c:v>
                </c:pt>
                <c:pt idx="121">
                  <c:v>0.5916963897149341</c:v>
                </c:pt>
                <c:pt idx="122">
                  <c:v>0.58609713107040717</c:v>
                </c:pt>
                <c:pt idx="123">
                  <c:v>0.57852791899962508</c:v>
                </c:pt>
                <c:pt idx="124">
                  <c:v>0.57390233025374604</c:v>
                </c:pt>
                <c:pt idx="125">
                  <c:v>0.55818780227091969</c:v>
                </c:pt>
                <c:pt idx="126">
                  <c:v>0.56085161765192348</c:v>
                </c:pt>
                <c:pt idx="127">
                  <c:v>0.55841055533552841</c:v>
                </c:pt>
                <c:pt idx="128">
                  <c:v>0.56709262097018132</c:v>
                </c:pt>
                <c:pt idx="129">
                  <c:v>0.56693486211129251</c:v>
                </c:pt>
                <c:pt idx="130">
                  <c:v>0.56811980663094919</c:v>
                </c:pt>
                <c:pt idx="131">
                  <c:v>0.55482236843775101</c:v>
                </c:pt>
                <c:pt idx="132">
                  <c:v>0.55757236973704016</c:v>
                </c:pt>
                <c:pt idx="133">
                  <c:v>0.54185786631120991</c:v>
                </c:pt>
                <c:pt idx="134">
                  <c:v>0.52727808815517041</c:v>
                </c:pt>
                <c:pt idx="135">
                  <c:v>0.52516579596814583</c:v>
                </c:pt>
                <c:pt idx="136">
                  <c:v>0.52791651987814703</c:v>
                </c:pt>
                <c:pt idx="137">
                  <c:v>0.53384947370019376</c:v>
                </c:pt>
                <c:pt idx="138">
                  <c:v>0.52402493076256562</c:v>
                </c:pt>
                <c:pt idx="139">
                  <c:v>0.51817557010566739</c:v>
                </c:pt>
                <c:pt idx="140">
                  <c:v>0.51508750856049756</c:v>
                </c:pt>
                <c:pt idx="141">
                  <c:v>0.51018116921981149</c:v>
                </c:pt>
                <c:pt idx="142">
                  <c:v>0.51420895971326064</c:v>
                </c:pt>
                <c:pt idx="143">
                  <c:v>0.51176975021853821</c:v>
                </c:pt>
                <c:pt idx="144">
                  <c:v>0.51322337692897468</c:v>
                </c:pt>
                <c:pt idx="145">
                  <c:v>0.52966991551504339</c:v>
                </c:pt>
                <c:pt idx="146">
                  <c:v>0.52474740864782354</c:v>
                </c:pt>
                <c:pt idx="147">
                  <c:v>0.53327561469120921</c:v>
                </c:pt>
                <c:pt idx="148">
                  <c:v>0.53499861851382968</c:v>
                </c:pt>
                <c:pt idx="149">
                  <c:v>0.51457583705191556</c:v>
                </c:pt>
                <c:pt idx="150">
                  <c:v>0.50761620872297641</c:v>
                </c:pt>
                <c:pt idx="151">
                  <c:v>0.49492600904476863</c:v>
                </c:pt>
                <c:pt idx="152">
                  <c:v>0.49357901920971992</c:v>
                </c:pt>
                <c:pt idx="153">
                  <c:v>0.49763165790444469</c:v>
                </c:pt>
                <c:pt idx="154">
                  <c:v>0.49039171249384461</c:v>
                </c:pt>
                <c:pt idx="155">
                  <c:v>0.49306525796882561</c:v>
                </c:pt>
                <c:pt idx="156">
                  <c:v>0.49627822503386737</c:v>
                </c:pt>
                <c:pt idx="157">
                  <c:v>0.49960388036846787</c:v>
                </c:pt>
                <c:pt idx="158">
                  <c:v>0.48672128218579253</c:v>
                </c:pt>
                <c:pt idx="159">
                  <c:v>0.48863600459903694</c:v>
                </c:pt>
                <c:pt idx="160">
                  <c:v>0.48699434113631429</c:v>
                </c:pt>
                <c:pt idx="161">
                  <c:v>0.48026226950118039</c:v>
                </c:pt>
                <c:pt idx="162">
                  <c:v>0.47290807972481735</c:v>
                </c:pt>
                <c:pt idx="163">
                  <c:v>0.46684321185310079</c:v>
                </c:pt>
                <c:pt idx="164">
                  <c:v>0.47096148695535234</c:v>
                </c:pt>
                <c:pt idx="165">
                  <c:v>0.46785848943476449</c:v>
                </c:pt>
                <c:pt idx="166">
                  <c:v>0.47124262201222061</c:v>
                </c:pt>
                <c:pt idx="167">
                  <c:v>0.46383405190939159</c:v>
                </c:pt>
                <c:pt idx="168">
                  <c:v>0.46007572898604882</c:v>
                </c:pt>
                <c:pt idx="169">
                  <c:v>0.45531784572470702</c:v>
                </c:pt>
                <c:pt idx="170">
                  <c:v>0.46162156231215973</c:v>
                </c:pt>
                <c:pt idx="171">
                  <c:v>0.45411625239263242</c:v>
                </c:pt>
                <c:pt idx="172">
                  <c:v>0.46555927475891418</c:v>
                </c:pt>
                <c:pt idx="173">
                  <c:v>0.45423638790358872</c:v>
                </c:pt>
                <c:pt idx="174">
                  <c:v>0.45011756967220107</c:v>
                </c:pt>
                <c:pt idx="175">
                  <c:v>0.45344465873006962</c:v>
                </c:pt>
                <c:pt idx="176">
                  <c:v>0.45476062100792208</c:v>
                </c:pt>
                <c:pt idx="177">
                  <c:v>0.44608376359791635</c:v>
                </c:pt>
                <c:pt idx="178">
                  <c:v>0.43945042042388088</c:v>
                </c:pt>
                <c:pt idx="179">
                  <c:v>0.44267076701905966</c:v>
                </c:pt>
                <c:pt idx="180">
                  <c:v>0.44898222156164258</c:v>
                </c:pt>
                <c:pt idx="181">
                  <c:v>0.44109281919009219</c:v>
                </c:pt>
                <c:pt idx="182">
                  <c:v>0.4428294876782391</c:v>
                </c:pt>
                <c:pt idx="183">
                  <c:v>0.46013398829489005</c:v>
                </c:pt>
                <c:pt idx="184">
                  <c:v>0.45680932278351249</c:v>
                </c:pt>
                <c:pt idx="185">
                  <c:v>0.45757183253301276</c:v>
                </c:pt>
                <c:pt idx="186">
                  <c:v>0.45446174495318176</c:v>
                </c:pt>
                <c:pt idx="187">
                  <c:v>0.44598892745242547</c:v>
                </c:pt>
                <c:pt idx="188">
                  <c:v>0.43906340521088338</c:v>
                </c:pt>
                <c:pt idx="189">
                  <c:v>0.44090731949530471</c:v>
                </c:pt>
                <c:pt idx="190">
                  <c:v>0.43758231326999869</c:v>
                </c:pt>
                <c:pt idx="191">
                  <c:v>0.43722860784315526</c:v>
                </c:pt>
                <c:pt idx="192">
                  <c:v>0.43522784607479587</c:v>
                </c:pt>
                <c:pt idx="193">
                  <c:v>0.43761383283683919</c:v>
                </c:pt>
                <c:pt idx="194">
                  <c:v>0.43006401885741552</c:v>
                </c:pt>
                <c:pt idx="195">
                  <c:v>0.4179316611563253</c:v>
                </c:pt>
                <c:pt idx="196">
                  <c:v>0.42540728607304679</c:v>
                </c:pt>
                <c:pt idx="197">
                  <c:v>0.42351562255036124</c:v>
                </c:pt>
                <c:pt idx="198">
                  <c:v>0.42194136705054164</c:v>
                </c:pt>
                <c:pt idx="199">
                  <c:v>0.41497520679114153</c:v>
                </c:pt>
                <c:pt idx="200">
                  <c:v>0.42408605343185379</c:v>
                </c:pt>
                <c:pt idx="201">
                  <c:v>0.43368868745736</c:v>
                </c:pt>
                <c:pt idx="202">
                  <c:v>0.44104207910823812</c:v>
                </c:pt>
                <c:pt idx="203">
                  <c:v>0.43570795553329433</c:v>
                </c:pt>
                <c:pt idx="204">
                  <c:v>0.43196144664523317</c:v>
                </c:pt>
                <c:pt idx="205">
                  <c:v>0.43630253845642053</c:v>
                </c:pt>
                <c:pt idx="206">
                  <c:v>0.42124057578145918</c:v>
                </c:pt>
                <c:pt idx="207">
                  <c:v>0.4301478661180731</c:v>
                </c:pt>
                <c:pt idx="208">
                  <c:v>0.4463423594843956</c:v>
                </c:pt>
                <c:pt idx="209">
                  <c:v>0.45642488893658273</c:v>
                </c:pt>
                <c:pt idx="210">
                  <c:v>0.45652064085405586</c:v>
                </c:pt>
                <c:pt idx="211">
                  <c:v>0.44802007151786721</c:v>
                </c:pt>
                <c:pt idx="212">
                  <c:v>0.44044580907129616</c:v>
                </c:pt>
                <c:pt idx="213">
                  <c:v>0.44461060120162232</c:v>
                </c:pt>
                <c:pt idx="214">
                  <c:v>0.44103765036541676</c:v>
                </c:pt>
                <c:pt idx="215">
                  <c:v>0.44275858241311478</c:v>
                </c:pt>
                <c:pt idx="216">
                  <c:v>0.4483627520148456</c:v>
                </c:pt>
                <c:pt idx="217">
                  <c:v>0.44852940012359105</c:v>
                </c:pt>
                <c:pt idx="218">
                  <c:v>0.45205450722344898</c:v>
                </c:pt>
                <c:pt idx="219">
                  <c:v>0.44786931388206619</c:v>
                </c:pt>
                <c:pt idx="220">
                  <c:v>0.4479375114110738</c:v>
                </c:pt>
                <c:pt idx="221">
                  <c:v>0.45624730904548078</c:v>
                </c:pt>
                <c:pt idx="222">
                  <c:v>0.45900662922090363</c:v>
                </c:pt>
                <c:pt idx="223">
                  <c:v>0.45633983064326272</c:v>
                </c:pt>
                <c:pt idx="224">
                  <c:v>0.46287141236697182</c:v>
                </c:pt>
                <c:pt idx="225">
                  <c:v>0.46789119507663463</c:v>
                </c:pt>
                <c:pt idx="226">
                  <c:v>0.46156038230912805</c:v>
                </c:pt>
                <c:pt idx="227">
                  <c:v>0.46566013572574821</c:v>
                </c:pt>
                <c:pt idx="228">
                  <c:v>0.45970802674806338</c:v>
                </c:pt>
                <c:pt idx="229">
                  <c:v>0.45954321355478384</c:v>
                </c:pt>
                <c:pt idx="230">
                  <c:v>0.45064714441046844</c:v>
                </c:pt>
                <c:pt idx="231">
                  <c:v>0.45725923410497427</c:v>
                </c:pt>
                <c:pt idx="232">
                  <c:v>0.46699210663790885</c:v>
                </c:pt>
                <c:pt idx="233">
                  <c:v>0.47307268873700209</c:v>
                </c:pt>
                <c:pt idx="234">
                  <c:v>0.47812276340575693</c:v>
                </c:pt>
                <c:pt idx="235">
                  <c:v>0.47309392625370011</c:v>
                </c:pt>
                <c:pt idx="236">
                  <c:v>0.46869209253129701</c:v>
                </c:pt>
                <c:pt idx="237">
                  <c:v>0.46306107269375146</c:v>
                </c:pt>
                <c:pt idx="238">
                  <c:v>0.45488783608122763</c:v>
                </c:pt>
                <c:pt idx="239">
                  <c:v>0.44982752241161111</c:v>
                </c:pt>
                <c:pt idx="240">
                  <c:v>0.44175633070399156</c:v>
                </c:pt>
                <c:pt idx="241">
                  <c:v>0.43182553457653333</c:v>
                </c:pt>
                <c:pt idx="242">
                  <c:v>0.43375304032287554</c:v>
                </c:pt>
                <c:pt idx="243">
                  <c:v>0.43854991245601932</c:v>
                </c:pt>
                <c:pt idx="244">
                  <c:v>0.43311196104610039</c:v>
                </c:pt>
                <c:pt idx="245">
                  <c:v>0.43372935395094464</c:v>
                </c:pt>
                <c:pt idx="246">
                  <c:v>0.42429119559161971</c:v>
                </c:pt>
                <c:pt idx="247">
                  <c:v>0.42886559497237414</c:v>
                </c:pt>
                <c:pt idx="248">
                  <c:v>0.42663800834882398</c:v>
                </c:pt>
                <c:pt idx="249">
                  <c:v>0.43662115615204178</c:v>
                </c:pt>
                <c:pt idx="250">
                  <c:v>0.44082483827234015</c:v>
                </c:pt>
                <c:pt idx="251">
                  <c:v>0.45674278817420377</c:v>
                </c:pt>
                <c:pt idx="252">
                  <c:v>0.45946901611939817</c:v>
                </c:pt>
                <c:pt idx="253">
                  <c:v>0.46132970458009193</c:v>
                </c:pt>
                <c:pt idx="254">
                  <c:v>0.45862540909599547</c:v>
                </c:pt>
                <c:pt idx="255">
                  <c:v>0.45013045888116238</c:v>
                </c:pt>
                <c:pt idx="256">
                  <c:v>0.43928659530799957</c:v>
                </c:pt>
                <c:pt idx="257">
                  <c:v>0.43680627668621042</c:v>
                </c:pt>
                <c:pt idx="258">
                  <c:v>0.43581197010830974</c:v>
                </c:pt>
                <c:pt idx="259">
                  <c:v>0.42707730163671109</c:v>
                </c:pt>
                <c:pt idx="260">
                  <c:v>0.42976861118692589</c:v>
                </c:pt>
                <c:pt idx="261">
                  <c:v>0.41358264015009866</c:v>
                </c:pt>
                <c:pt idx="262">
                  <c:v>0.40937574397571241</c:v>
                </c:pt>
                <c:pt idx="263">
                  <c:v>0.41372923899543512</c:v>
                </c:pt>
                <c:pt idx="264">
                  <c:v>0.41742855012826652</c:v>
                </c:pt>
                <c:pt idx="265">
                  <c:v>0.4168748565820608</c:v>
                </c:pt>
                <c:pt idx="266">
                  <c:v>0.40929707624105088</c:v>
                </c:pt>
                <c:pt idx="267">
                  <c:v>0.40950509572509564</c:v>
                </c:pt>
                <c:pt idx="268">
                  <c:v>0.40380675128686022</c:v>
                </c:pt>
                <c:pt idx="269">
                  <c:v>0.40219300867572244</c:v>
                </c:pt>
                <c:pt idx="270">
                  <c:v>0.40300688011280339</c:v>
                </c:pt>
                <c:pt idx="271">
                  <c:v>0.39808270988975558</c:v>
                </c:pt>
                <c:pt idx="272">
                  <c:v>0.40459543086147026</c:v>
                </c:pt>
                <c:pt idx="273">
                  <c:v>0.40497410714050053</c:v>
                </c:pt>
                <c:pt idx="274">
                  <c:v>0.41182963509886644</c:v>
                </c:pt>
                <c:pt idx="275">
                  <c:v>0.40363936668775008</c:v>
                </c:pt>
                <c:pt idx="276">
                  <c:v>0.40042791739765005</c:v>
                </c:pt>
                <c:pt idx="277">
                  <c:v>0.40386632677279</c:v>
                </c:pt>
                <c:pt idx="278">
                  <c:v>0.4145374806884895</c:v>
                </c:pt>
                <c:pt idx="279">
                  <c:v>0.41212713192637074</c:v>
                </c:pt>
                <c:pt idx="280">
                  <c:v>0.40842194821030886</c:v>
                </c:pt>
                <c:pt idx="281">
                  <c:v>0.40006998281225631</c:v>
                </c:pt>
                <c:pt idx="282">
                  <c:v>0.40175337769843128</c:v>
                </c:pt>
                <c:pt idx="283">
                  <c:v>0.39360063498592235</c:v>
                </c:pt>
                <c:pt idx="284">
                  <c:v>0.40386483557103414</c:v>
                </c:pt>
                <c:pt idx="285">
                  <c:v>0.40984891229893244</c:v>
                </c:pt>
                <c:pt idx="286">
                  <c:v>0.4039672705191526</c:v>
                </c:pt>
                <c:pt idx="287">
                  <c:v>0.39960384638170271</c:v>
                </c:pt>
                <c:pt idx="288">
                  <c:v>0.40007548399491355</c:v>
                </c:pt>
                <c:pt idx="289">
                  <c:v>0.39667821920115287</c:v>
                </c:pt>
                <c:pt idx="290">
                  <c:v>0.39993563770320695</c:v>
                </c:pt>
                <c:pt idx="291">
                  <c:v>0.40533639368625501</c:v>
                </c:pt>
                <c:pt idx="292">
                  <c:v>0.41123794268950892</c:v>
                </c:pt>
                <c:pt idx="293">
                  <c:v>0.40839682945196848</c:v>
                </c:pt>
                <c:pt idx="294">
                  <c:v>0.40806632273707572</c:v>
                </c:pt>
                <c:pt idx="295">
                  <c:v>0.40950087101887928</c:v>
                </c:pt>
                <c:pt idx="296">
                  <c:v>0.41210680016511964</c:v>
                </c:pt>
                <c:pt idx="297">
                  <c:v>0.41253430701457411</c:v>
                </c:pt>
                <c:pt idx="298">
                  <c:v>0.41101435546028597</c:v>
                </c:pt>
                <c:pt idx="299">
                  <c:v>0.41373180810785998</c:v>
                </c:pt>
                <c:pt idx="300">
                  <c:v>0.41867161166322642</c:v>
                </c:pt>
                <c:pt idx="301">
                  <c:v>0.40642471566349231</c:v>
                </c:pt>
                <c:pt idx="302">
                  <c:v>0.40300647488946911</c:v>
                </c:pt>
                <c:pt idx="303">
                  <c:v>0.40591405605348629</c:v>
                </c:pt>
                <c:pt idx="304">
                  <c:v>0.41031951573627107</c:v>
                </c:pt>
                <c:pt idx="305">
                  <c:v>0.41016834638509575</c:v>
                </c:pt>
                <c:pt idx="306">
                  <c:v>0.40839888124173429</c:v>
                </c:pt>
                <c:pt idx="307">
                  <c:v>0.40588426385654419</c:v>
                </c:pt>
                <c:pt idx="308">
                  <c:v>0.40943757366230887</c:v>
                </c:pt>
                <c:pt idx="309">
                  <c:v>0.41244388334863602</c:v>
                </c:pt>
                <c:pt idx="310">
                  <c:v>0.41961315004564848</c:v>
                </c:pt>
                <c:pt idx="311">
                  <c:v>0.41319784637144735</c:v>
                </c:pt>
                <c:pt idx="312">
                  <c:v>0.41754425752346452</c:v>
                </c:pt>
                <c:pt idx="313">
                  <c:v>0.39802606293607912</c:v>
                </c:pt>
                <c:pt idx="314">
                  <c:v>0.38960574124113528</c:v>
                </c:pt>
                <c:pt idx="315">
                  <c:v>0.38740741072621132</c:v>
                </c:pt>
                <c:pt idx="316">
                  <c:v>0.38469756647641973</c:v>
                </c:pt>
                <c:pt idx="317">
                  <c:v>0.38319399658660208</c:v>
                </c:pt>
                <c:pt idx="318">
                  <c:v>0.38136674286895805</c:v>
                </c:pt>
                <c:pt idx="319">
                  <c:v>0.38919459534785011</c:v>
                </c:pt>
                <c:pt idx="320">
                  <c:v>0.38655371641139796</c:v>
                </c:pt>
                <c:pt idx="321">
                  <c:v>0.38670226760309589</c:v>
                </c:pt>
                <c:pt idx="322">
                  <c:v>0.38157452913883122</c:v>
                </c:pt>
                <c:pt idx="323">
                  <c:v>0.38926405320560686</c:v>
                </c:pt>
                <c:pt idx="324">
                  <c:v>0.38887897391972442</c:v>
                </c:pt>
                <c:pt idx="325">
                  <c:v>0.3917041592440309</c:v>
                </c:pt>
                <c:pt idx="326">
                  <c:v>0.37105031305440045</c:v>
                </c:pt>
                <c:pt idx="327">
                  <c:v>0.37156616104920909</c:v>
                </c:pt>
                <c:pt idx="328">
                  <c:v>0.36381976941821931</c:v>
                </c:pt>
                <c:pt idx="329">
                  <c:v>0.36969005842495267</c:v>
                </c:pt>
                <c:pt idx="330">
                  <c:v>0.37519156772274787</c:v>
                </c:pt>
                <c:pt idx="331">
                  <c:v>0.37764077641720617</c:v>
                </c:pt>
                <c:pt idx="332">
                  <c:v>0.37661676782599696</c:v>
                </c:pt>
                <c:pt idx="333">
                  <c:v>0.37468303872815001</c:v>
                </c:pt>
                <c:pt idx="334">
                  <c:v>0.3825100134181959</c:v>
                </c:pt>
                <c:pt idx="335">
                  <c:v>0.38371138353205075</c:v>
                </c:pt>
                <c:pt idx="336">
                  <c:v>0.38593522220443688</c:v>
                </c:pt>
                <c:pt idx="337">
                  <c:v>0.38961198993114438</c:v>
                </c:pt>
                <c:pt idx="338">
                  <c:v>0.39454769751615093</c:v>
                </c:pt>
                <c:pt idx="339">
                  <c:v>0.39830201837348028</c:v>
                </c:pt>
                <c:pt idx="340">
                  <c:v>0.3978344131881601</c:v>
                </c:pt>
                <c:pt idx="341">
                  <c:v>0.4041417521575229</c:v>
                </c:pt>
                <c:pt idx="342">
                  <c:v>0.40353033569677621</c:v>
                </c:pt>
                <c:pt idx="343">
                  <c:v>0.40048352712498986</c:v>
                </c:pt>
                <c:pt idx="344">
                  <c:v>0.38861350957204549</c:v>
                </c:pt>
                <c:pt idx="345">
                  <c:v>0.38597073178769059</c:v>
                </c:pt>
                <c:pt idx="346">
                  <c:v>0.38292550651044188</c:v>
                </c:pt>
                <c:pt idx="347">
                  <c:v>0.37528568881110769</c:v>
                </c:pt>
                <c:pt idx="348">
                  <c:v>0.38259405573046357</c:v>
                </c:pt>
                <c:pt idx="349">
                  <c:v>0.3877794357206007</c:v>
                </c:pt>
                <c:pt idx="350">
                  <c:v>0.39021112668276886</c:v>
                </c:pt>
                <c:pt idx="351">
                  <c:v>0.38876033848041269</c:v>
                </c:pt>
                <c:pt idx="352">
                  <c:v>0.39353225524522656</c:v>
                </c:pt>
                <c:pt idx="353">
                  <c:v>0.39248200410960266</c:v>
                </c:pt>
                <c:pt idx="354">
                  <c:v>0.38774652722022085</c:v>
                </c:pt>
                <c:pt idx="355">
                  <c:v>0.38530650682503309</c:v>
                </c:pt>
                <c:pt idx="356">
                  <c:v>0.38610000014963652</c:v>
                </c:pt>
                <c:pt idx="357">
                  <c:v>0.38405736127061718</c:v>
                </c:pt>
                <c:pt idx="358">
                  <c:v>0.3780130519945038</c:v>
                </c:pt>
                <c:pt idx="359">
                  <c:v>0.37252478712282255</c:v>
                </c:pt>
                <c:pt idx="360">
                  <c:v>0.37944746240445854</c:v>
                </c:pt>
                <c:pt idx="361">
                  <c:v>0.37776409109152936</c:v>
                </c:pt>
                <c:pt idx="362">
                  <c:v>0.37883937182834215</c:v>
                </c:pt>
                <c:pt idx="363">
                  <c:v>0.37062310628899525</c:v>
                </c:pt>
                <c:pt idx="364">
                  <c:v>0.36438192679093739</c:v>
                </c:pt>
                <c:pt idx="365">
                  <c:v>0.36311160288160588</c:v>
                </c:pt>
                <c:pt idx="366">
                  <c:v>0.36611540342600624</c:v>
                </c:pt>
                <c:pt idx="367">
                  <c:v>0.36234521584352747</c:v>
                </c:pt>
                <c:pt idx="368">
                  <c:v>0.36893156483191525</c:v>
                </c:pt>
                <c:pt idx="369">
                  <c:v>0.36489526587198667</c:v>
                </c:pt>
                <c:pt idx="370">
                  <c:v>0.36907149250883448</c:v>
                </c:pt>
                <c:pt idx="371">
                  <c:v>0.37529693781459295</c:v>
                </c:pt>
                <c:pt idx="372">
                  <c:v>0.37612453007829727</c:v>
                </c:pt>
                <c:pt idx="373">
                  <c:v>0.37434144110062517</c:v>
                </c:pt>
                <c:pt idx="374">
                  <c:v>0.37427668313363127</c:v>
                </c:pt>
                <c:pt idx="375">
                  <c:v>0.37066489405043196</c:v>
                </c:pt>
                <c:pt idx="376">
                  <c:v>0.36786073722851037</c:v>
                </c:pt>
                <c:pt idx="377">
                  <c:v>0.36838277963569688</c:v>
                </c:pt>
                <c:pt idx="378">
                  <c:v>0.37115628106040227</c:v>
                </c:pt>
                <c:pt idx="379">
                  <c:v>0.38261093110977434</c:v>
                </c:pt>
                <c:pt idx="380">
                  <c:v>0.37609014358129839</c:v>
                </c:pt>
                <c:pt idx="381">
                  <c:v>0.37959187390473487</c:v>
                </c:pt>
                <c:pt idx="382">
                  <c:v>0.37946610720377921</c:v>
                </c:pt>
                <c:pt idx="383">
                  <c:v>0.37940945668369125</c:v>
                </c:pt>
                <c:pt idx="384">
                  <c:v>0.37888397536982793</c:v>
                </c:pt>
                <c:pt idx="385">
                  <c:v>0.38444115638320986</c:v>
                </c:pt>
                <c:pt idx="386">
                  <c:v>0.38681449382473254</c:v>
                </c:pt>
                <c:pt idx="387">
                  <c:v>0.37905124482744185</c:v>
                </c:pt>
                <c:pt idx="388">
                  <c:v>0.38660599941725809</c:v>
                </c:pt>
                <c:pt idx="389">
                  <c:v>0.38578239731995545</c:v>
                </c:pt>
                <c:pt idx="390">
                  <c:v>0.38335481338670468</c:v>
                </c:pt>
                <c:pt idx="391">
                  <c:v>0.37802313711379842</c:v>
                </c:pt>
                <c:pt idx="392">
                  <c:v>0.3811470659984792</c:v>
                </c:pt>
                <c:pt idx="393">
                  <c:v>0.38008132554041252</c:v>
                </c:pt>
                <c:pt idx="394">
                  <c:v>0.37720355372249054</c:v>
                </c:pt>
                <c:pt idx="395">
                  <c:v>0.38343044393363113</c:v>
                </c:pt>
                <c:pt idx="396">
                  <c:v>0.38897544135846496</c:v>
                </c:pt>
                <c:pt idx="397">
                  <c:v>0.37971758701208425</c:v>
                </c:pt>
                <c:pt idx="398">
                  <c:v>0.37293085936944326</c:v>
                </c:pt>
                <c:pt idx="399">
                  <c:v>0.36657578732239859</c:v>
                </c:pt>
                <c:pt idx="400">
                  <c:v>0.36768617378250484</c:v>
                </c:pt>
                <c:pt idx="401">
                  <c:v>0.35542551659170385</c:v>
                </c:pt>
                <c:pt idx="402">
                  <c:v>0.3591295147980893</c:v>
                </c:pt>
                <c:pt idx="403">
                  <c:v>0.36019352005326238</c:v>
                </c:pt>
                <c:pt idx="404">
                  <c:v>0.36321858950115804</c:v>
                </c:pt>
                <c:pt idx="405">
                  <c:v>0.36185087852567083</c:v>
                </c:pt>
                <c:pt idx="406">
                  <c:v>0.34881100767899398</c:v>
                </c:pt>
                <c:pt idx="407">
                  <c:v>0.34550827486634117</c:v>
                </c:pt>
                <c:pt idx="408">
                  <c:v>0.34193229962040134</c:v>
                </c:pt>
                <c:pt idx="409">
                  <c:v>0.340170542700023</c:v>
                </c:pt>
                <c:pt idx="410">
                  <c:v>0.33782226993116027</c:v>
                </c:pt>
                <c:pt idx="411">
                  <c:v>0.33330922993796819</c:v>
                </c:pt>
                <c:pt idx="412">
                  <c:v>0.33977422367700144</c:v>
                </c:pt>
                <c:pt idx="413">
                  <c:v>0.33825681871513125</c:v>
                </c:pt>
                <c:pt idx="414">
                  <c:v>0.33640020067515924</c:v>
                </c:pt>
                <c:pt idx="415">
                  <c:v>0.32762518930978096</c:v>
                </c:pt>
                <c:pt idx="416">
                  <c:v>0.33255104316934042</c:v>
                </c:pt>
                <c:pt idx="417">
                  <c:v>0.32864504432890657</c:v>
                </c:pt>
                <c:pt idx="418">
                  <c:v>0.32908344892356844</c:v>
                </c:pt>
                <c:pt idx="419">
                  <c:v>0.3358140474753239</c:v>
                </c:pt>
                <c:pt idx="420">
                  <c:v>0.34129875269360233</c:v>
                </c:pt>
                <c:pt idx="421">
                  <c:v>0.33878789274906967</c:v>
                </c:pt>
                <c:pt idx="422">
                  <c:v>0.33824153452484168</c:v>
                </c:pt>
                <c:pt idx="423">
                  <c:v>0.335245161317413</c:v>
                </c:pt>
                <c:pt idx="424">
                  <c:v>0.33334175872230531</c:v>
                </c:pt>
                <c:pt idx="425">
                  <c:v>0.32691500237704552</c:v>
                </c:pt>
                <c:pt idx="426">
                  <c:v>0.32639542102544084</c:v>
                </c:pt>
                <c:pt idx="427">
                  <c:v>0.32353476186589664</c:v>
                </c:pt>
                <c:pt idx="428">
                  <c:v>0.32799481280918308</c:v>
                </c:pt>
                <c:pt idx="429">
                  <c:v>0.33183937917306738</c:v>
                </c:pt>
                <c:pt idx="430">
                  <c:v>0.33198099614856375</c:v>
                </c:pt>
                <c:pt idx="431">
                  <c:v>0.33765679562415207</c:v>
                </c:pt>
                <c:pt idx="432">
                  <c:v>0.33865678616411432</c:v>
                </c:pt>
                <c:pt idx="433">
                  <c:v>0.34059277193579512</c:v>
                </c:pt>
                <c:pt idx="434">
                  <c:v>0.3420774871333267</c:v>
                </c:pt>
                <c:pt idx="435">
                  <c:v>0.33618388572817881</c:v>
                </c:pt>
                <c:pt idx="436">
                  <c:v>0.34225186359365273</c:v>
                </c:pt>
                <c:pt idx="437">
                  <c:v>0.3438403163733742</c:v>
                </c:pt>
                <c:pt idx="438">
                  <c:v>0.34688884373205081</c:v>
                </c:pt>
                <c:pt idx="439">
                  <c:v>0.34407920146455201</c:v>
                </c:pt>
                <c:pt idx="440">
                  <c:v>0.33706422426498878</c:v>
                </c:pt>
                <c:pt idx="441">
                  <c:v>0.32608497179120211</c:v>
                </c:pt>
                <c:pt idx="442">
                  <c:v>0.32336440819351581</c:v>
                </c:pt>
                <c:pt idx="443">
                  <c:v>0.32158387230075325</c:v>
                </c:pt>
                <c:pt idx="444">
                  <c:v>0.31594323880466263</c:v>
                </c:pt>
                <c:pt idx="445">
                  <c:v>0.3169191955954328</c:v>
                </c:pt>
                <c:pt idx="446">
                  <c:v>0.32443609636557391</c:v>
                </c:pt>
                <c:pt idx="447">
                  <c:v>0.32689994952132317</c:v>
                </c:pt>
                <c:pt idx="448">
                  <c:v>0.32565725939205126</c:v>
                </c:pt>
                <c:pt idx="449">
                  <c:v>0.32649726834193499</c:v>
                </c:pt>
                <c:pt idx="450">
                  <c:v>0.3156430076216119</c:v>
                </c:pt>
                <c:pt idx="451">
                  <c:v>0.31376019405946443</c:v>
                </c:pt>
                <c:pt idx="452">
                  <c:v>0.31021717030133561</c:v>
                </c:pt>
                <c:pt idx="453">
                  <c:v>0.30934218204612945</c:v>
                </c:pt>
                <c:pt idx="454">
                  <c:v>0.31774671718895359</c:v>
                </c:pt>
                <c:pt idx="455">
                  <c:v>0.31502128205396623</c:v>
                </c:pt>
                <c:pt idx="456">
                  <c:v>0.32243674610105161</c:v>
                </c:pt>
                <c:pt idx="457">
                  <c:v>0.31443273094352397</c:v>
                </c:pt>
                <c:pt idx="458">
                  <c:v>0.31627641268604978</c:v>
                </c:pt>
                <c:pt idx="459">
                  <c:v>0.31090741443638248</c:v>
                </c:pt>
                <c:pt idx="460">
                  <c:v>0.31515980422337825</c:v>
                </c:pt>
                <c:pt idx="461">
                  <c:v>0.31803438012717372</c:v>
                </c:pt>
                <c:pt idx="462">
                  <c:v>0.32312238435042262</c:v>
                </c:pt>
                <c:pt idx="463">
                  <c:v>0.32827851727565233</c:v>
                </c:pt>
                <c:pt idx="464">
                  <c:v>0.32791771336530917</c:v>
                </c:pt>
                <c:pt idx="465">
                  <c:v>0.3266784693719898</c:v>
                </c:pt>
                <c:pt idx="466">
                  <c:v>0.33142208304076504</c:v>
                </c:pt>
                <c:pt idx="467">
                  <c:v>0.3289787632282799</c:v>
                </c:pt>
                <c:pt idx="468">
                  <c:v>0.32685319749486075</c:v>
                </c:pt>
                <c:pt idx="469">
                  <c:v>0.33112922245542542</c:v>
                </c:pt>
                <c:pt idx="470">
                  <c:v>0.33851040885223121</c:v>
                </c:pt>
                <c:pt idx="471">
                  <c:v>0.34359791287100155</c:v>
                </c:pt>
                <c:pt idx="472">
                  <c:v>0.34503990137913898</c:v>
                </c:pt>
                <c:pt idx="473">
                  <c:v>0.33304891074033732</c:v>
                </c:pt>
                <c:pt idx="474">
                  <c:v>0.3331281887550363</c:v>
                </c:pt>
                <c:pt idx="475">
                  <c:v>0.33279266292687465</c:v>
                </c:pt>
                <c:pt idx="476">
                  <c:v>0.32782020604635548</c:v>
                </c:pt>
                <c:pt idx="477">
                  <c:v>0.33188106016010066</c:v>
                </c:pt>
                <c:pt idx="478">
                  <c:v>0.33868755964221842</c:v>
                </c:pt>
                <c:pt idx="479">
                  <c:v>0.33851426187444944</c:v>
                </c:pt>
                <c:pt idx="480">
                  <c:v>0.33899910603659017</c:v>
                </c:pt>
                <c:pt idx="481">
                  <c:v>0.33380581404443205</c:v>
                </c:pt>
                <c:pt idx="482">
                  <c:v>0.3258385695121741</c:v>
                </c:pt>
                <c:pt idx="483">
                  <c:v>0.31954508899495615</c:v>
                </c:pt>
                <c:pt idx="484">
                  <c:v>0.3152854170271604</c:v>
                </c:pt>
                <c:pt idx="485">
                  <c:v>0.30459102629583101</c:v>
                </c:pt>
                <c:pt idx="486">
                  <c:v>0.30177080797173089</c:v>
                </c:pt>
                <c:pt idx="487">
                  <c:v>0.31084728731157341</c:v>
                </c:pt>
                <c:pt idx="488">
                  <c:v>0.30789967651835043</c:v>
                </c:pt>
                <c:pt idx="489">
                  <c:v>0.31386417729577032</c:v>
                </c:pt>
                <c:pt idx="490">
                  <c:v>0.31203530287287384</c:v>
                </c:pt>
                <c:pt idx="491">
                  <c:v>0.31686176280765049</c:v>
                </c:pt>
                <c:pt idx="492">
                  <c:v>0.31308486799914326</c:v>
                </c:pt>
                <c:pt idx="493">
                  <c:v>0.3218578590325395</c:v>
                </c:pt>
                <c:pt idx="494">
                  <c:v>0.32261179601289497</c:v>
                </c:pt>
                <c:pt idx="495">
                  <c:v>0.31919771032991195</c:v>
                </c:pt>
                <c:pt idx="496">
                  <c:v>0.31621293053400834</c:v>
                </c:pt>
                <c:pt idx="497">
                  <c:v>0.31983131435937534</c:v>
                </c:pt>
                <c:pt idx="498">
                  <c:v>0.31920754086999364</c:v>
                </c:pt>
                <c:pt idx="499">
                  <c:v>0.3180614141832584</c:v>
                </c:pt>
                <c:pt idx="500">
                  <c:v>0.31941208433462592</c:v>
                </c:pt>
                <c:pt idx="501">
                  <c:v>0.31484950302315851</c:v>
                </c:pt>
                <c:pt idx="502">
                  <c:v>0.31291014885447876</c:v>
                </c:pt>
                <c:pt idx="503">
                  <c:v>0.31272641225212938</c:v>
                </c:pt>
                <c:pt idx="504">
                  <c:v>0.31146463663351859</c:v>
                </c:pt>
                <c:pt idx="505">
                  <c:v>0.31059350852188172</c:v>
                </c:pt>
                <c:pt idx="506">
                  <c:v>0.29962262600599066</c:v>
                </c:pt>
                <c:pt idx="507">
                  <c:v>0.30502361816475859</c:v>
                </c:pt>
                <c:pt idx="508">
                  <c:v>0.30885191820520569</c:v>
                </c:pt>
                <c:pt idx="509">
                  <c:v>0.30810781866580433</c:v>
                </c:pt>
                <c:pt idx="510">
                  <c:v>0.3018543353074617</c:v>
                </c:pt>
                <c:pt idx="511">
                  <c:v>0.30765502064940847</c:v>
                </c:pt>
                <c:pt idx="512">
                  <c:v>0.30623240035932925</c:v>
                </c:pt>
                <c:pt idx="513">
                  <c:v>0.30141772533069155</c:v>
                </c:pt>
                <c:pt idx="514">
                  <c:v>0.29983877750897575</c:v>
                </c:pt>
                <c:pt idx="515">
                  <c:v>0.29304012649182659</c:v>
                </c:pt>
                <c:pt idx="516">
                  <c:v>0.28861153569453385</c:v>
                </c:pt>
                <c:pt idx="517">
                  <c:v>0.28879659358687126</c:v>
                </c:pt>
                <c:pt idx="518">
                  <c:v>0.29274930268460558</c:v>
                </c:pt>
                <c:pt idx="519">
                  <c:v>0.29196580152325163</c:v>
                </c:pt>
                <c:pt idx="520">
                  <c:v>0.28498505709383154</c:v>
                </c:pt>
                <c:pt idx="521">
                  <c:v>0.28469260797675999</c:v>
                </c:pt>
                <c:pt idx="522">
                  <c:v>0.28448721948790107</c:v>
                </c:pt>
                <c:pt idx="523">
                  <c:v>0.28544795794516992</c:v>
                </c:pt>
                <c:pt idx="524">
                  <c:v>0.28303080451132945</c:v>
                </c:pt>
                <c:pt idx="525">
                  <c:v>0.27383840449343755</c:v>
                </c:pt>
                <c:pt idx="526">
                  <c:v>0.2746877989267158</c:v>
                </c:pt>
                <c:pt idx="527">
                  <c:v>0.28220423376066267</c:v>
                </c:pt>
                <c:pt idx="528">
                  <c:v>0.28570813415648627</c:v>
                </c:pt>
                <c:pt idx="529">
                  <c:v>0.27687325760009568</c:v>
                </c:pt>
                <c:pt idx="530">
                  <c:v>0.2747386714314759</c:v>
                </c:pt>
                <c:pt idx="531">
                  <c:v>0.28051876848063195</c:v>
                </c:pt>
                <c:pt idx="532">
                  <c:v>0.28254733807979721</c:v>
                </c:pt>
                <c:pt idx="533">
                  <c:v>0.28443822890097553</c:v>
                </c:pt>
                <c:pt idx="534">
                  <c:v>0.27760513524450325</c:v>
                </c:pt>
                <c:pt idx="535">
                  <c:v>0.27288647175550046</c:v>
                </c:pt>
                <c:pt idx="536">
                  <c:v>0.27939615561760545</c:v>
                </c:pt>
                <c:pt idx="537">
                  <c:v>0.28022137115647122</c:v>
                </c:pt>
                <c:pt idx="538">
                  <c:v>0.28012504611994227</c:v>
                </c:pt>
                <c:pt idx="539">
                  <c:v>0.27860857336905198</c:v>
                </c:pt>
                <c:pt idx="540">
                  <c:v>0.284369534848121</c:v>
                </c:pt>
                <c:pt idx="541">
                  <c:v>0.28542148779717541</c:v>
                </c:pt>
                <c:pt idx="542">
                  <c:v>0.28318896118848508</c:v>
                </c:pt>
                <c:pt idx="543">
                  <c:v>0.27718281554035912</c:v>
                </c:pt>
                <c:pt idx="544">
                  <c:v>0.27850557672103299</c:v>
                </c:pt>
                <c:pt idx="545">
                  <c:v>0.28237986777008295</c:v>
                </c:pt>
                <c:pt idx="546">
                  <c:v>0.28219319781476748</c:v>
                </c:pt>
                <c:pt idx="547">
                  <c:v>0.28465840099885625</c:v>
                </c:pt>
                <c:pt idx="548">
                  <c:v>0.27884441192125492</c:v>
                </c:pt>
                <c:pt idx="549">
                  <c:v>0.2797914024933858</c:v>
                </c:pt>
                <c:pt idx="550">
                  <c:v>0.28079724577603088</c:v>
                </c:pt>
                <c:pt idx="551">
                  <c:v>0.28489561456680756</c:v>
                </c:pt>
                <c:pt idx="552">
                  <c:v>0.28219776879801722</c:v>
                </c:pt>
                <c:pt idx="553">
                  <c:v>0.27473777856480891</c:v>
                </c:pt>
                <c:pt idx="554">
                  <c:v>0.28460575421067147</c:v>
                </c:pt>
                <c:pt idx="555">
                  <c:v>0.28006782986229112</c:v>
                </c:pt>
                <c:pt idx="556">
                  <c:v>0.27903824450615139</c:v>
                </c:pt>
                <c:pt idx="557">
                  <c:v>0.27913348412111488</c:v>
                </c:pt>
                <c:pt idx="558">
                  <c:v>0.28483837363331466</c:v>
                </c:pt>
                <c:pt idx="559">
                  <c:v>0.28435372879603998</c:v>
                </c:pt>
                <c:pt idx="560">
                  <c:v>0.28416533085676693</c:v>
                </c:pt>
                <c:pt idx="561">
                  <c:v>0.28630069266657021</c:v>
                </c:pt>
                <c:pt idx="562">
                  <c:v>0.27470651876289853</c:v>
                </c:pt>
                <c:pt idx="563">
                  <c:v>0.27416894974422396</c:v>
                </c:pt>
                <c:pt idx="564">
                  <c:v>0.26791074295866779</c:v>
                </c:pt>
                <c:pt idx="565">
                  <c:v>0.26576121030572969</c:v>
                </c:pt>
                <c:pt idx="566">
                  <c:v>0.26857853035658069</c:v>
                </c:pt>
                <c:pt idx="567">
                  <c:v>0.26661618946013571</c:v>
                </c:pt>
                <c:pt idx="568">
                  <c:v>0.26520596350213965</c:v>
                </c:pt>
                <c:pt idx="569">
                  <c:v>0.26466043744226453</c:v>
                </c:pt>
                <c:pt idx="570">
                  <c:v>0.25888253307729331</c:v>
                </c:pt>
                <c:pt idx="571">
                  <c:v>0.25864928669233045</c:v>
                </c:pt>
                <c:pt idx="572">
                  <c:v>0.25821306459886922</c:v>
                </c:pt>
                <c:pt idx="573">
                  <c:v>0.25828478901910007</c:v>
                </c:pt>
                <c:pt idx="574">
                  <c:v>0.2495642024078206</c:v>
                </c:pt>
                <c:pt idx="575">
                  <c:v>0.24933564213173134</c:v>
                </c:pt>
                <c:pt idx="576">
                  <c:v>0.24812204796834958</c:v>
                </c:pt>
                <c:pt idx="577">
                  <c:v>0.24645717517689941</c:v>
                </c:pt>
                <c:pt idx="578">
                  <c:v>0.2435437536350665</c:v>
                </c:pt>
                <c:pt idx="579">
                  <c:v>0.24223445069323529</c:v>
                </c:pt>
                <c:pt idx="580">
                  <c:v>0.24572912815206502</c:v>
                </c:pt>
                <c:pt idx="581">
                  <c:v>0.24109117163757879</c:v>
                </c:pt>
                <c:pt idx="582">
                  <c:v>0.23767360476061006</c:v>
                </c:pt>
                <c:pt idx="583">
                  <c:v>0.24083097363848333</c:v>
                </c:pt>
                <c:pt idx="584">
                  <c:v>0.2355389884145806</c:v>
                </c:pt>
                <c:pt idx="585">
                  <c:v>0.23058372281020872</c:v>
                </c:pt>
                <c:pt idx="586">
                  <c:v>0.22828151342366812</c:v>
                </c:pt>
                <c:pt idx="587">
                  <c:v>0.22967146098574431</c:v>
                </c:pt>
                <c:pt idx="588">
                  <c:v>0.23403396902900264</c:v>
                </c:pt>
                <c:pt idx="589">
                  <c:v>0.23873320376647891</c:v>
                </c:pt>
                <c:pt idx="590">
                  <c:v>0.24272375731128321</c:v>
                </c:pt>
                <c:pt idx="591">
                  <c:v>0.24418005504601678</c:v>
                </c:pt>
                <c:pt idx="592">
                  <c:v>0.24616783812967166</c:v>
                </c:pt>
                <c:pt idx="593">
                  <c:v>0.24517795197354669</c:v>
                </c:pt>
                <c:pt idx="594">
                  <c:v>0.24466730111777496</c:v>
                </c:pt>
                <c:pt idx="595">
                  <c:v>0.24584245783997577</c:v>
                </c:pt>
                <c:pt idx="596">
                  <c:v>0.24956554282078253</c:v>
                </c:pt>
                <c:pt idx="597">
                  <c:v>0.24689519661762607</c:v>
                </c:pt>
                <c:pt idx="598">
                  <c:v>0.25190390343665381</c:v>
                </c:pt>
                <c:pt idx="599">
                  <c:v>0.24773631396214951</c:v>
                </c:pt>
                <c:pt idx="600">
                  <c:v>0.24939415566836032</c:v>
                </c:pt>
                <c:pt idx="601">
                  <c:v>0.24761982604350091</c:v>
                </c:pt>
                <c:pt idx="602">
                  <c:v>0.24709349366296793</c:v>
                </c:pt>
                <c:pt idx="603">
                  <c:v>0.25135337470554464</c:v>
                </c:pt>
                <c:pt idx="604">
                  <c:v>0.25010365113307553</c:v>
                </c:pt>
                <c:pt idx="605">
                  <c:v>0.24865440859762417</c:v>
                </c:pt>
                <c:pt idx="606">
                  <c:v>0.2488750241740684</c:v>
                </c:pt>
                <c:pt idx="607">
                  <c:v>0.24673146139326119</c:v>
                </c:pt>
                <c:pt idx="608">
                  <c:v>0.2484231172780105</c:v>
                </c:pt>
                <c:pt idx="609">
                  <c:v>0.25104094717200781</c:v>
                </c:pt>
                <c:pt idx="610">
                  <c:v>0.2497230037358156</c:v>
                </c:pt>
                <c:pt idx="611">
                  <c:v>0.25064916470219789</c:v>
                </c:pt>
                <c:pt idx="612">
                  <c:v>0.24697723489459819</c:v>
                </c:pt>
                <c:pt idx="613">
                  <c:v>0.25014656022606829</c:v>
                </c:pt>
                <c:pt idx="614">
                  <c:v>0.25231855026031402</c:v>
                </c:pt>
                <c:pt idx="615">
                  <c:v>0.25417626411384164</c:v>
                </c:pt>
                <c:pt idx="616">
                  <c:v>0.25952178786300867</c:v>
                </c:pt>
                <c:pt idx="617">
                  <c:v>0.25865234002950666</c:v>
                </c:pt>
                <c:pt idx="618">
                  <c:v>0.26091644726364371</c:v>
                </c:pt>
                <c:pt idx="619">
                  <c:v>0.26432649456902935</c:v>
                </c:pt>
                <c:pt idx="620">
                  <c:v>0.26559721911213785</c:v>
                </c:pt>
                <c:pt idx="621">
                  <c:v>0.26708152494314491</c:v>
                </c:pt>
                <c:pt idx="622">
                  <c:v>0.27091292557955743</c:v>
                </c:pt>
                <c:pt idx="623">
                  <c:v>0.26703596709360911</c:v>
                </c:pt>
                <c:pt idx="624">
                  <c:v>0.26711130060179833</c:v>
                </c:pt>
                <c:pt idx="625">
                  <c:v>0.26418046321815181</c:v>
                </c:pt>
                <c:pt idx="626">
                  <c:v>0.26440795340875789</c:v>
                </c:pt>
                <c:pt idx="627">
                  <c:v>0.25584440628809596</c:v>
                </c:pt>
                <c:pt idx="628">
                  <c:v>0.25686700120081296</c:v>
                </c:pt>
                <c:pt idx="629">
                  <c:v>0.25434634496958347</c:v>
                </c:pt>
                <c:pt idx="630">
                  <c:v>0.25307651640004131</c:v>
                </c:pt>
                <c:pt idx="631">
                  <c:v>0.24766022555948608</c:v>
                </c:pt>
                <c:pt idx="632">
                  <c:v>0.2511659809113379</c:v>
                </c:pt>
                <c:pt idx="633">
                  <c:v>0.2493675352470712</c:v>
                </c:pt>
                <c:pt idx="634">
                  <c:v>0.25386389136791371</c:v>
                </c:pt>
                <c:pt idx="635">
                  <c:v>0.25492952628716353</c:v>
                </c:pt>
                <c:pt idx="636">
                  <c:v>0.25185967740726833</c:v>
                </c:pt>
                <c:pt idx="637">
                  <c:v>0.24816429572021725</c:v>
                </c:pt>
                <c:pt idx="638">
                  <c:v>0.2447753285578862</c:v>
                </c:pt>
                <c:pt idx="639">
                  <c:v>0.24629491424116187</c:v>
                </c:pt>
                <c:pt idx="640">
                  <c:v>0.24833335983379903</c:v>
                </c:pt>
                <c:pt idx="641">
                  <c:v>0.25228532578301138</c:v>
                </c:pt>
                <c:pt idx="642">
                  <c:v>0.25311219535418217</c:v>
                </c:pt>
                <c:pt idx="643">
                  <c:v>0.25121765899923326</c:v>
                </c:pt>
                <c:pt idx="644">
                  <c:v>0.25250599337071822</c:v>
                </c:pt>
                <c:pt idx="645">
                  <c:v>0.24961050430053472</c:v>
                </c:pt>
                <c:pt idx="646">
                  <c:v>0.25145691908596168</c:v>
                </c:pt>
                <c:pt idx="647">
                  <c:v>0.24983872888421044</c:v>
                </c:pt>
                <c:pt idx="648">
                  <c:v>0.24717207016723353</c:v>
                </c:pt>
                <c:pt idx="649">
                  <c:v>0.24760485320967099</c:v>
                </c:pt>
                <c:pt idx="650">
                  <c:v>0.24434180116993198</c:v>
                </c:pt>
                <c:pt idx="651">
                  <c:v>0.24646159161379039</c:v>
                </c:pt>
                <c:pt idx="652">
                  <c:v>0.24980586753293885</c:v>
                </c:pt>
                <c:pt idx="653">
                  <c:v>0.25156010374337595</c:v>
                </c:pt>
                <c:pt idx="654">
                  <c:v>0.25332807472757102</c:v>
                </c:pt>
                <c:pt idx="655">
                  <c:v>0.24980130749795315</c:v>
                </c:pt>
                <c:pt idx="656">
                  <c:v>0.25231929301235673</c:v>
                </c:pt>
                <c:pt idx="657">
                  <c:v>0.25150351982391789</c:v>
                </c:pt>
                <c:pt idx="658">
                  <c:v>0.25391251561996925</c:v>
                </c:pt>
                <c:pt idx="659">
                  <c:v>0.25578095470710666</c:v>
                </c:pt>
                <c:pt idx="660">
                  <c:v>0.25648043058179137</c:v>
                </c:pt>
                <c:pt idx="661">
                  <c:v>0.25596956951777916</c:v>
                </c:pt>
                <c:pt idx="662">
                  <c:v>0.25497235507111171</c:v>
                </c:pt>
                <c:pt idx="663">
                  <c:v>0.25627409653144057</c:v>
                </c:pt>
                <c:pt idx="664">
                  <c:v>0.25393965907855837</c:v>
                </c:pt>
                <c:pt idx="665">
                  <c:v>0.25394148723642224</c:v>
                </c:pt>
                <c:pt idx="666">
                  <c:v>0.25236531553192226</c:v>
                </c:pt>
                <c:pt idx="667">
                  <c:v>0.24846526907877364</c:v>
                </c:pt>
                <c:pt idx="668">
                  <c:v>0.24625876450345913</c:v>
                </c:pt>
                <c:pt idx="669">
                  <c:v>0.24735607207220861</c:v>
                </c:pt>
                <c:pt idx="670">
                  <c:v>0.23874169003021764</c:v>
                </c:pt>
                <c:pt idx="671">
                  <c:v>0.24360109402835259</c:v>
                </c:pt>
                <c:pt idx="672">
                  <c:v>0.24209051096366388</c:v>
                </c:pt>
                <c:pt idx="673">
                  <c:v>0.24577736682702381</c:v>
                </c:pt>
                <c:pt idx="674">
                  <c:v>0.2470564392327709</c:v>
                </c:pt>
                <c:pt idx="675">
                  <c:v>0.24006693155498388</c:v>
                </c:pt>
                <c:pt idx="676">
                  <c:v>0.23670311371003544</c:v>
                </c:pt>
                <c:pt idx="677">
                  <c:v>0.23570216122987084</c:v>
                </c:pt>
                <c:pt idx="678">
                  <c:v>0.2359495666836717</c:v>
                </c:pt>
                <c:pt idx="679">
                  <c:v>0.2358031536310389</c:v>
                </c:pt>
                <c:pt idx="680">
                  <c:v>0.24103457477422849</c:v>
                </c:pt>
                <c:pt idx="681">
                  <c:v>0.23729242461975164</c:v>
                </c:pt>
                <c:pt idx="682">
                  <c:v>0.23264903477093871</c:v>
                </c:pt>
                <c:pt idx="683">
                  <c:v>0.23339469071027613</c:v>
                </c:pt>
                <c:pt idx="684">
                  <c:v>0.2345884996566428</c:v>
                </c:pt>
                <c:pt idx="685">
                  <c:v>0.2363157363495352</c:v>
                </c:pt>
                <c:pt idx="686">
                  <c:v>0.2331095856730013</c:v>
                </c:pt>
                <c:pt idx="687">
                  <c:v>0.23724928761823111</c:v>
                </c:pt>
                <c:pt idx="688">
                  <c:v>0.23177373441310492</c:v>
                </c:pt>
                <c:pt idx="689">
                  <c:v>0.23608875677660468</c:v>
                </c:pt>
                <c:pt idx="690">
                  <c:v>0.24007684273578273</c:v>
                </c:pt>
                <c:pt idx="691">
                  <c:v>0.24319661646180751</c:v>
                </c:pt>
                <c:pt idx="692">
                  <c:v>0.24002781415581551</c:v>
                </c:pt>
                <c:pt idx="693">
                  <c:v>0.24080333759239975</c:v>
                </c:pt>
                <c:pt idx="694">
                  <c:v>0.23942146185238089</c:v>
                </c:pt>
                <c:pt idx="695">
                  <c:v>0.24181731874865339</c:v>
                </c:pt>
                <c:pt idx="696">
                  <c:v>0.24672188925800406</c:v>
                </c:pt>
                <c:pt idx="697">
                  <c:v>0.24740881202024143</c:v>
                </c:pt>
                <c:pt idx="698">
                  <c:v>0.24967440090035314</c:v>
                </c:pt>
                <c:pt idx="699">
                  <c:v>0.25015170710082141</c:v>
                </c:pt>
                <c:pt idx="700">
                  <c:v>0.24893609039743447</c:v>
                </c:pt>
                <c:pt idx="701">
                  <c:v>0.25285624271452251</c:v>
                </c:pt>
                <c:pt idx="702">
                  <c:v>0.25404104782006526</c:v>
                </c:pt>
                <c:pt idx="703">
                  <c:v>0.24494637001146954</c:v>
                </c:pt>
                <c:pt idx="704">
                  <c:v>0.2447810546043406</c:v>
                </c:pt>
                <c:pt idx="705">
                  <c:v>0.23807156641452276</c:v>
                </c:pt>
                <c:pt idx="706">
                  <c:v>0.24403321873686465</c:v>
                </c:pt>
                <c:pt idx="707">
                  <c:v>0.24513751077603863</c:v>
                </c:pt>
                <c:pt idx="708">
                  <c:v>0.24157853843190022</c:v>
                </c:pt>
                <c:pt idx="709">
                  <c:v>0.24404001464359854</c:v>
                </c:pt>
                <c:pt idx="710">
                  <c:v>0.24303918670709226</c:v>
                </c:pt>
                <c:pt idx="711">
                  <c:v>0.23954653146090502</c:v>
                </c:pt>
                <c:pt idx="712">
                  <c:v>0.24381266995084383</c:v>
                </c:pt>
                <c:pt idx="713">
                  <c:v>0.24134984976547266</c:v>
                </c:pt>
                <c:pt idx="714">
                  <c:v>0.23904527944332285</c:v>
                </c:pt>
                <c:pt idx="715">
                  <c:v>0.24271265088774194</c:v>
                </c:pt>
                <c:pt idx="716">
                  <c:v>0.24025877405090276</c:v>
                </c:pt>
                <c:pt idx="717">
                  <c:v>0.23197751235342193</c:v>
                </c:pt>
                <c:pt idx="718">
                  <c:v>0.23386379211927844</c:v>
                </c:pt>
                <c:pt idx="719">
                  <c:v>0.22703915495287763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36960"/>
        <c:axId val="119339648"/>
      </c:lineChart>
      <c:catAx>
        <c:axId val="119336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19339648"/>
        <c:crosses val="autoZero"/>
        <c:auto val="1"/>
        <c:lblAlgn val="ctr"/>
        <c:lblOffset val="100"/>
        <c:noMultiLvlLbl val="0"/>
      </c:catAx>
      <c:valAx>
        <c:axId val="119339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36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Output!$O$12:$O$731</c:f>
              <c:numCache>
                <c:formatCode>General</c:formatCode>
                <c:ptCount val="720"/>
                <c:pt idx="0">
                  <c:v>1.0849496940275125E-3</c:v>
                </c:pt>
                <c:pt idx="1">
                  <c:v>1.0935420112776091E-3</c:v>
                </c:pt>
                <c:pt idx="2">
                  <c:v>1.0989979776306921E-3</c:v>
                </c:pt>
                <c:pt idx="3">
                  <c:v>1.1004216662327498E-3</c:v>
                </c:pt>
                <c:pt idx="4">
                  <c:v>1.0994090677519646E-3</c:v>
                </c:pt>
                <c:pt idx="5">
                  <c:v>1.1000881589740422E-3</c:v>
                </c:pt>
                <c:pt idx="6">
                  <c:v>1.0998515657748076E-3</c:v>
                </c:pt>
                <c:pt idx="7">
                  <c:v>1.0995143129612572E-3</c:v>
                </c:pt>
                <c:pt idx="8">
                  <c:v>1.0995555916687497E-3</c:v>
                </c:pt>
                <c:pt idx="9">
                  <c:v>1.0992875285251739E-3</c:v>
                </c:pt>
                <c:pt idx="10">
                  <c:v>1.0987593906968474E-3</c:v>
                </c:pt>
                <c:pt idx="11">
                  <c:v>1.0994431317594055E-3</c:v>
                </c:pt>
                <c:pt idx="12">
                  <c:v>1.0989539634219964E-3</c:v>
                </c:pt>
                <c:pt idx="13">
                  <c:v>1.0997595570212816E-3</c:v>
                </c:pt>
                <c:pt idx="14">
                  <c:v>1.0992416475865958E-3</c:v>
                </c:pt>
                <c:pt idx="15">
                  <c:v>1.0989544182466735E-3</c:v>
                </c:pt>
                <c:pt idx="16">
                  <c:v>1.0986832963605885E-3</c:v>
                </c:pt>
                <c:pt idx="17">
                  <c:v>1.0983531847865195E-3</c:v>
                </c:pt>
                <c:pt idx="18">
                  <c:v>1.0978706011269962E-3</c:v>
                </c:pt>
                <c:pt idx="19">
                  <c:v>1.0978442594959358E-3</c:v>
                </c:pt>
                <c:pt idx="20">
                  <c:v>1.0979872637092115E-3</c:v>
                </c:pt>
                <c:pt idx="21">
                  <c:v>1.0979753387671313E-3</c:v>
                </c:pt>
                <c:pt idx="22">
                  <c:v>1.0979895150498005E-3</c:v>
                </c:pt>
                <c:pt idx="23">
                  <c:v>1.0977610103916444E-3</c:v>
                </c:pt>
                <c:pt idx="24">
                  <c:v>1.0978402721323914E-3</c:v>
                </c:pt>
                <c:pt idx="25">
                  <c:v>1.0975883863859094E-3</c:v>
                </c:pt>
                <c:pt idx="26">
                  <c:v>1.0978023233570709E-3</c:v>
                </c:pt>
                <c:pt idx="27">
                  <c:v>1.097573559045563E-3</c:v>
                </c:pt>
                <c:pt idx="28">
                  <c:v>1.0975941391839388E-3</c:v>
                </c:pt>
                <c:pt idx="29">
                  <c:v>1.0972981487541583E-3</c:v>
                </c:pt>
                <c:pt idx="30">
                  <c:v>1.0970272514086491E-3</c:v>
                </c:pt>
                <c:pt idx="31">
                  <c:v>1.0970506324121288E-3</c:v>
                </c:pt>
                <c:pt idx="32">
                  <c:v>1.0966215719219166E-3</c:v>
                </c:pt>
                <c:pt idx="33">
                  <c:v>1.0966637309161018E-3</c:v>
                </c:pt>
                <c:pt idx="34">
                  <c:v>1.0962044177911516E-3</c:v>
                </c:pt>
                <c:pt idx="35">
                  <c:v>1.0959259257025172E-3</c:v>
                </c:pt>
                <c:pt idx="36">
                  <c:v>1.0955119492827839E-3</c:v>
                </c:pt>
                <c:pt idx="37">
                  <c:v>1.0949923971445338E-3</c:v>
                </c:pt>
                <c:pt idx="38">
                  <c:v>1.094332970179275E-3</c:v>
                </c:pt>
                <c:pt idx="39">
                  <c:v>1.0939757618444741E-3</c:v>
                </c:pt>
                <c:pt idx="40">
                  <c:v>1.0932993572058034E-3</c:v>
                </c:pt>
                <c:pt idx="41">
                  <c:v>1.0928320812820624E-3</c:v>
                </c:pt>
                <c:pt idx="42">
                  <c:v>1.0926170657619028E-3</c:v>
                </c:pt>
                <c:pt idx="43">
                  <c:v>1.0922148828396783E-3</c:v>
                </c:pt>
                <c:pt idx="44">
                  <c:v>1.092465004103896E-3</c:v>
                </c:pt>
                <c:pt idx="45">
                  <c:v>1.0923096591082255E-3</c:v>
                </c:pt>
                <c:pt idx="46">
                  <c:v>1.0928709108177139E-3</c:v>
                </c:pt>
                <c:pt idx="47">
                  <c:v>1.093541194652459E-3</c:v>
                </c:pt>
                <c:pt idx="48">
                  <c:v>1.0946104303447969E-3</c:v>
                </c:pt>
                <c:pt idx="49">
                  <c:v>1.0957484774758749E-3</c:v>
                </c:pt>
                <c:pt idx="50">
                  <c:v>1.0970169282391998E-3</c:v>
                </c:pt>
                <c:pt idx="51">
                  <c:v>1.0981191076123999E-3</c:v>
                </c:pt>
                <c:pt idx="52">
                  <c:v>1.0991146917425597E-3</c:v>
                </c:pt>
                <c:pt idx="53">
                  <c:v>1.0999612635944958E-3</c:v>
                </c:pt>
                <c:pt idx="54">
                  <c:v>1.1002435395877849E-3</c:v>
                </c:pt>
                <c:pt idx="55">
                  <c:v>1.1000447459446954E-3</c:v>
                </c:pt>
                <c:pt idx="56">
                  <c:v>1.0993442608127034E-3</c:v>
                </c:pt>
                <c:pt idx="57">
                  <c:v>1.0977364307167034E-3</c:v>
                </c:pt>
                <c:pt idx="58">
                  <c:v>1.0953157774374336E-3</c:v>
                </c:pt>
                <c:pt idx="59">
                  <c:v>1.0918635232860046E-3</c:v>
                </c:pt>
                <c:pt idx="60">
                  <c:v>1.0874073983109416E-3</c:v>
                </c:pt>
                <c:pt idx="61">
                  <c:v>1.0821071151310524E-3</c:v>
                </c:pt>
                <c:pt idx="62">
                  <c:v>1.0767850198263678E-3</c:v>
                </c:pt>
                <c:pt idx="63">
                  <c:v>1.0717051463514109E-3</c:v>
                </c:pt>
                <c:pt idx="64">
                  <c:v>1.0672158471715623E-3</c:v>
                </c:pt>
                <c:pt idx="65">
                  <c:v>1.0636786990458513E-3</c:v>
                </c:pt>
                <c:pt idx="66">
                  <c:v>1.0617766842145947E-3</c:v>
                </c:pt>
                <c:pt idx="67">
                  <c:v>1.061499105101513E-3</c:v>
                </c:pt>
                <c:pt idx="68">
                  <c:v>1.0636264857860178E-3</c:v>
                </c:pt>
                <c:pt idx="69">
                  <c:v>1.0685865222055091E-3</c:v>
                </c:pt>
                <c:pt idx="70">
                  <c:v>1.0766609668492375E-3</c:v>
                </c:pt>
                <c:pt idx="71">
                  <c:v>1.0885189040214876E-3</c:v>
                </c:pt>
                <c:pt idx="72">
                  <c:v>1.1043262540011561E-3</c:v>
                </c:pt>
                <c:pt idx="73">
                  <c:v>1.1242148777356026E-3</c:v>
                </c:pt>
                <c:pt idx="74">
                  <c:v>1.1479076537736302E-3</c:v>
                </c:pt>
                <c:pt idx="75">
                  <c:v>1.1754353825253082E-3</c:v>
                </c:pt>
                <c:pt idx="76">
                  <c:v>1.2068251061236033E-3</c:v>
                </c:pt>
                <c:pt idx="77">
                  <c:v>1.2419450219701036E-3</c:v>
                </c:pt>
                <c:pt idx="78">
                  <c:v>1.2807863208942134E-3</c:v>
                </c:pt>
                <c:pt idx="79">
                  <c:v>1.3232239643711325E-3</c:v>
                </c:pt>
                <c:pt idx="80">
                  <c:v>1.3692185481503456E-3</c:v>
                </c:pt>
                <c:pt idx="81">
                  <c:v>1.4187550534599093E-3</c:v>
                </c:pt>
                <c:pt idx="82">
                  <c:v>1.4717878338825494E-3</c:v>
                </c:pt>
                <c:pt idx="83">
                  <c:v>1.5283407063211435E-3</c:v>
                </c:pt>
                <c:pt idx="84">
                  <c:v>1.5882901026316616E-3</c:v>
                </c:pt>
                <c:pt idx="85">
                  <c:v>1.6515114154934947E-3</c:v>
                </c:pt>
                <c:pt idx="86">
                  <c:v>1.7180528969428942E-3</c:v>
                </c:pt>
                <c:pt idx="87">
                  <c:v>1.7876641917048486E-3</c:v>
                </c:pt>
                <c:pt idx="88">
                  <c:v>1.8600355946311153E-3</c:v>
                </c:pt>
                <c:pt idx="89">
                  <c:v>1.9351143488205763E-3</c:v>
                </c:pt>
                <c:pt idx="90">
                  <c:v>2.0127382741278567E-3</c:v>
                </c:pt>
                <c:pt idx="91">
                  <c:v>2.0928897031461751E-3</c:v>
                </c:pt>
                <c:pt idx="92">
                  <c:v>2.1753671617034697E-3</c:v>
                </c:pt>
                <c:pt idx="93">
                  <c:v>2.2599886845680473E-3</c:v>
                </c:pt>
                <c:pt idx="94">
                  <c:v>2.3468021392378771E-3</c:v>
                </c:pt>
                <c:pt idx="95">
                  <c:v>2.4356044412002153E-3</c:v>
                </c:pt>
                <c:pt idx="96">
                  <c:v>2.5262511994514291E-3</c:v>
                </c:pt>
                <c:pt idx="97">
                  <c:v>2.6178976979355567E-3</c:v>
                </c:pt>
                <c:pt idx="98">
                  <c:v>2.7101277219117761E-3</c:v>
                </c:pt>
                <c:pt idx="99">
                  <c:v>2.8021770256023136E-3</c:v>
                </c:pt>
                <c:pt idx="100">
                  <c:v>2.8934177497817798E-3</c:v>
                </c:pt>
                <c:pt idx="101">
                  <c:v>2.9833956397402623E-3</c:v>
                </c:pt>
                <c:pt idx="102">
                  <c:v>3.0713639238138133E-3</c:v>
                </c:pt>
                <c:pt idx="103">
                  <c:v>3.1569171354493874E-3</c:v>
                </c:pt>
                <c:pt idx="104">
                  <c:v>3.2389665668503022E-3</c:v>
                </c:pt>
                <c:pt idx="105">
                  <c:v>3.3173154996108275E-3</c:v>
                </c:pt>
                <c:pt idx="106">
                  <c:v>3.3910058526805719E-3</c:v>
                </c:pt>
                <c:pt idx="107">
                  <c:v>3.4594296752904399E-3</c:v>
                </c:pt>
                <c:pt idx="108">
                  <c:v>3.5222201116344195E-3</c:v>
                </c:pt>
                <c:pt idx="109">
                  <c:v>3.579916527505448E-3</c:v>
                </c:pt>
                <c:pt idx="110">
                  <c:v>3.6330740269370672E-3</c:v>
                </c:pt>
                <c:pt idx="111">
                  <c:v>3.6824552625245722E-3</c:v>
                </c:pt>
                <c:pt idx="112">
                  <c:v>3.728635001405585E-3</c:v>
                </c:pt>
                <c:pt idx="113">
                  <c:v>3.7722798698905636E-3</c:v>
                </c:pt>
                <c:pt idx="114">
                  <c:v>3.8140226674068479E-3</c:v>
                </c:pt>
                <c:pt idx="115">
                  <c:v>3.8547861929305273E-3</c:v>
                </c:pt>
                <c:pt idx="116">
                  <c:v>3.8949117657473406E-3</c:v>
                </c:pt>
                <c:pt idx="117">
                  <c:v>3.9350323568447003E-3</c:v>
                </c:pt>
                <c:pt idx="118">
                  <c:v>3.9759323893390998E-3</c:v>
                </c:pt>
                <c:pt idx="119">
                  <c:v>4.018275662609299E-3</c:v>
                </c:pt>
                <c:pt idx="120">
                  <c:v>4.0627329678603122E-3</c:v>
                </c:pt>
                <c:pt idx="121">
                  <c:v>4.109152703220092E-3</c:v>
                </c:pt>
                <c:pt idx="122">
                  <c:v>4.1573422173807988E-3</c:v>
                </c:pt>
                <c:pt idx="123">
                  <c:v>4.2070702859481283E-3</c:v>
                </c:pt>
                <c:pt idx="124">
                  <c:v>4.2580509424667897E-3</c:v>
                </c:pt>
                <c:pt idx="125">
                  <c:v>4.3101401796678783E-3</c:v>
                </c:pt>
                <c:pt idx="126">
                  <c:v>4.3632189616448587E-3</c:v>
                </c:pt>
                <c:pt idx="127">
                  <c:v>4.4168667282066506E-3</c:v>
                </c:pt>
                <c:pt idx="128">
                  <c:v>4.4710510603623056E-3</c:v>
                </c:pt>
                <c:pt idx="129">
                  <c:v>4.525643230953883E-3</c:v>
                </c:pt>
                <c:pt idx="130">
                  <c:v>4.5803052737209311E-3</c:v>
                </c:pt>
                <c:pt idx="131">
                  <c:v>4.63476066311977E-3</c:v>
                </c:pt>
                <c:pt idx="132">
                  <c:v>4.6889513422608154E-3</c:v>
                </c:pt>
                <c:pt idx="133">
                  <c:v>4.7429048380130262E-3</c:v>
                </c:pt>
                <c:pt idx="134">
                  <c:v>4.796213636595794E-3</c:v>
                </c:pt>
                <c:pt idx="135">
                  <c:v>4.849270508277435E-3</c:v>
                </c:pt>
                <c:pt idx="136">
                  <c:v>4.9017774821662084E-3</c:v>
                </c:pt>
                <c:pt idx="137">
                  <c:v>4.9537282947227836E-3</c:v>
                </c:pt>
                <c:pt idx="138">
                  <c:v>5.0049504657906476E-3</c:v>
                </c:pt>
                <c:pt idx="139">
                  <c:v>5.0554204732511637E-3</c:v>
                </c:pt>
                <c:pt idx="140">
                  <c:v>5.1052263951924613E-3</c:v>
                </c:pt>
                <c:pt idx="141">
                  <c:v>5.1542547796259728E-3</c:v>
                </c:pt>
                <c:pt idx="142">
                  <c:v>5.2025716871045404E-3</c:v>
                </c:pt>
                <c:pt idx="143">
                  <c:v>5.2499436401184122E-3</c:v>
                </c:pt>
                <c:pt idx="144">
                  <c:v>5.2964979519155124E-3</c:v>
                </c:pt>
                <c:pt idx="145">
                  <c:v>5.3421412290754139E-3</c:v>
                </c:pt>
                <c:pt idx="146">
                  <c:v>5.3870506555693453E-3</c:v>
                </c:pt>
                <c:pt idx="147">
                  <c:v>5.4314501406328292E-3</c:v>
                </c:pt>
                <c:pt idx="148">
                  <c:v>5.4752274017244324E-3</c:v>
                </c:pt>
                <c:pt idx="149">
                  <c:v>5.5184822299739408E-3</c:v>
                </c:pt>
                <c:pt idx="150">
                  <c:v>5.5612655602783308E-3</c:v>
                </c:pt>
                <c:pt idx="151">
                  <c:v>5.6037500716428264E-3</c:v>
                </c:pt>
                <c:pt idx="152">
                  <c:v>5.6461164676077525E-3</c:v>
                </c:pt>
                <c:pt idx="153">
                  <c:v>5.6884118448301841E-3</c:v>
                </c:pt>
                <c:pt idx="154">
                  <c:v>5.7307631653660792E-3</c:v>
                </c:pt>
                <c:pt idx="155">
                  <c:v>5.7732175356954374E-3</c:v>
                </c:pt>
                <c:pt idx="156">
                  <c:v>5.8157571943732479E-3</c:v>
                </c:pt>
                <c:pt idx="157">
                  <c:v>5.8584844575536033E-3</c:v>
                </c:pt>
                <c:pt idx="158">
                  <c:v>5.901432380410937E-3</c:v>
                </c:pt>
                <c:pt idx="159">
                  <c:v>5.9446224128817888E-3</c:v>
                </c:pt>
                <c:pt idx="160">
                  <c:v>5.9880513350207033E-3</c:v>
                </c:pt>
                <c:pt idx="161">
                  <c:v>6.0316831761200538E-3</c:v>
                </c:pt>
                <c:pt idx="162">
                  <c:v>6.0755122608298143E-3</c:v>
                </c:pt>
                <c:pt idx="163">
                  <c:v>6.1197727655972183E-3</c:v>
                </c:pt>
                <c:pt idx="164">
                  <c:v>6.1644959355126195E-3</c:v>
                </c:pt>
                <c:pt idx="165">
                  <c:v>6.209809832098654E-3</c:v>
                </c:pt>
                <c:pt idx="166">
                  <c:v>6.255690789979616E-3</c:v>
                </c:pt>
                <c:pt idx="167">
                  <c:v>6.302167826168336E-3</c:v>
                </c:pt>
                <c:pt idx="168">
                  <c:v>6.3495169645332167E-3</c:v>
                </c:pt>
                <c:pt idx="169">
                  <c:v>6.3972469885379482E-3</c:v>
                </c:pt>
                <c:pt idx="170">
                  <c:v>6.4450803007314846E-3</c:v>
                </c:pt>
                <c:pt idx="171">
                  <c:v>6.4927739154911398E-3</c:v>
                </c:pt>
                <c:pt idx="172">
                  <c:v>6.5399418961995942E-3</c:v>
                </c:pt>
                <c:pt idx="173">
                  <c:v>6.5864349797951326E-3</c:v>
                </c:pt>
                <c:pt idx="174">
                  <c:v>6.6319100584933764E-3</c:v>
                </c:pt>
                <c:pt idx="175">
                  <c:v>6.6762187555863394E-3</c:v>
                </c:pt>
                <c:pt idx="176">
                  <c:v>6.7189703692187852E-3</c:v>
                </c:pt>
                <c:pt idx="177">
                  <c:v>6.7598310298984977E-3</c:v>
                </c:pt>
                <c:pt idx="178">
                  <c:v>6.7986867720353549E-3</c:v>
                </c:pt>
                <c:pt idx="179">
                  <c:v>6.8351310586995204E-3</c:v>
                </c:pt>
                <c:pt idx="180">
                  <c:v>6.8691055298730347E-3</c:v>
                </c:pt>
                <c:pt idx="181">
                  <c:v>6.9006166770704865E-3</c:v>
                </c:pt>
                <c:pt idx="182">
                  <c:v>6.929942526805735E-3</c:v>
                </c:pt>
                <c:pt idx="183">
                  <c:v>6.9574669244964913E-3</c:v>
                </c:pt>
                <c:pt idx="184">
                  <c:v>6.9832848316422605E-3</c:v>
                </c:pt>
                <c:pt idx="185">
                  <c:v>7.0077446333446942E-3</c:v>
                </c:pt>
                <c:pt idx="186">
                  <c:v>7.0310612318752914E-3</c:v>
                </c:pt>
                <c:pt idx="187">
                  <c:v>7.0536806045546985E-3</c:v>
                </c:pt>
                <c:pt idx="188">
                  <c:v>7.0757718807171223E-3</c:v>
                </c:pt>
                <c:pt idx="189">
                  <c:v>7.0976481843934855E-3</c:v>
                </c:pt>
                <c:pt idx="190">
                  <c:v>7.1196470563276255E-3</c:v>
                </c:pt>
                <c:pt idx="191">
                  <c:v>7.1421282836774333E-3</c:v>
                </c:pt>
                <c:pt idx="192">
                  <c:v>7.1651529470360756E-3</c:v>
                </c:pt>
                <c:pt idx="193">
                  <c:v>7.1888681835152865E-3</c:v>
                </c:pt>
                <c:pt idx="194">
                  <c:v>7.2132576257399718E-3</c:v>
                </c:pt>
                <c:pt idx="195">
                  <c:v>7.2381743578896762E-3</c:v>
                </c:pt>
                <c:pt idx="196">
                  <c:v>7.2636244653081885E-3</c:v>
                </c:pt>
                <c:pt idx="197">
                  <c:v>7.2895160316272835E-3</c:v>
                </c:pt>
                <c:pt idx="198">
                  <c:v>7.3155771183554194E-3</c:v>
                </c:pt>
                <c:pt idx="199">
                  <c:v>7.3421087850489303E-3</c:v>
                </c:pt>
                <c:pt idx="200">
                  <c:v>7.36863390714434E-3</c:v>
                </c:pt>
                <c:pt idx="201">
                  <c:v>7.395261379930157E-3</c:v>
                </c:pt>
                <c:pt idx="202">
                  <c:v>7.4219516978921542E-3</c:v>
                </c:pt>
                <c:pt idx="203">
                  <c:v>7.4485668905258512E-3</c:v>
                </c:pt>
                <c:pt idx="204">
                  <c:v>7.4750734270273948E-3</c:v>
                </c:pt>
                <c:pt idx="205">
                  <c:v>7.5012826125372672E-3</c:v>
                </c:pt>
                <c:pt idx="206">
                  <c:v>7.5272601226973566E-3</c:v>
                </c:pt>
                <c:pt idx="207">
                  <c:v>7.5530622972921988E-3</c:v>
                </c:pt>
                <c:pt idx="208">
                  <c:v>7.5787494020310604E-3</c:v>
                </c:pt>
                <c:pt idx="209">
                  <c:v>7.604152764283674E-3</c:v>
                </c:pt>
                <c:pt idx="210">
                  <c:v>7.6295447438280116E-3</c:v>
                </c:pt>
                <c:pt idx="211">
                  <c:v>7.6549021692279484E-3</c:v>
                </c:pt>
                <c:pt idx="212">
                  <c:v>7.6802999340103775E-3</c:v>
                </c:pt>
                <c:pt idx="213">
                  <c:v>7.7056313196374911E-3</c:v>
                </c:pt>
                <c:pt idx="214">
                  <c:v>7.730891453087016E-3</c:v>
                </c:pt>
                <c:pt idx="215">
                  <c:v>7.7560821575377754E-3</c:v>
                </c:pt>
                <c:pt idx="216">
                  <c:v>7.7813117799634462E-3</c:v>
                </c:pt>
                <c:pt idx="217">
                  <c:v>7.8065615676365021E-3</c:v>
                </c:pt>
                <c:pt idx="218">
                  <c:v>7.8318324403649879E-3</c:v>
                </c:pt>
                <c:pt idx="219">
                  <c:v>7.8570372316662702E-3</c:v>
                </c:pt>
                <c:pt idx="220">
                  <c:v>7.8823061269395912E-3</c:v>
                </c:pt>
                <c:pt idx="221">
                  <c:v>7.9077328497150785E-3</c:v>
                </c:pt>
                <c:pt idx="222">
                  <c:v>7.9332253591361673E-3</c:v>
                </c:pt>
                <c:pt idx="223">
                  <c:v>7.958940310621266E-3</c:v>
                </c:pt>
                <c:pt idx="224">
                  <c:v>7.9847452751731045E-3</c:v>
                </c:pt>
                <c:pt idx="225">
                  <c:v>8.0106720626725789E-3</c:v>
                </c:pt>
                <c:pt idx="226">
                  <c:v>8.0368741718806445E-3</c:v>
                </c:pt>
                <c:pt idx="227">
                  <c:v>8.0633395995436639E-3</c:v>
                </c:pt>
                <c:pt idx="228">
                  <c:v>8.0900451788505322E-3</c:v>
                </c:pt>
                <c:pt idx="229">
                  <c:v>8.1169307578192601E-3</c:v>
                </c:pt>
                <c:pt idx="230">
                  <c:v>8.143806491074922E-3</c:v>
                </c:pt>
                <c:pt idx="231">
                  <c:v>8.1707277149402121E-3</c:v>
                </c:pt>
                <c:pt idx="232">
                  <c:v>8.1973179590288121E-3</c:v>
                </c:pt>
                <c:pt idx="233">
                  <c:v>8.223589304181992E-3</c:v>
                </c:pt>
                <c:pt idx="234">
                  <c:v>8.2493954917750942E-3</c:v>
                </c:pt>
                <c:pt idx="235">
                  <c:v>8.2746476621749741E-3</c:v>
                </c:pt>
                <c:pt idx="236">
                  <c:v>8.2990410456860193E-3</c:v>
                </c:pt>
                <c:pt idx="237">
                  <c:v>8.3224499326914128E-3</c:v>
                </c:pt>
                <c:pt idx="238">
                  <c:v>8.3448848691779383E-3</c:v>
                </c:pt>
                <c:pt idx="239">
                  <c:v>8.366064275507408E-3</c:v>
                </c:pt>
                <c:pt idx="240">
                  <c:v>8.3859845216456511E-3</c:v>
                </c:pt>
                <c:pt idx="241">
                  <c:v>8.404782597768147E-3</c:v>
                </c:pt>
                <c:pt idx="242">
                  <c:v>8.4225374014517407E-3</c:v>
                </c:pt>
                <c:pt idx="243">
                  <c:v>8.4394471489323154E-3</c:v>
                </c:pt>
                <c:pt idx="244">
                  <c:v>8.4555946509810125E-3</c:v>
                </c:pt>
                <c:pt idx="245">
                  <c:v>8.471087703746152E-3</c:v>
                </c:pt>
                <c:pt idx="246">
                  <c:v>8.4860710765117843E-3</c:v>
                </c:pt>
                <c:pt idx="247">
                  <c:v>8.5007053102021755E-3</c:v>
                </c:pt>
                <c:pt idx="248">
                  <c:v>8.515085663074861E-3</c:v>
                </c:pt>
                <c:pt idx="249">
                  <c:v>8.5292768641086619E-3</c:v>
                </c:pt>
                <c:pt idx="250">
                  <c:v>8.5435373291507903E-3</c:v>
                </c:pt>
                <c:pt idx="251">
                  <c:v>8.5581077906599339E-3</c:v>
                </c:pt>
                <c:pt idx="252">
                  <c:v>8.572937699810523E-3</c:v>
                </c:pt>
                <c:pt idx="253">
                  <c:v>8.5880975697552632E-3</c:v>
                </c:pt>
                <c:pt idx="254">
                  <c:v>8.6035156296474947E-3</c:v>
                </c:pt>
                <c:pt idx="255">
                  <c:v>8.6192048244483847E-3</c:v>
                </c:pt>
                <c:pt idx="256">
                  <c:v>8.6350648678880995E-3</c:v>
                </c:pt>
                <c:pt idx="257">
                  <c:v>8.650928376517316E-3</c:v>
                </c:pt>
                <c:pt idx="258">
                  <c:v>8.6669938465063837E-3</c:v>
                </c:pt>
                <c:pt idx="259">
                  <c:v>8.683229354250999E-3</c:v>
                </c:pt>
                <c:pt idx="260">
                  <c:v>8.6994650304407211E-3</c:v>
                </c:pt>
                <c:pt idx="261">
                  <c:v>8.7157261576270746E-3</c:v>
                </c:pt>
                <c:pt idx="262">
                  <c:v>8.732135546642851E-3</c:v>
                </c:pt>
                <c:pt idx="263">
                  <c:v>8.7486331111861423E-3</c:v>
                </c:pt>
                <c:pt idx="264">
                  <c:v>8.7650957033728848E-3</c:v>
                </c:pt>
                <c:pt idx="265">
                  <c:v>8.7816446374282386E-3</c:v>
                </c:pt>
                <c:pt idx="266">
                  <c:v>8.7981552951155468E-3</c:v>
                </c:pt>
                <c:pt idx="267">
                  <c:v>8.8147058436876362E-3</c:v>
                </c:pt>
                <c:pt idx="268">
                  <c:v>8.8312299141600874E-3</c:v>
                </c:pt>
                <c:pt idx="269">
                  <c:v>8.8477624948199336E-3</c:v>
                </c:pt>
                <c:pt idx="270">
                  <c:v>8.8642024151683301E-3</c:v>
                </c:pt>
                <c:pt idx="271">
                  <c:v>8.8804902771959463E-3</c:v>
                </c:pt>
                <c:pt idx="272">
                  <c:v>8.8965351097493803E-3</c:v>
                </c:pt>
                <c:pt idx="273">
                  <c:v>8.9125488735207412E-3</c:v>
                </c:pt>
                <c:pt idx="274">
                  <c:v>8.9285751578114317E-3</c:v>
                </c:pt>
                <c:pt idx="275">
                  <c:v>8.9444422475618776E-3</c:v>
                </c:pt>
                <c:pt idx="276">
                  <c:v>8.9601406774480127E-3</c:v>
                </c:pt>
                <c:pt idx="277">
                  <c:v>8.975768065005529E-3</c:v>
                </c:pt>
                <c:pt idx="278">
                  <c:v>8.9913986950250543E-3</c:v>
                </c:pt>
                <c:pt idx="279">
                  <c:v>9.0071522189892738E-3</c:v>
                </c:pt>
                <c:pt idx="280">
                  <c:v>9.0231926075252551E-3</c:v>
                </c:pt>
                <c:pt idx="281">
                  <c:v>9.0394714250584731E-3</c:v>
                </c:pt>
                <c:pt idx="282">
                  <c:v>9.0560226476735107E-3</c:v>
                </c:pt>
                <c:pt idx="283">
                  <c:v>9.0730432401483086E-3</c:v>
                </c:pt>
                <c:pt idx="284">
                  <c:v>9.0904294302806554E-3</c:v>
                </c:pt>
                <c:pt idx="285">
                  <c:v>9.1081883179969306E-3</c:v>
                </c:pt>
                <c:pt idx="286">
                  <c:v>9.1264222934017807E-3</c:v>
                </c:pt>
                <c:pt idx="287">
                  <c:v>9.1454463375736667E-3</c:v>
                </c:pt>
                <c:pt idx="288">
                  <c:v>9.1651130388706713E-3</c:v>
                </c:pt>
                <c:pt idx="289">
                  <c:v>9.1851284242454902E-3</c:v>
                </c:pt>
                <c:pt idx="290">
                  <c:v>9.2053353037752934E-3</c:v>
                </c:pt>
                <c:pt idx="291">
                  <c:v>9.2254470276062032E-3</c:v>
                </c:pt>
                <c:pt idx="292">
                  <c:v>9.2451562346478403E-3</c:v>
                </c:pt>
                <c:pt idx="293">
                  <c:v>9.2641563546014861E-3</c:v>
                </c:pt>
                <c:pt idx="294">
                  <c:v>9.2822410213410332E-3</c:v>
                </c:pt>
                <c:pt idx="295">
                  <c:v>9.299113095123622E-3</c:v>
                </c:pt>
                <c:pt idx="296">
                  <c:v>9.3143211822658348E-3</c:v>
                </c:pt>
                <c:pt idx="297">
                  <c:v>9.3275751926154282E-3</c:v>
                </c:pt>
                <c:pt idx="298">
                  <c:v>9.33882897226543E-3</c:v>
                </c:pt>
                <c:pt idx="299">
                  <c:v>9.3476735853817144E-3</c:v>
                </c:pt>
                <c:pt idx="300">
                  <c:v>9.3536554576941211E-3</c:v>
                </c:pt>
                <c:pt idx="301">
                  <c:v>9.3571116615365733E-3</c:v>
                </c:pt>
                <c:pt idx="302">
                  <c:v>9.3584481205233484E-3</c:v>
                </c:pt>
                <c:pt idx="303">
                  <c:v>9.3578995022281751E-3</c:v>
                </c:pt>
                <c:pt idx="304">
                  <c:v>9.3556867973092518E-3</c:v>
                </c:pt>
                <c:pt idx="305">
                  <c:v>9.3522516232536386E-3</c:v>
                </c:pt>
                <c:pt idx="306">
                  <c:v>9.3477767080331897E-3</c:v>
                </c:pt>
                <c:pt idx="307">
                  <c:v>9.3424733402896979E-3</c:v>
                </c:pt>
                <c:pt idx="308">
                  <c:v>9.3368215899570697E-3</c:v>
                </c:pt>
                <c:pt idx="309">
                  <c:v>9.3311827561156219E-3</c:v>
                </c:pt>
                <c:pt idx="310">
                  <c:v>9.3257643904892558E-3</c:v>
                </c:pt>
                <c:pt idx="311">
                  <c:v>9.320703880005065E-3</c:v>
                </c:pt>
                <c:pt idx="312">
                  <c:v>9.3161912383585739E-3</c:v>
                </c:pt>
                <c:pt idx="313">
                  <c:v>9.3124488969569645E-3</c:v>
                </c:pt>
                <c:pt idx="314">
                  <c:v>9.3093160362545668E-3</c:v>
                </c:pt>
                <c:pt idx="315">
                  <c:v>9.3066253539108093E-3</c:v>
                </c:pt>
                <c:pt idx="316">
                  <c:v>9.3042759242897618E-3</c:v>
                </c:pt>
                <c:pt idx="317">
                  <c:v>9.3021756023364717E-3</c:v>
                </c:pt>
                <c:pt idx="318">
                  <c:v>9.3003275711627253E-3</c:v>
                </c:pt>
                <c:pt idx="319">
                  <c:v>9.2986004843368213E-3</c:v>
                </c:pt>
                <c:pt idx="320">
                  <c:v>9.2969579265323368E-3</c:v>
                </c:pt>
                <c:pt idx="321">
                  <c:v>9.2952961008888821E-3</c:v>
                </c:pt>
                <c:pt idx="322">
                  <c:v>9.2934740956940633E-3</c:v>
                </c:pt>
                <c:pt idx="323">
                  <c:v>9.2915056024559795E-3</c:v>
                </c:pt>
                <c:pt idx="324">
                  <c:v>9.2893872453257906E-3</c:v>
                </c:pt>
                <c:pt idx="325">
                  <c:v>9.2872381537877201E-3</c:v>
                </c:pt>
                <c:pt idx="326">
                  <c:v>9.2849779281244122E-3</c:v>
                </c:pt>
                <c:pt idx="327">
                  <c:v>9.2825885148126262E-3</c:v>
                </c:pt>
                <c:pt idx="328">
                  <c:v>9.2801155181588511E-3</c:v>
                </c:pt>
                <c:pt idx="329">
                  <c:v>9.2776606778764252E-3</c:v>
                </c:pt>
                <c:pt idx="330">
                  <c:v>9.2751408766032183E-3</c:v>
                </c:pt>
                <c:pt idx="331">
                  <c:v>9.2726009411745365E-3</c:v>
                </c:pt>
                <c:pt idx="332">
                  <c:v>9.2700415722022644E-3</c:v>
                </c:pt>
                <c:pt idx="333">
                  <c:v>9.2676189931494256E-3</c:v>
                </c:pt>
                <c:pt idx="334">
                  <c:v>9.2652465050203723E-3</c:v>
                </c:pt>
                <c:pt idx="335">
                  <c:v>9.2629779436921716E-3</c:v>
                </c:pt>
                <c:pt idx="336">
                  <c:v>9.260660487270856E-3</c:v>
                </c:pt>
                <c:pt idx="337">
                  <c:v>9.2583769227667888E-3</c:v>
                </c:pt>
                <c:pt idx="338">
                  <c:v>9.2562590560881456E-3</c:v>
                </c:pt>
                <c:pt idx="339">
                  <c:v>9.2541449810264187E-3</c:v>
                </c:pt>
                <c:pt idx="340">
                  <c:v>9.2521431014449575E-3</c:v>
                </c:pt>
                <c:pt idx="341">
                  <c:v>9.2502039900268108E-3</c:v>
                </c:pt>
                <c:pt idx="342">
                  <c:v>9.2482691087039208E-3</c:v>
                </c:pt>
                <c:pt idx="343">
                  <c:v>9.2461911471218919E-3</c:v>
                </c:pt>
                <c:pt idx="344">
                  <c:v>9.2441240389391673E-3</c:v>
                </c:pt>
                <c:pt idx="345">
                  <c:v>9.2419989745389126E-3</c:v>
                </c:pt>
                <c:pt idx="346">
                  <c:v>9.2397919188082125E-3</c:v>
                </c:pt>
                <c:pt idx="347">
                  <c:v>9.2376097618149695E-3</c:v>
                </c:pt>
                <c:pt idx="348">
                  <c:v>9.235256224377061E-3</c:v>
                </c:pt>
                <c:pt idx="349">
                  <c:v>9.2329672545209893E-3</c:v>
                </c:pt>
                <c:pt idx="350">
                  <c:v>9.2307826848220201E-3</c:v>
                </c:pt>
                <c:pt idx="351">
                  <c:v>9.2286124914201465E-3</c:v>
                </c:pt>
                <c:pt idx="352">
                  <c:v>9.2265309025682252E-3</c:v>
                </c:pt>
                <c:pt idx="353">
                  <c:v>9.224423192101032E-3</c:v>
                </c:pt>
                <c:pt idx="354">
                  <c:v>9.2222825818638783E-3</c:v>
                </c:pt>
                <c:pt idx="355">
                  <c:v>9.2201347598464198E-3</c:v>
                </c:pt>
                <c:pt idx="356">
                  <c:v>9.2178848335724133E-3</c:v>
                </c:pt>
                <c:pt idx="357">
                  <c:v>9.2155180822299648E-3</c:v>
                </c:pt>
                <c:pt idx="358">
                  <c:v>9.2131476850424998E-3</c:v>
                </c:pt>
                <c:pt idx="359">
                  <c:v>9.210721616234499E-3</c:v>
                </c:pt>
                <c:pt idx="360">
                  <c:v>9.2082270164013536E-3</c:v>
                </c:pt>
                <c:pt idx="361">
                  <c:v>9.2058655760434063E-3</c:v>
                </c:pt>
                <c:pt idx="362">
                  <c:v>9.2035735683140205E-3</c:v>
                </c:pt>
                <c:pt idx="363">
                  <c:v>9.2013290814431867E-3</c:v>
                </c:pt>
                <c:pt idx="364">
                  <c:v>9.199217645116475E-3</c:v>
                </c:pt>
                <c:pt idx="365">
                  <c:v>9.1971194872097692E-3</c:v>
                </c:pt>
                <c:pt idx="366">
                  <c:v>9.1949826613046716E-3</c:v>
                </c:pt>
                <c:pt idx="367">
                  <c:v>9.1930302335094492E-3</c:v>
                </c:pt>
                <c:pt idx="368">
                  <c:v>9.191084558819583E-3</c:v>
                </c:pt>
                <c:pt idx="369">
                  <c:v>9.1893314680567169E-3</c:v>
                </c:pt>
                <c:pt idx="370">
                  <c:v>9.1876898997340396E-3</c:v>
                </c:pt>
                <c:pt idx="371">
                  <c:v>9.1859398791901276E-3</c:v>
                </c:pt>
                <c:pt idx="372">
                  <c:v>9.1842070239358722E-3</c:v>
                </c:pt>
                <c:pt idx="373">
                  <c:v>9.1824826788833962E-3</c:v>
                </c:pt>
                <c:pt idx="374">
                  <c:v>9.1806894390139941E-3</c:v>
                </c:pt>
                <c:pt idx="375">
                  <c:v>9.1789600384020575E-3</c:v>
                </c:pt>
                <c:pt idx="376">
                  <c:v>9.1772489711221296E-3</c:v>
                </c:pt>
                <c:pt idx="377">
                  <c:v>9.175416865301116E-3</c:v>
                </c:pt>
                <c:pt idx="378">
                  <c:v>9.1735830017433979E-3</c:v>
                </c:pt>
                <c:pt idx="379">
                  <c:v>9.1718342046223159E-3</c:v>
                </c:pt>
                <c:pt idx="380">
                  <c:v>9.1700937133242649E-3</c:v>
                </c:pt>
                <c:pt idx="381">
                  <c:v>9.1684999201274413E-3</c:v>
                </c:pt>
                <c:pt idx="382">
                  <c:v>9.1669913187625608E-3</c:v>
                </c:pt>
                <c:pt idx="383">
                  <c:v>9.1655483265209239E-3</c:v>
                </c:pt>
                <c:pt idx="384">
                  <c:v>9.1640760336280051E-3</c:v>
                </c:pt>
                <c:pt idx="385">
                  <c:v>9.1625607855730772E-3</c:v>
                </c:pt>
                <c:pt idx="386">
                  <c:v>9.1610343273345139E-3</c:v>
                </c:pt>
                <c:pt idx="387">
                  <c:v>9.1594196284672299E-3</c:v>
                </c:pt>
                <c:pt idx="388">
                  <c:v>9.1578793223005515E-3</c:v>
                </c:pt>
                <c:pt idx="389">
                  <c:v>9.1565205364104313E-3</c:v>
                </c:pt>
                <c:pt idx="390">
                  <c:v>9.155063610371373E-3</c:v>
                </c:pt>
                <c:pt idx="391">
                  <c:v>9.1534740181693809E-3</c:v>
                </c:pt>
                <c:pt idx="392">
                  <c:v>9.1517502758600468E-3</c:v>
                </c:pt>
                <c:pt idx="393">
                  <c:v>9.1498649130489305E-3</c:v>
                </c:pt>
                <c:pt idx="394">
                  <c:v>9.1480304452369217E-3</c:v>
                </c:pt>
                <c:pt idx="395">
                  <c:v>9.1462647671579286E-3</c:v>
                </c:pt>
                <c:pt idx="396">
                  <c:v>9.1446578831927347E-3</c:v>
                </c:pt>
                <c:pt idx="397">
                  <c:v>9.1430368960821601E-3</c:v>
                </c:pt>
                <c:pt idx="398">
                  <c:v>9.1414018521412642E-3</c:v>
                </c:pt>
                <c:pt idx="399">
                  <c:v>9.1397653727637515E-3</c:v>
                </c:pt>
                <c:pt idx="400">
                  <c:v>9.1381815342076837E-3</c:v>
                </c:pt>
                <c:pt idx="401">
                  <c:v>9.1364919288991694E-3</c:v>
                </c:pt>
                <c:pt idx="402">
                  <c:v>9.1347531138315854E-3</c:v>
                </c:pt>
                <c:pt idx="403">
                  <c:v>9.1328329069114127E-3</c:v>
                </c:pt>
                <c:pt idx="404">
                  <c:v>9.1310359983946716E-3</c:v>
                </c:pt>
                <c:pt idx="405">
                  <c:v>9.1292030496584187E-3</c:v>
                </c:pt>
                <c:pt idx="406">
                  <c:v>9.1273250189179006E-3</c:v>
                </c:pt>
                <c:pt idx="407">
                  <c:v>9.1254143249232828E-3</c:v>
                </c:pt>
                <c:pt idx="408">
                  <c:v>9.1236103420291974E-3</c:v>
                </c:pt>
                <c:pt idx="409">
                  <c:v>9.12176159551999E-3</c:v>
                </c:pt>
                <c:pt idx="410">
                  <c:v>9.1198878267609584E-3</c:v>
                </c:pt>
                <c:pt idx="411">
                  <c:v>9.1181022470999528E-3</c:v>
                </c:pt>
                <c:pt idx="412">
                  <c:v>9.1164327722364734E-3</c:v>
                </c:pt>
                <c:pt idx="413">
                  <c:v>9.1148177588855905E-3</c:v>
                </c:pt>
                <c:pt idx="414">
                  <c:v>9.113297107095528E-3</c:v>
                </c:pt>
                <c:pt idx="415">
                  <c:v>9.1118062613846345E-3</c:v>
                </c:pt>
                <c:pt idx="416">
                  <c:v>9.1103734174871106E-3</c:v>
                </c:pt>
                <c:pt idx="417">
                  <c:v>9.1089121103142025E-3</c:v>
                </c:pt>
                <c:pt idx="418">
                  <c:v>9.1073797197601322E-3</c:v>
                </c:pt>
                <c:pt idx="419">
                  <c:v>9.1058657969691689E-3</c:v>
                </c:pt>
                <c:pt idx="420">
                  <c:v>9.1042637119462186E-3</c:v>
                </c:pt>
                <c:pt idx="421">
                  <c:v>9.1026724972331184E-3</c:v>
                </c:pt>
                <c:pt idx="422">
                  <c:v>9.1010713786869694E-3</c:v>
                </c:pt>
                <c:pt idx="423">
                  <c:v>9.0993810185431463E-3</c:v>
                </c:pt>
                <c:pt idx="424">
                  <c:v>9.0975389703711069E-3</c:v>
                </c:pt>
                <c:pt idx="425">
                  <c:v>9.095615258589422E-3</c:v>
                </c:pt>
                <c:pt idx="426">
                  <c:v>9.0937391030344854E-3</c:v>
                </c:pt>
                <c:pt idx="427">
                  <c:v>9.0918311613897677E-3</c:v>
                </c:pt>
                <c:pt idx="428">
                  <c:v>9.0897402046312172E-3</c:v>
                </c:pt>
                <c:pt idx="429">
                  <c:v>9.08762004813507E-3</c:v>
                </c:pt>
                <c:pt idx="430">
                  <c:v>9.0855682482980388E-3</c:v>
                </c:pt>
                <c:pt idx="431">
                  <c:v>9.08355257896158E-3</c:v>
                </c:pt>
                <c:pt idx="432">
                  <c:v>9.0815318769964619E-3</c:v>
                </c:pt>
                <c:pt idx="433">
                  <c:v>9.0795567924866292E-3</c:v>
                </c:pt>
                <c:pt idx="434">
                  <c:v>9.0774456972578486E-3</c:v>
                </c:pt>
                <c:pt idx="435">
                  <c:v>9.075379924141121E-3</c:v>
                </c:pt>
                <c:pt idx="436">
                  <c:v>9.0733716689678778E-3</c:v>
                </c:pt>
                <c:pt idx="437">
                  <c:v>9.0714374818698425E-3</c:v>
                </c:pt>
                <c:pt idx="438">
                  <c:v>9.0696003778301029E-3</c:v>
                </c:pt>
                <c:pt idx="439">
                  <c:v>9.0676473671142815E-3</c:v>
                </c:pt>
                <c:pt idx="440">
                  <c:v>9.0656468991133984E-3</c:v>
                </c:pt>
                <c:pt idx="441">
                  <c:v>9.0637684625073048E-3</c:v>
                </c:pt>
                <c:pt idx="442">
                  <c:v>9.0618286046916068E-3</c:v>
                </c:pt>
                <c:pt idx="443">
                  <c:v>9.059863220301112E-3</c:v>
                </c:pt>
                <c:pt idx="444">
                  <c:v>9.0578887158320361E-3</c:v>
                </c:pt>
                <c:pt idx="445">
                  <c:v>9.0558986274646008E-3</c:v>
                </c:pt>
                <c:pt idx="446">
                  <c:v>9.05386159795828E-3</c:v>
                </c:pt>
                <c:pt idx="447">
                  <c:v>9.0518934068772264E-3</c:v>
                </c:pt>
                <c:pt idx="448">
                  <c:v>9.0500038812272397E-3</c:v>
                </c:pt>
                <c:pt idx="449">
                  <c:v>9.0481858958036659E-3</c:v>
                </c:pt>
                <c:pt idx="450">
                  <c:v>9.0461602739073336E-3</c:v>
                </c:pt>
                <c:pt idx="451">
                  <c:v>9.0439911128994948E-3</c:v>
                </c:pt>
                <c:pt idx="452">
                  <c:v>9.0418296234947067E-3</c:v>
                </c:pt>
                <c:pt idx="453">
                  <c:v>9.0395409973762202E-3</c:v>
                </c:pt>
                <c:pt idx="454">
                  <c:v>9.0371986871001612E-3</c:v>
                </c:pt>
                <c:pt idx="455">
                  <c:v>9.0348933178307413E-3</c:v>
                </c:pt>
                <c:pt idx="456">
                  <c:v>9.0327305846807215E-3</c:v>
                </c:pt>
                <c:pt idx="457">
                  <c:v>9.0305739591017599E-3</c:v>
                </c:pt>
                <c:pt idx="458">
                  <c:v>9.0283722268795046E-3</c:v>
                </c:pt>
                <c:pt idx="459">
                  <c:v>9.0262684453633717E-3</c:v>
                </c:pt>
                <c:pt idx="460">
                  <c:v>9.0241642852209054E-3</c:v>
                </c:pt>
                <c:pt idx="461">
                  <c:v>9.0220930722885485E-3</c:v>
                </c:pt>
                <c:pt idx="462">
                  <c:v>9.0200792251234965E-3</c:v>
                </c:pt>
                <c:pt idx="463">
                  <c:v>9.0181068625760866E-3</c:v>
                </c:pt>
                <c:pt idx="464">
                  <c:v>9.0160248368856208E-3</c:v>
                </c:pt>
                <c:pt idx="465">
                  <c:v>9.0138439485719524E-3</c:v>
                </c:pt>
                <c:pt idx="466">
                  <c:v>9.0115049840689895E-3</c:v>
                </c:pt>
                <c:pt idx="467">
                  <c:v>9.0093013786362586E-3</c:v>
                </c:pt>
                <c:pt idx="468">
                  <c:v>9.0071297184405943E-3</c:v>
                </c:pt>
                <c:pt idx="469">
                  <c:v>9.0049381637368024E-3</c:v>
                </c:pt>
                <c:pt idx="470">
                  <c:v>9.0028906589256896E-3</c:v>
                </c:pt>
                <c:pt idx="471">
                  <c:v>9.0009507215473468E-3</c:v>
                </c:pt>
                <c:pt idx="472">
                  <c:v>8.9990419374605616E-3</c:v>
                </c:pt>
                <c:pt idx="473">
                  <c:v>8.9970420180832365E-3</c:v>
                </c:pt>
                <c:pt idx="474">
                  <c:v>8.9950786283609363E-3</c:v>
                </c:pt>
                <c:pt idx="475">
                  <c:v>8.9931005088977889E-3</c:v>
                </c:pt>
                <c:pt idx="476">
                  <c:v>8.9912146688232858E-3</c:v>
                </c:pt>
                <c:pt idx="477">
                  <c:v>8.9893576905810783E-3</c:v>
                </c:pt>
                <c:pt idx="478">
                  <c:v>8.9874717467854897E-3</c:v>
                </c:pt>
                <c:pt idx="479">
                  <c:v>8.9856180423844474E-3</c:v>
                </c:pt>
                <c:pt idx="480">
                  <c:v>8.9837061752676278E-3</c:v>
                </c:pt>
                <c:pt idx="481">
                  <c:v>8.9818391876526783E-3</c:v>
                </c:pt>
                <c:pt idx="482">
                  <c:v>8.9799858998067632E-3</c:v>
                </c:pt>
                <c:pt idx="483">
                  <c:v>8.9781558234438077E-3</c:v>
                </c:pt>
                <c:pt idx="484">
                  <c:v>8.9763421799392701E-3</c:v>
                </c:pt>
                <c:pt idx="485">
                  <c:v>8.9744972506466559E-3</c:v>
                </c:pt>
                <c:pt idx="486">
                  <c:v>8.9726627119989816E-3</c:v>
                </c:pt>
                <c:pt idx="487">
                  <c:v>8.9706914025900718E-3</c:v>
                </c:pt>
                <c:pt idx="488">
                  <c:v>8.968713173125557E-3</c:v>
                </c:pt>
                <c:pt idx="489">
                  <c:v>8.9669108564096444E-3</c:v>
                </c:pt>
                <c:pt idx="490">
                  <c:v>8.9652593791376082E-3</c:v>
                </c:pt>
                <c:pt idx="491">
                  <c:v>8.9637844881044395E-3</c:v>
                </c:pt>
                <c:pt idx="492">
                  <c:v>8.9622949931624629E-3</c:v>
                </c:pt>
                <c:pt idx="493">
                  <c:v>8.9607792002850649E-3</c:v>
                </c:pt>
                <c:pt idx="494">
                  <c:v>8.9592330209168625E-3</c:v>
                </c:pt>
                <c:pt idx="495">
                  <c:v>8.9577483139950294E-3</c:v>
                </c:pt>
                <c:pt idx="496">
                  <c:v>8.9564082573098704E-3</c:v>
                </c:pt>
                <c:pt idx="497">
                  <c:v>8.9549767408736176E-3</c:v>
                </c:pt>
                <c:pt idx="498">
                  <c:v>8.9533964177383359E-3</c:v>
                </c:pt>
                <c:pt idx="499">
                  <c:v>8.9518957750625953E-3</c:v>
                </c:pt>
                <c:pt idx="500">
                  <c:v>8.9505958670015907E-3</c:v>
                </c:pt>
                <c:pt idx="501">
                  <c:v>8.949329292870763E-3</c:v>
                </c:pt>
                <c:pt idx="502">
                  <c:v>8.948039261017126E-3</c:v>
                </c:pt>
                <c:pt idx="503">
                  <c:v>8.9466458120909843E-3</c:v>
                </c:pt>
                <c:pt idx="504">
                  <c:v>8.945261809181964E-3</c:v>
                </c:pt>
                <c:pt idx="505">
                  <c:v>8.9439081107018752E-3</c:v>
                </c:pt>
                <c:pt idx="506">
                  <c:v>8.9425038864834067E-3</c:v>
                </c:pt>
                <c:pt idx="507">
                  <c:v>8.9409832588288555E-3</c:v>
                </c:pt>
                <c:pt idx="508">
                  <c:v>8.9392727809018604E-3</c:v>
                </c:pt>
                <c:pt idx="509">
                  <c:v>8.9374799916419282E-3</c:v>
                </c:pt>
                <c:pt idx="510">
                  <c:v>8.9357371528451541E-3</c:v>
                </c:pt>
                <c:pt idx="511">
                  <c:v>8.9341625802252522E-3</c:v>
                </c:pt>
                <c:pt idx="512">
                  <c:v>8.9324129141150465E-3</c:v>
                </c:pt>
                <c:pt idx="513">
                  <c:v>8.9306104700523064E-3</c:v>
                </c:pt>
                <c:pt idx="514">
                  <c:v>8.9287454399226678E-3</c:v>
                </c:pt>
                <c:pt idx="515">
                  <c:v>8.926992015570864E-3</c:v>
                </c:pt>
                <c:pt idx="516">
                  <c:v>8.9251951868543657E-3</c:v>
                </c:pt>
                <c:pt idx="517">
                  <c:v>8.9233119165634533E-3</c:v>
                </c:pt>
                <c:pt idx="518">
                  <c:v>8.9213041600004414E-3</c:v>
                </c:pt>
                <c:pt idx="519">
                  <c:v>8.9192099541937457E-3</c:v>
                </c:pt>
                <c:pt idx="520">
                  <c:v>8.9171003956679783E-3</c:v>
                </c:pt>
                <c:pt idx="521">
                  <c:v>8.9149588191688514E-3</c:v>
                </c:pt>
                <c:pt idx="522">
                  <c:v>8.9129237802908646E-3</c:v>
                </c:pt>
                <c:pt idx="523">
                  <c:v>8.9110417718964718E-3</c:v>
                </c:pt>
                <c:pt idx="524">
                  <c:v>8.9092636491655934E-3</c:v>
                </c:pt>
                <c:pt idx="525">
                  <c:v>8.9076075279818784E-3</c:v>
                </c:pt>
                <c:pt idx="526">
                  <c:v>8.9061199868303801E-3</c:v>
                </c:pt>
                <c:pt idx="527">
                  <c:v>8.9047361198923789E-3</c:v>
                </c:pt>
                <c:pt idx="528">
                  <c:v>8.9034569908774362E-3</c:v>
                </c:pt>
                <c:pt idx="529">
                  <c:v>8.9021789580413964E-3</c:v>
                </c:pt>
                <c:pt idx="530">
                  <c:v>8.9008585844675761E-3</c:v>
                </c:pt>
                <c:pt idx="531">
                  <c:v>8.8995634995898583E-3</c:v>
                </c:pt>
                <c:pt idx="532">
                  <c:v>8.8982938030345762E-3</c:v>
                </c:pt>
                <c:pt idx="533">
                  <c:v>8.8971618222051067E-3</c:v>
                </c:pt>
                <c:pt idx="534">
                  <c:v>8.8959335245969232E-3</c:v>
                </c:pt>
                <c:pt idx="535">
                  <c:v>8.8946304698842502E-3</c:v>
                </c:pt>
                <c:pt idx="536">
                  <c:v>8.8932737885471704E-3</c:v>
                </c:pt>
                <c:pt idx="537">
                  <c:v>8.8918373377232709E-3</c:v>
                </c:pt>
                <c:pt idx="538">
                  <c:v>8.8904175997143384E-3</c:v>
                </c:pt>
                <c:pt idx="539">
                  <c:v>8.8888586230086285E-3</c:v>
                </c:pt>
                <c:pt idx="540">
                  <c:v>8.8872187196681312E-3</c:v>
                </c:pt>
                <c:pt idx="541">
                  <c:v>8.8854520735675482E-3</c:v>
                </c:pt>
                <c:pt idx="542">
                  <c:v>8.8836988558844872E-3</c:v>
                </c:pt>
                <c:pt idx="543">
                  <c:v>8.8820403459995579E-3</c:v>
                </c:pt>
                <c:pt idx="544">
                  <c:v>8.8805232000322368E-3</c:v>
                </c:pt>
                <c:pt idx="545">
                  <c:v>8.8791381879759004E-3</c:v>
                </c:pt>
                <c:pt idx="546">
                  <c:v>8.8778370386420474E-3</c:v>
                </c:pt>
                <c:pt idx="547">
                  <c:v>8.8766878864908645E-3</c:v>
                </c:pt>
                <c:pt idx="548">
                  <c:v>8.8756907589667804E-3</c:v>
                </c:pt>
                <c:pt idx="549">
                  <c:v>8.8746320915872728E-3</c:v>
                </c:pt>
                <c:pt idx="550">
                  <c:v>8.8735115979599669E-3</c:v>
                </c:pt>
                <c:pt idx="551">
                  <c:v>8.8724070412996604E-3</c:v>
                </c:pt>
                <c:pt idx="552">
                  <c:v>8.8715376314834008E-3</c:v>
                </c:pt>
                <c:pt idx="553">
                  <c:v>8.8707716597053905E-3</c:v>
                </c:pt>
                <c:pt idx="554">
                  <c:v>8.8699717161495016E-3</c:v>
                </c:pt>
                <c:pt idx="555">
                  <c:v>8.8690870468425276E-3</c:v>
                </c:pt>
                <c:pt idx="556">
                  <c:v>8.8684043550559099E-3</c:v>
                </c:pt>
                <c:pt idx="557">
                  <c:v>8.8676672683514132E-3</c:v>
                </c:pt>
                <c:pt idx="558">
                  <c:v>8.8669759144843364E-3</c:v>
                </c:pt>
                <c:pt idx="559">
                  <c:v>8.8660400708763867E-3</c:v>
                </c:pt>
                <c:pt idx="560">
                  <c:v>8.8649258636801283E-3</c:v>
                </c:pt>
                <c:pt idx="561">
                  <c:v>8.8638116063439552E-3</c:v>
                </c:pt>
                <c:pt idx="562">
                  <c:v>8.8626730353730948E-3</c:v>
                </c:pt>
                <c:pt idx="563">
                  <c:v>8.8615987258454081E-3</c:v>
                </c:pt>
                <c:pt idx="564">
                  <c:v>8.8605514992039867E-3</c:v>
                </c:pt>
                <c:pt idx="565">
                  <c:v>8.8596086564177289E-3</c:v>
                </c:pt>
                <c:pt idx="566">
                  <c:v>8.8586033663313121E-3</c:v>
                </c:pt>
                <c:pt idx="567">
                  <c:v>8.8576791333057209E-3</c:v>
                </c:pt>
                <c:pt idx="568">
                  <c:v>8.8567394714951647E-3</c:v>
                </c:pt>
                <c:pt idx="569">
                  <c:v>8.8559768540122045E-3</c:v>
                </c:pt>
                <c:pt idx="570">
                  <c:v>8.8553064519774852E-3</c:v>
                </c:pt>
                <c:pt idx="571">
                  <c:v>8.8547900675681017E-3</c:v>
                </c:pt>
                <c:pt idx="572">
                  <c:v>8.8542151330446017E-3</c:v>
                </c:pt>
                <c:pt idx="573">
                  <c:v>8.8536671085514482E-3</c:v>
                </c:pt>
                <c:pt idx="574">
                  <c:v>8.8533119144408642E-3</c:v>
                </c:pt>
                <c:pt idx="575">
                  <c:v>8.8528532774987054E-3</c:v>
                </c:pt>
                <c:pt idx="576">
                  <c:v>8.8523028081615544E-3</c:v>
                </c:pt>
                <c:pt idx="577">
                  <c:v>8.8516688554002472E-3</c:v>
                </c:pt>
                <c:pt idx="578">
                  <c:v>8.8509589901043864E-3</c:v>
                </c:pt>
                <c:pt idx="579">
                  <c:v>8.8501691211974962E-3</c:v>
                </c:pt>
                <c:pt idx="580">
                  <c:v>8.8494226468299447E-3</c:v>
                </c:pt>
                <c:pt idx="581">
                  <c:v>8.8487977572027955E-3</c:v>
                </c:pt>
                <c:pt idx="582">
                  <c:v>8.8481184204080836E-3</c:v>
                </c:pt>
                <c:pt idx="583">
                  <c:v>8.847358467534195E-3</c:v>
                </c:pt>
                <c:pt idx="584">
                  <c:v>8.846627483137531E-3</c:v>
                </c:pt>
                <c:pt idx="585">
                  <c:v>8.846023031877457E-3</c:v>
                </c:pt>
                <c:pt idx="586">
                  <c:v>8.8454302605814432E-3</c:v>
                </c:pt>
                <c:pt idx="587">
                  <c:v>8.8448639190844419E-3</c:v>
                </c:pt>
                <c:pt idx="588">
                  <c:v>8.8443421173640575E-3</c:v>
                </c:pt>
                <c:pt idx="589">
                  <c:v>8.8438231788663547E-3</c:v>
                </c:pt>
                <c:pt idx="590">
                  <c:v>8.8432207350268265E-3</c:v>
                </c:pt>
                <c:pt idx="591">
                  <c:v>8.8426593006080689E-3</c:v>
                </c:pt>
                <c:pt idx="592">
                  <c:v>8.8422396671957969E-3</c:v>
                </c:pt>
                <c:pt idx="593">
                  <c:v>8.8418321297859363E-3</c:v>
                </c:pt>
                <c:pt idx="594">
                  <c:v>8.8415056132773173E-3</c:v>
                </c:pt>
                <c:pt idx="595">
                  <c:v>8.8412582836837859E-3</c:v>
                </c:pt>
                <c:pt idx="596">
                  <c:v>8.8412355490358526E-3</c:v>
                </c:pt>
                <c:pt idx="597">
                  <c:v>8.8411366952601718E-3</c:v>
                </c:pt>
                <c:pt idx="598">
                  <c:v>8.8408510279374859E-3</c:v>
                </c:pt>
                <c:pt idx="599">
                  <c:v>8.8408371522079952E-3</c:v>
                </c:pt>
                <c:pt idx="600">
                  <c:v>8.8409055119047265E-3</c:v>
                </c:pt>
                <c:pt idx="601">
                  <c:v>8.8410592369572837E-3</c:v>
                </c:pt>
                <c:pt idx="602">
                  <c:v>8.8412303894003508E-3</c:v>
                </c:pt>
                <c:pt idx="603">
                  <c:v>8.8414947930015638E-3</c:v>
                </c:pt>
                <c:pt idx="604">
                  <c:v>8.841888464744603E-3</c:v>
                </c:pt>
                <c:pt idx="605">
                  <c:v>8.8424277309098343E-3</c:v>
                </c:pt>
                <c:pt idx="606">
                  <c:v>8.8430289194419524E-3</c:v>
                </c:pt>
                <c:pt idx="607">
                  <c:v>8.8435692332259012E-3</c:v>
                </c:pt>
                <c:pt idx="608">
                  <c:v>8.8442492514609235E-3</c:v>
                </c:pt>
                <c:pt idx="609">
                  <c:v>8.8450672078891207E-3</c:v>
                </c:pt>
                <c:pt idx="610">
                  <c:v>8.8460680082721628E-3</c:v>
                </c:pt>
                <c:pt idx="611">
                  <c:v>8.8471475526710561E-3</c:v>
                </c:pt>
                <c:pt idx="612">
                  <c:v>8.848294891138352E-3</c:v>
                </c:pt>
                <c:pt idx="613">
                  <c:v>8.8494593448887604E-3</c:v>
                </c:pt>
                <c:pt idx="614">
                  <c:v>8.8506622160409165E-3</c:v>
                </c:pt>
                <c:pt idx="615">
                  <c:v>8.8517887351716763E-3</c:v>
                </c:pt>
                <c:pt idx="616">
                  <c:v>8.8529679580064309E-3</c:v>
                </c:pt>
                <c:pt idx="617">
                  <c:v>8.8540745447191309E-3</c:v>
                </c:pt>
                <c:pt idx="618">
                  <c:v>8.8551105505420072E-3</c:v>
                </c:pt>
                <c:pt idx="619">
                  <c:v>8.8560364457874411E-3</c:v>
                </c:pt>
                <c:pt idx="620">
                  <c:v>8.8571138275662809E-3</c:v>
                </c:pt>
                <c:pt idx="621">
                  <c:v>8.8585054333043846E-3</c:v>
                </c:pt>
                <c:pt idx="622">
                  <c:v>8.8599897291794343E-3</c:v>
                </c:pt>
                <c:pt idx="623">
                  <c:v>8.8614062858154794E-3</c:v>
                </c:pt>
                <c:pt idx="624">
                  <c:v>8.8629123926803246E-3</c:v>
                </c:pt>
                <c:pt idx="625">
                  <c:v>8.8645154471232897E-3</c:v>
                </c:pt>
                <c:pt idx="626">
                  <c:v>8.8662242033035812E-3</c:v>
                </c:pt>
                <c:pt idx="627">
                  <c:v>8.8678339946830047E-3</c:v>
                </c:pt>
                <c:pt idx="628">
                  <c:v>8.8695403154635758E-3</c:v>
                </c:pt>
                <c:pt idx="629">
                  <c:v>8.8712410164471841E-3</c:v>
                </c:pt>
                <c:pt idx="630">
                  <c:v>8.8729203631259263E-3</c:v>
                </c:pt>
                <c:pt idx="631">
                  <c:v>8.8746448692733678E-3</c:v>
                </c:pt>
                <c:pt idx="632">
                  <c:v>8.8765892540447217E-3</c:v>
                </c:pt>
                <c:pt idx="633">
                  <c:v>8.8786237415991124E-3</c:v>
                </c:pt>
                <c:pt idx="634">
                  <c:v>8.8805989234724426E-3</c:v>
                </c:pt>
                <c:pt idx="635">
                  <c:v>8.8824849593979668E-3</c:v>
                </c:pt>
                <c:pt idx="636">
                  <c:v>8.884254472841243E-3</c:v>
                </c:pt>
                <c:pt idx="637">
                  <c:v>8.8860161758505495E-3</c:v>
                </c:pt>
                <c:pt idx="638">
                  <c:v>8.8878538929767319E-3</c:v>
                </c:pt>
                <c:pt idx="639">
                  <c:v>8.8895876943972142E-3</c:v>
                </c:pt>
                <c:pt idx="640">
                  <c:v>8.8912924086402677E-3</c:v>
                </c:pt>
                <c:pt idx="641">
                  <c:v>8.8930996917607145E-3</c:v>
                </c:pt>
                <c:pt idx="642">
                  <c:v>8.8949081776093595E-3</c:v>
                </c:pt>
                <c:pt idx="643">
                  <c:v>8.896566497553866E-3</c:v>
                </c:pt>
                <c:pt idx="644">
                  <c:v>8.8981806593854892E-3</c:v>
                </c:pt>
                <c:pt idx="645">
                  <c:v>8.8998061245414567E-3</c:v>
                </c:pt>
                <c:pt idx="646">
                  <c:v>8.9015179120120278E-3</c:v>
                </c:pt>
                <c:pt idx="647">
                  <c:v>8.903214265500517E-3</c:v>
                </c:pt>
                <c:pt idx="648">
                  <c:v>8.9049999095818563E-3</c:v>
                </c:pt>
                <c:pt idx="649">
                  <c:v>8.9065958068126443E-3</c:v>
                </c:pt>
                <c:pt idx="650">
                  <c:v>8.9081841972082736E-3</c:v>
                </c:pt>
                <c:pt idx="651">
                  <c:v>8.9097516297163958E-3</c:v>
                </c:pt>
                <c:pt idx="652">
                  <c:v>8.9114287322092315E-3</c:v>
                </c:pt>
                <c:pt idx="653">
                  <c:v>8.9132197272163705E-3</c:v>
                </c:pt>
                <c:pt idx="654">
                  <c:v>8.9150042429168904E-3</c:v>
                </c:pt>
                <c:pt idx="655">
                  <c:v>8.916870381423957E-3</c:v>
                </c:pt>
                <c:pt idx="656">
                  <c:v>8.9186663616614616E-3</c:v>
                </c:pt>
                <c:pt idx="657">
                  <c:v>8.9204500433079925E-3</c:v>
                </c:pt>
                <c:pt idx="658">
                  <c:v>8.9222060908111418E-3</c:v>
                </c:pt>
                <c:pt idx="659">
                  <c:v>8.9237256897056333E-3</c:v>
                </c:pt>
                <c:pt idx="660">
                  <c:v>8.9253212098267878E-3</c:v>
                </c:pt>
                <c:pt idx="661">
                  <c:v>8.926941421104272E-3</c:v>
                </c:pt>
                <c:pt idx="662">
                  <c:v>8.9284690218388307E-3</c:v>
                </c:pt>
                <c:pt idx="663">
                  <c:v>8.9300967608687346E-3</c:v>
                </c:pt>
                <c:pt idx="664">
                  <c:v>8.9316856512701819E-3</c:v>
                </c:pt>
                <c:pt idx="665">
                  <c:v>8.9332764956285803E-3</c:v>
                </c:pt>
                <c:pt idx="666">
                  <c:v>8.9349180549099707E-3</c:v>
                </c:pt>
                <c:pt idx="667">
                  <c:v>8.9365976240221336E-3</c:v>
                </c:pt>
                <c:pt idx="668">
                  <c:v>8.9384687710253527E-3</c:v>
                </c:pt>
                <c:pt idx="669">
                  <c:v>8.9403337981064403E-3</c:v>
                </c:pt>
                <c:pt idx="670">
                  <c:v>8.9422192736465442E-3</c:v>
                </c:pt>
                <c:pt idx="671">
                  <c:v>8.9443383514106658E-3</c:v>
                </c:pt>
                <c:pt idx="672">
                  <c:v>8.946528937436575E-3</c:v>
                </c:pt>
                <c:pt idx="673">
                  <c:v>8.9488511527419361E-3</c:v>
                </c:pt>
                <c:pt idx="674">
                  <c:v>8.9509944413066981E-3</c:v>
                </c:pt>
                <c:pt idx="675">
                  <c:v>8.9531180500026508E-3</c:v>
                </c:pt>
                <c:pt idx="676">
                  <c:v>8.9552608766780388E-3</c:v>
                </c:pt>
                <c:pt idx="677">
                  <c:v>8.9574170207575386E-3</c:v>
                </c:pt>
                <c:pt idx="678">
                  <c:v>8.9594326089903042E-3</c:v>
                </c:pt>
                <c:pt idx="679">
                  <c:v>8.9615106470800222E-3</c:v>
                </c:pt>
                <c:pt idx="680">
                  <c:v>8.9634864574415409E-3</c:v>
                </c:pt>
                <c:pt idx="681">
                  <c:v>8.9653165089596167E-3</c:v>
                </c:pt>
                <c:pt idx="682">
                  <c:v>8.9669809540712346E-3</c:v>
                </c:pt>
                <c:pt idx="683">
                  <c:v>8.968774103673258E-3</c:v>
                </c:pt>
                <c:pt idx="684">
                  <c:v>8.9706149220798032E-3</c:v>
                </c:pt>
                <c:pt idx="685">
                  <c:v>8.9727203187315255E-3</c:v>
                </c:pt>
                <c:pt idx="686">
                  <c:v>8.9748710045296255E-3</c:v>
                </c:pt>
                <c:pt idx="687">
                  <c:v>8.9770068076390017E-3</c:v>
                </c:pt>
                <c:pt idx="688">
                  <c:v>8.9792256344524944E-3</c:v>
                </c:pt>
                <c:pt idx="689">
                  <c:v>8.9814346193557125E-3</c:v>
                </c:pt>
                <c:pt idx="690">
                  <c:v>8.9835021247638477E-3</c:v>
                </c:pt>
                <c:pt idx="691">
                  <c:v>8.9855058572960791E-3</c:v>
                </c:pt>
                <c:pt idx="692">
                  <c:v>8.9874087856159652E-3</c:v>
                </c:pt>
                <c:pt idx="693">
                  <c:v>8.9894592307248299E-3</c:v>
                </c:pt>
                <c:pt idx="694">
                  <c:v>8.9913005922368748E-3</c:v>
                </c:pt>
                <c:pt idx="695">
                  <c:v>8.9932222264016183E-3</c:v>
                </c:pt>
                <c:pt idx="696">
                  <c:v>8.9952516836592881E-3</c:v>
                </c:pt>
                <c:pt idx="697">
                  <c:v>8.9973392046027306E-3</c:v>
                </c:pt>
                <c:pt idx="698">
                  <c:v>8.9993217647840271E-3</c:v>
                </c:pt>
                <c:pt idx="699">
                  <c:v>9.0013059030673841E-3</c:v>
                </c:pt>
                <c:pt idx="700">
                  <c:v>9.0032652910994257E-3</c:v>
                </c:pt>
                <c:pt idx="701">
                  <c:v>9.0053140208675633E-3</c:v>
                </c:pt>
                <c:pt idx="702">
                  <c:v>9.0073052865078732E-3</c:v>
                </c:pt>
                <c:pt idx="703">
                  <c:v>9.0092693509832913E-3</c:v>
                </c:pt>
                <c:pt idx="704">
                  <c:v>9.0110582049833868E-3</c:v>
                </c:pt>
                <c:pt idx="705">
                  <c:v>9.0128026505889476E-3</c:v>
                </c:pt>
                <c:pt idx="706">
                  <c:v>9.0147067432775792E-3</c:v>
                </c:pt>
                <c:pt idx="707">
                  <c:v>9.0167595038040393E-3</c:v>
                </c:pt>
                <c:pt idx="708">
                  <c:v>9.0187760810382205E-3</c:v>
                </c:pt>
                <c:pt idx="709">
                  <c:v>9.0206944716504523E-3</c:v>
                </c:pt>
                <c:pt idx="710">
                  <c:v>9.02249983539344E-3</c:v>
                </c:pt>
                <c:pt idx="711">
                  <c:v>9.0243320563961459E-3</c:v>
                </c:pt>
                <c:pt idx="712">
                  <c:v>9.026207424513346E-3</c:v>
                </c:pt>
                <c:pt idx="713">
                  <c:v>9.0279162858021601E-3</c:v>
                </c:pt>
                <c:pt idx="714">
                  <c:v>9.0296795594112019E-3</c:v>
                </c:pt>
                <c:pt idx="715">
                  <c:v>9.0315129242030234E-3</c:v>
                </c:pt>
                <c:pt idx="716">
                  <c:v>9.0332513353905478E-3</c:v>
                </c:pt>
                <c:pt idx="717">
                  <c:v>9.0350295688038894E-3</c:v>
                </c:pt>
                <c:pt idx="718">
                  <c:v>9.0369771495048389E-3</c:v>
                </c:pt>
                <c:pt idx="719">
                  <c:v>9.0389687168767902E-3</c:v>
                </c:pt>
              </c:numCache>
            </c:numRef>
          </c:val>
          <c:smooth val="0"/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noFill/>
            </c:spPr>
          </c:marker>
          <c:val>
            <c:numRef>
              <c:f>Output!$AC$12:$AC$731</c:f>
              <c:numCache>
                <c:formatCode>General</c:formatCode>
                <c:ptCount val="720"/>
                <c:pt idx="0">
                  <c:v>1.0999996019999999E-3</c:v>
                </c:pt>
                <c:pt idx="1">
                  <c:v>1.1000000000000001E-3</c:v>
                </c:pt>
                <c:pt idx="2">
                  <c:v>1.100000398E-3</c:v>
                </c:pt>
                <c:pt idx="3">
                  <c:v>1.1000000000000001E-3</c:v>
                </c:pt>
                <c:pt idx="4">
                  <c:v>1.0999985250000001E-3</c:v>
                </c:pt>
                <c:pt idx="5">
                  <c:v>1.0999977579999999E-3</c:v>
                </c:pt>
                <c:pt idx="6">
                  <c:v>1.1000000000000001E-3</c:v>
                </c:pt>
                <c:pt idx="7">
                  <c:v>1.1000066009999999E-3</c:v>
                </c:pt>
                <c:pt idx="8">
                  <c:v>1.100015105E-3</c:v>
                </c:pt>
                <c:pt idx="9">
                  <c:v>1.100022105E-3</c:v>
                </c:pt>
                <c:pt idx="10">
                  <c:v>1.1000241919999999E-3</c:v>
                </c:pt>
                <c:pt idx="11">
                  <c:v>1.1000179600000001E-3</c:v>
                </c:pt>
                <c:pt idx="12">
                  <c:v>1.1003025E-3</c:v>
                </c:pt>
                <c:pt idx="13">
                  <c:v>1.1005112990000001E-3</c:v>
                </c:pt>
                <c:pt idx="14">
                  <c:v>1.1005600679999999E-3</c:v>
                </c:pt>
                <c:pt idx="15">
                  <c:v>1.10049375E-3</c:v>
                </c:pt>
                <c:pt idx="16">
                  <c:v>1.1003572870000001E-3</c:v>
                </c:pt>
                <c:pt idx="17">
                  <c:v>1.1001956219999999E-3</c:v>
                </c:pt>
                <c:pt idx="18">
                  <c:v>1.100053697E-3</c:v>
                </c:pt>
                <c:pt idx="19">
                  <c:v>1.0999679780000001E-3</c:v>
                </c:pt>
                <c:pt idx="20">
                  <c:v>1.099941026E-3</c:v>
                </c:pt>
                <c:pt idx="21">
                  <c:v>1.0999669279999999E-3</c:v>
                </c:pt>
                <c:pt idx="22">
                  <c:v>1.1000397680000001E-3</c:v>
                </c:pt>
                <c:pt idx="23">
                  <c:v>1.1001536310000001E-3</c:v>
                </c:pt>
                <c:pt idx="24">
                  <c:v>1.100302603E-3</c:v>
                </c:pt>
                <c:pt idx="25">
                  <c:v>1.100479471E-3</c:v>
                </c:pt>
                <c:pt idx="26">
                  <c:v>1.100671835E-3</c:v>
                </c:pt>
                <c:pt idx="27">
                  <c:v>1.1008659970000001E-3</c:v>
                </c:pt>
                <c:pt idx="28">
                  <c:v>1.1010482569999999E-3</c:v>
                </c:pt>
                <c:pt idx="29">
                  <c:v>1.101204918E-3</c:v>
                </c:pt>
                <c:pt idx="30">
                  <c:v>1.101322281E-3</c:v>
                </c:pt>
                <c:pt idx="31">
                  <c:v>1.1013860360000001E-3</c:v>
                </c:pt>
                <c:pt idx="32">
                  <c:v>1.10137943E-3</c:v>
                </c:pt>
                <c:pt idx="33">
                  <c:v>1.1012850990000001E-3</c:v>
                </c:pt>
                <c:pt idx="34">
                  <c:v>1.101085677E-3</c:v>
                </c:pt>
                <c:pt idx="35">
                  <c:v>1.1007637990000001E-3</c:v>
                </c:pt>
                <c:pt idx="36">
                  <c:v>1.1003021010000001E-3</c:v>
                </c:pt>
                <c:pt idx="37">
                  <c:v>1.0996903359999999E-3</c:v>
                </c:pt>
                <c:pt idx="38">
                  <c:v>1.0989467310000001E-3</c:v>
                </c:pt>
                <c:pt idx="39">
                  <c:v>1.0980966300000001E-3</c:v>
                </c:pt>
                <c:pt idx="40">
                  <c:v>1.097165378E-3</c:v>
                </c:pt>
                <c:pt idx="41">
                  <c:v>1.096178319E-3</c:v>
                </c:pt>
                <c:pt idx="42">
                  <c:v>1.095160799E-3</c:v>
                </c:pt>
                <c:pt idx="43">
                  <c:v>1.0941381210000001E-3</c:v>
                </c:pt>
                <c:pt idx="44">
                  <c:v>1.0931354229999999E-3</c:v>
                </c:pt>
                <c:pt idx="45">
                  <c:v>1.092177803E-3</c:v>
                </c:pt>
                <c:pt idx="46">
                  <c:v>1.0912903580000001E-3</c:v>
                </c:pt>
                <c:pt idx="47">
                  <c:v>1.090498186E-3</c:v>
                </c:pt>
                <c:pt idx="48">
                  <c:v>1.0898263830000001E-3</c:v>
                </c:pt>
                <c:pt idx="49">
                  <c:v>1.0893000610000001E-3</c:v>
                </c:pt>
                <c:pt idx="50">
                  <c:v>1.0889443910000001E-3</c:v>
                </c:pt>
                <c:pt idx="51">
                  <c:v>1.0887845569999999E-3</c:v>
                </c:pt>
                <c:pt idx="52">
                  <c:v>1.088845744E-3</c:v>
                </c:pt>
                <c:pt idx="53">
                  <c:v>1.0891531349999999E-3</c:v>
                </c:pt>
                <c:pt idx="54">
                  <c:v>1.0897319150000001E-3</c:v>
                </c:pt>
                <c:pt idx="55">
                  <c:v>1.090607268E-3</c:v>
                </c:pt>
                <c:pt idx="56">
                  <c:v>1.091804379E-3</c:v>
                </c:pt>
                <c:pt idx="57">
                  <c:v>1.0933484320000001E-3</c:v>
                </c:pt>
                <c:pt idx="58">
                  <c:v>1.095264612E-3</c:v>
                </c:pt>
                <c:pt idx="59">
                  <c:v>1.0975781019999999E-3</c:v>
                </c:pt>
                <c:pt idx="60">
                  <c:v>1.1003140869999999E-3</c:v>
                </c:pt>
                <c:pt idx="61">
                  <c:v>1.103511047E-3</c:v>
                </c:pt>
                <c:pt idx="62">
                  <c:v>1.1072606459999999E-3</c:v>
                </c:pt>
                <c:pt idx="63">
                  <c:v>1.1116678450000001E-3</c:v>
                </c:pt>
                <c:pt idx="64">
                  <c:v>1.116837605E-3</c:v>
                </c:pt>
                <c:pt idx="65">
                  <c:v>1.122874886E-3</c:v>
                </c:pt>
                <c:pt idx="66">
                  <c:v>1.1298846470000001E-3</c:v>
                </c:pt>
                <c:pt idx="67">
                  <c:v>1.1379719050000001E-3</c:v>
                </c:pt>
                <c:pt idx="68">
                  <c:v>1.1472418939999999E-3</c:v>
                </c:pt>
                <c:pt idx="69">
                  <c:v>1.157799902E-3</c:v>
                </c:pt>
                <c:pt idx="70">
                  <c:v>1.1697512189999999E-3</c:v>
                </c:pt>
                <c:pt idx="71">
                  <c:v>1.1832011329999999E-3</c:v>
                </c:pt>
                <c:pt idx="72">
                  <c:v>1.1982549329999999E-3</c:v>
                </c:pt>
                <c:pt idx="73">
                  <c:v>1.2150180169999999E-3</c:v>
                </c:pt>
                <c:pt idx="74">
                  <c:v>1.233596217E-3</c:v>
                </c:pt>
                <c:pt idx="75">
                  <c:v>1.2540954740000001E-3</c:v>
                </c:pt>
                <c:pt idx="76">
                  <c:v>1.27662173E-3</c:v>
                </c:pt>
                <c:pt idx="77">
                  <c:v>1.3012809259999999E-3</c:v>
                </c:pt>
                <c:pt idx="78">
                  <c:v>1.3281790020000001E-3</c:v>
                </c:pt>
                <c:pt idx="79">
                  <c:v>1.3574221540000001E-3</c:v>
                </c:pt>
                <c:pt idx="80">
                  <c:v>1.3891175930000001E-3</c:v>
                </c:pt>
                <c:pt idx="81">
                  <c:v>1.4233727829999999E-3</c:v>
                </c:pt>
                <c:pt idx="82">
                  <c:v>1.460295189E-3</c:v>
                </c:pt>
                <c:pt idx="83">
                  <c:v>1.4999922750000001E-3</c:v>
                </c:pt>
                <c:pt idx="84">
                  <c:v>1.5425715080000001E-3</c:v>
                </c:pt>
                <c:pt idx="85">
                  <c:v>1.5881007540000001E-3</c:v>
                </c:pt>
                <c:pt idx="86">
                  <c:v>1.636489502E-3</c:v>
                </c:pt>
                <c:pt idx="87">
                  <c:v>1.6876076400000001E-3</c:v>
                </c:pt>
                <c:pt idx="88">
                  <c:v>1.7413250599999999E-3</c:v>
                </c:pt>
                <c:pt idx="89">
                  <c:v>1.7975116509999999E-3</c:v>
                </c:pt>
                <c:pt idx="90">
                  <c:v>1.8560373039999999E-3</c:v>
                </c:pt>
                <c:pt idx="91">
                  <c:v>1.9167717889999999E-3</c:v>
                </c:pt>
                <c:pt idx="92">
                  <c:v>1.9795843940000001E-3</c:v>
                </c:pt>
                <c:pt idx="93">
                  <c:v>2.0443442880000002E-3</c:v>
                </c:pt>
                <c:pt idx="94">
                  <c:v>2.1109206390000001E-3</c:v>
                </c:pt>
                <c:pt idx="95">
                  <c:v>2.1791826160000001E-3</c:v>
                </c:pt>
                <c:pt idx="96">
                  <c:v>2.248999387E-3</c:v>
                </c:pt>
                <c:pt idx="97">
                  <c:v>2.3202398879999999E-3</c:v>
                </c:pt>
                <c:pt idx="98">
                  <c:v>2.392772131E-3</c:v>
                </c:pt>
                <c:pt idx="99">
                  <c:v>2.4664638939999998E-3</c:v>
                </c:pt>
                <c:pt idx="100">
                  <c:v>2.541182958E-3</c:v>
                </c:pt>
                <c:pt idx="101">
                  <c:v>2.6167971020000002E-3</c:v>
                </c:pt>
                <c:pt idx="102">
                  <c:v>2.693174104E-3</c:v>
                </c:pt>
                <c:pt idx="103">
                  <c:v>2.7701813990000002E-3</c:v>
                </c:pt>
                <c:pt idx="104">
                  <c:v>2.8476850359999998E-3</c:v>
                </c:pt>
                <c:pt idx="105">
                  <c:v>2.925550719E-3</c:v>
                </c:pt>
                <c:pt idx="106">
                  <c:v>3.003644154E-3</c:v>
                </c:pt>
                <c:pt idx="107">
                  <c:v>3.081831043E-3</c:v>
                </c:pt>
                <c:pt idx="108">
                  <c:v>3.1599770920000001E-3</c:v>
                </c:pt>
                <c:pt idx="109">
                  <c:v>3.2379476149999998E-3</c:v>
                </c:pt>
                <c:pt idx="110">
                  <c:v>3.3156063719999998E-3</c:v>
                </c:pt>
                <c:pt idx="111">
                  <c:v>3.392816733E-3</c:v>
                </c:pt>
                <c:pt idx="112">
                  <c:v>3.4694420689999998E-3</c:v>
                </c:pt>
                <c:pt idx="113">
                  <c:v>3.5453457510000001E-3</c:v>
                </c:pt>
                <c:pt idx="114">
                  <c:v>3.620391148E-3</c:v>
                </c:pt>
                <c:pt idx="115">
                  <c:v>3.6944411879999998E-3</c:v>
                </c:pt>
                <c:pt idx="116">
                  <c:v>3.7673570230000002E-3</c:v>
                </c:pt>
                <c:pt idx="117">
                  <c:v>3.8389993609999999E-3</c:v>
                </c:pt>
                <c:pt idx="118">
                  <c:v>3.9092289119999997E-3</c:v>
                </c:pt>
                <c:pt idx="119">
                  <c:v>3.9779063829999996E-3</c:v>
                </c:pt>
                <c:pt idx="120">
                  <c:v>4.0448924840000003E-3</c:v>
                </c:pt>
                <c:pt idx="121">
                  <c:v>4.1100847479999996E-3</c:v>
                </c:pt>
                <c:pt idx="122">
                  <c:v>4.1735280120000001E-3</c:v>
                </c:pt>
                <c:pt idx="123">
                  <c:v>4.2353039359999999E-3</c:v>
                </c:pt>
                <c:pt idx="124">
                  <c:v>4.2954941819999997E-3</c:v>
                </c:pt>
                <c:pt idx="125">
                  <c:v>4.3541804100000001E-3</c:v>
                </c:pt>
                <c:pt idx="126">
                  <c:v>4.4114442809999998E-3</c:v>
                </c:pt>
                <c:pt idx="127">
                  <c:v>4.4673677480000003E-3</c:v>
                </c:pt>
                <c:pt idx="128">
                  <c:v>4.5220339250000002E-3</c:v>
                </c:pt>
                <c:pt idx="129">
                  <c:v>4.5755262150000003E-3</c:v>
                </c:pt>
                <c:pt idx="130">
                  <c:v>4.6279280230000002E-3</c:v>
                </c:pt>
                <c:pt idx="131">
                  <c:v>4.6793227540000001E-3</c:v>
                </c:pt>
                <c:pt idx="132">
                  <c:v>4.7297938119999997E-3</c:v>
                </c:pt>
                <c:pt idx="133">
                  <c:v>4.7794247860000003E-3</c:v>
                </c:pt>
                <c:pt idx="134">
                  <c:v>4.8283000070000002E-3</c:v>
                </c:pt>
                <c:pt idx="135">
                  <c:v>4.8765039869999999E-3</c:v>
                </c:pt>
                <c:pt idx="136">
                  <c:v>4.924121242E-3</c:v>
                </c:pt>
                <c:pt idx="137">
                  <c:v>4.9712362849999997E-3</c:v>
                </c:pt>
                <c:pt idx="138">
                  <c:v>5.0179336299999997E-3</c:v>
                </c:pt>
                <c:pt idx="139">
                  <c:v>5.064298008E-3</c:v>
                </c:pt>
                <c:pt idx="140">
                  <c:v>5.1104150069999996E-3</c:v>
                </c:pt>
                <c:pt idx="141">
                  <c:v>5.1563704320000004E-3</c:v>
                </c:pt>
                <c:pt idx="142">
                  <c:v>5.2022500879999999E-3</c:v>
                </c:pt>
                <c:pt idx="143">
                  <c:v>5.2481397789999997E-3</c:v>
                </c:pt>
                <c:pt idx="144">
                  <c:v>5.2941253099999998E-3</c:v>
                </c:pt>
                <c:pt idx="145">
                  <c:v>5.3402747960000002E-3</c:v>
                </c:pt>
                <c:pt idx="146">
                  <c:v>5.3865856020000004E-3</c:v>
                </c:pt>
                <c:pt idx="147">
                  <c:v>5.4330374000000001E-3</c:v>
                </c:pt>
                <c:pt idx="148">
                  <c:v>5.4796098670000003E-3</c:v>
                </c:pt>
                <c:pt idx="149">
                  <c:v>5.5262826769999999E-3</c:v>
                </c:pt>
                <c:pt idx="150">
                  <c:v>5.5730355040000002E-3</c:v>
                </c:pt>
                <c:pt idx="151">
                  <c:v>5.619847953E-3</c:v>
                </c:pt>
                <c:pt idx="152">
                  <c:v>5.6666993509999998E-3</c:v>
                </c:pt>
                <c:pt idx="153">
                  <c:v>5.7135689560000001E-3</c:v>
                </c:pt>
                <c:pt idx="154">
                  <c:v>5.7604360250000002E-3</c:v>
                </c:pt>
                <c:pt idx="155">
                  <c:v>5.8072798159999996E-3</c:v>
                </c:pt>
                <c:pt idx="156">
                  <c:v>5.8540795869999997E-3</c:v>
                </c:pt>
                <c:pt idx="157">
                  <c:v>5.9008145440000003E-3</c:v>
                </c:pt>
                <c:pt idx="158">
                  <c:v>5.9474636930000003E-3</c:v>
                </c:pt>
                <c:pt idx="159">
                  <c:v>5.9940059870000001E-3</c:v>
                </c:pt>
                <c:pt idx="160">
                  <c:v>6.0404203819999997E-3</c:v>
                </c:pt>
                <c:pt idx="161">
                  <c:v>6.0866858330000002E-3</c:v>
                </c:pt>
                <c:pt idx="162">
                  <c:v>6.1327812929999996E-3</c:v>
                </c:pt>
                <c:pt idx="163">
                  <c:v>6.1786856559999997E-3</c:v>
                </c:pt>
                <c:pt idx="164">
                  <c:v>6.224377574E-3</c:v>
                </c:pt>
                <c:pt idx="165">
                  <c:v>6.2698356379999997E-3</c:v>
                </c:pt>
                <c:pt idx="166">
                  <c:v>6.3150384369999998E-3</c:v>
                </c:pt>
                <c:pt idx="167">
                  <c:v>6.359964563E-3</c:v>
                </c:pt>
                <c:pt idx="168">
                  <c:v>6.4045926059999999E-3</c:v>
                </c:pt>
                <c:pt idx="169">
                  <c:v>6.4489010980000004E-3</c:v>
                </c:pt>
                <c:pt idx="170">
                  <c:v>6.4928683449999997E-3</c:v>
                </c:pt>
                <c:pt idx="171">
                  <c:v>6.53647259E-3</c:v>
                </c:pt>
                <c:pt idx="172">
                  <c:v>6.5796920800000004E-3</c:v>
                </c:pt>
                <c:pt idx="173">
                  <c:v>6.6225050610000001E-3</c:v>
                </c:pt>
                <c:pt idx="174">
                  <c:v>6.6648897779999997E-3</c:v>
                </c:pt>
                <c:pt idx="175">
                  <c:v>6.7068244149999998E-3</c:v>
                </c:pt>
                <c:pt idx="176">
                  <c:v>6.7482868990000004E-3</c:v>
                </c:pt>
                <c:pt idx="177">
                  <c:v>6.7892550959999997E-3</c:v>
                </c:pt>
                <c:pt idx="178">
                  <c:v>6.8297068719999996E-3</c:v>
                </c:pt>
                <c:pt idx="179">
                  <c:v>6.869620091E-3</c:v>
                </c:pt>
                <c:pt idx="180">
                  <c:v>6.9089726189999999E-3</c:v>
                </c:pt>
                <c:pt idx="181">
                  <c:v>6.9477473500000001E-3</c:v>
                </c:pt>
                <c:pt idx="182">
                  <c:v>6.9859472930000003E-3</c:v>
                </c:pt>
                <c:pt idx="183">
                  <c:v>7.023580483E-3</c:v>
                </c:pt>
                <c:pt idx="184">
                  <c:v>7.0606549580000001E-3</c:v>
                </c:pt>
                <c:pt idx="185">
                  <c:v>7.0971787539999996E-3</c:v>
                </c:pt>
                <c:pt idx="186">
                  <c:v>7.1331599090000003E-3</c:v>
                </c:pt>
                <c:pt idx="187">
                  <c:v>7.1686064890000003E-3</c:v>
                </c:pt>
                <c:pt idx="188">
                  <c:v>7.2035266899999999E-3</c:v>
                </c:pt>
                <c:pt idx="189">
                  <c:v>7.2379287370000003E-3</c:v>
                </c:pt>
                <c:pt idx="190">
                  <c:v>7.2718208549999996E-3</c:v>
                </c:pt>
                <c:pt idx="191">
                  <c:v>7.305211271E-3</c:v>
                </c:pt>
                <c:pt idx="192">
                  <c:v>7.3381082089999999E-3</c:v>
                </c:pt>
                <c:pt idx="193">
                  <c:v>7.3705199179999997E-3</c:v>
                </c:pt>
                <c:pt idx="194">
                  <c:v>7.4024547310000003E-3</c:v>
                </c:pt>
                <c:pt idx="195">
                  <c:v>7.4339210060000004E-3</c:v>
                </c:pt>
                <c:pt idx="196">
                  <c:v>7.4649270989999997E-3</c:v>
                </c:pt>
                <c:pt idx="197">
                  <c:v>7.4954813649999999E-3</c:v>
                </c:pt>
                <c:pt idx="198">
                  <c:v>7.525592163E-3</c:v>
                </c:pt>
                <c:pt idx="199">
                  <c:v>7.5552678700000001E-3</c:v>
                </c:pt>
                <c:pt idx="200">
                  <c:v>7.584516956E-3</c:v>
                </c:pt>
                <c:pt idx="201">
                  <c:v>7.6133479120000002E-3</c:v>
                </c:pt>
                <c:pt idx="202">
                  <c:v>7.6417692319999996E-3</c:v>
                </c:pt>
                <c:pt idx="203">
                  <c:v>7.6697894059999999E-3</c:v>
                </c:pt>
                <c:pt idx="204">
                  <c:v>7.6974169269999997E-3</c:v>
                </c:pt>
                <c:pt idx="205">
                  <c:v>7.7246603069999996E-3</c:v>
                </c:pt>
                <c:pt idx="206">
                  <c:v>7.7515281409999996E-3</c:v>
                </c:pt>
                <c:pt idx="207">
                  <c:v>7.7780290460000004E-3</c:v>
                </c:pt>
                <c:pt idx="208">
                  <c:v>7.8041716360000004E-3</c:v>
                </c:pt>
                <c:pt idx="209">
                  <c:v>7.8299645279999996E-3</c:v>
                </c:pt>
                <c:pt idx="210">
                  <c:v>7.855416338E-3</c:v>
                </c:pt>
                <c:pt idx="211">
                  <c:v>7.8805356999999999E-3</c:v>
                </c:pt>
                <c:pt idx="212">
                  <c:v>7.9053313290000007E-3</c:v>
                </c:pt>
                <c:pt idx="213">
                  <c:v>7.9298119570000002E-3</c:v>
                </c:pt>
                <c:pt idx="214">
                  <c:v>7.9539863179999993E-3</c:v>
                </c:pt>
                <c:pt idx="215">
                  <c:v>7.9778631449999998E-3</c:v>
                </c:pt>
                <c:pt idx="216">
                  <c:v>8.0014511710000003E-3</c:v>
                </c:pt>
                <c:pt idx="217">
                  <c:v>8.0247591480000005E-3</c:v>
                </c:pt>
                <c:pt idx="218">
                  <c:v>8.0477959010000003E-3</c:v>
                </c:pt>
                <c:pt idx="219">
                  <c:v>8.0705702749999993E-3</c:v>
                </c:pt>
                <c:pt idx="220">
                  <c:v>8.0930911119999997E-3</c:v>
                </c:pt>
                <c:pt idx="221">
                  <c:v>8.1153672579999999E-3</c:v>
                </c:pt>
                <c:pt idx="222">
                  <c:v>8.1374075560000005E-3</c:v>
                </c:pt>
                <c:pt idx="223">
                  <c:v>8.159220868E-3</c:v>
                </c:pt>
                <c:pt idx="224">
                  <c:v>8.1808161269999995E-3</c:v>
                </c:pt>
                <c:pt idx="225">
                  <c:v>8.2022022820000002E-3</c:v>
                </c:pt>
                <c:pt idx="226">
                  <c:v>8.2233882849999992E-3</c:v>
                </c:pt>
                <c:pt idx="227">
                  <c:v>8.2443830859999997E-3</c:v>
                </c:pt>
                <c:pt idx="228">
                  <c:v>8.265195635E-3</c:v>
                </c:pt>
                <c:pt idx="229">
                  <c:v>8.2858349009999992E-3</c:v>
                </c:pt>
                <c:pt idx="230">
                  <c:v>8.3063099159999994E-3</c:v>
                </c:pt>
                <c:pt idx="231">
                  <c:v>8.3266297350000004E-3</c:v>
                </c:pt>
                <c:pt idx="232">
                  <c:v>8.3468034100000008E-3</c:v>
                </c:pt>
                <c:pt idx="233">
                  <c:v>8.366839991E-3</c:v>
                </c:pt>
                <c:pt idx="234">
                  <c:v>8.3867485310000003E-3</c:v>
                </c:pt>
                <c:pt idx="235">
                  <c:v>8.4065381009999999E-3</c:v>
                </c:pt>
                <c:pt idx="236">
                  <c:v>8.4262178429999994E-3</c:v>
                </c:pt>
                <c:pt idx="237">
                  <c:v>8.445796916E-3</c:v>
                </c:pt>
                <c:pt idx="238">
                  <c:v>8.4652844810000002E-3</c:v>
                </c:pt>
                <c:pt idx="239">
                  <c:v>8.4846896990000004E-3</c:v>
                </c:pt>
                <c:pt idx="240">
                  <c:v>8.5040217289999998E-3</c:v>
                </c:pt>
                <c:pt idx="241">
                  <c:v>8.5232884089999992E-3</c:v>
                </c:pt>
                <c:pt idx="242">
                  <c:v>8.5424922820000002E-3</c:v>
                </c:pt>
                <c:pt idx="243">
                  <c:v>8.5616345700000006E-3</c:v>
                </c:pt>
                <c:pt idx="244">
                  <c:v>8.5807164930000006E-3</c:v>
                </c:pt>
                <c:pt idx="245">
                  <c:v>8.5997392710000006E-3</c:v>
                </c:pt>
                <c:pt idx="246">
                  <c:v>8.6187041270000004E-3</c:v>
                </c:pt>
                <c:pt idx="247">
                  <c:v>8.6376122739999991E-3</c:v>
                </c:pt>
                <c:pt idx="248">
                  <c:v>8.6564649070000003E-3</c:v>
                </c:pt>
                <c:pt idx="249">
                  <c:v>8.6752632109999995E-3</c:v>
                </c:pt>
                <c:pt idx="250">
                  <c:v>8.6940083749999994E-3</c:v>
                </c:pt>
                <c:pt idx="251">
                  <c:v>8.7127015849999996E-3</c:v>
                </c:pt>
                <c:pt idx="252">
                  <c:v>8.7313440290000006E-3</c:v>
                </c:pt>
                <c:pt idx="253">
                  <c:v>8.7499369199999996E-3</c:v>
                </c:pt>
                <c:pt idx="254">
                  <c:v>8.7684815790000006E-3</c:v>
                </c:pt>
                <c:pt idx="255">
                  <c:v>8.7869793539999998E-3</c:v>
                </c:pt>
                <c:pt idx="256">
                  <c:v>8.8054315909999997E-3</c:v>
                </c:pt>
                <c:pt idx="257">
                  <c:v>8.823839638E-3</c:v>
                </c:pt>
                <c:pt idx="258">
                  <c:v>8.8422048430000007E-3</c:v>
                </c:pt>
                <c:pt idx="259">
                  <c:v>8.8605284639999993E-3</c:v>
                </c:pt>
                <c:pt idx="260">
                  <c:v>8.8788114139999996E-3</c:v>
                </c:pt>
                <c:pt idx="261">
                  <c:v>8.8970545150000007E-3</c:v>
                </c:pt>
                <c:pt idx="262">
                  <c:v>8.9152585909999995E-3</c:v>
                </c:pt>
                <c:pt idx="263">
                  <c:v>8.9334244659999996E-3</c:v>
                </c:pt>
                <c:pt idx="264">
                  <c:v>8.9515529620000003E-3</c:v>
                </c:pt>
                <c:pt idx="265">
                  <c:v>8.9696452400000008E-3</c:v>
                </c:pt>
                <c:pt idx="266">
                  <c:v>8.9877038090000003E-3</c:v>
                </c:pt>
                <c:pt idx="267">
                  <c:v>9.0057315129999996E-3</c:v>
                </c:pt>
                <c:pt idx="268">
                  <c:v>9.0237311959999993E-3</c:v>
                </c:pt>
                <c:pt idx="269">
                  <c:v>9.0417057049999999E-3</c:v>
                </c:pt>
                <c:pt idx="270">
                  <c:v>9.0596578840000004E-3</c:v>
                </c:pt>
                <c:pt idx="271">
                  <c:v>9.0775893319999992E-3</c:v>
                </c:pt>
                <c:pt idx="272">
                  <c:v>9.0954966670000002E-3</c:v>
                </c:pt>
                <c:pt idx="273">
                  <c:v>9.1133752630000002E-3</c:v>
                </c:pt>
                <c:pt idx="274">
                  <c:v>9.131220491E-3</c:v>
                </c:pt>
                <c:pt idx="275">
                  <c:v>9.1490277249999998E-3</c:v>
                </c:pt>
                <c:pt idx="276">
                  <c:v>9.1667923370000008E-3</c:v>
                </c:pt>
                <c:pt idx="277">
                  <c:v>9.1845143610000003E-3</c:v>
                </c:pt>
                <c:pt idx="278">
                  <c:v>9.2022124689999998E-3</c:v>
                </c:pt>
                <c:pt idx="279">
                  <c:v>9.2199099959999996E-3</c:v>
                </c:pt>
                <c:pt idx="280">
                  <c:v>9.2376302750000003E-3</c:v>
                </c:pt>
                <c:pt idx="281">
                  <c:v>9.2553966410000004E-3</c:v>
                </c:pt>
                <c:pt idx="282">
                  <c:v>9.2732324279999993E-3</c:v>
                </c:pt>
                <c:pt idx="283">
                  <c:v>9.2911435889999998E-3</c:v>
                </c:pt>
                <c:pt idx="284">
                  <c:v>9.3090665649999994E-3</c:v>
                </c:pt>
                <c:pt idx="285">
                  <c:v>9.3269204129999995E-3</c:v>
                </c:pt>
                <c:pt idx="286">
                  <c:v>9.3446241930000007E-3</c:v>
                </c:pt>
                <c:pt idx="287">
                  <c:v>9.3620969650000004E-3</c:v>
                </c:pt>
                <c:pt idx="288">
                  <c:v>9.3792577880000005E-3</c:v>
                </c:pt>
                <c:pt idx="289">
                  <c:v>9.396090595E-3</c:v>
                </c:pt>
                <c:pt idx="290">
                  <c:v>9.4128388109999996E-3</c:v>
                </c:pt>
                <c:pt idx="291">
                  <c:v>9.4298107360000008E-3</c:v>
                </c:pt>
                <c:pt idx="292">
                  <c:v>9.4473146689999996E-3</c:v>
                </c:pt>
                <c:pt idx="293">
                  <c:v>9.4656589090000003E-3</c:v>
                </c:pt>
                <c:pt idx="294">
                  <c:v>9.4851517550000007E-3</c:v>
                </c:pt>
                <c:pt idx="295">
                  <c:v>9.5058594120000003E-3</c:v>
                </c:pt>
                <c:pt idx="296">
                  <c:v>9.5268796959999992E-3</c:v>
                </c:pt>
                <c:pt idx="297">
                  <c:v>9.5470683310000005E-3</c:v>
                </c:pt>
                <c:pt idx="298">
                  <c:v>9.5652810380000008E-3</c:v>
                </c:pt>
                <c:pt idx="299">
                  <c:v>9.5803735409999997E-3</c:v>
                </c:pt>
                <c:pt idx="300">
                  <c:v>9.5912015600000001E-3</c:v>
                </c:pt>
                <c:pt idx="301">
                  <c:v>9.5970022710000005E-3</c:v>
                </c:pt>
                <c:pt idx="302">
                  <c:v>9.5985386599999993E-3</c:v>
                </c:pt>
                <c:pt idx="303">
                  <c:v>9.5969551669999997E-3</c:v>
                </c:pt>
                <c:pt idx="304">
                  <c:v>9.5933962309999992E-3</c:v>
                </c:pt>
                <c:pt idx="305">
                  <c:v>9.5890062900000003E-3</c:v>
                </c:pt>
                <c:pt idx="306">
                  <c:v>9.5849297830000006E-3</c:v>
                </c:pt>
                <c:pt idx="307">
                  <c:v>9.5820692879999992E-3</c:v>
                </c:pt>
                <c:pt idx="308">
                  <c:v>9.5803599340000007E-3</c:v>
                </c:pt>
                <c:pt idx="309">
                  <c:v>9.5794949880000004E-3</c:v>
                </c:pt>
                <c:pt idx="310">
                  <c:v>9.5791677160000002E-3</c:v>
                </c:pt>
                <c:pt idx="311">
                  <c:v>9.5790713860000008E-3</c:v>
                </c:pt>
                <c:pt idx="312">
                  <c:v>9.5788992649999995E-3</c:v>
                </c:pt>
                <c:pt idx="313">
                  <c:v>9.5784094279999996E-3</c:v>
                </c:pt>
                <c:pt idx="314">
                  <c:v>9.57761918E-3</c:v>
                </c:pt>
                <c:pt idx="315">
                  <c:v>9.5766106339999994E-3</c:v>
                </c:pt>
                <c:pt idx="316">
                  <c:v>9.5754659050000003E-3</c:v>
                </c:pt>
                <c:pt idx="317">
                  <c:v>9.5742671049999992E-3</c:v>
                </c:pt>
                <c:pt idx="318">
                  <c:v>9.573096348E-3</c:v>
                </c:pt>
                <c:pt idx="319">
                  <c:v>9.572018384E-3</c:v>
                </c:pt>
                <c:pt idx="320">
                  <c:v>9.5710285040000002E-3</c:v>
                </c:pt>
                <c:pt idx="321">
                  <c:v>9.5701046370000008E-3</c:v>
                </c:pt>
                <c:pt idx="322">
                  <c:v>9.5692247090000005E-3</c:v>
                </c:pt>
                <c:pt idx="323">
                  <c:v>9.56836665E-3</c:v>
                </c:pt>
                <c:pt idx="324">
                  <c:v>9.5675083859999999E-3</c:v>
                </c:pt>
                <c:pt idx="325">
                  <c:v>9.5666325E-3</c:v>
                </c:pt>
                <c:pt idx="326">
                  <c:v>9.5657401859999998E-3</c:v>
                </c:pt>
                <c:pt idx="327">
                  <c:v>9.5648372960000002E-3</c:v>
                </c:pt>
                <c:pt idx="328">
                  <c:v>9.563929677E-3</c:v>
                </c:pt>
                <c:pt idx="329">
                  <c:v>9.5630231789999992E-3</c:v>
                </c:pt>
                <c:pt idx="330">
                  <c:v>9.5621236509999992E-3</c:v>
                </c:pt>
                <c:pt idx="331">
                  <c:v>9.5612356970000006E-3</c:v>
                </c:pt>
                <c:pt idx="332">
                  <c:v>9.5603589350000007E-3</c:v>
                </c:pt>
                <c:pt idx="333">
                  <c:v>9.5594917379999995E-3</c:v>
                </c:pt>
                <c:pt idx="334">
                  <c:v>9.5586324769999995E-3</c:v>
                </c:pt>
                <c:pt idx="335">
                  <c:v>9.5577795259999994E-3</c:v>
                </c:pt>
                <c:pt idx="336">
                  <c:v>9.5569312560000001E-3</c:v>
                </c:pt>
                <c:pt idx="337">
                  <c:v>9.5560863739999995E-3</c:v>
                </c:pt>
                <c:pt idx="338">
                  <c:v>9.5552449270000003E-3</c:v>
                </c:pt>
                <c:pt idx="339">
                  <c:v>9.5544072930000001E-3</c:v>
                </c:pt>
                <c:pt idx="340">
                  <c:v>9.5535738529999997E-3</c:v>
                </c:pt>
                <c:pt idx="341">
                  <c:v>9.5527449869999993E-3</c:v>
                </c:pt>
                <c:pt idx="342">
                  <c:v>9.5519210750000007E-3</c:v>
                </c:pt>
                <c:pt idx="343">
                  <c:v>9.5511024070000002E-3</c:v>
                </c:pt>
                <c:pt idx="344">
                  <c:v>9.5502889200000003E-3</c:v>
                </c:pt>
                <c:pt idx="345">
                  <c:v>9.5494804569999994E-3</c:v>
                </c:pt>
                <c:pt idx="346">
                  <c:v>9.5486768670000003E-3</c:v>
                </c:pt>
                <c:pt idx="347">
                  <c:v>9.5478779929999997E-3</c:v>
                </c:pt>
                <c:pt idx="348">
                  <c:v>9.5470836819999995E-3</c:v>
                </c:pt>
                <c:pt idx="349">
                  <c:v>9.5462938049999998E-3</c:v>
                </c:pt>
                <c:pt idx="350">
                  <c:v>9.5455083300000007E-3</c:v>
                </c:pt>
                <c:pt idx="351">
                  <c:v>9.5447272480000001E-3</c:v>
                </c:pt>
                <c:pt idx="352">
                  <c:v>9.5439505530000007E-3</c:v>
                </c:pt>
                <c:pt idx="353">
                  <c:v>9.5431782360000002E-3</c:v>
                </c:pt>
                <c:pt idx="354">
                  <c:v>9.5424102909999996E-3</c:v>
                </c:pt>
                <c:pt idx="355">
                  <c:v>9.5416467039999998E-3</c:v>
                </c:pt>
                <c:pt idx="356">
                  <c:v>9.5408874370000001E-3</c:v>
                </c:pt>
                <c:pt idx="357">
                  <c:v>9.5401324469999993E-3</c:v>
                </c:pt>
                <c:pt idx="358">
                  <c:v>9.5393816899999994E-3</c:v>
                </c:pt>
                <c:pt idx="359">
                  <c:v>9.5386351220000005E-3</c:v>
                </c:pt>
                <c:pt idx="360">
                  <c:v>9.5378927010000003E-3</c:v>
                </c:pt>
                <c:pt idx="361">
                  <c:v>9.5371543830000006E-3</c:v>
                </c:pt>
                <c:pt idx="362">
                  <c:v>9.5364201370000002E-3</c:v>
                </c:pt>
                <c:pt idx="363">
                  <c:v>9.5356899319999997E-3</c:v>
                </c:pt>
                <c:pt idx="364">
                  <c:v>9.5349637350000006E-3</c:v>
                </c:pt>
                <c:pt idx="365">
                  <c:v>9.5342415170000007E-3</c:v>
                </c:pt>
                <c:pt idx="366">
                  <c:v>9.5335232470000007E-3</c:v>
                </c:pt>
                <c:pt idx="367">
                  <c:v>9.5328088930000006E-3</c:v>
                </c:pt>
                <c:pt idx="368">
                  <c:v>9.5320984230000006E-3</c:v>
                </c:pt>
                <c:pt idx="369">
                  <c:v>9.531391807E-3</c:v>
                </c:pt>
                <c:pt idx="370">
                  <c:v>9.5306890120000001E-3</c:v>
                </c:pt>
                <c:pt idx="371">
                  <c:v>9.5299900080000003E-3</c:v>
                </c:pt>
                <c:pt idx="372">
                  <c:v>9.5292947609999998E-3</c:v>
                </c:pt>
                <c:pt idx="373">
                  <c:v>9.528603242E-3</c:v>
                </c:pt>
                <c:pt idx="374">
                  <c:v>9.5279154199999997E-3</c:v>
                </c:pt>
                <c:pt idx="375">
                  <c:v>9.5272312670000008E-3</c:v>
                </c:pt>
                <c:pt idx="376">
                  <c:v>9.5265507530000008E-3</c:v>
                </c:pt>
                <c:pt idx="377">
                  <c:v>9.5258738510000003E-3</c:v>
                </c:pt>
                <c:pt idx="378">
                  <c:v>9.5252005299999998E-3</c:v>
                </c:pt>
                <c:pt idx="379">
                  <c:v>9.5245307619999994E-3</c:v>
                </c:pt>
                <c:pt idx="380">
                  <c:v>9.5238645199999996E-3</c:v>
                </c:pt>
                <c:pt idx="381">
                  <c:v>9.5232017760000006E-3</c:v>
                </c:pt>
                <c:pt idx="382">
                  <c:v>9.5225425029999995E-3</c:v>
                </c:pt>
                <c:pt idx="383">
                  <c:v>9.5218866729999997E-3</c:v>
                </c:pt>
                <c:pt idx="384">
                  <c:v>9.5212342590000002E-3</c:v>
                </c:pt>
                <c:pt idx="385">
                  <c:v>9.5205852350000002E-3</c:v>
                </c:pt>
                <c:pt idx="386">
                  <c:v>9.5199395729999997E-3</c:v>
                </c:pt>
                <c:pt idx="387">
                  <c:v>9.5192972480000002E-3</c:v>
                </c:pt>
                <c:pt idx="388">
                  <c:v>9.5186582360000001E-3</c:v>
                </c:pt>
                <c:pt idx="389">
                  <c:v>9.5180225089999994E-3</c:v>
                </c:pt>
                <c:pt idx="390">
                  <c:v>9.517390043E-3</c:v>
                </c:pt>
                <c:pt idx="391">
                  <c:v>9.5167608119999993E-3</c:v>
                </c:pt>
                <c:pt idx="392">
                  <c:v>9.5161347910000006E-3</c:v>
                </c:pt>
                <c:pt idx="393">
                  <c:v>9.5155119569999991E-3</c:v>
                </c:pt>
                <c:pt idx="394">
                  <c:v>9.5148922849999998E-3</c:v>
                </c:pt>
                <c:pt idx="395">
                  <c:v>9.5142757509999992E-3</c:v>
                </c:pt>
                <c:pt idx="396">
                  <c:v>9.5136623319999995E-3</c:v>
                </c:pt>
                <c:pt idx="397">
                  <c:v>9.5130520020000001E-3</c:v>
                </c:pt>
                <c:pt idx="398">
                  <c:v>9.5124447400000006E-3</c:v>
                </c:pt>
                <c:pt idx="399">
                  <c:v>9.5118405219999994E-3</c:v>
                </c:pt>
                <c:pt idx="400">
                  <c:v>9.5112393260000008E-3</c:v>
                </c:pt>
                <c:pt idx="401">
                  <c:v>9.5106411290000002E-3</c:v>
                </c:pt>
                <c:pt idx="402">
                  <c:v>9.5100459079999998E-3</c:v>
                </c:pt>
                <c:pt idx="403">
                  <c:v>9.5094536419999993E-3</c:v>
                </c:pt>
                <c:pt idx="404">
                  <c:v>9.5088643070000006E-3</c:v>
                </c:pt>
                <c:pt idx="405">
                  <c:v>9.5082778830000002E-3</c:v>
                </c:pt>
                <c:pt idx="406">
                  <c:v>9.5076943489999996E-3</c:v>
                </c:pt>
                <c:pt idx="407">
                  <c:v>9.5071136829999996E-3</c:v>
                </c:pt>
                <c:pt idx="408">
                  <c:v>9.5065358629999996E-3</c:v>
                </c:pt>
                <c:pt idx="409">
                  <c:v>9.5059608689999995E-3</c:v>
                </c:pt>
                <c:pt idx="410">
                  <c:v>9.5053886800000008E-3</c:v>
                </c:pt>
                <c:pt idx="411">
                  <c:v>9.5048192749999996E-3</c:v>
                </c:pt>
                <c:pt idx="412">
                  <c:v>9.5042526360000004E-3</c:v>
                </c:pt>
                <c:pt idx="413">
                  <c:v>9.5036887410000007E-3</c:v>
                </c:pt>
                <c:pt idx="414">
                  <c:v>9.5031275700000004E-3</c:v>
                </c:pt>
                <c:pt idx="415">
                  <c:v>9.5025691040000002E-3</c:v>
                </c:pt>
                <c:pt idx="416">
                  <c:v>9.5020133219999997E-3</c:v>
                </c:pt>
                <c:pt idx="417">
                  <c:v>9.5014602070000002E-3</c:v>
                </c:pt>
                <c:pt idx="418">
                  <c:v>9.5009097390000002E-3</c:v>
                </c:pt>
                <c:pt idx="419">
                  <c:v>9.500361899E-3</c:v>
                </c:pt>
                <c:pt idx="420">
                  <c:v>9.4998166680000003E-3</c:v>
                </c:pt>
                <c:pt idx="421">
                  <c:v>9.4992740259999993E-3</c:v>
                </c:pt>
                <c:pt idx="422">
                  <c:v>9.4987339570000006E-3</c:v>
                </c:pt>
                <c:pt idx="423">
                  <c:v>9.4981964419999995E-3</c:v>
                </c:pt>
                <c:pt idx="424">
                  <c:v>9.4976614630000004E-3</c:v>
                </c:pt>
                <c:pt idx="425">
                  <c:v>9.4971290020000008E-3</c:v>
                </c:pt>
                <c:pt idx="426">
                  <c:v>9.4965990399999995E-3</c:v>
                </c:pt>
                <c:pt idx="427">
                  <c:v>9.496071561E-3</c:v>
                </c:pt>
                <c:pt idx="428">
                  <c:v>9.4955465469999997E-3</c:v>
                </c:pt>
                <c:pt idx="429">
                  <c:v>9.495023981E-3</c:v>
                </c:pt>
                <c:pt idx="430">
                  <c:v>9.4945038460000006E-3</c:v>
                </c:pt>
                <c:pt idx="431">
                  <c:v>9.4939861259999998E-3</c:v>
                </c:pt>
                <c:pt idx="432">
                  <c:v>9.4934708019999998E-3</c:v>
                </c:pt>
                <c:pt idx="433">
                  <c:v>9.4929578580000007E-3</c:v>
                </c:pt>
                <c:pt idx="434">
                  <c:v>9.4924472780000008E-3</c:v>
                </c:pt>
                <c:pt idx="435">
                  <c:v>9.4919390460000003E-3</c:v>
                </c:pt>
                <c:pt idx="436">
                  <c:v>9.4914331460000008E-3</c:v>
                </c:pt>
                <c:pt idx="437">
                  <c:v>9.4909295620000007E-3</c:v>
                </c:pt>
                <c:pt idx="438">
                  <c:v>9.4904282769999997E-3</c:v>
                </c:pt>
                <c:pt idx="439">
                  <c:v>9.489929276E-3</c:v>
                </c:pt>
                <c:pt idx="440">
                  <c:v>9.4894325440000003E-3</c:v>
                </c:pt>
                <c:pt idx="441">
                  <c:v>9.4889380640000003E-3</c:v>
                </c:pt>
                <c:pt idx="442">
                  <c:v>9.4884458229999996E-3</c:v>
                </c:pt>
                <c:pt idx="443">
                  <c:v>9.4879558039999996E-3</c:v>
                </c:pt>
                <c:pt idx="444">
                  <c:v>9.4874679920000007E-3</c:v>
                </c:pt>
                <c:pt idx="445">
                  <c:v>9.4869823730000004E-3</c:v>
                </c:pt>
                <c:pt idx="446">
                  <c:v>9.4864989319999992E-3</c:v>
                </c:pt>
                <c:pt idx="447">
                  <c:v>9.4860176539999994E-3</c:v>
                </c:pt>
                <c:pt idx="448">
                  <c:v>9.485538525E-3</c:v>
                </c:pt>
                <c:pt idx="449">
                  <c:v>9.4850615310000004E-3</c:v>
                </c:pt>
                <c:pt idx="450">
                  <c:v>9.4845866560000006E-3</c:v>
                </c:pt>
                <c:pt idx="451">
                  <c:v>9.4841138880000005E-3</c:v>
                </c:pt>
                <c:pt idx="452">
                  <c:v>9.4836432120000008E-3</c:v>
                </c:pt>
                <c:pt idx="453">
                  <c:v>9.4831746140000006E-3</c:v>
                </c:pt>
                <c:pt idx="454">
                  <c:v>9.4827080800000008E-3</c:v>
                </c:pt>
                <c:pt idx="455">
                  <c:v>9.4822435979999998E-3</c:v>
                </c:pt>
                <c:pt idx="456">
                  <c:v>9.4817811529999997E-3</c:v>
                </c:pt>
                <c:pt idx="457">
                  <c:v>9.4813207320000002E-3</c:v>
                </c:pt>
                <c:pt idx="458">
                  <c:v>9.4808623219999992E-3</c:v>
                </c:pt>
                <c:pt idx="459">
                  <c:v>9.4804059089999993E-3</c:v>
                </c:pt>
                <c:pt idx="460">
                  <c:v>9.4799514810000006E-3</c:v>
                </c:pt>
                <c:pt idx="461">
                  <c:v>9.4794990249999992E-3</c:v>
                </c:pt>
                <c:pt idx="462">
                  <c:v>9.479048528E-3</c:v>
                </c:pt>
                <c:pt idx="463">
                  <c:v>9.4785999760000003E-3</c:v>
                </c:pt>
                <c:pt idx="464">
                  <c:v>9.4781533580000007E-3</c:v>
                </c:pt>
                <c:pt idx="465">
                  <c:v>9.4777086619999996E-3</c:v>
                </c:pt>
                <c:pt idx="466">
                  <c:v>9.4772658739999995E-3</c:v>
                </c:pt>
                <c:pt idx="467">
                  <c:v>9.4768249830000009E-3</c:v>
                </c:pt>
                <c:pt idx="468">
                  <c:v>9.4763859759999999E-3</c:v>
                </c:pt>
                <c:pt idx="469">
                  <c:v>9.4759488420000006E-3</c:v>
                </c:pt>
                <c:pt idx="470">
                  <c:v>9.4755135670000004E-3</c:v>
                </c:pt>
                <c:pt idx="471">
                  <c:v>9.4750801410000002E-3</c:v>
                </c:pt>
                <c:pt idx="472">
                  <c:v>9.474648552E-3</c:v>
                </c:pt>
                <c:pt idx="473">
                  <c:v>9.4742187890000003E-3</c:v>
                </c:pt>
                <c:pt idx="474">
                  <c:v>9.4737908380000003E-3</c:v>
                </c:pt>
                <c:pt idx="475">
                  <c:v>9.4733646899999996E-3</c:v>
                </c:pt>
                <c:pt idx="476">
                  <c:v>9.4729403319999995E-3</c:v>
                </c:pt>
                <c:pt idx="477">
                  <c:v>9.4725177539999993E-3</c:v>
                </c:pt>
                <c:pt idx="478">
                  <c:v>9.4720969440000007E-3</c:v>
                </c:pt>
                <c:pt idx="479">
                  <c:v>9.4716778919999994E-3</c:v>
                </c:pt>
                <c:pt idx="480">
                  <c:v>9.4712605850000003E-3</c:v>
                </c:pt>
                <c:pt idx="481">
                  <c:v>9.4708450139999994E-3</c:v>
                </c:pt>
                <c:pt idx="482">
                  <c:v>9.4704311670000003E-3</c:v>
                </c:pt>
                <c:pt idx="483">
                  <c:v>9.4700190340000004E-3</c:v>
                </c:pt>
                <c:pt idx="484">
                  <c:v>9.4696086050000006E-3</c:v>
                </c:pt>
                <c:pt idx="485">
                  <c:v>9.4691998679999993E-3</c:v>
                </c:pt>
                <c:pt idx="486">
                  <c:v>9.4687928139999995E-3</c:v>
                </c:pt>
                <c:pt idx="487">
                  <c:v>9.4683874309999996E-3</c:v>
                </c:pt>
                <c:pt idx="488">
                  <c:v>9.4679837090000003E-3</c:v>
                </c:pt>
                <c:pt idx="489">
                  <c:v>9.4675816389999997E-3</c:v>
                </c:pt>
                <c:pt idx="490">
                  <c:v>9.4671812110000003E-3</c:v>
                </c:pt>
                <c:pt idx="491">
                  <c:v>9.4667824130000005E-3</c:v>
                </c:pt>
                <c:pt idx="492">
                  <c:v>9.4663852370000003E-3</c:v>
                </c:pt>
                <c:pt idx="493">
                  <c:v>9.4659896720000001E-3</c:v>
                </c:pt>
                <c:pt idx="494">
                  <c:v>9.4655957089999996E-3</c:v>
                </c:pt>
                <c:pt idx="495">
                  <c:v>9.4652033379999997E-3</c:v>
                </c:pt>
                <c:pt idx="496">
                  <c:v>9.4648125489999995E-3</c:v>
                </c:pt>
                <c:pt idx="497">
                  <c:v>9.4644233330000004E-3</c:v>
                </c:pt>
                <c:pt idx="498">
                  <c:v>9.4640356799999999E-3</c:v>
                </c:pt>
                <c:pt idx="499">
                  <c:v>9.4636495809999992E-3</c:v>
                </c:pt>
                <c:pt idx="500">
                  <c:v>9.4632650269999997E-3</c:v>
                </c:pt>
                <c:pt idx="501">
                  <c:v>9.4628820070000001E-3</c:v>
                </c:pt>
                <c:pt idx="502">
                  <c:v>9.4625005139999992E-3</c:v>
                </c:pt>
                <c:pt idx="503">
                  <c:v>9.4621205390000001E-3</c:v>
                </c:pt>
                <c:pt idx="504">
                  <c:v>9.4617420709999997E-3</c:v>
                </c:pt>
                <c:pt idx="505">
                  <c:v>9.4613651009999994E-3</c:v>
                </c:pt>
                <c:pt idx="506">
                  <c:v>9.4609896219999996E-3</c:v>
                </c:pt>
                <c:pt idx="507">
                  <c:v>9.460615625E-3</c:v>
                </c:pt>
                <c:pt idx="508">
                  <c:v>9.4602430999999997E-3</c:v>
                </c:pt>
                <c:pt idx="509">
                  <c:v>9.4598720390000005E-3</c:v>
                </c:pt>
                <c:pt idx="510">
                  <c:v>9.4595024330000003E-3</c:v>
                </c:pt>
                <c:pt idx="511">
                  <c:v>9.4591342740000008E-3</c:v>
                </c:pt>
                <c:pt idx="512">
                  <c:v>9.4587675529999998E-3</c:v>
                </c:pt>
                <c:pt idx="513">
                  <c:v>9.4584022619999993E-3</c:v>
                </c:pt>
                <c:pt idx="514">
                  <c:v>9.4580383920000004E-3</c:v>
                </c:pt>
                <c:pt idx="515">
                  <c:v>9.4576759360000002E-3</c:v>
                </c:pt>
                <c:pt idx="516">
                  <c:v>9.457314885E-3</c:v>
                </c:pt>
                <c:pt idx="517">
                  <c:v>9.4569552309999999E-3</c:v>
                </c:pt>
                <c:pt idx="518">
                  <c:v>9.4565969649999995E-3</c:v>
                </c:pt>
                <c:pt idx="519">
                  <c:v>9.4562400800000009E-3</c:v>
                </c:pt>
                <c:pt idx="520">
                  <c:v>9.4558845680000007E-3</c:v>
                </c:pt>
                <c:pt idx="521">
                  <c:v>9.4555304200000002E-3</c:v>
                </c:pt>
                <c:pt idx="522">
                  <c:v>9.4551776300000005E-3</c:v>
                </c:pt>
                <c:pt idx="523">
                  <c:v>9.4548261889999992E-3</c:v>
                </c:pt>
                <c:pt idx="524">
                  <c:v>9.4544760889999999E-3</c:v>
                </c:pt>
                <c:pt idx="525">
                  <c:v>9.4541273229999997E-3</c:v>
                </c:pt>
                <c:pt idx="526">
                  <c:v>9.4537798840000006E-3</c:v>
                </c:pt>
                <c:pt idx="527">
                  <c:v>9.4534337630000007E-3</c:v>
                </c:pt>
                <c:pt idx="528">
                  <c:v>9.4530889530000002E-3</c:v>
                </c:pt>
                <c:pt idx="529">
                  <c:v>9.4527454469999998E-3</c:v>
                </c:pt>
                <c:pt idx="530">
                  <c:v>9.4524032379999998E-3</c:v>
                </c:pt>
                <c:pt idx="531">
                  <c:v>9.4520623169999998E-3</c:v>
                </c:pt>
                <c:pt idx="532">
                  <c:v>9.4517226780000008E-3</c:v>
                </c:pt>
                <c:pt idx="533">
                  <c:v>9.4513843139999998E-3</c:v>
                </c:pt>
                <c:pt idx="534">
                  <c:v>9.4510472170000002E-3</c:v>
                </c:pt>
                <c:pt idx="535">
                  <c:v>9.4507113809999994E-3</c:v>
                </c:pt>
                <c:pt idx="536">
                  <c:v>9.4503767970000006E-3</c:v>
                </c:pt>
                <c:pt idx="537">
                  <c:v>9.4500434599999999E-3</c:v>
                </c:pt>
                <c:pt idx="538">
                  <c:v>9.4497113629999994E-3</c:v>
                </c:pt>
                <c:pt idx="539">
                  <c:v>9.4493804970000005E-3</c:v>
                </c:pt>
                <c:pt idx="540">
                  <c:v>9.4490508569999992E-3</c:v>
                </c:pt>
                <c:pt idx="541">
                  <c:v>9.4487224359999997E-3</c:v>
                </c:pt>
                <c:pt idx="542">
                  <c:v>9.4483952270000005E-3</c:v>
                </c:pt>
                <c:pt idx="543">
                  <c:v>9.4480692230000003E-3</c:v>
                </c:pt>
                <c:pt idx="544">
                  <c:v>9.4477444180000002E-3</c:v>
                </c:pt>
                <c:pt idx="545">
                  <c:v>9.4474208050000005E-3</c:v>
                </c:pt>
                <c:pt idx="546">
                  <c:v>9.4470983769999999E-3</c:v>
                </c:pt>
                <c:pt idx="547">
                  <c:v>9.4467771279999994E-3</c:v>
                </c:pt>
                <c:pt idx="548">
                  <c:v>9.4464570519999999E-3</c:v>
                </c:pt>
                <c:pt idx="549">
                  <c:v>9.4461381420000001E-3</c:v>
                </c:pt>
                <c:pt idx="550">
                  <c:v>9.4458203920000008E-3</c:v>
                </c:pt>
                <c:pt idx="551">
                  <c:v>9.4455037950000008E-3</c:v>
                </c:pt>
                <c:pt idx="552">
                  <c:v>9.4451883459999997E-3</c:v>
                </c:pt>
                <c:pt idx="553">
                  <c:v>9.4448740369999992E-3</c:v>
                </c:pt>
                <c:pt idx="554">
                  <c:v>9.4445608630000007E-3</c:v>
                </c:pt>
                <c:pt idx="555">
                  <c:v>9.4442488179999999E-3</c:v>
                </c:pt>
                <c:pt idx="556">
                  <c:v>9.4439378959999994E-3</c:v>
                </c:pt>
                <c:pt idx="557">
                  <c:v>9.4436280899999996E-3</c:v>
                </c:pt>
                <c:pt idx="558">
                  <c:v>9.4433193939999997E-3</c:v>
                </c:pt>
                <c:pt idx="559">
                  <c:v>9.4430118029999992E-3</c:v>
                </c:pt>
                <c:pt idx="560">
                  <c:v>9.4427053100000005E-3</c:v>
                </c:pt>
                <c:pt idx="561">
                  <c:v>9.442399911E-3</c:v>
                </c:pt>
                <c:pt idx="562">
                  <c:v>9.4420955979999995E-3</c:v>
                </c:pt>
                <c:pt idx="563">
                  <c:v>9.4417923670000008E-3</c:v>
                </c:pt>
                <c:pt idx="564">
                  <c:v>9.4414902100000003E-3</c:v>
                </c:pt>
                <c:pt idx="565">
                  <c:v>9.4411891240000004E-3</c:v>
                </c:pt>
                <c:pt idx="566">
                  <c:v>9.4408891009999992E-3</c:v>
                </c:pt>
                <c:pt idx="567">
                  <c:v>9.4405901370000003E-3</c:v>
                </c:pt>
                <c:pt idx="568">
                  <c:v>9.4402922259999994E-3</c:v>
                </c:pt>
                <c:pt idx="569">
                  <c:v>9.4399953620000008E-3</c:v>
                </c:pt>
                <c:pt idx="570">
                  <c:v>9.4396995390000002E-3</c:v>
                </c:pt>
                <c:pt idx="571">
                  <c:v>9.4394047529999994E-3</c:v>
                </c:pt>
                <c:pt idx="572">
                  <c:v>9.4391109970000005E-3</c:v>
                </c:pt>
                <c:pt idx="573">
                  <c:v>9.4388182670000001E-3</c:v>
                </c:pt>
                <c:pt idx="574">
                  <c:v>9.4385265579999995E-3</c:v>
                </c:pt>
                <c:pt idx="575">
                  <c:v>9.4382358620000006E-3</c:v>
                </c:pt>
                <c:pt idx="576">
                  <c:v>9.4379461770000006E-3</c:v>
                </c:pt>
                <c:pt idx="577">
                  <c:v>9.4376574949999997E-3</c:v>
                </c:pt>
                <c:pt idx="578">
                  <c:v>9.4373698119999995E-3</c:v>
                </c:pt>
                <c:pt idx="579">
                  <c:v>9.4370831240000001E-3</c:v>
                </c:pt>
                <c:pt idx="580">
                  <c:v>9.4367974229999999E-3</c:v>
                </c:pt>
                <c:pt idx="581">
                  <c:v>9.4365127069999995E-3</c:v>
                </c:pt>
                <c:pt idx="582">
                  <c:v>9.4362289689999997E-3</c:v>
                </c:pt>
                <c:pt idx="583">
                  <c:v>9.4359462039999998E-3</c:v>
                </c:pt>
                <c:pt idx="584">
                  <c:v>9.435664408E-3</c:v>
                </c:pt>
                <c:pt idx="585">
                  <c:v>9.4353835749999993E-3</c:v>
                </c:pt>
                <c:pt idx="586">
                  <c:v>9.4351037009999996E-3</c:v>
                </c:pt>
                <c:pt idx="587">
                  <c:v>9.4348247810000004E-3</c:v>
                </c:pt>
                <c:pt idx="588">
                  <c:v>9.4345468089999992E-3</c:v>
                </c:pt>
                <c:pt idx="589">
                  <c:v>9.4342697809999994E-3</c:v>
                </c:pt>
                <c:pt idx="590">
                  <c:v>9.4339936929999993E-3</c:v>
                </c:pt>
                <c:pt idx="591">
                  <c:v>9.4337185379999994E-3</c:v>
                </c:pt>
                <c:pt idx="592">
                  <c:v>9.4334443140000005E-3</c:v>
                </c:pt>
                <c:pt idx="593">
                  <c:v>9.4331710139999997E-3</c:v>
                </c:pt>
                <c:pt idx="594">
                  <c:v>9.4328986350000008E-3</c:v>
                </c:pt>
                <c:pt idx="595">
                  <c:v>9.4326271709999996E-3</c:v>
                </c:pt>
                <c:pt idx="596">
                  <c:v>9.4323566179999995E-3</c:v>
                </c:pt>
                <c:pt idx="597">
                  <c:v>9.4320869720000006E-3</c:v>
                </c:pt>
                <c:pt idx="598">
                  <c:v>9.4318182280000006E-3</c:v>
                </c:pt>
                <c:pt idx="599">
                  <c:v>9.4315503809999993E-3</c:v>
                </c:pt>
                <c:pt idx="600">
                  <c:v>9.431283427E-3</c:v>
                </c:pt>
                <c:pt idx="601">
                  <c:v>9.4310173610000006E-3</c:v>
                </c:pt>
                <c:pt idx="602">
                  <c:v>9.4307521799999999E-3</c:v>
                </c:pt>
                <c:pt idx="603">
                  <c:v>9.4304878780000004E-3</c:v>
                </c:pt>
                <c:pt idx="604">
                  <c:v>9.4302244510000004E-3</c:v>
                </c:pt>
                <c:pt idx="605">
                  <c:v>9.4299618950000001E-3</c:v>
                </c:pt>
                <c:pt idx="606">
                  <c:v>9.4297002059999992E-3</c:v>
                </c:pt>
                <c:pt idx="607">
                  <c:v>9.4294393789999993E-3</c:v>
                </c:pt>
                <c:pt idx="608">
                  <c:v>9.4291794100000003E-3</c:v>
                </c:pt>
                <c:pt idx="609">
                  <c:v>9.4289202950000005E-3</c:v>
                </c:pt>
                <c:pt idx="610">
                  <c:v>9.4286620289999994E-3</c:v>
                </c:pt>
                <c:pt idx="611">
                  <c:v>9.4284046089999993E-3</c:v>
                </c:pt>
                <c:pt idx="612">
                  <c:v>9.4281480299999998E-3</c:v>
                </c:pt>
                <c:pt idx="613">
                  <c:v>9.4278922889999995E-3</c:v>
                </c:pt>
                <c:pt idx="614">
                  <c:v>9.4276373799999993E-3</c:v>
                </c:pt>
                <c:pt idx="615">
                  <c:v>9.4273833010000002E-3</c:v>
                </c:pt>
                <c:pt idx="616">
                  <c:v>9.427130047E-3</c:v>
                </c:pt>
                <c:pt idx="617">
                  <c:v>9.4268776129999999E-3</c:v>
                </c:pt>
                <c:pt idx="618">
                  <c:v>9.4266259969999992E-3</c:v>
                </c:pt>
                <c:pt idx="619">
                  <c:v>9.4263751930000004E-3</c:v>
                </c:pt>
                <c:pt idx="620">
                  <c:v>9.4261251989999992E-3</c:v>
                </c:pt>
                <c:pt idx="621">
                  <c:v>9.4258760100000005E-3</c:v>
                </c:pt>
                <c:pt idx="622">
                  <c:v>9.4256276220000008E-3</c:v>
                </c:pt>
                <c:pt idx="623">
                  <c:v>9.4253800320000004E-3</c:v>
                </c:pt>
                <c:pt idx="624">
                  <c:v>9.4251332350000008E-3</c:v>
                </c:pt>
                <c:pt idx="625">
                  <c:v>9.4248872280000007E-3</c:v>
                </c:pt>
                <c:pt idx="626">
                  <c:v>9.4246420080000004E-3</c:v>
                </c:pt>
                <c:pt idx="627">
                  <c:v>9.4243975689999992E-3</c:v>
                </c:pt>
                <c:pt idx="628">
                  <c:v>9.4241539089999996E-3</c:v>
                </c:pt>
                <c:pt idx="629">
                  <c:v>9.423911024E-3</c:v>
                </c:pt>
                <c:pt idx="630">
                  <c:v>9.4236689100000003E-3</c:v>
                </c:pt>
                <c:pt idx="631">
                  <c:v>9.4234275630000006E-3</c:v>
                </c:pt>
                <c:pt idx="632">
                  <c:v>9.4231869799999996E-3</c:v>
                </c:pt>
                <c:pt idx="633">
                  <c:v>9.4229471570000008E-3</c:v>
                </c:pt>
                <c:pt idx="634">
                  <c:v>9.4227080909999993E-3</c:v>
                </c:pt>
                <c:pt idx="635">
                  <c:v>9.4224697780000005E-3</c:v>
                </c:pt>
                <c:pt idx="636">
                  <c:v>9.4222322149999996E-3</c:v>
                </c:pt>
                <c:pt idx="637">
                  <c:v>9.4219953969999996E-3</c:v>
                </c:pt>
                <c:pt idx="638">
                  <c:v>9.4217593219999996E-3</c:v>
                </c:pt>
                <c:pt idx="639">
                  <c:v>9.4215239849999993E-3</c:v>
                </c:pt>
                <c:pt idx="640">
                  <c:v>9.421289385E-3</c:v>
                </c:pt>
                <c:pt idx="641">
                  <c:v>9.4210555160000008E-3</c:v>
                </c:pt>
                <c:pt idx="642">
                  <c:v>9.4208223760000008E-3</c:v>
                </c:pt>
                <c:pt idx="643">
                  <c:v>9.4205899610000001E-3</c:v>
                </c:pt>
                <c:pt idx="644">
                  <c:v>9.4203582680000009E-3</c:v>
                </c:pt>
                <c:pt idx="645">
                  <c:v>9.4201272929999996E-3</c:v>
                </c:pt>
                <c:pt idx="646">
                  <c:v>9.4198970340000007E-3</c:v>
                </c:pt>
                <c:pt idx="647">
                  <c:v>9.4196674860000003E-3</c:v>
                </c:pt>
                <c:pt idx="648">
                  <c:v>9.4194386469999992E-3</c:v>
                </c:pt>
                <c:pt idx="649">
                  <c:v>9.4192105129999992E-3</c:v>
                </c:pt>
                <c:pt idx="650">
                  <c:v>9.4189830810000007E-3</c:v>
                </c:pt>
                <c:pt idx="651">
                  <c:v>9.4187563480000007E-3</c:v>
                </c:pt>
                <c:pt idx="652">
                  <c:v>9.4185303109999997E-3</c:v>
                </c:pt>
                <c:pt idx="653">
                  <c:v>9.4183049659999993E-3</c:v>
                </c:pt>
                <c:pt idx="654">
                  <c:v>9.4180803100000002E-3</c:v>
                </c:pt>
                <c:pt idx="655">
                  <c:v>9.4178563399999991E-3</c:v>
                </c:pt>
                <c:pt idx="656">
                  <c:v>9.4176330519999997E-3</c:v>
                </c:pt>
                <c:pt idx="657">
                  <c:v>9.4174104449999997E-3</c:v>
                </c:pt>
                <c:pt idx="658">
                  <c:v>9.4171885149999992E-3</c:v>
                </c:pt>
                <c:pt idx="659">
                  <c:v>9.4169672569999995E-3</c:v>
                </c:pt>
                <c:pt idx="660">
                  <c:v>9.4167466710000005E-3</c:v>
                </c:pt>
                <c:pt idx="661">
                  <c:v>9.4165267520000002E-3</c:v>
                </c:pt>
                <c:pt idx="662">
                  <c:v>9.4163074970000007E-3</c:v>
                </c:pt>
                <c:pt idx="663">
                  <c:v>9.4160889039999994E-3</c:v>
                </c:pt>
                <c:pt idx="664">
                  <c:v>9.4158709689999998E-3</c:v>
                </c:pt>
                <c:pt idx="665">
                  <c:v>9.4156536899999994E-3</c:v>
                </c:pt>
                <c:pt idx="666">
                  <c:v>9.4154370640000002E-3</c:v>
                </c:pt>
                <c:pt idx="667">
                  <c:v>9.4152210870000006E-3</c:v>
                </c:pt>
                <c:pt idx="668">
                  <c:v>9.4150057559999993E-3</c:v>
                </c:pt>
                <c:pt idx="669">
                  <c:v>9.4147910699999993E-3</c:v>
                </c:pt>
                <c:pt idx="670">
                  <c:v>9.4145770240000003E-3</c:v>
                </c:pt>
                <c:pt idx="671">
                  <c:v>9.4143636159999995E-3</c:v>
                </c:pt>
                <c:pt idx="672">
                  <c:v>9.4141508439999997E-3</c:v>
                </c:pt>
                <c:pt idx="673">
                  <c:v>9.4139387040000008E-3</c:v>
                </c:pt>
                <c:pt idx="674">
                  <c:v>9.4137271929999999E-3</c:v>
                </c:pt>
                <c:pt idx="675">
                  <c:v>9.4135163089999994E-3</c:v>
                </c:pt>
                <c:pt idx="676">
                  <c:v>9.413306049E-3</c:v>
                </c:pt>
                <c:pt idx="677">
                  <c:v>9.4130964110000007E-3</c:v>
                </c:pt>
                <c:pt idx="678">
                  <c:v>9.4128873899999993E-3</c:v>
                </c:pt>
                <c:pt idx="679">
                  <c:v>9.4126789859999994E-3</c:v>
                </c:pt>
                <c:pt idx="680">
                  <c:v>9.4124711940000005E-3</c:v>
                </c:pt>
                <c:pt idx="681">
                  <c:v>9.4122640130000004E-3</c:v>
                </c:pt>
                <c:pt idx="682">
                  <c:v>9.4120574389999993E-3</c:v>
                </c:pt>
                <c:pt idx="683">
                  <c:v>9.411851471E-3</c:v>
                </c:pt>
                <c:pt idx="684">
                  <c:v>9.4116461040000005E-3</c:v>
                </c:pt>
                <c:pt idx="685">
                  <c:v>9.4114413380000008E-3</c:v>
                </c:pt>
                <c:pt idx="686">
                  <c:v>9.4112371680000004E-3</c:v>
                </c:pt>
                <c:pt idx="687">
                  <c:v>9.4110335930000007E-3</c:v>
                </c:pt>
                <c:pt idx="688">
                  <c:v>9.410830609E-3</c:v>
                </c:pt>
                <c:pt idx="689">
                  <c:v>9.4106282149999994E-3</c:v>
                </c:pt>
                <c:pt idx="690">
                  <c:v>9.4104264079999996E-3</c:v>
                </c:pt>
                <c:pt idx="691">
                  <c:v>9.4102251840000005E-3</c:v>
                </c:pt>
                <c:pt idx="692">
                  <c:v>9.4100245419999999E-3</c:v>
                </c:pt>
                <c:pt idx="693">
                  <c:v>9.4098244800000005E-3</c:v>
                </c:pt>
                <c:pt idx="694">
                  <c:v>9.4096249940000005E-3</c:v>
                </c:pt>
                <c:pt idx="695">
                  <c:v>9.4094260820000008E-3</c:v>
                </c:pt>
                <c:pt idx="696">
                  <c:v>9.4092277410000001E-3</c:v>
                </c:pt>
                <c:pt idx="697">
                  <c:v>9.4090299699999998E-3</c:v>
                </c:pt>
                <c:pt idx="698">
                  <c:v>9.4088327660000002E-3</c:v>
                </c:pt>
                <c:pt idx="699">
                  <c:v>9.4086361260000001E-3</c:v>
                </c:pt>
                <c:pt idx="700">
                  <c:v>9.4084400469999999E-3</c:v>
                </c:pt>
                <c:pt idx="701">
                  <c:v>9.4082445279999993E-3</c:v>
                </c:pt>
                <c:pt idx="702">
                  <c:v>9.4080495670000007E-3</c:v>
                </c:pt>
                <c:pt idx="703">
                  <c:v>9.4078551600000008E-3</c:v>
                </c:pt>
                <c:pt idx="704">
                  <c:v>9.4076613050000004E-3</c:v>
                </c:pt>
                <c:pt idx="705">
                  <c:v>9.4074680000000004E-3</c:v>
                </c:pt>
                <c:pt idx="706">
                  <c:v>9.407275243E-3</c:v>
                </c:pt>
                <c:pt idx="707">
                  <c:v>9.4070830309999996E-3</c:v>
                </c:pt>
                <c:pt idx="708">
                  <c:v>9.406891362E-3</c:v>
                </c:pt>
                <c:pt idx="709">
                  <c:v>9.4067002340000004E-3</c:v>
                </c:pt>
                <c:pt idx="710">
                  <c:v>9.4065096439999996E-3</c:v>
                </c:pt>
                <c:pt idx="711">
                  <c:v>9.4063195910000005E-3</c:v>
                </c:pt>
                <c:pt idx="712">
                  <c:v>9.4061300709999997E-3</c:v>
                </c:pt>
                <c:pt idx="713">
                  <c:v>9.4059410830000002E-3</c:v>
                </c:pt>
                <c:pt idx="714">
                  <c:v>9.4057526249999995E-3</c:v>
                </c:pt>
                <c:pt idx="715">
                  <c:v>9.4055646929999993E-3</c:v>
                </c:pt>
                <c:pt idx="716">
                  <c:v>9.4053772869999996E-3</c:v>
                </c:pt>
                <c:pt idx="717">
                  <c:v>9.4051904030000005E-3</c:v>
                </c:pt>
                <c:pt idx="718">
                  <c:v>9.4050040399999996E-3</c:v>
                </c:pt>
                <c:pt idx="719">
                  <c:v>9.4048181959999998E-3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47008"/>
        <c:axId val="201970432"/>
      </c:lineChart>
      <c:catAx>
        <c:axId val="201947008"/>
        <c:scaling>
          <c:orientation val="minMax"/>
        </c:scaling>
        <c:delete val="0"/>
        <c:axPos val="b"/>
        <c:majorTickMark val="out"/>
        <c:minorTickMark val="none"/>
        <c:tickLblPos val="nextTo"/>
        <c:crossAx val="201970432"/>
        <c:crosses val="autoZero"/>
        <c:auto val="1"/>
        <c:lblAlgn val="ctr"/>
        <c:lblOffset val="100"/>
        <c:noMultiLvlLbl val="0"/>
      </c:catAx>
      <c:valAx>
        <c:axId val="20197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947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Output!$P$12:$P$731</c:f>
              <c:numCache>
                <c:formatCode>General</c:formatCode>
                <c:ptCount val="720"/>
                <c:pt idx="0">
                  <c:v>0.9999095916125823</c:v>
                </c:pt>
                <c:pt idx="1">
                  <c:v>0.99981775960591879</c:v>
                </c:pt>
                <c:pt idx="2">
                  <c:v>0.99972528824577822</c:v>
                </c:pt>
                <c:pt idx="3">
                  <c:v>0.99963326004346675</c:v>
                </c:pt>
                <c:pt idx="4">
                  <c:v>0.99954201779431828</c:v>
                </c:pt>
                <c:pt idx="5">
                  <c:v>0.99945010716702565</c:v>
                </c:pt>
                <c:pt idx="6">
                  <c:v>0.99935862568845624</c:v>
                </c:pt>
                <c:pt idx="7">
                  <c:v>0.9992672590438908</c:v>
                </c:pt>
                <c:pt idx="8">
                  <c:v>0.99917567325037304</c:v>
                </c:pt>
                <c:pt idx="9">
                  <c:v>0.99908434652628131</c:v>
                </c:pt>
                <c:pt idx="10">
                  <c:v>0.99899331094361354</c:v>
                </c:pt>
                <c:pt idx="11">
                  <c:v>0.99890116103440485</c:v>
                </c:pt>
                <c:pt idx="12">
                  <c:v>0.99881017494343227</c:v>
                </c:pt>
                <c:pt idx="13">
                  <c:v>0.99871776994382089</c:v>
                </c:pt>
                <c:pt idx="14">
                  <c:v>0.99862689151782358</c:v>
                </c:pt>
                <c:pt idx="15">
                  <c:v>0.99853580043003476</c:v>
                </c:pt>
                <c:pt idx="16">
                  <c:v>0.99844474266494143</c:v>
                </c:pt>
                <c:pt idx="17">
                  <c:v>0.99835382665498051</c:v>
                </c:pt>
                <c:pt idx="18">
                  <c:v>0.99826321484146296</c:v>
                </c:pt>
                <c:pt idx="19">
                  <c:v>0.99817193252201886</c:v>
                </c:pt>
                <c:pt idx="20">
                  <c:v>0.9980803671450007</c:v>
                </c:pt>
                <c:pt idx="21">
                  <c:v>0.99798906984702174</c:v>
                </c:pt>
                <c:pt idx="22">
                  <c:v>0.99789773296140505</c:v>
                </c:pt>
                <c:pt idx="23">
                  <c:v>0.9978068863748043</c:v>
                </c:pt>
                <c:pt idx="24">
                  <c:v>0.99771544634042808</c:v>
                </c:pt>
                <c:pt idx="25">
                  <c:v>0.99762471728853963</c:v>
                </c:pt>
                <c:pt idx="26">
                  <c:v>0.99753299284870478</c:v>
                </c:pt>
                <c:pt idx="27">
                  <c:v>0.99744227160441912</c:v>
                </c:pt>
                <c:pt idx="28">
                  <c:v>0.99735099565088181</c:v>
                </c:pt>
                <c:pt idx="29">
                  <c:v>0.99726051388739057</c:v>
                </c:pt>
                <c:pt idx="30">
                  <c:v>0.99717002488437301</c:v>
                </c:pt>
                <c:pt idx="31">
                  <c:v>0.99707880665962256</c:v>
                </c:pt>
                <c:pt idx="32">
                  <c:v>0.9969888333609559</c:v>
                </c:pt>
                <c:pt idx="33">
                  <c:v>0.99689760848883247</c:v>
                </c:pt>
                <c:pt idx="34">
                  <c:v>0.99680784291677449</c:v>
                </c:pt>
                <c:pt idx="35">
                  <c:v>0.99671762104591743</c:v>
                </c:pt>
                <c:pt idx="36">
                  <c:v>0.99662786993450514</c:v>
                </c:pt>
                <c:pt idx="37">
                  <c:v>0.99653852882790217</c:v>
                </c:pt>
                <c:pt idx="38">
                  <c:v>0.99644973499385336</c:v>
                </c:pt>
                <c:pt idx="39">
                  <c:v>0.99636005484701162</c:v>
                </c:pt>
                <c:pt idx="40">
                  <c:v>0.99627152860459123</c:v>
                </c:pt>
                <c:pt idx="41">
                  <c:v>0.99618239337503434</c:v>
                </c:pt>
                <c:pt idx="42">
                  <c:v>0.99609244329402047</c:v>
                </c:pt>
                <c:pt idx="43">
                  <c:v>0.99600322056502499</c:v>
                </c:pt>
                <c:pt idx="44">
                  <c:v>0.99591163644159064</c:v>
                </c:pt>
                <c:pt idx="45">
                  <c:v>0.99582156701847946</c:v>
                </c:pt>
                <c:pt idx="46">
                  <c:v>0.99572873683516794</c:v>
                </c:pt>
                <c:pt idx="47">
                  <c:v>0.99563538794667161</c:v>
                </c:pt>
                <c:pt idx="48">
                  <c:v>0.995540314803945</c:v>
                </c:pt>
                <c:pt idx="49">
                  <c:v>0.99544478793717117</c:v>
                </c:pt>
                <c:pt idx="50">
                  <c:v>0.99534852980660593</c:v>
                </c:pt>
                <c:pt idx="51">
                  <c:v>0.99525278766802605</c:v>
                </c:pt>
                <c:pt idx="52">
                  <c:v>0.99515734044757087</c:v>
                </c:pt>
                <c:pt idx="53">
                  <c:v>0.99506240451354677</c:v>
                </c:pt>
                <c:pt idx="54">
                  <c:v>0.99496991059406825</c:v>
                </c:pt>
                <c:pt idx="55">
                  <c:v>0.99487961196106611</c:v>
                </c:pt>
                <c:pt idx="56">
                  <c:v>0.99479172510301028</c:v>
                </c:pt>
                <c:pt idx="57">
                  <c:v>0.99470832442247137</c:v>
                </c:pt>
                <c:pt idx="58">
                  <c:v>0.99462917217421076</c:v>
                </c:pt>
                <c:pt idx="59">
                  <c:v>0.99455555737657431</c:v>
                </c:pt>
                <c:pt idx="60">
                  <c:v>0.99448759509545637</c:v>
                </c:pt>
                <c:pt idx="61">
                  <c:v>0.99442471315987491</c:v>
                </c:pt>
                <c:pt idx="62">
                  <c:v>0.99436282746873728</c:v>
                </c:pt>
                <c:pt idx="63">
                  <c:v>0.99430054310228788</c:v>
                </c:pt>
                <c:pt idx="64">
                  <c:v>0.99423592389473092</c:v>
                </c:pt>
                <c:pt idx="65">
                  <c:v>0.99416684644524467</c:v>
                </c:pt>
                <c:pt idx="66">
                  <c:v>0.99408928426665877</c:v>
                </c:pt>
                <c:pt idx="67">
                  <c:v>0.99400289326981861</c:v>
                </c:pt>
                <c:pt idx="68">
                  <c:v>0.99390281146372306</c:v>
                </c:pt>
                <c:pt idx="69">
                  <c:v>0.99378596608718217</c:v>
                </c:pt>
                <c:pt idx="70">
                  <c:v>0.99365000293522776</c:v>
                </c:pt>
                <c:pt idx="71">
                  <c:v>0.99349016794160794</c:v>
                </c:pt>
                <c:pt idx="72">
                  <c:v>0.99330453050029011</c:v>
                </c:pt>
                <c:pt idx="73">
                  <c:v>0.99309131702712561</c:v>
                </c:pt>
                <c:pt idx="74">
                  <c:v>0.99285125189827161</c:v>
                </c:pt>
                <c:pt idx="75">
                  <c:v>0.99258321700248364</c:v>
                </c:pt>
                <c:pt idx="76">
                  <c:v>0.99228611150021739</c:v>
                </c:pt>
                <c:pt idx="77">
                  <c:v>0.99195985363440908</c:v>
                </c:pt>
                <c:pt idx="78">
                  <c:v>0.99160360500988265</c:v>
                </c:pt>
                <c:pt idx="79">
                  <c:v>0.99121730211337722</c:v>
                </c:pt>
                <c:pt idx="80">
                  <c:v>0.99080035289024493</c:v>
                </c:pt>
                <c:pt idx="81">
                  <c:v>0.99035201712734633</c:v>
                </c:pt>
                <c:pt idx="82">
                  <c:v>0.98987177360721712</c:v>
                </c:pt>
                <c:pt idx="83">
                  <c:v>0.98935863923923573</c:v>
                </c:pt>
                <c:pt idx="84">
                  <c:v>0.98881266072741114</c:v>
                </c:pt>
                <c:pt idx="85">
                  <c:v>0.98823393612118193</c:v>
                </c:pt>
                <c:pt idx="86">
                  <c:v>0.98762136992817451</c:v>
                </c:pt>
                <c:pt idx="87">
                  <c:v>0.98697601830631632</c:v>
                </c:pt>
                <c:pt idx="88">
                  <c:v>0.98629945460453305</c:v>
                </c:pt>
                <c:pt idx="89">
                  <c:v>0.98559145349213373</c:v>
                </c:pt>
                <c:pt idx="90">
                  <c:v>0.98485262800183193</c:v>
                </c:pt>
                <c:pt idx="91">
                  <c:v>0.98408255536138056</c:v>
                </c:pt>
                <c:pt idx="92">
                  <c:v>0.98328222376123708</c:v>
                </c:pt>
                <c:pt idx="93">
                  <c:v>0.98245253710489888</c:v>
                </c:pt>
                <c:pt idx="94">
                  <c:v>0.98159267269399386</c:v>
                </c:pt>
                <c:pt idx="95">
                  <c:v>0.98070376692914796</c:v>
                </c:pt>
                <c:pt idx="96">
                  <c:v>0.97978655650016622</c:v>
                </c:pt>
                <c:pt idx="97">
                  <c:v>0.97884742356556309</c:v>
                </c:pt>
                <c:pt idx="98">
                  <c:v>0.9778895462639362</c:v>
                </c:pt>
                <c:pt idx="99">
                  <c:v>0.9769190605891952</c:v>
                </c:pt>
                <c:pt idx="100">
                  <c:v>0.97594120737636969</c:v>
                </c:pt>
                <c:pt idx="101">
                  <c:v>0.9749599722420097</c:v>
                </c:pt>
                <c:pt idx="102">
                  <c:v>0.97398191785154964</c:v>
                </c:pt>
                <c:pt idx="103">
                  <c:v>0.97301094464665772</c:v>
                </c:pt>
                <c:pt idx="104">
                  <c:v>0.97205688024824488</c:v>
                </c:pt>
                <c:pt idx="105">
                  <c:v>0.97112221494534856</c:v>
                </c:pt>
                <c:pt idx="106">
                  <c:v>0.97021608053653907</c:v>
                </c:pt>
                <c:pt idx="107">
                  <c:v>0.96934483155522866</c:v>
                </c:pt>
                <c:pt idx="108">
                  <c:v>0.96851287802454467</c:v>
                </c:pt>
                <c:pt idx="109">
                  <c:v>0.96771669838151941</c:v>
                </c:pt>
                <c:pt idx="110">
                  <c:v>0.96695247193798628</c:v>
                </c:pt>
                <c:pt idx="111">
                  <c:v>0.96621434277694407</c:v>
                </c:pt>
                <c:pt idx="112">
                  <c:v>0.96549793787153104</c:v>
                </c:pt>
                <c:pt idx="113">
                  <c:v>0.96479787189016974</c:v>
                </c:pt>
                <c:pt idx="114">
                  <c:v>0.96410887433950176</c:v>
                </c:pt>
                <c:pt idx="115">
                  <c:v>0.96342278620904276</c:v>
                </c:pt>
                <c:pt idx="116">
                  <c:v>0.9627366338215938</c:v>
                </c:pt>
                <c:pt idx="117">
                  <c:v>0.96204458345517574</c:v>
                </c:pt>
                <c:pt idx="118">
                  <c:v>0.96133917157754534</c:v>
                </c:pt>
                <c:pt idx="119">
                  <c:v>0.96061386456023667</c:v>
                </c:pt>
                <c:pt idx="120">
                  <c:v>0.95986186954902164</c:v>
                </c:pt>
                <c:pt idx="121">
                  <c:v>0.95908422143107674</c:v>
                </c:pt>
                <c:pt idx="122">
                  <c:v>0.95828240568177658</c:v>
                </c:pt>
                <c:pt idx="123">
                  <c:v>0.95745834803384455</c:v>
                </c:pt>
                <c:pt idx="124">
                  <c:v>0.95661458866165316</c:v>
                </c:pt>
                <c:pt idx="125">
                  <c:v>0.9557523267944642</c:v>
                </c:pt>
                <c:pt idx="126">
                  <c:v>0.95487255212684319</c:v>
                </c:pt>
                <c:pt idx="127">
                  <c:v>0.95397935798438482</c:v>
                </c:pt>
                <c:pt idx="128">
                  <c:v>0.95307298013111852</c:v>
                </c:pt>
                <c:pt idx="129">
                  <c:v>0.95215465784220854</c:v>
                </c:pt>
                <c:pt idx="130">
                  <c:v>0.95122783984438231</c:v>
                </c:pt>
                <c:pt idx="131">
                  <c:v>0.95029542666426836</c:v>
                </c:pt>
                <c:pt idx="132">
                  <c:v>0.9493580964545989</c:v>
                </c:pt>
                <c:pt idx="133">
                  <c:v>0.94841563681043295</c:v>
                </c:pt>
                <c:pt idx="134">
                  <c:v>0.94747246473673408</c:v>
                </c:pt>
                <c:pt idx="135">
                  <c:v>0.94652452341235493</c:v>
                </c:pt>
                <c:pt idx="136">
                  <c:v>0.94557510527276767</c:v>
                </c:pt>
                <c:pt idx="137">
                  <c:v>0.94462441457067126</c:v>
                </c:pt>
                <c:pt idx="138">
                  <c:v>0.94367447363090218</c:v>
                </c:pt>
                <c:pt idx="139">
                  <c:v>0.94272571254855542</c:v>
                </c:pt>
                <c:pt idx="140">
                  <c:v>0.94177733211607106</c:v>
                </c:pt>
                <c:pt idx="141">
                  <c:v>0.94083075238095626</c:v>
                </c:pt>
                <c:pt idx="142">
                  <c:v>0.93988541263137071</c:v>
                </c:pt>
                <c:pt idx="143">
                  <c:v>0.93894410871426393</c:v>
                </c:pt>
                <c:pt idx="144">
                  <c:v>0.93800560899750685</c:v>
                </c:pt>
                <c:pt idx="145">
                  <c:v>0.93707116328274753</c:v>
                </c:pt>
                <c:pt idx="146">
                  <c:v>0.93613894263900599</c:v>
                </c:pt>
                <c:pt idx="147">
                  <c:v>0.93520653123186026</c:v>
                </c:pt>
                <c:pt idx="148">
                  <c:v>0.93427535312841758</c:v>
                </c:pt>
                <c:pt idx="149">
                  <c:v>0.93334438743691883</c:v>
                </c:pt>
                <c:pt idx="150">
                  <c:v>0.93241315953925274</c:v>
                </c:pt>
                <c:pt idx="151">
                  <c:v>0.93147974447298842</c:v>
                </c:pt>
                <c:pt idx="152">
                  <c:v>0.93054207624244667</c:v>
                </c:pt>
                <c:pt idx="153">
                  <c:v>0.92959963517158228</c:v>
                </c:pt>
                <c:pt idx="154">
                  <c:v>0.9286509312471033</c:v>
                </c:pt>
                <c:pt idx="155">
                  <c:v>0.92769540451850641</c:v>
                </c:pt>
                <c:pt idx="156">
                  <c:v>0.92673326952546375</c:v>
                </c:pt>
                <c:pt idx="157">
                  <c:v>0.92576328198231439</c:v>
                </c:pt>
                <c:pt idx="158">
                  <c:v>0.92478502023272724</c:v>
                </c:pt>
                <c:pt idx="159">
                  <c:v>0.9237981974960161</c:v>
                </c:pt>
                <c:pt idx="160">
                  <c:v>0.92280282740602015</c:v>
                </c:pt>
                <c:pt idx="161">
                  <c:v>0.92179933244937406</c:v>
                </c:pt>
                <c:pt idx="162">
                  <c:v>0.92078776574763854</c:v>
                </c:pt>
                <c:pt idx="163">
                  <c:v>0.91976516729378854</c:v>
                </c:pt>
                <c:pt idx="164">
                  <c:v>0.91873108252753377</c:v>
                </c:pt>
                <c:pt idx="165">
                  <c:v>0.91768382092013745</c:v>
                </c:pt>
                <c:pt idx="166">
                  <c:v>0.91662359671629567</c:v>
                </c:pt>
                <c:pt idx="167">
                  <c:v>0.91554995589617916</c:v>
                </c:pt>
                <c:pt idx="168">
                  <c:v>0.9144592574031345</c:v>
                </c:pt>
                <c:pt idx="169">
                  <c:v>0.9133577220310406</c:v>
                </c:pt>
                <c:pt idx="170">
                  <c:v>0.91224891385769424</c:v>
                </c:pt>
                <c:pt idx="171">
                  <c:v>0.91113601237071162</c:v>
                </c:pt>
                <c:pt idx="172">
                  <c:v>0.91002413091221102</c:v>
                </c:pt>
                <c:pt idx="173">
                  <c:v>0.90891535567744708</c:v>
                </c:pt>
                <c:pt idx="174">
                  <c:v>0.9078143741646012</c:v>
                </c:pt>
                <c:pt idx="175">
                  <c:v>0.9067233652783887</c:v>
                </c:pt>
                <c:pt idx="176">
                  <c:v>0.9056477794369826</c:v>
                </c:pt>
                <c:pt idx="177">
                  <c:v>0.90459239686433868</c:v>
                </c:pt>
                <c:pt idx="178">
                  <c:v>0.90355911306009806</c:v>
                </c:pt>
                <c:pt idx="179">
                  <c:v>0.90255381126655976</c:v>
                </c:pt>
                <c:pt idx="180">
                  <c:v>0.90157773783029482</c:v>
                </c:pt>
                <c:pt idx="181">
                  <c:v>0.90063126773487079</c:v>
                </c:pt>
                <c:pt idx="182">
                  <c:v>0.89971104930628953</c:v>
                </c:pt>
                <c:pt idx="183">
                  <c:v>0.89881220503368753</c:v>
                </c:pt>
                <c:pt idx="184">
                  <c:v>0.89793376254351664</c:v>
                </c:pt>
                <c:pt idx="185">
                  <c:v>0.89707120229633641</c:v>
                </c:pt>
                <c:pt idx="186">
                  <c:v>0.89622178309284684</c:v>
                </c:pt>
                <c:pt idx="187">
                  <c:v>0.89537946904520327</c:v>
                </c:pt>
                <c:pt idx="188">
                  <c:v>0.89454201467852945</c:v>
                </c:pt>
                <c:pt idx="189">
                  <c:v>0.89370509500587392</c:v>
                </c:pt>
                <c:pt idx="190">
                  <c:v>0.89286396103239163</c:v>
                </c:pt>
                <c:pt idx="191">
                  <c:v>0.89201346382766389</c:v>
                </c:pt>
                <c:pt idx="192">
                  <c:v>0.89115264875195355</c:v>
                </c:pt>
                <c:pt idx="193">
                  <c:v>0.89027930857250159</c:v>
                </c:pt>
                <c:pt idx="194">
                  <c:v>0.88939356475825593</c:v>
                </c:pt>
                <c:pt idx="195">
                  <c:v>0.8884974383473373</c:v>
                </c:pt>
                <c:pt idx="196">
                  <c:v>0.88759075683459521</c:v>
                </c:pt>
                <c:pt idx="197">
                  <c:v>0.886674780903146</c:v>
                </c:pt>
                <c:pt idx="198">
                  <c:v>0.88575343791877781</c:v>
                </c:pt>
                <c:pt idx="199">
                  <c:v>0.88482226933652597</c:v>
                </c:pt>
                <c:pt idx="200">
                  <c:v>0.88388826804714371</c:v>
                </c:pt>
                <c:pt idx="201">
                  <c:v>0.88294982802564914</c:v>
                </c:pt>
                <c:pt idx="202">
                  <c:v>0.88200753238801866</c:v>
                </c:pt>
                <c:pt idx="203">
                  <c:v>0.88106344829869887</c:v>
                </c:pt>
                <c:pt idx="204">
                  <c:v>0.88011810433370452</c:v>
                </c:pt>
                <c:pt idx="205">
                  <c:v>0.87917437847270352</c:v>
                </c:pt>
                <c:pt idx="206">
                  <c:v>0.87823133801782882</c:v>
                </c:pt>
                <c:pt idx="207">
                  <c:v>0.87728817702462403</c:v>
                </c:pt>
                <c:pt idx="208">
                  <c:v>0.87634401663351635</c:v>
                </c:pt>
                <c:pt idx="209">
                  <c:v>0.87540147141765734</c:v>
                </c:pt>
                <c:pt idx="210">
                  <c:v>0.87445641260551077</c:v>
                </c:pt>
                <c:pt idx="211">
                  <c:v>0.87350921059797315</c:v>
                </c:pt>
                <c:pt idx="212">
                  <c:v>0.87255872216557995</c:v>
                </c:pt>
                <c:pt idx="213">
                  <c:v>0.87160661027851716</c:v>
                </c:pt>
                <c:pt idx="214">
                  <c:v>0.87065297297497657</c:v>
                </c:pt>
                <c:pt idx="215">
                  <c:v>0.86969780448924772</c:v>
                </c:pt>
                <c:pt idx="216">
                  <c:v>0.86873942513154523</c:v>
                </c:pt>
                <c:pt idx="217">
                  <c:v>0.86777813501815204</c:v>
                </c:pt>
                <c:pt idx="218">
                  <c:v>0.8668139272330263</c:v>
                </c:pt>
                <c:pt idx="219">
                  <c:v>0.86584819297590454</c:v>
                </c:pt>
                <c:pt idx="220">
                  <c:v>0.86487888040764049</c:v>
                </c:pt>
                <c:pt idx="221">
                  <c:v>0.86390449220318988</c:v>
                </c:pt>
                <c:pt idx="222">
                  <c:v>0.8629264898925163</c:v>
                </c:pt>
                <c:pt idx="223">
                  <c:v>0.86194235354004189</c:v>
                </c:pt>
                <c:pt idx="224">
                  <c:v>0.86095419657363514</c:v>
                </c:pt>
                <c:pt idx="225">
                  <c:v>0.85996150085841561</c:v>
                </c:pt>
                <c:pt idx="226">
                  <c:v>0.85896176439571248</c:v>
                </c:pt>
                <c:pt idx="227">
                  <c:v>0.85795515102644426</c:v>
                </c:pt>
                <c:pt idx="228">
                  <c:v>0.85694201010437987</c:v>
                </c:pt>
                <c:pt idx="229">
                  <c:v>0.85592330296763031</c:v>
                </c:pt>
                <c:pt idx="230">
                  <c:v>0.85490213810480109</c:v>
                </c:pt>
                <c:pt idx="231">
                  <c:v>0.85387761579992927</c:v>
                </c:pt>
                <c:pt idx="232">
                  <c:v>0.85285597553502301</c:v>
                </c:pt>
                <c:pt idx="233">
                  <c:v>0.85183707971339973</c:v>
                </c:pt>
                <c:pt idx="234">
                  <c:v>0.85082342620046714</c:v>
                </c:pt>
                <c:pt idx="235">
                  <c:v>0.84981658311253172</c:v>
                </c:pt>
                <c:pt idx="236">
                  <c:v>0.84882175589713083</c:v>
                </c:pt>
                <c:pt idx="237">
                  <c:v>0.8478412010277967</c:v>
                </c:pt>
                <c:pt idx="238">
                  <c:v>0.8468749022731239</c:v>
                </c:pt>
                <c:pt idx="239">
                  <c:v>0.84592778333291041</c:v>
                </c:pt>
                <c:pt idx="240">
                  <c:v>0.8450001091305569</c:v>
                </c:pt>
                <c:pt idx="241">
                  <c:v>0.84408975179133217</c:v>
                </c:pt>
                <c:pt idx="242">
                  <c:v>0.84319554691710763</c:v>
                </c:pt>
                <c:pt idx="243">
                  <c:v>0.84231427005795756</c:v>
                </c:pt>
                <c:pt idx="244">
                  <c:v>0.8414446377638074</c:v>
                </c:pt>
                <c:pt idx="245">
                  <c:v>0.84058491849721617</c:v>
                </c:pt>
                <c:pt idx="246">
                  <c:v>0.83973271882109746</c:v>
                </c:pt>
                <c:pt idx="247">
                  <c:v>0.8388853412334123</c:v>
                </c:pt>
                <c:pt idx="248">
                  <c:v>0.83804118954291318</c:v>
                </c:pt>
                <c:pt idx="249">
                  <c:v>0.83719917988600323</c:v>
                </c:pt>
                <c:pt idx="250">
                  <c:v>0.83635482638574721</c:v>
                </c:pt>
                <c:pt idx="251">
                  <c:v>0.83550389957403481</c:v>
                </c:pt>
                <c:pt idx="252">
                  <c:v>0.83464724608499341</c:v>
                </c:pt>
                <c:pt idx="253">
                  <c:v>0.8337835867882204</c:v>
                </c:pt>
                <c:pt idx="254">
                  <c:v>0.83291414685237397</c:v>
                </c:pt>
                <c:pt idx="255">
                  <c:v>0.83203866275077776</c:v>
                </c:pt>
                <c:pt idx="256">
                  <c:v>0.83115888427637852</c:v>
                </c:pt>
                <c:pt idx="257">
                  <c:v>0.83027777949241865</c:v>
                </c:pt>
                <c:pt idx="258">
                  <c:v>0.82939180057783102</c:v>
                </c:pt>
                <c:pt idx="259">
                  <c:v>0.82850149636079184</c:v>
                </c:pt>
                <c:pt idx="260">
                  <c:v>0.8276099053542908</c:v>
                </c:pt>
                <c:pt idx="261">
                  <c:v>0.82671657738772175</c:v>
                </c:pt>
                <c:pt idx="262">
                  <c:v>0.82581929212415361</c:v>
                </c:pt>
                <c:pt idx="263">
                  <c:v>0.82491912443053805</c:v>
                </c:pt>
                <c:pt idx="264">
                  <c:v>0.82401830862356618</c:v>
                </c:pt>
                <c:pt idx="265">
                  <c:v>0.8231146427010666</c:v>
                </c:pt>
                <c:pt idx="266">
                  <c:v>0.82221040023969294</c:v>
                </c:pt>
                <c:pt idx="267">
                  <c:v>0.82130415939702339</c:v>
                </c:pt>
                <c:pt idx="268">
                  <c:v>0.82039714135521846</c:v>
                </c:pt>
                <c:pt idx="269">
                  <c:v>0.81948871119056077</c:v>
                </c:pt>
                <c:pt idx="270">
                  <c:v>0.81858074433792749</c:v>
                </c:pt>
                <c:pt idx="271">
                  <c:v>0.81767436130759941</c:v>
                </c:pt>
                <c:pt idx="272">
                  <c:v>0.81677128049768732</c:v>
                </c:pt>
                <c:pt idx="273">
                  <c:v>0.81586759413066312</c:v>
                </c:pt>
                <c:pt idx="274">
                  <c:v>0.81496249867158232</c:v>
                </c:pt>
                <c:pt idx="275">
                  <c:v>0.81405921356014743</c:v>
                </c:pt>
                <c:pt idx="276">
                  <c:v>0.81315794503195593</c:v>
                </c:pt>
                <c:pt idx="277">
                  <c:v>0.8122568859546162</c:v>
                </c:pt>
                <c:pt idx="278">
                  <c:v>0.81135465094516535</c:v>
                </c:pt>
                <c:pt idx="279">
                  <c:v>0.81044898281635402</c:v>
                </c:pt>
                <c:pt idx="280">
                  <c:v>0.80953676209553393</c:v>
                </c:pt>
                <c:pt idx="281">
                  <c:v>0.80861887560184709</c:v>
                </c:pt>
                <c:pt idx="282">
                  <c:v>0.80769464961873882</c:v>
                </c:pt>
                <c:pt idx="283">
                  <c:v>0.80676029260895887</c:v>
                </c:pt>
                <c:pt idx="284">
                  <c:v>0.80581773364179654</c:v>
                </c:pt>
                <c:pt idx="285">
                  <c:v>0.80486679424316743</c:v>
                </c:pt>
                <c:pt idx="286">
                  <c:v>0.80390546316033107</c:v>
                </c:pt>
                <c:pt idx="287">
                  <c:v>0.80292761516837585</c:v>
                </c:pt>
                <c:pt idx="288">
                  <c:v>0.80193600196137738</c:v>
                </c:pt>
                <c:pt idx="289">
                  <c:v>0.80093623892848786</c:v>
                </c:pt>
                <c:pt idx="290">
                  <c:v>0.79993133910474479</c:v>
                </c:pt>
                <c:pt idx="291">
                  <c:v>0.79892685932760765</c:v>
                </c:pt>
                <c:pt idx="292">
                  <c:v>0.7979288083845838</c:v>
                </c:pt>
                <c:pt idx="293">
                  <c:v>0.79694323131669065</c:v>
                </c:pt>
                <c:pt idx="294">
                  <c:v>0.79597426416775774</c:v>
                </c:pt>
                <c:pt idx="295">
                  <c:v>0.79502785833332434</c:v>
                </c:pt>
                <c:pt idx="296">
                  <c:v>0.79411304861538246</c:v>
                </c:pt>
                <c:pt idx="297">
                  <c:v>0.79323577284685132</c:v>
                </c:pt>
                <c:pt idx="298">
                  <c:v>0.79239720726940588</c:v>
                </c:pt>
                <c:pt idx="299">
                  <c:v>0.79160571982081029</c:v>
                </c:pt>
                <c:pt idx="300">
                  <c:v>0.79087064528388018</c:v>
                </c:pt>
                <c:pt idx="301">
                  <c:v>0.79018569028411922</c:v>
                </c:pt>
                <c:pt idx="302">
                  <c:v>0.78954313175516511</c:v>
                </c:pt>
                <c:pt idx="303">
                  <c:v>0.78893859510855402</c:v>
                </c:pt>
                <c:pt idx="304">
                  <c:v>0.78836793716400178</c:v>
                </c:pt>
                <c:pt idx="305">
                  <c:v>0.78782254089732129</c:v>
                </c:pt>
                <c:pt idx="306">
                  <c:v>0.7872989145852991</c:v>
                </c:pt>
                <c:pt idx="307">
                  <c:v>0.78679295297851937</c:v>
                </c:pt>
                <c:pt idx="308">
                  <c:v>0.78629506523071013</c:v>
                </c:pt>
                <c:pt idx="309">
                  <c:v>0.78579797053644129</c:v>
                </c:pt>
                <c:pt idx="310">
                  <c:v>0.78529744108929911</c:v>
                </c:pt>
                <c:pt idx="311">
                  <c:v>0.78479063727479814</c:v>
                </c:pt>
                <c:pt idx="312">
                  <c:v>0.78427361447135446</c:v>
                </c:pt>
                <c:pt idx="313">
                  <c:v>0.78374172434747269</c:v>
                </c:pt>
                <c:pt idx="314">
                  <c:v>0.78319815307102314</c:v>
                </c:pt>
                <c:pt idx="315">
                  <c:v>0.78264625424208811</c:v>
                </c:pt>
                <c:pt idx="316">
                  <c:v>0.78208804468233817</c:v>
                </c:pt>
                <c:pt idx="317">
                  <c:v>0.78152538013938178</c:v>
                </c:pt>
                <c:pt idx="318">
                  <c:v>0.78095815608524499</c:v>
                </c:pt>
                <c:pt idx="319">
                  <c:v>0.78038906718051659</c:v>
                </c:pt>
                <c:pt idx="320">
                  <c:v>0.77981885415348828</c:v>
                </c:pt>
                <c:pt idx="321">
                  <c:v>0.77924967398330192</c:v>
                </c:pt>
                <c:pt idx="322">
                  <c:v>0.77868448221330921</c:v>
                </c:pt>
                <c:pt idx="323">
                  <c:v>0.77812301427636354</c:v>
                </c:pt>
                <c:pt idx="324">
                  <c:v>0.7775653622749219</c:v>
                </c:pt>
                <c:pt idx="325">
                  <c:v>0.77700903301673663</c:v>
                </c:pt>
                <c:pt idx="326">
                  <c:v>0.7764557313290199</c:v>
                </c:pt>
                <c:pt idx="327">
                  <c:v>0.77590585574768978</c:v>
                </c:pt>
                <c:pt idx="328">
                  <c:v>0.77535845514671431</c:v>
                </c:pt>
                <c:pt idx="329">
                  <c:v>0.77481137322367422</c:v>
                </c:pt>
                <c:pt idx="330">
                  <c:v>0.7742663814573697</c:v>
                </c:pt>
                <c:pt idx="331">
                  <c:v>0.77372252896655813</c:v>
                </c:pt>
                <c:pt idx="332">
                  <c:v>0.7731798027483574</c:v>
                </c:pt>
                <c:pt idx="333">
                  <c:v>0.77263484512865133</c:v>
                </c:pt>
                <c:pt idx="334">
                  <c:v>0.77208950368239693</c:v>
                </c:pt>
                <c:pt idx="335">
                  <c:v>0.77154260707537148</c:v>
                </c:pt>
                <c:pt idx="336">
                  <c:v>0.77099744804661363</c:v>
                </c:pt>
                <c:pt idx="337">
                  <c:v>0.77045223630859838</c:v>
                </c:pt>
                <c:pt idx="338">
                  <c:v>0.76990409923848169</c:v>
                </c:pt>
                <c:pt idx="339">
                  <c:v>0.76935654105407314</c:v>
                </c:pt>
                <c:pt idx="340">
                  <c:v>0.76880719205000325</c:v>
                </c:pt>
                <c:pt idx="341">
                  <c:v>0.76825711729747037</c:v>
                </c:pt>
                <c:pt idx="342">
                  <c:v>0.76770759140661005</c:v>
                </c:pt>
                <c:pt idx="343">
                  <c:v>0.76716185258981995</c:v>
                </c:pt>
                <c:pt idx="344">
                  <c:v>0.7666165280099152</c:v>
                </c:pt>
                <c:pt idx="345">
                  <c:v>0.76607313515216202</c:v>
                </c:pt>
                <c:pt idx="346">
                  <c:v>0.76553221360586221</c:v>
                </c:pt>
                <c:pt idx="347">
                  <c:v>0.76499140302647606</c:v>
                </c:pt>
                <c:pt idx="348">
                  <c:v>0.76445506280339348</c:v>
                </c:pt>
                <c:pt idx="349">
                  <c:v>0.76391795963606057</c:v>
                </c:pt>
                <c:pt idx="350">
                  <c:v>0.76337919392338283</c:v>
                </c:pt>
                <c:pt idx="351">
                  <c:v>0.76284076423701197</c:v>
                </c:pt>
                <c:pt idx="352">
                  <c:v>0.76230100313970983</c:v>
                </c:pt>
                <c:pt idx="353">
                  <c:v>0.76176247524331131</c:v>
                </c:pt>
                <c:pt idx="354">
                  <c:v>0.76122533608572374</c:v>
                </c:pt>
                <c:pt idx="355">
                  <c:v>0.76068900981804266</c:v>
                </c:pt>
                <c:pt idx="356">
                  <c:v>0.7601556425813355</c:v>
                </c:pt>
                <c:pt idx="357">
                  <c:v>0.75962558167553895</c:v>
                </c:pt>
                <c:pt idx="358">
                  <c:v>0.75909627261197965</c:v>
                </c:pt>
                <c:pt idx="359">
                  <c:v>0.75856889897845026</c:v>
                </c:pt>
                <c:pt idx="360">
                  <c:v>0.7580437610552031</c:v>
                </c:pt>
                <c:pt idx="361">
                  <c:v>0.75751625869087003</c:v>
                </c:pt>
                <c:pt idx="362">
                  <c:v>0.75698783140091896</c:v>
                </c:pt>
                <c:pt idx="363">
                  <c:v>0.75645897128860484</c:v>
                </c:pt>
                <c:pt idx="364">
                  <c:v>0.75592770422633393</c:v>
                </c:pt>
                <c:pt idx="365">
                  <c:v>0.75539677017627371</c:v>
                </c:pt>
                <c:pt idx="366">
                  <c:v>0.75486736570779944</c:v>
                </c:pt>
                <c:pt idx="367">
                  <c:v>0.75433433523129945</c:v>
                </c:pt>
                <c:pt idx="368">
                  <c:v>0.7538017698983962</c:v>
                </c:pt>
                <c:pt idx="369">
                  <c:v>0.75326535192372079</c:v>
                </c:pt>
                <c:pt idx="370">
                  <c:v>0.7527269402736223</c:v>
                </c:pt>
                <c:pt idx="371">
                  <c:v>0.75219164813734229</c:v>
                </c:pt>
                <c:pt idx="372">
                  <c:v>0.75165655485325489</c:v>
                </c:pt>
                <c:pt idx="373">
                  <c:v>0.75112185993063862</c:v>
                </c:pt>
                <c:pt idx="374">
                  <c:v>0.75058937706758089</c:v>
                </c:pt>
                <c:pt idx="375">
                  <c:v>0.75005599552661595</c:v>
                </c:pt>
                <c:pt idx="376">
                  <c:v>0.74952277734884543</c:v>
                </c:pt>
                <c:pt idx="377">
                  <c:v>0.74899300752438158</c:v>
                </c:pt>
                <c:pt idx="378">
                  <c:v>0.74846388224150018</c:v>
                </c:pt>
                <c:pt idx="379">
                  <c:v>0.74793334459696692</c:v>
                </c:pt>
                <c:pt idx="380">
                  <c:v>0.74740320376141256</c:v>
                </c:pt>
                <c:pt idx="381">
                  <c:v>0.74687016753885527</c:v>
                </c:pt>
                <c:pt idx="382">
                  <c:v>0.7463356804018515</c:v>
                </c:pt>
                <c:pt idx="383">
                  <c:v>0.74580019747947368</c:v>
                </c:pt>
                <c:pt idx="384">
                  <c:v>0.7452659785884469</c:v>
                </c:pt>
                <c:pt idx="385">
                  <c:v>0.74473335411950981</c:v>
                </c:pt>
                <c:pt idx="386">
                  <c:v>0.74420156729658216</c:v>
                </c:pt>
                <c:pt idx="387">
                  <c:v>0.74367247117914759</c:v>
                </c:pt>
                <c:pt idx="388">
                  <c:v>0.74314215908255221</c:v>
                </c:pt>
                <c:pt idx="389">
                  <c:v>0.74260803483126825</c:v>
                </c:pt>
                <c:pt idx="390">
                  <c:v>0.74207683548849046</c:v>
                </c:pt>
                <c:pt idx="391">
                  <c:v>0.74154940987521378</c:v>
                </c:pt>
                <c:pt idx="392">
                  <c:v>0.74102581107388554</c:v>
                </c:pt>
                <c:pt idx="393">
                  <c:v>0.74050672423643571</c:v>
                </c:pt>
                <c:pt idx="394">
                  <c:v>0.73998699384583799</c:v>
                </c:pt>
                <c:pt idx="395">
                  <c:v>0.73946617568497108</c:v>
                </c:pt>
                <c:pt idx="396">
                  <c:v>0.73894205954651337</c:v>
                </c:pt>
                <c:pt idx="397">
                  <c:v>0.73841885804649643</c:v>
                </c:pt>
                <c:pt idx="398">
                  <c:v>0.73789657123321262</c:v>
                </c:pt>
                <c:pt idx="399">
                  <c:v>0.73737489005747381</c:v>
                </c:pt>
                <c:pt idx="400">
                  <c:v>0.73685248249218049</c:v>
                </c:pt>
                <c:pt idx="401">
                  <c:v>0.73633324836931302</c:v>
                </c:pt>
                <c:pt idx="402">
                  <c:v>0.73581580336715091</c:v>
                </c:pt>
                <c:pt idx="403">
                  <c:v>0.7353034254623011</c:v>
                </c:pt>
                <c:pt idx="404">
                  <c:v>0.73478858180765605</c:v>
                </c:pt>
                <c:pt idx="405">
                  <c:v>0.73427521388523942</c:v>
                </c:pt>
                <c:pt idx="406">
                  <c:v>0.73376355073753197</c:v>
                </c:pt>
                <c:pt idx="407">
                  <c:v>0.73325328795696765</c:v>
                </c:pt>
                <c:pt idx="408">
                  <c:v>0.73274094832210801</c:v>
                </c:pt>
                <c:pt idx="409">
                  <c:v>0.73223030671400768</c:v>
                </c:pt>
                <c:pt idx="410">
                  <c:v>0.73172087352235249</c:v>
                </c:pt>
                <c:pt idx="411">
                  <c:v>0.73120980913214673</c:v>
                </c:pt>
                <c:pt idx="412">
                  <c:v>0.73069639931935648</c:v>
                </c:pt>
                <c:pt idx="413">
                  <c:v>0.73018218120453682</c:v>
                </c:pt>
                <c:pt idx="414">
                  <c:v>0.7296661402174619</c:v>
                </c:pt>
                <c:pt idx="415">
                  <c:v>0.72914989531440755</c:v>
                </c:pt>
                <c:pt idx="416">
                  <c:v>0.72863272809912483</c:v>
                </c:pt>
                <c:pt idx="417">
                  <c:v>0.72811682348282292</c:v>
                </c:pt>
                <c:pt idx="418">
                  <c:v>0.72760326726351809</c:v>
                </c:pt>
                <c:pt idx="419">
                  <c:v>0.72708978899355592</c:v>
                </c:pt>
                <c:pt idx="420">
                  <c:v>0.72657910374533308</c:v>
                </c:pt>
                <c:pt idx="421">
                  <c:v>0.7260686935010261</c:v>
                </c:pt>
                <c:pt idx="422">
                  <c:v>0.72555908753171239</c:v>
                </c:pt>
                <c:pt idx="423">
                  <c:v>0.72505231895508027</c:v>
                </c:pt>
                <c:pt idx="424">
                  <c:v>0.72455000093435107</c:v>
                </c:pt>
                <c:pt idx="425">
                  <c:v>0.72405035227039516</c:v>
                </c:pt>
                <c:pt idx="426">
                  <c:v>0.72355005574843823</c:v>
                </c:pt>
                <c:pt idx="427">
                  <c:v>0.72305115073385851</c:v>
                </c:pt>
                <c:pt idx="428">
                  <c:v>0.72255754701797237</c:v>
                </c:pt>
                <c:pt idx="429">
                  <c:v>0.72206528741746967</c:v>
                </c:pt>
                <c:pt idx="430">
                  <c:v>0.72157184659088569</c:v>
                </c:pt>
                <c:pt idx="431">
                  <c:v>0.72107805164857031</c:v>
                </c:pt>
                <c:pt idx="432">
                  <c:v>0.72058496755675783</c:v>
                </c:pt>
                <c:pt idx="433">
                  <c:v>0.72009127512854543</c:v>
                </c:pt>
                <c:pt idx="434">
                  <c:v>0.71960170572758619</c:v>
                </c:pt>
                <c:pt idx="435">
                  <c:v>0.71911153802562056</c:v>
                </c:pt>
                <c:pt idx="436">
                  <c:v>0.71862044639472822</c:v>
                </c:pt>
                <c:pt idx="437">
                  <c:v>0.71812798905135</c:v>
                </c:pt>
                <c:pt idx="438">
                  <c:v>0.71763355175273513</c:v>
                </c:pt>
                <c:pt idx="439">
                  <c:v>0.71714272224171394</c:v>
                </c:pt>
                <c:pt idx="440">
                  <c:v>0.71665371159048152</c:v>
                </c:pt>
                <c:pt idx="441">
                  <c:v>0.71616205413813705</c:v>
                </c:pt>
                <c:pt idx="442">
                  <c:v>0.71567258080413532</c:v>
                </c:pt>
                <c:pt idx="443">
                  <c:v>0.71518434871421099</c:v>
                </c:pt>
                <c:pt idx="444">
                  <c:v>0.71469692551784725</c:v>
                </c:pt>
                <c:pt idx="445">
                  <c:v>0.71421048322429981</c:v>
                </c:pt>
                <c:pt idx="446">
                  <c:v>0.71372585673538291</c:v>
                </c:pt>
                <c:pt idx="447">
                  <c:v>0.71323996823196401</c:v>
                </c:pt>
                <c:pt idx="448">
                  <c:v>0.71275254639903052</c:v>
                </c:pt>
                <c:pt idx="449">
                  <c:v>0.71226377113893169</c:v>
                </c:pt>
                <c:pt idx="450">
                  <c:v>0.71178110120996307</c:v>
                </c:pt>
                <c:pt idx="451">
                  <c:v>0.71130284425025891</c:v>
                </c:pt>
                <c:pt idx="452">
                  <c:v>0.71082495976420101</c:v>
                </c:pt>
                <c:pt idx="453">
                  <c:v>0.71035106902781853</c:v>
                </c:pt>
                <c:pt idx="454">
                  <c:v>0.7098792099725445</c:v>
                </c:pt>
                <c:pt idx="455">
                  <c:v>0.7094069454608446</c:v>
                </c:pt>
                <c:pt idx="456">
                  <c:v>0.70893141655988634</c:v>
                </c:pt>
                <c:pt idx="457">
                  <c:v>0.70845629663677989</c:v>
                </c:pt>
                <c:pt idx="458">
                  <c:v>0.70798297111286912</c:v>
                </c:pt>
                <c:pt idx="459">
                  <c:v>0.70750756490812428</c:v>
                </c:pt>
                <c:pt idx="460">
                  <c:v>0.70703273612692596</c:v>
                </c:pt>
                <c:pt idx="461">
                  <c:v>0.70655757755641457</c:v>
                </c:pt>
                <c:pt idx="462">
                  <c:v>0.70608141923979717</c:v>
                </c:pt>
                <c:pt idx="463">
                  <c:v>0.70560468680124</c:v>
                </c:pt>
                <c:pt idx="464">
                  <c:v>0.7051315044504004</c:v>
                </c:pt>
                <c:pt idx="465">
                  <c:v>0.70466158924489208</c:v>
                </c:pt>
                <c:pt idx="466">
                  <c:v>0.70419657522399559</c:v>
                </c:pt>
                <c:pt idx="467">
                  <c:v>0.70372842741024866</c:v>
                </c:pt>
                <c:pt idx="468">
                  <c:v>0.70325997106549776</c:v>
                </c:pt>
                <c:pt idx="469">
                  <c:v>0.70279262854949509</c:v>
                </c:pt>
                <c:pt idx="470">
                  <c:v>0.70232188222107061</c:v>
                </c:pt>
                <c:pt idx="471">
                  <c:v>0.70184872119837161</c:v>
                </c:pt>
                <c:pt idx="472">
                  <c:v>0.70137524445922361</c:v>
                </c:pt>
                <c:pt idx="473">
                  <c:v>0.70090483325594899</c:v>
                </c:pt>
                <c:pt idx="474">
                  <c:v>0.70043395822147569</c:v>
                </c:pt>
                <c:pt idx="475">
                  <c:v>0.69996403755053316</c:v>
                </c:pt>
                <c:pt idx="476">
                  <c:v>0.6994920969473627</c:v>
                </c:pt>
                <c:pt idx="477">
                  <c:v>0.69901989061238257</c:v>
                </c:pt>
                <c:pt idx="478">
                  <c:v>0.69854902691572196</c:v>
                </c:pt>
                <c:pt idx="479">
                  <c:v>0.69807779959349969</c:v>
                </c:pt>
                <c:pt idx="480">
                  <c:v>0.69760873205015417</c:v>
                </c:pt>
                <c:pt idx="481">
                  <c:v>0.69713894512707564</c:v>
                </c:pt>
                <c:pt idx="482">
                  <c:v>0.6966693071945077</c:v>
                </c:pt>
                <c:pt idx="483">
                  <c:v>0.69619954890378322</c:v>
                </c:pt>
                <c:pt idx="484">
                  <c:v>0.69572985749667493</c:v>
                </c:pt>
                <c:pt idx="485">
                  <c:v>0.6952615740738689</c:v>
                </c:pt>
                <c:pt idx="486">
                  <c:v>0.69479352649974035</c:v>
                </c:pt>
                <c:pt idx="487">
                  <c:v>0.69432986816775488</c:v>
                </c:pt>
                <c:pt idx="488">
                  <c:v>0.69386694288611817</c:v>
                </c:pt>
                <c:pt idx="489">
                  <c:v>0.69339957408691466</c:v>
                </c:pt>
                <c:pt idx="490">
                  <c:v>0.69292845157947014</c:v>
                </c:pt>
                <c:pt idx="491">
                  <c:v>0.69245282636586547</c:v>
                </c:pt>
                <c:pt idx="492">
                  <c:v>0.69197811289040556</c:v>
                </c:pt>
                <c:pt idx="493">
                  <c:v>0.69150464514305654</c:v>
                </c:pt>
                <c:pt idx="494">
                  <c:v>0.69103254209948595</c:v>
                </c:pt>
                <c:pt idx="495">
                  <c:v>0.69055918470736355</c:v>
                </c:pt>
                <c:pt idx="496">
                  <c:v>0.69008218808085364</c:v>
                </c:pt>
                <c:pt idx="497">
                  <c:v>0.689608292411518</c:v>
                </c:pt>
                <c:pt idx="498">
                  <c:v>0.6891391508916398</c:v>
                </c:pt>
                <c:pt idx="499">
                  <c:v>0.68866822352089907</c:v>
                </c:pt>
                <c:pt idx="500">
                  <c:v>0.68819202254982215</c:v>
                </c:pt>
                <c:pt idx="501">
                  <c:v>0.68771534085862285</c:v>
                </c:pt>
                <c:pt idx="502">
                  <c:v>0.68723981015964541</c:v>
                </c:pt>
                <c:pt idx="503">
                  <c:v>0.68676773891218801</c:v>
                </c:pt>
                <c:pt idx="504">
                  <c:v>0.68629587850485063</c:v>
                </c:pt>
                <c:pt idx="505">
                  <c:v>0.68582362412660636</c:v>
                </c:pt>
                <c:pt idx="506">
                  <c:v>0.68535331237365349</c:v>
                </c:pt>
                <c:pt idx="507">
                  <c:v>0.68488685837071273</c:v>
                </c:pt>
                <c:pt idx="508">
                  <c:v>0.68442640683383393</c:v>
                </c:pt>
                <c:pt idx="509">
                  <c:v>0.68396885252213313</c:v>
                </c:pt>
                <c:pt idx="510">
                  <c:v>0.68351035446058228</c:v>
                </c:pt>
                <c:pt idx="511">
                  <c:v>0.68304745830215785</c:v>
                </c:pt>
                <c:pt idx="512">
                  <c:v>0.68259016409914286</c:v>
                </c:pt>
                <c:pt idx="513">
                  <c:v>0.68213491703851192</c:v>
                </c:pt>
                <c:pt idx="514">
                  <c:v>0.68168200936775358</c:v>
                </c:pt>
                <c:pt idx="515">
                  <c:v>0.68122634491400946</c:v>
                </c:pt>
                <c:pt idx="516">
                  <c:v>0.68077245703851397</c:v>
                </c:pt>
                <c:pt idx="517">
                  <c:v>0.68032161385948065</c:v>
                </c:pt>
                <c:pt idx="518">
                  <c:v>0.67987494310737784</c:v>
                </c:pt>
                <c:pt idx="519">
                  <c:v>0.67943133821119339</c:v>
                </c:pt>
                <c:pt idx="520">
                  <c:v>0.67898871233774782</c:v>
                </c:pt>
                <c:pt idx="521">
                  <c:v>0.67854755845997261</c:v>
                </c:pt>
                <c:pt idx="522">
                  <c:v>0.67810378462318355</c:v>
                </c:pt>
                <c:pt idx="523">
                  <c:v>0.67765600252421876</c:v>
                </c:pt>
                <c:pt idx="524">
                  <c:v>0.67720565062924276</c:v>
                </c:pt>
                <c:pt idx="525">
                  <c:v>0.67675217948445565</c:v>
                </c:pt>
                <c:pt idx="526">
                  <c:v>0.67629419172131777</c:v>
                </c:pt>
                <c:pt idx="527">
                  <c:v>0.67583359852052771</c:v>
                </c:pt>
                <c:pt idx="528">
                  <c:v>0.67537035645493038</c:v>
                </c:pt>
                <c:pt idx="529">
                  <c:v>0.67490754312000933</c:v>
                </c:pt>
                <c:pt idx="530">
                  <c:v>0.67444645422587024</c:v>
                </c:pt>
                <c:pt idx="531">
                  <c:v>0.67398507303428234</c:v>
                </c:pt>
                <c:pt idx="532">
                  <c:v>0.67352339333787159</c:v>
                </c:pt>
                <c:pt idx="533">
                  <c:v>0.67305804757498167</c:v>
                </c:pt>
                <c:pt idx="534">
                  <c:v>0.67259603842301596</c:v>
                </c:pt>
                <c:pt idx="535">
                  <c:v>0.67213672836821481</c:v>
                </c:pt>
                <c:pt idx="536">
                  <c:v>0.67167948973321523</c:v>
                </c:pt>
                <c:pt idx="537">
                  <c:v>0.67122511443888333</c:v>
                </c:pt>
                <c:pt idx="538">
                  <c:v>0.67077070357000212</c:v>
                </c:pt>
                <c:pt idx="539">
                  <c:v>0.67032095898844224</c:v>
                </c:pt>
                <c:pt idx="540">
                  <c:v>0.66987413400095364</c:v>
                </c:pt>
                <c:pt idx="541">
                  <c:v>0.66943162200829542</c:v>
                </c:pt>
                <c:pt idx="542">
                  <c:v>0.66898919281050762</c:v>
                </c:pt>
                <c:pt idx="543">
                  <c:v>0.6685443810187407</c:v>
                </c:pt>
                <c:pt idx="544">
                  <c:v>0.66809576028375062</c:v>
                </c:pt>
                <c:pt idx="545">
                  <c:v>0.66764359546406971</c:v>
                </c:pt>
                <c:pt idx="546">
                  <c:v>0.66718934018149501</c:v>
                </c:pt>
                <c:pt idx="547">
                  <c:v>0.66673091062309775</c:v>
                </c:pt>
                <c:pt idx="548">
                  <c:v>0.6662682896659049</c:v>
                </c:pt>
                <c:pt idx="549">
                  <c:v>0.66580797831375249</c:v>
                </c:pt>
                <c:pt idx="550">
                  <c:v>0.66534999120810312</c:v>
                </c:pt>
                <c:pt idx="551">
                  <c:v>0.66489195587166527</c:v>
                </c:pt>
                <c:pt idx="552">
                  <c:v>0.66442715816558251</c:v>
                </c:pt>
                <c:pt idx="553">
                  <c:v>0.66395961091582667</c:v>
                </c:pt>
                <c:pt idx="554">
                  <c:v>0.6634935198513815</c:v>
                </c:pt>
                <c:pt idx="555">
                  <c:v>0.66303044717907123</c:v>
                </c:pt>
                <c:pt idx="556">
                  <c:v>0.66256158376612573</c:v>
                </c:pt>
                <c:pt idx="557">
                  <c:v>0.6620948019216355</c:v>
                </c:pt>
                <c:pt idx="558">
                  <c:v>0.66162702068584167</c:v>
                </c:pt>
                <c:pt idx="559">
                  <c:v>0.66116718968604715</c:v>
                </c:pt>
                <c:pt idx="560">
                  <c:v>0.66071329065545492</c:v>
                </c:pt>
                <c:pt idx="561">
                  <c:v>0.66025982739333611</c:v>
                </c:pt>
                <c:pt idx="562">
                  <c:v>0.65980755053800544</c:v>
                </c:pt>
                <c:pt idx="563">
                  <c:v>0.65935371717106761</c:v>
                </c:pt>
                <c:pt idx="564">
                  <c:v>0.65889947374216673</c:v>
                </c:pt>
                <c:pt idx="565">
                  <c:v>0.65844241636656364</c:v>
                </c:pt>
                <c:pt idx="566">
                  <c:v>0.65798772091183666</c:v>
                </c:pt>
                <c:pt idx="567">
                  <c:v>0.65753092686692005</c:v>
                </c:pt>
                <c:pt idx="568">
                  <c:v>0.65707503186038752</c:v>
                </c:pt>
                <c:pt idx="569">
                  <c:v>0.65661403389097117</c:v>
                </c:pt>
                <c:pt idx="570">
                  <c:v>0.65615056361116308</c:v>
                </c:pt>
                <c:pt idx="571">
                  <c:v>0.65568268001717112</c:v>
                </c:pt>
                <c:pt idx="572">
                  <c:v>0.65521701828124268</c:v>
                </c:pt>
                <c:pt idx="573">
                  <c:v>0.65475090720167251</c:v>
                </c:pt>
                <c:pt idx="574">
                  <c:v>0.6542791420376507</c:v>
                </c:pt>
                <c:pt idx="575">
                  <c:v>0.65381100182843743</c:v>
                </c:pt>
                <c:pt idx="576">
                  <c:v>0.65334613143107156</c:v>
                </c:pt>
                <c:pt idx="577">
                  <c:v>0.6528842767823827</c:v>
                </c:pt>
                <c:pt idx="578">
                  <c:v>0.65242520724145514</c:v>
                </c:pt>
                <c:pt idx="579">
                  <c:v>0.65196905868170418</c:v>
                </c:pt>
                <c:pt idx="580">
                  <c:v>0.65151194597001327</c:v>
                </c:pt>
                <c:pt idx="581">
                  <c:v>0.65105139558124969</c:v>
                </c:pt>
                <c:pt idx="582">
                  <c:v>0.65059295947351159</c:v>
                </c:pt>
                <c:pt idx="583">
                  <c:v>0.65013747047207116</c:v>
                </c:pt>
                <c:pt idx="584">
                  <c:v>0.64968146516325409</c:v>
                </c:pt>
                <c:pt idx="585">
                  <c:v>0.64922184721463261</c:v>
                </c:pt>
                <c:pt idx="586">
                  <c:v>0.64876224911373881</c:v>
                </c:pt>
                <c:pt idx="587">
                  <c:v>0.64830220083056544</c:v>
                </c:pt>
                <c:pt idx="588">
                  <c:v>0.64784112363907254</c:v>
                </c:pt>
                <c:pt idx="589">
                  <c:v>0.64738033953464991</c:v>
                </c:pt>
                <c:pt idx="590">
                  <c:v>0.64692259967296684</c:v>
                </c:pt>
                <c:pt idx="591">
                  <c:v>0.64646394049003075</c:v>
                </c:pt>
                <c:pt idx="592">
                  <c:v>0.64600114017740329</c:v>
                </c:pt>
                <c:pt idx="593">
                  <c:v>0.6455383298119215</c:v>
                </c:pt>
                <c:pt idx="594">
                  <c:v>0.64507330338067959</c:v>
                </c:pt>
                <c:pt idx="595">
                  <c:v>0.64460611181107574</c:v>
                </c:pt>
                <c:pt idx="596">
                  <c:v>0.64413208784184206</c:v>
                </c:pt>
                <c:pt idx="597">
                  <c:v>0.64366085646918592</c:v>
                </c:pt>
                <c:pt idx="598">
                  <c:v>0.64319597827990027</c:v>
                </c:pt>
                <c:pt idx="599">
                  <c:v>0.64272273205476571</c:v>
                </c:pt>
                <c:pt idx="600">
                  <c:v>0.64224719033639133</c:v>
                </c:pt>
                <c:pt idx="601">
                  <c:v>0.64176924477321884</c:v>
                </c:pt>
                <c:pt idx="602">
                  <c:v>0.6412910768599368</c:v>
                </c:pt>
                <c:pt idx="603">
                  <c:v>0.64081023919874325</c:v>
                </c:pt>
                <c:pt idx="604">
                  <c:v>0.64032556066284729</c:v>
                </c:pt>
                <c:pt idx="605">
                  <c:v>0.63983650230672107</c:v>
                </c:pt>
                <c:pt idx="606">
                  <c:v>0.63934575742590916</c:v>
                </c:pt>
                <c:pt idx="607">
                  <c:v>0.63885729536454383</c:v>
                </c:pt>
                <c:pt idx="608">
                  <c:v>0.63836462298124497</c:v>
                </c:pt>
                <c:pt idx="609">
                  <c:v>0.63786778558756607</c:v>
                </c:pt>
                <c:pt idx="610">
                  <c:v>0.63736531421649201</c:v>
                </c:pt>
                <c:pt idx="611">
                  <c:v>0.63686057482929415</c:v>
                </c:pt>
                <c:pt idx="612">
                  <c:v>0.63635391686621201</c:v>
                </c:pt>
                <c:pt idx="613">
                  <c:v>0.63584698355716207</c:v>
                </c:pt>
                <c:pt idx="614">
                  <c:v>0.63533907986291771</c:v>
                </c:pt>
                <c:pt idx="615">
                  <c:v>0.63483394276903937</c:v>
                </c:pt>
                <c:pt idx="616">
                  <c:v>0.63432736926206412</c:v>
                </c:pt>
                <c:pt idx="617">
                  <c:v>0.63382344638936161</c:v>
                </c:pt>
                <c:pt idx="618">
                  <c:v>0.63332211283300244</c:v>
                </c:pt>
                <c:pt idx="619">
                  <c:v>0.63282466670602988</c:v>
                </c:pt>
                <c:pt idx="620">
                  <c:v>0.63232255665585668</c:v>
                </c:pt>
                <c:pt idx="621">
                  <c:v>0.63181044099481132</c:v>
                </c:pt>
                <c:pt idx="622">
                  <c:v>0.6312955557701172</c:v>
                </c:pt>
                <c:pt idx="623">
                  <c:v>0.63078315599195289</c:v>
                </c:pt>
                <c:pt idx="624">
                  <c:v>0.63026808368361176</c:v>
                </c:pt>
                <c:pt idx="625">
                  <c:v>0.62975008895711793</c:v>
                </c:pt>
                <c:pt idx="626">
                  <c:v>0.62922887664857852</c:v>
                </c:pt>
                <c:pt idx="627">
                  <c:v>0.62871117285567912</c:v>
                </c:pt>
                <c:pt idx="628">
                  <c:v>0.62819054796997997</c:v>
                </c:pt>
                <c:pt idx="629">
                  <c:v>0.6276703608910611</c:v>
                </c:pt>
                <c:pt idx="630">
                  <c:v>0.62715113101404263</c:v>
                </c:pt>
                <c:pt idx="631">
                  <c:v>0.62663066489319508</c:v>
                </c:pt>
                <c:pt idx="632">
                  <c:v>0.62610318878551663</c:v>
                </c:pt>
                <c:pt idx="633">
                  <c:v>0.62557297595861405</c:v>
                </c:pt>
                <c:pt idx="634">
                  <c:v>0.62504496174966051</c:v>
                </c:pt>
                <c:pt idx="635">
                  <c:v>0.62452013830666753</c:v>
                </c:pt>
                <c:pt idx="636">
                  <c:v>0.62399941906420775</c:v>
                </c:pt>
                <c:pt idx="637">
                  <c:v>0.62347920901962739</c:v>
                </c:pt>
                <c:pt idx="638">
                  <c:v>0.62295672816809788</c:v>
                </c:pt>
                <c:pt idx="639">
                  <c:v>0.62243794416477016</c:v>
                </c:pt>
                <c:pt idx="640">
                  <c:v>0.62192037878050566</c:v>
                </c:pt>
                <c:pt idx="641">
                  <c:v>0.621399657306689</c:v>
                </c:pt>
                <c:pt idx="642">
                  <c:v>0.6208791447917964</c:v>
                </c:pt>
                <c:pt idx="643">
                  <c:v>0.6203638807292231</c:v>
                </c:pt>
                <c:pt idx="644">
                  <c:v>0.61985034417553408</c:v>
                </c:pt>
                <c:pt idx="645">
                  <c:v>0.61933668924467244</c:v>
                </c:pt>
                <c:pt idx="646">
                  <c:v>0.61882041219345041</c:v>
                </c:pt>
                <c:pt idx="647">
                  <c:v>0.61830490442487751</c:v>
                </c:pt>
                <c:pt idx="648">
                  <c:v>0.61778666805348303</c:v>
                </c:pt>
                <c:pt idx="649">
                  <c:v>0.61727502663360645</c:v>
                </c:pt>
                <c:pt idx="650">
                  <c:v>0.61676389607315962</c:v>
                </c:pt>
                <c:pt idx="651">
                  <c:v>0.61625372734433304</c:v>
                </c:pt>
                <c:pt idx="652">
                  <c:v>0.61574014508453534</c:v>
                </c:pt>
                <c:pt idx="653">
                  <c:v>0.61522300008637298</c:v>
                </c:pt>
                <c:pt idx="654">
                  <c:v>0.61470632333460562</c:v>
                </c:pt>
                <c:pt idx="655">
                  <c:v>0.61418715728857765</c:v>
                </c:pt>
                <c:pt idx="656">
                  <c:v>0.61367059605822394</c:v>
                </c:pt>
                <c:pt idx="657">
                  <c:v>0.61315469924010435</c:v>
                </c:pt>
                <c:pt idx="658">
                  <c:v>0.61263998372385498</c:v>
                </c:pt>
                <c:pt idx="659">
                  <c:v>0.61213348167858184</c:v>
                </c:pt>
                <c:pt idx="660">
                  <c:v>0.61162468566451944</c:v>
                </c:pt>
                <c:pt idx="661">
                  <c:v>0.61111531762756788</c:v>
                </c:pt>
                <c:pt idx="662">
                  <c:v>0.61060933322957112</c:v>
                </c:pt>
                <c:pt idx="663">
                  <c:v>0.6101002318723685</c:v>
                </c:pt>
                <c:pt idx="664">
                  <c:v>0.60959270197454984</c:v>
                </c:pt>
                <c:pt idx="665">
                  <c:v>0.60908536693341697</c:v>
                </c:pt>
                <c:pt idx="666">
                  <c:v>0.60857657724256919</c:v>
                </c:pt>
                <c:pt idx="667">
                  <c:v>0.60806675959970558</c:v>
                </c:pt>
                <c:pt idx="668">
                  <c:v>0.6075507100093801</c:v>
                </c:pt>
                <c:pt idx="669">
                  <c:v>0.60703511648879915</c:v>
                </c:pt>
                <c:pt idx="670">
                  <c:v>0.60651907849343123</c:v>
                </c:pt>
                <c:pt idx="671">
                  <c:v>0.60599536122945252</c:v>
                </c:pt>
                <c:pt idx="672">
                  <c:v>0.60546945415193654</c:v>
                </c:pt>
                <c:pt idx="673">
                  <c:v>0.60493931017361824</c:v>
                </c:pt>
                <c:pt idx="674">
                  <c:v>0.60441547964380038</c:v>
                </c:pt>
                <c:pt idx="675">
                  <c:v>0.60389255648607376</c:v>
                </c:pt>
                <c:pt idx="676">
                  <c:v>0.60336921801112031</c:v>
                </c:pt>
                <c:pt idx="677">
                  <c:v>0.60284566416527818</c:v>
                </c:pt>
                <c:pt idx="678">
                  <c:v>0.60232713852706676</c:v>
                </c:pt>
                <c:pt idx="679">
                  <c:v>0.60180672702920524</c:v>
                </c:pt>
                <c:pt idx="680">
                  <c:v>0.60129004524630714</c:v>
                </c:pt>
                <c:pt idx="681">
                  <c:v>0.60077858603098799</c:v>
                </c:pt>
                <c:pt idx="682">
                  <c:v>0.60027303678345889</c:v>
                </c:pt>
                <c:pt idx="683">
                  <c:v>0.59976334659693897</c:v>
                </c:pt>
                <c:pt idx="684">
                  <c:v>0.59925227947078896</c:v>
                </c:pt>
                <c:pt idx="685">
                  <c:v>0.59873240820677343</c:v>
                </c:pt>
                <c:pt idx="686">
                  <c:v>0.59821122698953499</c:v>
                </c:pt>
                <c:pt idx="687">
                  <c:v>0.59769079520037272</c:v>
                </c:pt>
                <c:pt idx="688">
                  <c:v>0.59716775693102297</c:v>
                </c:pt>
                <c:pt idx="689">
                  <c:v>0.59664529337697103</c:v>
                </c:pt>
                <c:pt idx="690">
                  <c:v>0.59612792400790493</c:v>
                </c:pt>
                <c:pt idx="691">
                  <c:v>0.59561298843144472</c:v>
                </c:pt>
                <c:pt idx="692">
                  <c:v>0.5951017632613036</c:v>
                </c:pt>
                <c:pt idx="693">
                  <c:v>0.59458571564461227</c:v>
                </c:pt>
                <c:pt idx="694">
                  <c:v>0.59407710639365818</c:v>
                </c:pt>
                <c:pt idx="695">
                  <c:v>0.59356598650594838</c:v>
                </c:pt>
                <c:pt idx="696">
                  <c:v>0.593051402296637</c:v>
                </c:pt>
                <c:pt idx="697">
                  <c:v>0.59253506256370014</c:v>
                </c:pt>
                <c:pt idx="698">
                  <c:v>0.59202258600012125</c:v>
                </c:pt>
                <c:pt idx="699">
                  <c:v>0.59151030276856431</c:v>
                </c:pt>
                <c:pt idx="700">
                  <c:v>0.59099912186585202</c:v>
                </c:pt>
                <c:pt idx="701">
                  <c:v>0.59048510371759699</c:v>
                </c:pt>
                <c:pt idx="702">
                  <c:v>0.58997331729157354</c:v>
                </c:pt>
                <c:pt idx="703">
                  <c:v>0.5894627194777482</c:v>
                </c:pt>
                <c:pt idx="704">
                  <c:v>0.58895843325578767</c:v>
                </c:pt>
                <c:pt idx="705">
                  <c:v>0.58845594046146033</c:v>
                </c:pt>
                <c:pt idx="706">
                  <c:v>0.58794817525372023</c:v>
                </c:pt>
                <c:pt idx="707">
                  <c:v>0.58743550910553632</c:v>
                </c:pt>
                <c:pt idx="708">
                  <c:v>0.5869243439214511</c:v>
                </c:pt>
                <c:pt idx="709">
                  <c:v>0.58641683314897652</c:v>
                </c:pt>
                <c:pt idx="710">
                  <c:v>0.58591349764177381</c:v>
                </c:pt>
                <c:pt idx="711">
                  <c:v>0.58540948514416236</c:v>
                </c:pt>
                <c:pt idx="712">
                  <c:v>0.58490422809750275</c:v>
                </c:pt>
                <c:pt idx="713">
                  <c:v>0.58440501423216407</c:v>
                </c:pt>
                <c:pt idx="714">
                  <c:v>0.58390416708206794</c:v>
                </c:pt>
                <c:pt idx="715">
                  <c:v>0.58340113786703796</c:v>
                </c:pt>
                <c:pt idx="716">
                  <c:v>0.5829016709674617</c:v>
                </c:pt>
                <c:pt idx="717">
                  <c:v>0.58240107524703044</c:v>
                </c:pt>
                <c:pt idx="718">
                  <c:v>0.5818948326219644</c:v>
                </c:pt>
                <c:pt idx="719">
                  <c:v>0.58138730692349916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877248"/>
        <c:axId val="229878784"/>
      </c:lineChart>
      <c:catAx>
        <c:axId val="229877248"/>
        <c:scaling>
          <c:orientation val="minMax"/>
        </c:scaling>
        <c:delete val="0"/>
        <c:axPos val="b"/>
        <c:majorTickMark val="out"/>
        <c:minorTickMark val="none"/>
        <c:tickLblPos val="nextTo"/>
        <c:crossAx val="229878784"/>
        <c:crosses val="autoZero"/>
        <c:auto val="1"/>
        <c:lblAlgn val="ctr"/>
        <c:lblOffset val="100"/>
        <c:noMultiLvlLbl val="0"/>
      </c:catAx>
      <c:valAx>
        <c:axId val="22987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77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Output!$Y$12:$Y$731</c:f>
              <c:numCache>
                <c:formatCode>0.00000%</c:formatCode>
                <c:ptCount val="720"/>
                <c:pt idx="0">
                  <c:v>5.0404377598152514E-2</c:v>
                </c:pt>
                <c:pt idx="1">
                  <c:v>4.9792156571781369E-2</c:v>
                </c:pt>
                <c:pt idx="2">
                  <c:v>4.9410947201528763E-2</c:v>
                </c:pt>
                <c:pt idx="3">
                  <c:v>4.9835522266392686E-2</c:v>
                </c:pt>
                <c:pt idx="4">
                  <c:v>4.9517214688898935E-2</c:v>
                </c:pt>
                <c:pt idx="5">
                  <c:v>4.9137044381104458E-2</c:v>
                </c:pt>
                <c:pt idx="6">
                  <c:v>4.9857398333949414E-2</c:v>
                </c:pt>
                <c:pt idx="7">
                  <c:v>4.9684858001404292E-2</c:v>
                </c:pt>
                <c:pt idx="8">
                  <c:v>4.9531111403695649E-2</c:v>
                </c:pt>
                <c:pt idx="9">
                  <c:v>4.9738636384007856E-2</c:v>
                </c:pt>
                <c:pt idx="10">
                  <c:v>4.9448905263572082E-2</c:v>
                </c:pt>
                <c:pt idx="11">
                  <c:v>4.9401134558674994E-2</c:v>
                </c:pt>
                <c:pt idx="12">
                  <c:v>4.9704089749571544E-2</c:v>
                </c:pt>
                <c:pt idx="13">
                  <c:v>4.9853896370695594E-2</c:v>
                </c:pt>
                <c:pt idx="14">
                  <c:v>5.0189301059075694E-2</c:v>
                </c:pt>
                <c:pt idx="15">
                  <c:v>5.0041630490261071E-2</c:v>
                </c:pt>
                <c:pt idx="16">
                  <c:v>5.0038001316321502E-2</c:v>
                </c:pt>
                <c:pt idx="17">
                  <c:v>4.9409729187505844E-2</c:v>
                </c:pt>
                <c:pt idx="18">
                  <c:v>4.9837226409340601E-2</c:v>
                </c:pt>
                <c:pt idx="19">
                  <c:v>4.9741285949254838E-2</c:v>
                </c:pt>
                <c:pt idx="20">
                  <c:v>4.9809960898638081E-2</c:v>
                </c:pt>
                <c:pt idx="21">
                  <c:v>4.9787913594695234E-2</c:v>
                </c:pt>
                <c:pt idx="22">
                  <c:v>4.9752820422934579E-2</c:v>
                </c:pt>
                <c:pt idx="23">
                  <c:v>4.9814622747196294E-2</c:v>
                </c:pt>
                <c:pt idx="24">
                  <c:v>4.99894706161155E-2</c:v>
                </c:pt>
                <c:pt idx="25">
                  <c:v>4.962450346049517E-2</c:v>
                </c:pt>
                <c:pt idx="26">
                  <c:v>4.9465616120001971E-2</c:v>
                </c:pt>
                <c:pt idx="27">
                  <c:v>4.953896762983348E-2</c:v>
                </c:pt>
                <c:pt idx="28">
                  <c:v>4.9552734809333421E-2</c:v>
                </c:pt>
                <c:pt idx="29">
                  <c:v>4.9503882809716016E-2</c:v>
                </c:pt>
                <c:pt idx="30">
                  <c:v>4.9483982112537489E-2</c:v>
                </c:pt>
                <c:pt idx="31">
                  <c:v>4.948573085899903E-2</c:v>
                </c:pt>
                <c:pt idx="32">
                  <c:v>4.9719175644950583E-2</c:v>
                </c:pt>
                <c:pt idx="33">
                  <c:v>4.9227860697785772E-2</c:v>
                </c:pt>
                <c:pt idx="34">
                  <c:v>4.93010681249074E-2</c:v>
                </c:pt>
                <c:pt idx="35">
                  <c:v>4.9516799594819721E-2</c:v>
                </c:pt>
                <c:pt idx="36">
                  <c:v>4.9781500062631927E-2</c:v>
                </c:pt>
                <c:pt idx="37">
                  <c:v>4.951770645260186E-2</c:v>
                </c:pt>
                <c:pt idx="38">
                  <c:v>4.9492103378027341E-2</c:v>
                </c:pt>
                <c:pt idx="39">
                  <c:v>4.9730921134807211E-2</c:v>
                </c:pt>
                <c:pt idx="40">
                  <c:v>4.9795972715107037E-2</c:v>
                </c:pt>
                <c:pt idx="41">
                  <c:v>5.0176471711499908E-2</c:v>
                </c:pt>
                <c:pt idx="42">
                  <c:v>5.0752635195700946E-2</c:v>
                </c:pt>
                <c:pt idx="43">
                  <c:v>5.068621970524613E-2</c:v>
                </c:pt>
                <c:pt idx="44">
                  <c:v>5.0764658323230849E-2</c:v>
                </c:pt>
                <c:pt idx="45">
                  <c:v>5.0358346846644683E-2</c:v>
                </c:pt>
                <c:pt idx="46">
                  <c:v>5.0298183310542838E-2</c:v>
                </c:pt>
                <c:pt idx="47">
                  <c:v>5.0475877316427172E-2</c:v>
                </c:pt>
                <c:pt idx="48">
                  <c:v>5.0206814143668475E-2</c:v>
                </c:pt>
                <c:pt idx="49">
                  <c:v>5.0204499022903096E-2</c:v>
                </c:pt>
                <c:pt idx="50">
                  <c:v>5.0345443730247491E-2</c:v>
                </c:pt>
                <c:pt idx="51">
                  <c:v>5.043560555310532E-2</c:v>
                </c:pt>
                <c:pt idx="52">
                  <c:v>5.015444823322783E-2</c:v>
                </c:pt>
                <c:pt idx="53">
                  <c:v>5.0179174846783497E-2</c:v>
                </c:pt>
                <c:pt idx="54">
                  <c:v>5.0267159141976478E-2</c:v>
                </c:pt>
                <c:pt idx="55">
                  <c:v>5.0232185517901401E-2</c:v>
                </c:pt>
                <c:pt idx="56">
                  <c:v>5.0288509586885841E-2</c:v>
                </c:pt>
                <c:pt idx="57">
                  <c:v>5.0412849195311922E-2</c:v>
                </c:pt>
                <c:pt idx="58">
                  <c:v>5.0417184021897848E-2</c:v>
                </c:pt>
                <c:pt idx="59">
                  <c:v>5.0437287227198993E-2</c:v>
                </c:pt>
                <c:pt idx="60">
                  <c:v>5.0158168110583566E-2</c:v>
                </c:pt>
                <c:pt idx="61">
                  <c:v>5.0404994205024707E-2</c:v>
                </c:pt>
                <c:pt idx="62">
                  <c:v>5.0573500007020794E-2</c:v>
                </c:pt>
                <c:pt idx="63">
                  <c:v>5.0593421068478237E-2</c:v>
                </c:pt>
                <c:pt idx="64">
                  <c:v>5.0603771418260488E-2</c:v>
                </c:pt>
                <c:pt idx="65">
                  <c:v>5.0607124465324949E-2</c:v>
                </c:pt>
                <c:pt idx="66">
                  <c:v>5.0554347535146316E-2</c:v>
                </c:pt>
                <c:pt idx="67">
                  <c:v>5.0783080700235288E-2</c:v>
                </c:pt>
                <c:pt idx="68">
                  <c:v>5.1006783310008762E-2</c:v>
                </c:pt>
                <c:pt idx="69">
                  <c:v>5.0859744620049586E-2</c:v>
                </c:pt>
                <c:pt idx="70">
                  <c:v>5.0889833839173296E-2</c:v>
                </c:pt>
                <c:pt idx="71">
                  <c:v>5.1067154351943339E-2</c:v>
                </c:pt>
                <c:pt idx="72">
                  <c:v>5.1157617540215618E-2</c:v>
                </c:pt>
                <c:pt idx="73">
                  <c:v>5.1191896501546826E-2</c:v>
                </c:pt>
                <c:pt idx="74">
                  <c:v>5.1115320744821897E-2</c:v>
                </c:pt>
                <c:pt idx="75">
                  <c:v>5.108382173887302E-2</c:v>
                </c:pt>
                <c:pt idx="76">
                  <c:v>5.0968807068510445E-2</c:v>
                </c:pt>
                <c:pt idx="77">
                  <c:v>5.1196821086295335E-2</c:v>
                </c:pt>
                <c:pt idx="78">
                  <c:v>5.1378649184785664E-2</c:v>
                </c:pt>
                <c:pt idx="79">
                  <c:v>5.1275071882583276E-2</c:v>
                </c:pt>
                <c:pt idx="80">
                  <c:v>5.1248054355601452E-2</c:v>
                </c:pt>
                <c:pt idx="81">
                  <c:v>5.1297119388079945E-2</c:v>
                </c:pt>
                <c:pt idx="82">
                  <c:v>5.1086912005139623E-2</c:v>
                </c:pt>
                <c:pt idx="83">
                  <c:v>5.1342441620680176E-2</c:v>
                </c:pt>
                <c:pt idx="84">
                  <c:v>5.1217507216296004E-2</c:v>
                </c:pt>
                <c:pt idx="85">
                  <c:v>5.1131906860911763E-2</c:v>
                </c:pt>
                <c:pt idx="86">
                  <c:v>5.1070583640960419E-2</c:v>
                </c:pt>
                <c:pt idx="87">
                  <c:v>5.0878224450882713E-2</c:v>
                </c:pt>
                <c:pt idx="88">
                  <c:v>5.0934503876722888E-2</c:v>
                </c:pt>
                <c:pt idx="89">
                  <c:v>5.0451049490788547E-2</c:v>
                </c:pt>
                <c:pt idx="90">
                  <c:v>5.0485881266905508E-2</c:v>
                </c:pt>
                <c:pt idx="91">
                  <c:v>5.0574868276037355E-2</c:v>
                </c:pt>
                <c:pt idx="92">
                  <c:v>5.0122620579624702E-2</c:v>
                </c:pt>
                <c:pt idx="93">
                  <c:v>5.0140283624525883E-2</c:v>
                </c:pt>
                <c:pt idx="94">
                  <c:v>4.997817517971162E-2</c:v>
                </c:pt>
                <c:pt idx="95">
                  <c:v>4.9919158771238231E-2</c:v>
                </c:pt>
                <c:pt idx="96">
                  <c:v>4.9841569915419673E-2</c:v>
                </c:pt>
                <c:pt idx="97">
                  <c:v>4.9758901982563247E-2</c:v>
                </c:pt>
                <c:pt idx="98">
                  <c:v>4.9872984759939551E-2</c:v>
                </c:pt>
                <c:pt idx="99">
                  <c:v>5.0059405675953177E-2</c:v>
                </c:pt>
                <c:pt idx="100">
                  <c:v>5.0039168421984782E-2</c:v>
                </c:pt>
                <c:pt idx="101">
                  <c:v>4.9969696680404914E-2</c:v>
                </c:pt>
                <c:pt idx="102">
                  <c:v>5.0104212829281056E-2</c:v>
                </c:pt>
                <c:pt idx="103">
                  <c:v>5.005438259611477E-2</c:v>
                </c:pt>
                <c:pt idx="104">
                  <c:v>5.0093410656698048E-2</c:v>
                </c:pt>
                <c:pt idx="105">
                  <c:v>4.9961980594028566E-2</c:v>
                </c:pt>
                <c:pt idx="106">
                  <c:v>4.9751733740056099E-2</c:v>
                </c:pt>
                <c:pt idx="107">
                  <c:v>4.9742352722636718E-2</c:v>
                </c:pt>
                <c:pt idx="108">
                  <c:v>4.9808532486130257E-2</c:v>
                </c:pt>
                <c:pt idx="109">
                  <c:v>4.9760821858761711E-2</c:v>
                </c:pt>
                <c:pt idx="110">
                  <c:v>4.9702168575944568E-2</c:v>
                </c:pt>
                <c:pt idx="111">
                  <c:v>4.9833495760491849E-2</c:v>
                </c:pt>
                <c:pt idx="112">
                  <c:v>4.9917631928016723E-2</c:v>
                </c:pt>
                <c:pt idx="113">
                  <c:v>4.9874539504758314E-2</c:v>
                </c:pt>
                <c:pt idx="114">
                  <c:v>4.9975800311645252E-2</c:v>
                </c:pt>
                <c:pt idx="115">
                  <c:v>5.0030771460508681E-2</c:v>
                </c:pt>
                <c:pt idx="116">
                  <c:v>5.0027031142375299E-2</c:v>
                </c:pt>
                <c:pt idx="117">
                  <c:v>5.0217678229958901E-2</c:v>
                </c:pt>
                <c:pt idx="118">
                  <c:v>5.0247327566762569E-2</c:v>
                </c:pt>
                <c:pt idx="119">
                  <c:v>5.024285838381623E-2</c:v>
                </c:pt>
                <c:pt idx="120">
                  <c:v>5.013781383667594E-2</c:v>
                </c:pt>
                <c:pt idx="121">
                  <c:v>5.0271698830160534E-2</c:v>
                </c:pt>
                <c:pt idx="122">
                  <c:v>5.0126454661076125E-2</c:v>
                </c:pt>
                <c:pt idx="123">
                  <c:v>5.0125930449672035E-2</c:v>
                </c:pt>
                <c:pt idx="124">
                  <c:v>5.0049008746662654E-2</c:v>
                </c:pt>
                <c:pt idx="125">
                  <c:v>4.9850396621489781E-2</c:v>
                </c:pt>
                <c:pt idx="126">
                  <c:v>4.9964309861587612E-2</c:v>
                </c:pt>
                <c:pt idx="127">
                  <c:v>4.9910418047039114E-2</c:v>
                </c:pt>
                <c:pt idx="128">
                  <c:v>4.9784689786508039E-2</c:v>
                </c:pt>
                <c:pt idx="129">
                  <c:v>4.9813856087110087E-2</c:v>
                </c:pt>
                <c:pt idx="130">
                  <c:v>4.9797213817936385E-2</c:v>
                </c:pt>
                <c:pt idx="131">
                  <c:v>4.9777585141255423E-2</c:v>
                </c:pt>
                <c:pt idx="132">
                  <c:v>4.9814923650458864E-2</c:v>
                </c:pt>
                <c:pt idx="133">
                  <c:v>4.9742495897190805E-2</c:v>
                </c:pt>
                <c:pt idx="134">
                  <c:v>4.986611358267852E-2</c:v>
                </c:pt>
                <c:pt idx="135">
                  <c:v>4.9795142160901515E-2</c:v>
                </c:pt>
                <c:pt idx="136">
                  <c:v>4.9720125875973527E-2</c:v>
                </c:pt>
                <c:pt idx="137">
                  <c:v>4.9626947131500496E-2</c:v>
                </c:pt>
                <c:pt idx="138">
                  <c:v>4.9445301954150547E-2</c:v>
                </c:pt>
                <c:pt idx="139">
                  <c:v>4.9442963934311489E-2</c:v>
                </c:pt>
                <c:pt idx="140">
                  <c:v>4.9478958244475887E-2</c:v>
                </c:pt>
                <c:pt idx="141">
                  <c:v>4.9221636326513808E-2</c:v>
                </c:pt>
                <c:pt idx="142">
                  <c:v>4.9169758330018042E-2</c:v>
                </c:pt>
                <c:pt idx="143">
                  <c:v>4.929298095818465E-2</c:v>
                </c:pt>
                <c:pt idx="144">
                  <c:v>4.9337796151102266E-2</c:v>
                </c:pt>
                <c:pt idx="145">
                  <c:v>4.9572861717912933E-2</c:v>
                </c:pt>
                <c:pt idx="146">
                  <c:v>4.9750615866328993E-2</c:v>
                </c:pt>
                <c:pt idx="147">
                  <c:v>4.9723110252982629E-2</c:v>
                </c:pt>
                <c:pt idx="148">
                  <c:v>4.9794790767738524E-2</c:v>
                </c:pt>
                <c:pt idx="149">
                  <c:v>5.0022990891873551E-2</c:v>
                </c:pt>
                <c:pt idx="150">
                  <c:v>5.0159257946700959E-2</c:v>
                </c:pt>
                <c:pt idx="151">
                  <c:v>5.0051270945832352E-2</c:v>
                </c:pt>
                <c:pt idx="152">
                  <c:v>4.9924106215045179E-2</c:v>
                </c:pt>
                <c:pt idx="153">
                  <c:v>4.990323187375402E-2</c:v>
                </c:pt>
                <c:pt idx="154">
                  <c:v>4.9755035522140487E-2</c:v>
                </c:pt>
                <c:pt idx="155">
                  <c:v>4.9587293880012859E-2</c:v>
                </c:pt>
                <c:pt idx="156">
                  <c:v>4.9679832365778498E-2</c:v>
                </c:pt>
                <c:pt idx="157">
                  <c:v>4.9569372782961557E-2</c:v>
                </c:pt>
                <c:pt idx="158">
                  <c:v>4.9407456521043377E-2</c:v>
                </c:pt>
                <c:pt idx="159">
                  <c:v>4.944029385010363E-2</c:v>
                </c:pt>
                <c:pt idx="160">
                  <c:v>4.9333773792351182E-2</c:v>
                </c:pt>
                <c:pt idx="161">
                  <c:v>4.9362072174782626E-2</c:v>
                </c:pt>
                <c:pt idx="162">
                  <c:v>4.9329842669185241E-2</c:v>
                </c:pt>
                <c:pt idx="163">
                  <c:v>4.9266233140027191E-2</c:v>
                </c:pt>
                <c:pt idx="164">
                  <c:v>4.9410129961399388E-2</c:v>
                </c:pt>
                <c:pt idx="165">
                  <c:v>4.9432575345792061E-2</c:v>
                </c:pt>
                <c:pt idx="166">
                  <c:v>4.9568281882064205E-2</c:v>
                </c:pt>
                <c:pt idx="167">
                  <c:v>4.9527246217192539E-2</c:v>
                </c:pt>
                <c:pt idx="168">
                  <c:v>4.9522754682671581E-2</c:v>
                </c:pt>
                <c:pt idx="169">
                  <c:v>4.9630375814817829E-2</c:v>
                </c:pt>
                <c:pt idx="170">
                  <c:v>4.9716073083080736E-2</c:v>
                </c:pt>
                <c:pt idx="171">
                  <c:v>4.9675700357291228E-2</c:v>
                </c:pt>
                <c:pt idx="172">
                  <c:v>4.9740403080002174E-2</c:v>
                </c:pt>
                <c:pt idx="173">
                  <c:v>4.9625141877381936E-2</c:v>
                </c:pt>
                <c:pt idx="174">
                  <c:v>4.9827319284941607E-2</c:v>
                </c:pt>
                <c:pt idx="175">
                  <c:v>4.9683823772651028E-2</c:v>
                </c:pt>
                <c:pt idx="176">
                  <c:v>4.9739519998547345E-2</c:v>
                </c:pt>
                <c:pt idx="177">
                  <c:v>4.9680093865624914E-2</c:v>
                </c:pt>
                <c:pt idx="178">
                  <c:v>5.0010096980900753E-2</c:v>
                </c:pt>
                <c:pt idx="179">
                  <c:v>4.9958347082742105E-2</c:v>
                </c:pt>
                <c:pt idx="180">
                  <c:v>4.9947184835174012E-2</c:v>
                </c:pt>
                <c:pt idx="181">
                  <c:v>4.9965009575814588E-2</c:v>
                </c:pt>
                <c:pt idx="182">
                  <c:v>5.0176642963531463E-2</c:v>
                </c:pt>
                <c:pt idx="183">
                  <c:v>5.0211663747437997E-2</c:v>
                </c:pt>
                <c:pt idx="184">
                  <c:v>5.0270660607404205E-2</c:v>
                </c:pt>
                <c:pt idx="185">
                  <c:v>5.0388696187511739E-2</c:v>
                </c:pt>
                <c:pt idx="186">
                  <c:v>5.0451154028313183E-2</c:v>
                </c:pt>
                <c:pt idx="187">
                  <c:v>5.0560319189322578E-2</c:v>
                </c:pt>
                <c:pt idx="188">
                  <c:v>5.0582563562746236E-2</c:v>
                </c:pt>
                <c:pt idx="189">
                  <c:v>5.0785632690996785E-2</c:v>
                </c:pt>
                <c:pt idx="190">
                  <c:v>5.0709600692355652E-2</c:v>
                </c:pt>
                <c:pt idx="191">
                  <c:v>5.0702331496086508E-2</c:v>
                </c:pt>
                <c:pt idx="192">
                  <c:v>5.0656642513587438E-2</c:v>
                </c:pt>
                <c:pt idx="193">
                  <c:v>5.06470732164125E-2</c:v>
                </c:pt>
                <c:pt idx="194">
                  <c:v>5.0732119081034546E-2</c:v>
                </c:pt>
                <c:pt idx="195">
                  <c:v>5.0646972199187318E-2</c:v>
                </c:pt>
                <c:pt idx="196">
                  <c:v>5.0488718933209567E-2</c:v>
                </c:pt>
                <c:pt idx="197">
                  <c:v>5.0723312022560856E-2</c:v>
                </c:pt>
                <c:pt idx="198">
                  <c:v>5.0697181015092269E-2</c:v>
                </c:pt>
                <c:pt idx="199">
                  <c:v>5.047214795209598E-2</c:v>
                </c:pt>
                <c:pt idx="200">
                  <c:v>5.036746908928743E-2</c:v>
                </c:pt>
                <c:pt idx="201">
                  <c:v>5.0291095007479809E-2</c:v>
                </c:pt>
                <c:pt idx="202">
                  <c:v>5.0405882362620211E-2</c:v>
                </c:pt>
                <c:pt idx="203">
                  <c:v>5.0385736790448582E-2</c:v>
                </c:pt>
                <c:pt idx="204">
                  <c:v>5.0405117879694386E-2</c:v>
                </c:pt>
                <c:pt idx="205">
                  <c:v>5.0398225637851263E-2</c:v>
                </c:pt>
                <c:pt idx="206">
                  <c:v>5.0368722307856266E-2</c:v>
                </c:pt>
                <c:pt idx="207">
                  <c:v>5.0459729029177412E-2</c:v>
                </c:pt>
                <c:pt idx="208">
                  <c:v>5.0531278237364065E-2</c:v>
                </c:pt>
                <c:pt idx="209">
                  <c:v>5.0514011415609905E-2</c:v>
                </c:pt>
                <c:pt idx="210">
                  <c:v>5.0363213396969836E-2</c:v>
                </c:pt>
                <c:pt idx="211">
                  <c:v>5.0310979837246923E-2</c:v>
                </c:pt>
                <c:pt idx="212">
                  <c:v>5.0088639696061601E-2</c:v>
                </c:pt>
                <c:pt idx="213">
                  <c:v>5.0055695337398468E-2</c:v>
                </c:pt>
                <c:pt idx="214">
                  <c:v>4.9988775982904993E-2</c:v>
                </c:pt>
                <c:pt idx="215">
                  <c:v>4.9804315183253026E-2</c:v>
                </c:pt>
                <c:pt idx="216">
                  <c:v>4.9681522254762245E-2</c:v>
                </c:pt>
                <c:pt idx="217">
                  <c:v>4.9700163058360072E-2</c:v>
                </c:pt>
                <c:pt idx="218">
                  <c:v>4.9676973662773891E-2</c:v>
                </c:pt>
                <c:pt idx="219">
                  <c:v>4.9687663592907348E-2</c:v>
                </c:pt>
                <c:pt idx="220">
                  <c:v>4.9692615917710174E-2</c:v>
                </c:pt>
                <c:pt idx="221">
                  <c:v>4.9640782577893353E-2</c:v>
                </c:pt>
                <c:pt idx="222">
                  <c:v>4.982922508830151E-2</c:v>
                </c:pt>
                <c:pt idx="223">
                  <c:v>4.9961599530782365E-2</c:v>
                </c:pt>
                <c:pt idx="224">
                  <c:v>5.0208564251378818E-2</c:v>
                </c:pt>
                <c:pt idx="225">
                  <c:v>4.9894053895881266E-2</c:v>
                </c:pt>
                <c:pt idx="226">
                  <c:v>4.9949892314767458E-2</c:v>
                </c:pt>
                <c:pt idx="227">
                  <c:v>5.013451128206127E-2</c:v>
                </c:pt>
                <c:pt idx="228">
                  <c:v>5.0107141250794948E-2</c:v>
                </c:pt>
                <c:pt idx="229">
                  <c:v>4.9984309267743374E-2</c:v>
                </c:pt>
                <c:pt idx="230">
                  <c:v>4.9944425645637058E-2</c:v>
                </c:pt>
                <c:pt idx="231">
                  <c:v>4.9986159910016939E-2</c:v>
                </c:pt>
                <c:pt idx="232">
                  <c:v>4.9909204521534647E-2</c:v>
                </c:pt>
                <c:pt idx="233">
                  <c:v>4.9921652477904907E-2</c:v>
                </c:pt>
                <c:pt idx="234">
                  <c:v>4.9913350773754674E-2</c:v>
                </c:pt>
                <c:pt idx="235">
                  <c:v>4.9791589932398808E-2</c:v>
                </c:pt>
                <c:pt idx="236">
                  <c:v>4.975276463366924E-2</c:v>
                </c:pt>
                <c:pt idx="237">
                  <c:v>4.9891786858978548E-2</c:v>
                </c:pt>
                <c:pt idx="238">
                  <c:v>5.0099685325313399E-2</c:v>
                </c:pt>
                <c:pt idx="239">
                  <c:v>5.028345725721621E-2</c:v>
                </c:pt>
                <c:pt idx="240">
                  <c:v>5.0146705672945303E-2</c:v>
                </c:pt>
                <c:pt idx="241">
                  <c:v>5.0219444451452253E-2</c:v>
                </c:pt>
                <c:pt idx="242">
                  <c:v>5.0505155054701233E-2</c:v>
                </c:pt>
                <c:pt idx="243">
                  <c:v>5.0263381657558018E-2</c:v>
                </c:pt>
                <c:pt idx="244">
                  <c:v>5.0323105159758449E-2</c:v>
                </c:pt>
                <c:pt idx="245">
                  <c:v>5.0306687034810268E-2</c:v>
                </c:pt>
                <c:pt idx="246">
                  <c:v>5.0405313687706135E-2</c:v>
                </c:pt>
                <c:pt idx="247">
                  <c:v>5.0528776874292455E-2</c:v>
                </c:pt>
                <c:pt idx="248">
                  <c:v>5.0473573189528637E-2</c:v>
                </c:pt>
                <c:pt idx="249">
                  <c:v>5.0425622789501308E-2</c:v>
                </c:pt>
                <c:pt idx="250">
                  <c:v>5.0469331993208855E-2</c:v>
                </c:pt>
                <c:pt idx="251">
                  <c:v>5.0426622623559472E-2</c:v>
                </c:pt>
                <c:pt idx="252">
                  <c:v>5.0577812387639143E-2</c:v>
                </c:pt>
                <c:pt idx="253">
                  <c:v>5.0554078583338852E-2</c:v>
                </c:pt>
                <c:pt idx="254">
                  <c:v>5.0637028702141776E-2</c:v>
                </c:pt>
                <c:pt idx="255">
                  <c:v>5.068287567473876E-2</c:v>
                </c:pt>
                <c:pt idx="256">
                  <c:v>5.087875673888867E-2</c:v>
                </c:pt>
                <c:pt idx="257">
                  <c:v>5.1108469888372227E-2</c:v>
                </c:pt>
                <c:pt idx="258">
                  <c:v>5.1208019820735487E-2</c:v>
                </c:pt>
                <c:pt idx="259">
                  <c:v>5.1195244643090401E-2</c:v>
                </c:pt>
                <c:pt idx="260">
                  <c:v>5.1249479050451935E-2</c:v>
                </c:pt>
                <c:pt idx="261">
                  <c:v>5.1240325921540944E-2</c:v>
                </c:pt>
                <c:pt idx="262">
                  <c:v>5.1310883953227339E-2</c:v>
                </c:pt>
                <c:pt idx="263">
                  <c:v>5.1328980559786477E-2</c:v>
                </c:pt>
                <c:pt idx="264">
                  <c:v>5.1295545575268379E-2</c:v>
                </c:pt>
                <c:pt idx="265">
                  <c:v>5.1241635637892871E-2</c:v>
                </c:pt>
                <c:pt idx="266">
                  <c:v>5.1245400595910866E-2</c:v>
                </c:pt>
                <c:pt idx="267">
                  <c:v>5.1188863816819724E-2</c:v>
                </c:pt>
                <c:pt idx="268">
                  <c:v>5.1210735718473212E-2</c:v>
                </c:pt>
                <c:pt idx="269">
                  <c:v>5.1065896494848786E-2</c:v>
                </c:pt>
                <c:pt idx="270">
                  <c:v>5.1132042092398258E-2</c:v>
                </c:pt>
                <c:pt idx="271">
                  <c:v>5.1150976014350466E-2</c:v>
                </c:pt>
                <c:pt idx="272">
                  <c:v>5.1164399132249301E-2</c:v>
                </c:pt>
                <c:pt idx="273">
                  <c:v>5.1109446798954405E-2</c:v>
                </c:pt>
                <c:pt idx="274">
                  <c:v>5.1142771645235639E-2</c:v>
                </c:pt>
                <c:pt idx="275">
                  <c:v>5.1043276562503515E-2</c:v>
                </c:pt>
                <c:pt idx="276">
                  <c:v>5.0976323207361868E-2</c:v>
                </c:pt>
                <c:pt idx="277">
                  <c:v>5.0872425084552343E-2</c:v>
                </c:pt>
                <c:pt idx="278">
                  <c:v>5.0822652822219615E-2</c:v>
                </c:pt>
                <c:pt idx="279">
                  <c:v>5.0691070817163592E-2</c:v>
                </c:pt>
                <c:pt idx="280">
                  <c:v>5.0685778434340398E-2</c:v>
                </c:pt>
                <c:pt idx="281">
                  <c:v>5.0881197933715129E-2</c:v>
                </c:pt>
                <c:pt idx="282">
                  <c:v>5.0853786644471766E-2</c:v>
                </c:pt>
                <c:pt idx="283">
                  <c:v>5.0687771901642698E-2</c:v>
                </c:pt>
                <c:pt idx="284">
                  <c:v>5.0737253340132488E-2</c:v>
                </c:pt>
                <c:pt idx="285">
                  <c:v>5.0887531065680815E-2</c:v>
                </c:pt>
                <c:pt idx="286">
                  <c:v>5.0866160504457129E-2</c:v>
                </c:pt>
                <c:pt idx="287">
                  <c:v>5.095946054858487E-2</c:v>
                </c:pt>
                <c:pt idx="288">
                  <c:v>5.098884286357732E-2</c:v>
                </c:pt>
                <c:pt idx="289">
                  <c:v>5.1069664360010807E-2</c:v>
                </c:pt>
                <c:pt idx="290">
                  <c:v>5.1000519747952236E-2</c:v>
                </c:pt>
                <c:pt idx="291">
                  <c:v>5.092761599213478E-2</c:v>
                </c:pt>
                <c:pt idx="292">
                  <c:v>5.1071945969767468E-2</c:v>
                </c:pt>
                <c:pt idx="293">
                  <c:v>5.119840365052529E-2</c:v>
                </c:pt>
                <c:pt idx="294">
                  <c:v>5.1304246663788716E-2</c:v>
                </c:pt>
                <c:pt idx="295">
                  <c:v>5.1294390050354542E-2</c:v>
                </c:pt>
                <c:pt idx="296">
                  <c:v>5.1251441522221962E-2</c:v>
                </c:pt>
                <c:pt idx="297">
                  <c:v>5.1263381094816693E-2</c:v>
                </c:pt>
                <c:pt idx="298">
                  <c:v>5.1367110647355912E-2</c:v>
                </c:pt>
                <c:pt idx="299">
                  <c:v>5.1215977834993577E-2</c:v>
                </c:pt>
                <c:pt idx="300">
                  <c:v>5.1400620896647327E-2</c:v>
                </c:pt>
                <c:pt idx="301">
                  <c:v>5.1356939530168483E-2</c:v>
                </c:pt>
                <c:pt idx="302">
                  <c:v>5.1344285681243038E-2</c:v>
                </c:pt>
                <c:pt idx="303">
                  <c:v>5.1425236973720007E-2</c:v>
                </c:pt>
                <c:pt idx="304">
                  <c:v>5.1337706088349103E-2</c:v>
                </c:pt>
                <c:pt idx="305">
                  <c:v>5.1428531531328259E-2</c:v>
                </c:pt>
                <c:pt idx="306">
                  <c:v>5.1350651962196639E-2</c:v>
                </c:pt>
                <c:pt idx="307">
                  <c:v>5.1423554936991051E-2</c:v>
                </c:pt>
                <c:pt idx="308">
                  <c:v>5.1418294198416356E-2</c:v>
                </c:pt>
                <c:pt idx="309">
                  <c:v>5.1518676598307785E-2</c:v>
                </c:pt>
                <c:pt idx="310">
                  <c:v>5.1667959765802324E-2</c:v>
                </c:pt>
                <c:pt idx="311">
                  <c:v>5.1622007318324399E-2</c:v>
                </c:pt>
                <c:pt idx="312">
                  <c:v>5.1671167158527286E-2</c:v>
                </c:pt>
                <c:pt idx="313">
                  <c:v>5.1515545083294811E-2</c:v>
                </c:pt>
                <c:pt idx="314">
                  <c:v>5.1283777264437697E-2</c:v>
                </c:pt>
                <c:pt idx="315">
                  <c:v>5.1136084616126468E-2</c:v>
                </c:pt>
                <c:pt idx="316">
                  <c:v>5.1096087011322767E-2</c:v>
                </c:pt>
                <c:pt idx="317">
                  <c:v>5.0972308920646296E-2</c:v>
                </c:pt>
                <c:pt idx="318">
                  <c:v>5.1090343160557397E-2</c:v>
                </c:pt>
                <c:pt idx="319">
                  <c:v>5.111997729486837E-2</c:v>
                </c:pt>
                <c:pt idx="320">
                  <c:v>5.0891750968992441E-2</c:v>
                </c:pt>
                <c:pt idx="321">
                  <c:v>5.0940670736857249E-2</c:v>
                </c:pt>
                <c:pt idx="322">
                  <c:v>5.0946420381898561E-2</c:v>
                </c:pt>
                <c:pt idx="323">
                  <c:v>5.1046594978704937E-2</c:v>
                </c:pt>
                <c:pt idx="324">
                  <c:v>5.1049194424436097E-2</c:v>
                </c:pt>
                <c:pt idx="325">
                  <c:v>5.1158861455405311E-2</c:v>
                </c:pt>
                <c:pt idx="326">
                  <c:v>5.1109224750957694E-2</c:v>
                </c:pt>
                <c:pt idx="327">
                  <c:v>5.1357813902919811E-2</c:v>
                </c:pt>
                <c:pt idx="328">
                  <c:v>5.1339239106522508E-2</c:v>
                </c:pt>
                <c:pt idx="329">
                  <c:v>5.1343510104274785E-2</c:v>
                </c:pt>
                <c:pt idx="330">
                  <c:v>5.1184364738771471E-2</c:v>
                </c:pt>
                <c:pt idx="331">
                  <c:v>5.1036876553753246E-2</c:v>
                </c:pt>
                <c:pt idx="332">
                  <c:v>5.1004321036292113E-2</c:v>
                </c:pt>
                <c:pt idx="333">
                  <c:v>5.0915799222648883E-2</c:v>
                </c:pt>
                <c:pt idx="334">
                  <c:v>5.0950286762008107E-2</c:v>
                </c:pt>
                <c:pt idx="335">
                  <c:v>5.0897577769961691E-2</c:v>
                </c:pt>
                <c:pt idx="336">
                  <c:v>5.0851099877647202E-2</c:v>
                </c:pt>
                <c:pt idx="337">
                  <c:v>5.0782773404552145E-2</c:v>
                </c:pt>
                <c:pt idx="338">
                  <c:v>5.0756636763146436E-2</c:v>
                </c:pt>
                <c:pt idx="339">
                  <c:v>5.098588634578282E-2</c:v>
                </c:pt>
                <c:pt idx="340">
                  <c:v>5.0857028353257255E-2</c:v>
                </c:pt>
                <c:pt idx="341">
                  <c:v>5.0766758976772262E-2</c:v>
                </c:pt>
                <c:pt idx="342">
                  <c:v>5.0765869029013214E-2</c:v>
                </c:pt>
                <c:pt idx="343">
                  <c:v>5.0793630216810839E-2</c:v>
                </c:pt>
                <c:pt idx="344">
                  <c:v>5.0807503280611586E-2</c:v>
                </c:pt>
                <c:pt idx="345">
                  <c:v>5.0847675660090769E-2</c:v>
                </c:pt>
                <c:pt idx="346">
                  <c:v>5.093147250885588E-2</c:v>
                </c:pt>
                <c:pt idx="347">
                  <c:v>5.0913315943906801E-2</c:v>
                </c:pt>
                <c:pt idx="348">
                  <c:v>5.1023702160038181E-2</c:v>
                </c:pt>
                <c:pt idx="349">
                  <c:v>5.0909323842671342E-2</c:v>
                </c:pt>
                <c:pt idx="350">
                  <c:v>5.0693734147802171E-2</c:v>
                </c:pt>
                <c:pt idx="351">
                  <c:v>5.0928027466840678E-2</c:v>
                </c:pt>
                <c:pt idx="352">
                  <c:v>5.0917684636585706E-2</c:v>
                </c:pt>
                <c:pt idx="353">
                  <c:v>5.088266683303426E-2</c:v>
                </c:pt>
                <c:pt idx="354">
                  <c:v>5.0903265329380297E-2</c:v>
                </c:pt>
                <c:pt idx="355">
                  <c:v>5.0793529118208065E-2</c:v>
                </c:pt>
                <c:pt idx="356">
                  <c:v>5.0892132054272891E-2</c:v>
                </c:pt>
                <c:pt idx="357">
                  <c:v>5.0906833620708206E-2</c:v>
                </c:pt>
                <c:pt idx="358">
                  <c:v>5.1024189344372778E-2</c:v>
                </c:pt>
                <c:pt idx="359">
                  <c:v>5.1025801841631906E-2</c:v>
                </c:pt>
                <c:pt idx="360">
                  <c:v>5.1050972624067686E-2</c:v>
                </c:pt>
                <c:pt idx="361">
                  <c:v>5.0937359168058007E-2</c:v>
                </c:pt>
                <c:pt idx="362">
                  <c:v>5.1106266404844829E-2</c:v>
                </c:pt>
                <c:pt idx="363">
                  <c:v>5.1132008946404017E-2</c:v>
                </c:pt>
                <c:pt idx="364">
                  <c:v>5.1012958580047035E-2</c:v>
                </c:pt>
                <c:pt idx="365">
                  <c:v>5.113417634267893E-2</c:v>
                </c:pt>
                <c:pt idx="366">
                  <c:v>5.1217041496244023E-2</c:v>
                </c:pt>
                <c:pt idx="367">
                  <c:v>5.1033901896608655E-2</c:v>
                </c:pt>
                <c:pt idx="368">
                  <c:v>5.0976608371327933E-2</c:v>
                </c:pt>
                <c:pt idx="369">
                  <c:v>5.0763475733569166E-2</c:v>
                </c:pt>
                <c:pt idx="370">
                  <c:v>5.0843502991500825E-2</c:v>
                </c:pt>
                <c:pt idx="371">
                  <c:v>5.0914262415215759E-2</c:v>
                </c:pt>
                <c:pt idx="372">
                  <c:v>5.0971501725440703E-2</c:v>
                </c:pt>
                <c:pt idx="373">
                  <c:v>5.1031620399453165E-2</c:v>
                </c:pt>
                <c:pt idx="374">
                  <c:v>5.1052451730671286E-2</c:v>
                </c:pt>
                <c:pt idx="375">
                  <c:v>5.1063653453978272E-2</c:v>
                </c:pt>
                <c:pt idx="376">
                  <c:v>5.1043029823714087E-2</c:v>
                </c:pt>
                <c:pt idx="377">
                  <c:v>5.1094778600776609E-2</c:v>
                </c:pt>
                <c:pt idx="378">
                  <c:v>5.1107887127724475E-2</c:v>
                </c:pt>
                <c:pt idx="379">
                  <c:v>5.1114241780188266E-2</c:v>
                </c:pt>
                <c:pt idx="380">
                  <c:v>5.1132988342714153E-2</c:v>
                </c:pt>
                <c:pt idx="381">
                  <c:v>5.1184026077612667E-2</c:v>
                </c:pt>
                <c:pt idx="382">
                  <c:v>5.1358324376453761E-2</c:v>
                </c:pt>
                <c:pt idx="383">
                  <c:v>5.1158630118446791E-2</c:v>
                </c:pt>
                <c:pt idx="384">
                  <c:v>5.1100127522402658E-2</c:v>
                </c:pt>
                <c:pt idx="385">
                  <c:v>5.1026592816087943E-2</c:v>
                </c:pt>
                <c:pt idx="386">
                  <c:v>5.1007667254098429E-2</c:v>
                </c:pt>
                <c:pt idx="387">
                  <c:v>5.1039674219215521E-2</c:v>
                </c:pt>
                <c:pt idx="388">
                  <c:v>5.0882575443956961E-2</c:v>
                </c:pt>
                <c:pt idx="389">
                  <c:v>5.0926576342388945E-2</c:v>
                </c:pt>
                <c:pt idx="390">
                  <c:v>5.0957068634022717E-2</c:v>
                </c:pt>
                <c:pt idx="391">
                  <c:v>5.087424403215797E-2</c:v>
                </c:pt>
                <c:pt idx="392">
                  <c:v>5.0958499371416575E-2</c:v>
                </c:pt>
                <c:pt idx="393">
                  <c:v>5.0834562789556392E-2</c:v>
                </c:pt>
                <c:pt idx="394">
                  <c:v>5.0770614569022376E-2</c:v>
                </c:pt>
                <c:pt idx="395">
                  <c:v>5.0584534566683173E-2</c:v>
                </c:pt>
                <c:pt idx="396">
                  <c:v>5.0593406865410681E-2</c:v>
                </c:pt>
                <c:pt idx="397">
                  <c:v>5.0553369900839661E-2</c:v>
                </c:pt>
                <c:pt idx="398">
                  <c:v>5.0407566994016162E-2</c:v>
                </c:pt>
                <c:pt idx="399">
                  <c:v>5.0410508014918122E-2</c:v>
                </c:pt>
                <c:pt idx="400">
                  <c:v>5.0480993940932153E-2</c:v>
                </c:pt>
                <c:pt idx="401">
                  <c:v>5.0669504704629845E-2</c:v>
                </c:pt>
                <c:pt idx="402">
                  <c:v>5.0861771448537423E-2</c:v>
                </c:pt>
                <c:pt idx="403">
                  <c:v>5.0918501857266402E-2</c:v>
                </c:pt>
                <c:pt idx="404">
                  <c:v>5.0926109501703128E-2</c:v>
                </c:pt>
                <c:pt idx="405">
                  <c:v>5.0897502893016491E-2</c:v>
                </c:pt>
                <c:pt idx="406">
                  <c:v>5.095777570997731E-2</c:v>
                </c:pt>
                <c:pt idx="407">
                  <c:v>5.0969223900435123E-2</c:v>
                </c:pt>
                <c:pt idx="408">
                  <c:v>5.09006366696928E-2</c:v>
                </c:pt>
                <c:pt idx="409">
                  <c:v>5.0822899256050248E-2</c:v>
                </c:pt>
                <c:pt idx="410">
                  <c:v>5.0750435308439756E-2</c:v>
                </c:pt>
                <c:pt idx="411">
                  <c:v>5.0683640074890818E-2</c:v>
                </c:pt>
                <c:pt idx="412">
                  <c:v>5.0728617104247177E-2</c:v>
                </c:pt>
                <c:pt idx="413">
                  <c:v>5.065956845433247E-2</c:v>
                </c:pt>
                <c:pt idx="414">
                  <c:v>5.0628630233515326E-2</c:v>
                </c:pt>
                <c:pt idx="415">
                  <c:v>5.0565032508582075E-2</c:v>
                </c:pt>
                <c:pt idx="416">
                  <c:v>5.0676073384115131E-2</c:v>
                </c:pt>
                <c:pt idx="417">
                  <c:v>5.0559963909762383E-2</c:v>
                </c:pt>
                <c:pt idx="418">
                  <c:v>5.0695245282358636E-2</c:v>
                </c:pt>
                <c:pt idx="419">
                  <c:v>5.0665617137385502E-2</c:v>
                </c:pt>
                <c:pt idx="420">
                  <c:v>5.0729926833356156E-2</c:v>
                </c:pt>
                <c:pt idx="421">
                  <c:v>5.0665963945789268E-2</c:v>
                </c:pt>
                <c:pt idx="422">
                  <c:v>5.0632836826225436E-2</c:v>
                </c:pt>
                <c:pt idx="423">
                  <c:v>5.0767404642028106E-2</c:v>
                </c:pt>
                <c:pt idx="424">
                  <c:v>5.0708451673126514E-2</c:v>
                </c:pt>
                <c:pt idx="425">
                  <c:v>5.0709771063286946E-2</c:v>
                </c:pt>
                <c:pt idx="426">
                  <c:v>5.0840983054967953E-2</c:v>
                </c:pt>
                <c:pt idx="427">
                  <c:v>5.0785161102405038E-2</c:v>
                </c:pt>
                <c:pt idx="428">
                  <c:v>5.0940800066700209E-2</c:v>
                </c:pt>
                <c:pt idx="429">
                  <c:v>5.0842139550847432E-2</c:v>
                </c:pt>
                <c:pt idx="430">
                  <c:v>5.0821959285617724E-2</c:v>
                </c:pt>
                <c:pt idx="431">
                  <c:v>5.0866383718129252E-2</c:v>
                </c:pt>
                <c:pt idx="432">
                  <c:v>5.0782626259115594E-2</c:v>
                </c:pt>
                <c:pt idx="433">
                  <c:v>5.0784536200066135E-2</c:v>
                </c:pt>
                <c:pt idx="434">
                  <c:v>5.0807738330428329E-2</c:v>
                </c:pt>
                <c:pt idx="435">
                  <c:v>5.0794062854399136E-2</c:v>
                </c:pt>
                <c:pt idx="436">
                  <c:v>5.0709150421743177E-2</c:v>
                </c:pt>
                <c:pt idx="437">
                  <c:v>5.0662405090903542E-2</c:v>
                </c:pt>
                <c:pt idx="438">
                  <c:v>5.076491494698069E-2</c:v>
                </c:pt>
                <c:pt idx="439">
                  <c:v>5.0621449002671653E-2</c:v>
                </c:pt>
                <c:pt idx="440">
                  <c:v>5.0661915247454919E-2</c:v>
                </c:pt>
                <c:pt idx="441">
                  <c:v>5.0805500519496019E-2</c:v>
                </c:pt>
                <c:pt idx="442">
                  <c:v>5.0917621184901223E-2</c:v>
                </c:pt>
                <c:pt idx="443">
                  <c:v>5.0857349311498622E-2</c:v>
                </c:pt>
                <c:pt idx="444">
                  <c:v>5.0859151183538898E-2</c:v>
                </c:pt>
                <c:pt idx="445">
                  <c:v>5.0851265093530815E-2</c:v>
                </c:pt>
                <c:pt idx="446">
                  <c:v>5.1012459576132943E-2</c:v>
                </c:pt>
                <c:pt idx="447">
                  <c:v>5.0972726932192264E-2</c:v>
                </c:pt>
                <c:pt idx="448">
                  <c:v>5.0917252867234232E-2</c:v>
                </c:pt>
                <c:pt idx="449">
                  <c:v>5.0804622269854632E-2</c:v>
                </c:pt>
                <c:pt idx="450">
                  <c:v>5.0790218027445738E-2</c:v>
                </c:pt>
                <c:pt idx="451">
                  <c:v>5.0610810557362988E-2</c:v>
                </c:pt>
                <c:pt idx="452">
                  <c:v>5.063414195411782E-2</c:v>
                </c:pt>
                <c:pt idx="453">
                  <c:v>5.0524794729694081E-2</c:v>
                </c:pt>
                <c:pt idx="454">
                  <c:v>5.052280628470017E-2</c:v>
                </c:pt>
                <c:pt idx="455">
                  <c:v>5.0424091514018818E-2</c:v>
                </c:pt>
                <c:pt idx="456">
                  <c:v>5.0487942210744957E-2</c:v>
                </c:pt>
                <c:pt idx="457">
                  <c:v>5.0619851221221479E-2</c:v>
                </c:pt>
                <c:pt idx="458">
                  <c:v>5.0703066967092141E-2</c:v>
                </c:pt>
                <c:pt idx="459">
                  <c:v>5.0666822943756358E-2</c:v>
                </c:pt>
                <c:pt idx="460">
                  <c:v>5.0686782748176798E-2</c:v>
                </c:pt>
                <c:pt idx="461">
                  <c:v>5.0603117551964394E-2</c:v>
                </c:pt>
                <c:pt idx="462">
                  <c:v>5.0710472131008662E-2</c:v>
                </c:pt>
                <c:pt idx="463">
                  <c:v>5.0849124995276149E-2</c:v>
                </c:pt>
                <c:pt idx="464">
                  <c:v>5.1025777874627185E-2</c:v>
                </c:pt>
                <c:pt idx="465">
                  <c:v>5.1203242884812386E-2</c:v>
                </c:pt>
                <c:pt idx="466">
                  <c:v>5.126356766863429E-2</c:v>
                </c:pt>
                <c:pt idx="467">
                  <c:v>5.1299082667785906E-2</c:v>
                </c:pt>
                <c:pt idx="468">
                  <c:v>5.1367439911781915E-2</c:v>
                </c:pt>
                <c:pt idx="469">
                  <c:v>5.1515729427348583E-2</c:v>
                </c:pt>
                <c:pt idx="470">
                  <c:v>5.1597242115860031E-2</c:v>
                </c:pt>
                <c:pt idx="471">
                  <c:v>5.1509376026387457E-2</c:v>
                </c:pt>
                <c:pt idx="472">
                  <c:v>5.162309450729987E-2</c:v>
                </c:pt>
                <c:pt idx="473">
                  <c:v>5.163531130339255E-2</c:v>
                </c:pt>
                <c:pt idx="474">
                  <c:v>5.1559341669914535E-2</c:v>
                </c:pt>
                <c:pt idx="475">
                  <c:v>5.1676961932953805E-2</c:v>
                </c:pt>
                <c:pt idx="476">
                  <c:v>5.1526207331534082E-2</c:v>
                </c:pt>
                <c:pt idx="477">
                  <c:v>5.1564229936943901E-2</c:v>
                </c:pt>
                <c:pt idx="478">
                  <c:v>5.1693862550678357E-2</c:v>
                </c:pt>
                <c:pt idx="479">
                  <c:v>5.191738140083238E-2</c:v>
                </c:pt>
                <c:pt idx="480">
                  <c:v>5.2095615946883084E-2</c:v>
                </c:pt>
                <c:pt idx="481">
                  <c:v>5.2115111663890878E-2</c:v>
                </c:pt>
                <c:pt idx="482">
                  <c:v>5.2310840894011404E-2</c:v>
                </c:pt>
                <c:pt idx="483">
                  <c:v>5.2175590275640393E-2</c:v>
                </c:pt>
                <c:pt idx="484">
                  <c:v>5.2113978019660195E-2</c:v>
                </c:pt>
                <c:pt idx="485">
                  <c:v>5.2022744312959363E-2</c:v>
                </c:pt>
                <c:pt idx="486">
                  <c:v>5.1984772480089828E-2</c:v>
                </c:pt>
                <c:pt idx="487">
                  <c:v>5.1787798436880153E-2</c:v>
                </c:pt>
                <c:pt idx="488">
                  <c:v>5.1868856048255897E-2</c:v>
                </c:pt>
                <c:pt idx="489">
                  <c:v>5.1797291449026617E-2</c:v>
                </c:pt>
                <c:pt idx="490">
                  <c:v>5.1848727662845859E-2</c:v>
                </c:pt>
                <c:pt idx="491">
                  <c:v>5.1773073122322641E-2</c:v>
                </c:pt>
                <c:pt idx="492">
                  <c:v>5.1838563938423579E-2</c:v>
                </c:pt>
                <c:pt idx="493">
                  <c:v>5.1870523206442226E-2</c:v>
                </c:pt>
                <c:pt idx="494">
                  <c:v>5.187889894683536E-2</c:v>
                </c:pt>
                <c:pt idx="495">
                  <c:v>5.1905849502301274E-2</c:v>
                </c:pt>
                <c:pt idx="496">
                  <c:v>5.1940779119077171E-2</c:v>
                </c:pt>
                <c:pt idx="497">
                  <c:v>5.196305922592788E-2</c:v>
                </c:pt>
                <c:pt idx="498">
                  <c:v>5.2052509546979799E-2</c:v>
                </c:pt>
                <c:pt idx="499">
                  <c:v>5.2205970800300552E-2</c:v>
                </c:pt>
                <c:pt idx="500">
                  <c:v>5.2220184219442356E-2</c:v>
                </c:pt>
                <c:pt idx="501">
                  <c:v>5.231299821421885E-2</c:v>
                </c:pt>
                <c:pt idx="502">
                  <c:v>5.2177940854648955E-2</c:v>
                </c:pt>
                <c:pt idx="503">
                  <c:v>5.2252430374384359E-2</c:v>
                </c:pt>
                <c:pt idx="504">
                  <c:v>5.2133750426264482E-2</c:v>
                </c:pt>
                <c:pt idx="505">
                  <c:v>5.2311594459402519E-2</c:v>
                </c:pt>
                <c:pt idx="506">
                  <c:v>5.2293531014426367E-2</c:v>
                </c:pt>
                <c:pt idx="507">
                  <c:v>5.2257179759100172E-2</c:v>
                </c:pt>
                <c:pt idx="508">
                  <c:v>5.2321488916059658E-2</c:v>
                </c:pt>
                <c:pt idx="509">
                  <c:v>5.233312954975447E-2</c:v>
                </c:pt>
                <c:pt idx="510">
                  <c:v>5.2292545164239659E-2</c:v>
                </c:pt>
                <c:pt idx="511">
                  <c:v>5.2266635056530647E-2</c:v>
                </c:pt>
                <c:pt idx="512">
                  <c:v>5.2450188907823159E-2</c:v>
                </c:pt>
                <c:pt idx="513">
                  <c:v>5.2489633560978785E-2</c:v>
                </c:pt>
                <c:pt idx="514">
                  <c:v>5.2627878099382915E-2</c:v>
                </c:pt>
                <c:pt idx="515">
                  <c:v>5.2722640845972661E-2</c:v>
                </c:pt>
                <c:pt idx="516">
                  <c:v>5.2804771275013693E-2</c:v>
                </c:pt>
                <c:pt idx="517">
                  <c:v>5.2860454788911666E-2</c:v>
                </c:pt>
                <c:pt idx="518">
                  <c:v>5.2852192619392488E-2</c:v>
                </c:pt>
                <c:pt idx="519">
                  <c:v>5.2933479734119902E-2</c:v>
                </c:pt>
                <c:pt idx="520">
                  <c:v>5.296904420735242E-2</c:v>
                </c:pt>
                <c:pt idx="521">
                  <c:v>5.2978029140199397E-2</c:v>
                </c:pt>
                <c:pt idx="522">
                  <c:v>5.2934969214382135E-2</c:v>
                </c:pt>
                <c:pt idx="523">
                  <c:v>5.2966019047785806E-2</c:v>
                </c:pt>
                <c:pt idx="524">
                  <c:v>5.3014124353849085E-2</c:v>
                </c:pt>
                <c:pt idx="525">
                  <c:v>5.301104927196356E-2</c:v>
                </c:pt>
                <c:pt idx="526">
                  <c:v>5.2887842032434365E-2</c:v>
                </c:pt>
                <c:pt idx="527">
                  <c:v>5.2926022399953969E-2</c:v>
                </c:pt>
                <c:pt idx="528">
                  <c:v>5.3069022688439382E-2</c:v>
                </c:pt>
                <c:pt idx="529">
                  <c:v>5.2908366494125933E-2</c:v>
                </c:pt>
                <c:pt idx="530">
                  <c:v>5.275078568474495E-2</c:v>
                </c:pt>
                <c:pt idx="531">
                  <c:v>5.2796133503301659E-2</c:v>
                </c:pt>
                <c:pt idx="532">
                  <c:v>5.2912214909088984E-2</c:v>
                </c:pt>
                <c:pt idx="533">
                  <c:v>5.289027257736189E-2</c:v>
                </c:pt>
                <c:pt idx="534">
                  <c:v>5.284377113146338E-2</c:v>
                </c:pt>
                <c:pt idx="535">
                  <c:v>5.3077341290579061E-2</c:v>
                </c:pt>
                <c:pt idx="536">
                  <c:v>5.3167798462966868E-2</c:v>
                </c:pt>
                <c:pt idx="537">
                  <c:v>5.3315692991655055E-2</c:v>
                </c:pt>
                <c:pt idx="538">
                  <c:v>5.3479393561110103E-2</c:v>
                </c:pt>
                <c:pt idx="539">
                  <c:v>5.3523434190315619E-2</c:v>
                </c:pt>
                <c:pt idx="540">
                  <c:v>5.358730997607436E-2</c:v>
                </c:pt>
                <c:pt idx="541">
                  <c:v>5.349655508609541E-2</c:v>
                </c:pt>
                <c:pt idx="542">
                  <c:v>5.3507837516280424E-2</c:v>
                </c:pt>
                <c:pt idx="543">
                  <c:v>5.354983799744889E-2</c:v>
                </c:pt>
                <c:pt idx="544">
                  <c:v>5.3427234765628467E-2</c:v>
                </c:pt>
                <c:pt idx="545">
                  <c:v>5.3390064788021885E-2</c:v>
                </c:pt>
                <c:pt idx="546">
                  <c:v>5.3391723915651092E-2</c:v>
                </c:pt>
                <c:pt idx="547">
                  <c:v>5.3348426596493997E-2</c:v>
                </c:pt>
                <c:pt idx="548">
                  <c:v>5.3377184838468525E-2</c:v>
                </c:pt>
                <c:pt idx="549">
                  <c:v>5.3592921182948422E-2</c:v>
                </c:pt>
                <c:pt idx="550">
                  <c:v>5.3524602595801496E-2</c:v>
                </c:pt>
                <c:pt idx="551">
                  <c:v>5.3526090304573226E-2</c:v>
                </c:pt>
                <c:pt idx="552">
                  <c:v>5.3577909871799709E-2</c:v>
                </c:pt>
                <c:pt idx="553">
                  <c:v>5.3589754587753974E-2</c:v>
                </c:pt>
                <c:pt idx="554">
                  <c:v>5.3535807693358695E-2</c:v>
                </c:pt>
                <c:pt idx="555">
                  <c:v>5.3723422254094794E-2</c:v>
                </c:pt>
                <c:pt idx="556">
                  <c:v>5.3768603320844183E-2</c:v>
                </c:pt>
                <c:pt idx="557">
                  <c:v>5.3918060534499768E-2</c:v>
                </c:pt>
                <c:pt idx="558">
                  <c:v>5.4109214091199086E-2</c:v>
                </c:pt>
                <c:pt idx="559">
                  <c:v>5.4101775256334625E-2</c:v>
                </c:pt>
                <c:pt idx="560">
                  <c:v>5.4030005354342193E-2</c:v>
                </c:pt>
                <c:pt idx="561">
                  <c:v>5.4041565829454671E-2</c:v>
                </c:pt>
                <c:pt idx="562">
                  <c:v>5.3947060546997279E-2</c:v>
                </c:pt>
                <c:pt idx="563">
                  <c:v>5.3988751602383929E-2</c:v>
                </c:pt>
                <c:pt idx="564">
                  <c:v>5.390846059997273E-2</c:v>
                </c:pt>
                <c:pt idx="565">
                  <c:v>5.3853768544724442E-2</c:v>
                </c:pt>
                <c:pt idx="566">
                  <c:v>5.3842660073622109E-2</c:v>
                </c:pt>
                <c:pt idx="567">
                  <c:v>5.3771190203002757E-2</c:v>
                </c:pt>
                <c:pt idx="568">
                  <c:v>5.3683668921872943E-2</c:v>
                </c:pt>
                <c:pt idx="569">
                  <c:v>5.3775030877958194E-2</c:v>
                </c:pt>
                <c:pt idx="570">
                  <c:v>5.3779228861315198E-2</c:v>
                </c:pt>
                <c:pt idx="571">
                  <c:v>5.383419921846834E-2</c:v>
                </c:pt>
                <c:pt idx="572">
                  <c:v>5.3857517852999928E-2</c:v>
                </c:pt>
                <c:pt idx="573">
                  <c:v>5.4015019026964095E-2</c:v>
                </c:pt>
                <c:pt idx="574">
                  <c:v>5.4034727088287479E-2</c:v>
                </c:pt>
                <c:pt idx="575">
                  <c:v>5.4128922206187556E-2</c:v>
                </c:pt>
                <c:pt idx="576">
                  <c:v>5.4241436117825101E-2</c:v>
                </c:pt>
                <c:pt idx="577">
                  <c:v>5.4299220318412139E-2</c:v>
                </c:pt>
                <c:pt idx="578">
                  <c:v>5.4359183730525923E-2</c:v>
                </c:pt>
                <c:pt idx="579">
                  <c:v>5.4294487954415237E-2</c:v>
                </c:pt>
                <c:pt idx="580">
                  <c:v>5.4359360011271625E-2</c:v>
                </c:pt>
                <c:pt idx="581">
                  <c:v>5.4320394135715405E-2</c:v>
                </c:pt>
                <c:pt idx="582">
                  <c:v>5.4479549529326404E-2</c:v>
                </c:pt>
                <c:pt idx="583">
                  <c:v>5.4547160354204094E-2</c:v>
                </c:pt>
                <c:pt idx="584">
                  <c:v>5.452269607576872E-2</c:v>
                </c:pt>
                <c:pt idx="585">
                  <c:v>5.4555521798048165E-2</c:v>
                </c:pt>
                <c:pt idx="586">
                  <c:v>5.4594389162870835E-2</c:v>
                </c:pt>
                <c:pt idx="587">
                  <c:v>5.4497151713983186E-2</c:v>
                </c:pt>
                <c:pt idx="588">
                  <c:v>5.4309954423805137E-2</c:v>
                </c:pt>
                <c:pt idx="589">
                  <c:v>5.425940976762382E-2</c:v>
                </c:pt>
                <c:pt idx="590">
                  <c:v>5.4326790356789521E-2</c:v>
                </c:pt>
                <c:pt idx="591">
                  <c:v>5.4186931493084803E-2</c:v>
                </c:pt>
                <c:pt idx="592">
                  <c:v>5.4092099750369133E-2</c:v>
                </c:pt>
                <c:pt idx="593">
                  <c:v>5.3891527733687029E-2</c:v>
                </c:pt>
                <c:pt idx="594">
                  <c:v>5.3906575297056822E-2</c:v>
                </c:pt>
                <c:pt idx="595">
                  <c:v>5.3855945724056276E-2</c:v>
                </c:pt>
                <c:pt idx="596">
                  <c:v>5.3827862996827319E-2</c:v>
                </c:pt>
                <c:pt idx="597">
                  <c:v>5.3951827608750641E-2</c:v>
                </c:pt>
                <c:pt idx="598">
                  <c:v>5.3903737279292832E-2</c:v>
                </c:pt>
                <c:pt idx="599">
                  <c:v>5.3841571678400091E-2</c:v>
                </c:pt>
                <c:pt idx="600">
                  <c:v>5.38251958538511E-2</c:v>
                </c:pt>
                <c:pt idx="601">
                  <c:v>5.3866436164013959E-2</c:v>
                </c:pt>
                <c:pt idx="602">
                  <c:v>5.3914454903752948E-2</c:v>
                </c:pt>
                <c:pt idx="603">
                  <c:v>5.4046722010506809E-2</c:v>
                </c:pt>
                <c:pt idx="604">
                  <c:v>5.4041347981445109E-2</c:v>
                </c:pt>
                <c:pt idx="605">
                  <c:v>5.3944656277292016E-2</c:v>
                </c:pt>
                <c:pt idx="606">
                  <c:v>5.4089596951614805E-2</c:v>
                </c:pt>
                <c:pt idx="607">
                  <c:v>5.3967593953901508E-2</c:v>
                </c:pt>
                <c:pt idx="608">
                  <c:v>5.4071835904279504E-2</c:v>
                </c:pt>
                <c:pt idx="609">
                  <c:v>5.405000192004826E-2</c:v>
                </c:pt>
                <c:pt idx="610">
                  <c:v>5.3872770552311829E-2</c:v>
                </c:pt>
                <c:pt idx="611">
                  <c:v>5.3937386788838179E-2</c:v>
                </c:pt>
                <c:pt idx="612">
                  <c:v>5.4051635094522342E-2</c:v>
                </c:pt>
                <c:pt idx="613">
                  <c:v>5.3948808153047464E-2</c:v>
                </c:pt>
                <c:pt idx="614">
                  <c:v>5.3993169509111497E-2</c:v>
                </c:pt>
                <c:pt idx="615">
                  <c:v>5.3934550493156E-2</c:v>
                </c:pt>
                <c:pt idx="616">
                  <c:v>5.3958158797345057E-2</c:v>
                </c:pt>
                <c:pt idx="617">
                  <c:v>5.4104417822363332E-2</c:v>
                </c:pt>
                <c:pt idx="618">
                  <c:v>5.4064337780374741E-2</c:v>
                </c:pt>
                <c:pt idx="619">
                  <c:v>5.4212122205369515E-2</c:v>
                </c:pt>
                <c:pt idx="620">
                  <c:v>5.4107264518499273E-2</c:v>
                </c:pt>
                <c:pt idx="621">
                  <c:v>5.4089427939569432E-2</c:v>
                </c:pt>
                <c:pt idx="622">
                  <c:v>5.4155701184150709E-2</c:v>
                </c:pt>
                <c:pt idx="623">
                  <c:v>5.4173974852455148E-2</c:v>
                </c:pt>
                <c:pt idx="624">
                  <c:v>5.4172051541099601E-2</c:v>
                </c:pt>
                <c:pt idx="625">
                  <c:v>5.4144453074508533E-2</c:v>
                </c:pt>
                <c:pt idx="626">
                  <c:v>5.4168748440842213E-2</c:v>
                </c:pt>
                <c:pt idx="627">
                  <c:v>5.4023987489108874E-2</c:v>
                </c:pt>
                <c:pt idx="628">
                  <c:v>5.3852871758114436E-2</c:v>
                </c:pt>
                <c:pt idx="629">
                  <c:v>5.3746196023471735E-2</c:v>
                </c:pt>
                <c:pt idx="630">
                  <c:v>5.3716413368253543E-2</c:v>
                </c:pt>
                <c:pt idx="631">
                  <c:v>5.3678446471099032E-2</c:v>
                </c:pt>
                <c:pt idx="632">
                  <c:v>5.3602050963039105E-2</c:v>
                </c:pt>
                <c:pt idx="633">
                  <c:v>5.3683475970820266E-2</c:v>
                </c:pt>
                <c:pt idx="634">
                  <c:v>5.3672003340124529E-2</c:v>
                </c:pt>
                <c:pt idx="635">
                  <c:v>5.3501885979425484E-2</c:v>
                </c:pt>
                <c:pt idx="636">
                  <c:v>5.3426097632311972E-2</c:v>
                </c:pt>
                <c:pt idx="637">
                  <c:v>5.3495103371137817E-2</c:v>
                </c:pt>
                <c:pt idx="638">
                  <c:v>5.3469881868731833E-2</c:v>
                </c:pt>
                <c:pt idx="639">
                  <c:v>5.3564860252842905E-2</c:v>
                </c:pt>
                <c:pt idx="640">
                  <c:v>5.3519674647835608E-2</c:v>
                </c:pt>
                <c:pt idx="641">
                  <c:v>5.347794661322279E-2</c:v>
                </c:pt>
                <c:pt idx="642">
                  <c:v>5.3462565944987051E-2</c:v>
                </c:pt>
                <c:pt idx="643">
                  <c:v>5.3599800449660603E-2</c:v>
                </c:pt>
                <c:pt idx="644">
                  <c:v>5.3594234893465653E-2</c:v>
                </c:pt>
                <c:pt idx="645">
                  <c:v>5.3534752234270296E-2</c:v>
                </c:pt>
                <c:pt idx="646">
                  <c:v>5.3501474300248375E-2</c:v>
                </c:pt>
                <c:pt idx="647">
                  <c:v>5.3610493007969003E-2</c:v>
                </c:pt>
                <c:pt idx="648">
                  <c:v>5.3605158703550905E-2</c:v>
                </c:pt>
                <c:pt idx="649">
                  <c:v>5.3592290325971154E-2</c:v>
                </c:pt>
                <c:pt idx="650">
                  <c:v>5.3663148213918731E-2</c:v>
                </c:pt>
                <c:pt idx="651">
                  <c:v>5.3615390449271542E-2</c:v>
                </c:pt>
                <c:pt idx="652">
                  <c:v>5.369307355005272E-2</c:v>
                </c:pt>
                <c:pt idx="653">
                  <c:v>5.369575827237448E-2</c:v>
                </c:pt>
                <c:pt idx="654">
                  <c:v>5.3714975832056096E-2</c:v>
                </c:pt>
                <c:pt idx="655">
                  <c:v>5.378062822873074E-2</c:v>
                </c:pt>
                <c:pt idx="656">
                  <c:v>5.3689013091812871E-2</c:v>
                </c:pt>
                <c:pt idx="657">
                  <c:v>5.3733519072394237E-2</c:v>
                </c:pt>
                <c:pt idx="658">
                  <c:v>5.3712971964235232E-2</c:v>
                </c:pt>
                <c:pt idx="659">
                  <c:v>5.3721113168328664E-2</c:v>
                </c:pt>
                <c:pt idx="660">
                  <c:v>5.376480684214921E-2</c:v>
                </c:pt>
                <c:pt idx="661">
                  <c:v>5.382690446759001E-2</c:v>
                </c:pt>
                <c:pt idx="662">
                  <c:v>5.3900393599482253E-2</c:v>
                </c:pt>
                <c:pt idx="663">
                  <c:v>5.3964691306246995E-2</c:v>
                </c:pt>
                <c:pt idx="664">
                  <c:v>5.3910924295211035E-2</c:v>
                </c:pt>
                <c:pt idx="665">
                  <c:v>5.3838410623808911E-2</c:v>
                </c:pt>
                <c:pt idx="666">
                  <c:v>5.402358855973452E-2</c:v>
                </c:pt>
                <c:pt idx="667">
                  <c:v>5.4007178314116125E-2</c:v>
                </c:pt>
                <c:pt idx="668">
                  <c:v>5.3984734992564468E-2</c:v>
                </c:pt>
                <c:pt idx="669">
                  <c:v>5.3992347345459671E-2</c:v>
                </c:pt>
                <c:pt idx="670">
                  <c:v>5.3918721887394078E-2</c:v>
                </c:pt>
                <c:pt idx="671">
                  <c:v>5.3954079299968594E-2</c:v>
                </c:pt>
                <c:pt idx="672">
                  <c:v>5.4085937262261755E-2</c:v>
                </c:pt>
                <c:pt idx="673">
                  <c:v>5.4101675382030541E-2</c:v>
                </c:pt>
                <c:pt idx="674">
                  <c:v>5.4182169116116521E-2</c:v>
                </c:pt>
                <c:pt idx="675">
                  <c:v>5.4187913634107132E-2</c:v>
                </c:pt>
                <c:pt idx="676">
                  <c:v>5.4024445499412002E-2</c:v>
                </c:pt>
                <c:pt idx="677">
                  <c:v>5.4056161291190938E-2</c:v>
                </c:pt>
                <c:pt idx="678">
                  <c:v>5.3948109740231495E-2</c:v>
                </c:pt>
                <c:pt idx="679">
                  <c:v>5.3935743630317848E-2</c:v>
                </c:pt>
                <c:pt idx="680">
                  <c:v>5.3993528930206022E-2</c:v>
                </c:pt>
                <c:pt idx="681">
                  <c:v>5.4034321853178913E-2</c:v>
                </c:pt>
                <c:pt idx="682">
                  <c:v>5.3985759486089815E-2</c:v>
                </c:pt>
                <c:pt idx="683">
                  <c:v>5.4069429424621188E-2</c:v>
                </c:pt>
                <c:pt idx="684">
                  <c:v>5.4086296818151344E-2</c:v>
                </c:pt>
                <c:pt idx="685">
                  <c:v>5.4003498579195244E-2</c:v>
                </c:pt>
                <c:pt idx="686">
                  <c:v>5.4016948345412631E-2</c:v>
                </c:pt>
                <c:pt idx="687">
                  <c:v>5.3956024086098786E-2</c:v>
                </c:pt>
                <c:pt idx="688">
                  <c:v>5.3842271920422062E-2</c:v>
                </c:pt>
                <c:pt idx="689">
                  <c:v>5.3868382650772054E-2</c:v>
                </c:pt>
                <c:pt idx="690">
                  <c:v>5.3739612911189102E-2</c:v>
                </c:pt>
                <c:pt idx="691">
                  <c:v>5.371339953158967E-2</c:v>
                </c:pt>
                <c:pt idx="692">
                  <c:v>5.3714092356710173E-2</c:v>
                </c:pt>
                <c:pt idx="693">
                  <c:v>5.3752491650669032E-2</c:v>
                </c:pt>
                <c:pt idx="694">
                  <c:v>5.3795927709410538E-2</c:v>
                </c:pt>
                <c:pt idx="695">
                  <c:v>5.3753500568195528E-2</c:v>
                </c:pt>
                <c:pt idx="696">
                  <c:v>5.3580387708915794E-2</c:v>
                </c:pt>
                <c:pt idx="697">
                  <c:v>5.3491392408643507E-2</c:v>
                </c:pt>
                <c:pt idx="698">
                  <c:v>5.3357368361021548E-2</c:v>
                </c:pt>
                <c:pt idx="699">
                  <c:v>5.3374303691917487E-2</c:v>
                </c:pt>
                <c:pt idx="700">
                  <c:v>5.3393575220128719E-2</c:v>
                </c:pt>
                <c:pt idx="701">
                  <c:v>5.3386025318908403E-2</c:v>
                </c:pt>
                <c:pt idx="702">
                  <c:v>5.3367421261708417E-2</c:v>
                </c:pt>
                <c:pt idx="703">
                  <c:v>5.3330823216311898E-2</c:v>
                </c:pt>
                <c:pt idx="704">
                  <c:v>5.3195699706172384E-2</c:v>
                </c:pt>
                <c:pt idx="705">
                  <c:v>5.3156110434801521E-2</c:v>
                </c:pt>
                <c:pt idx="706">
                  <c:v>5.3063277634330511E-2</c:v>
                </c:pt>
                <c:pt idx="707">
                  <c:v>5.2889633517264965E-2</c:v>
                </c:pt>
                <c:pt idx="708">
                  <c:v>5.2822080422172783E-2</c:v>
                </c:pt>
                <c:pt idx="709">
                  <c:v>5.2995804367726697E-2</c:v>
                </c:pt>
                <c:pt idx="710">
                  <c:v>5.2910951284563107E-2</c:v>
                </c:pt>
                <c:pt idx="711">
                  <c:v>5.2947841354027254E-2</c:v>
                </c:pt>
                <c:pt idx="712">
                  <c:v>5.2837980475136249E-2</c:v>
                </c:pt>
                <c:pt idx="713">
                  <c:v>5.2782377710747924E-2</c:v>
                </c:pt>
                <c:pt idx="714">
                  <c:v>5.2727443734674487E-2</c:v>
                </c:pt>
                <c:pt idx="715">
                  <c:v>5.2684429739269012E-2</c:v>
                </c:pt>
                <c:pt idx="716">
                  <c:v>5.2613145600042405E-2</c:v>
                </c:pt>
                <c:pt idx="717">
                  <c:v>5.2447428159232888E-2</c:v>
                </c:pt>
                <c:pt idx="718">
                  <c:v>5.2444639421004538E-2</c:v>
                </c:pt>
                <c:pt idx="719">
                  <c:v>5.237653130990004E-2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520128"/>
        <c:axId val="231649280"/>
      </c:lineChart>
      <c:catAx>
        <c:axId val="231520128"/>
        <c:scaling>
          <c:orientation val="minMax"/>
        </c:scaling>
        <c:delete val="0"/>
        <c:axPos val="b"/>
        <c:majorTickMark val="out"/>
        <c:minorTickMark val="none"/>
        <c:tickLblPos val="nextTo"/>
        <c:crossAx val="231649280"/>
        <c:crosses val="autoZero"/>
        <c:auto val="1"/>
        <c:lblAlgn val="ctr"/>
        <c:lblOffset val="100"/>
        <c:noMultiLvlLbl val="0"/>
      </c:catAx>
      <c:valAx>
        <c:axId val="23164928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231520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Output!$AF$12:$AF$731</c:f>
              <c:numCache>
                <c:formatCode>_-* #,##0.00_-;\-* #,##0.00_-;_-* "-"??_-;_-@_-</c:formatCode>
                <c:ptCount val="720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  <c:pt idx="364">
                  <c:v>30.333333333333172</c:v>
                </c:pt>
                <c:pt idx="365">
                  <c:v>30.416666666666504</c:v>
                </c:pt>
                <c:pt idx="366">
                  <c:v>30.499999999999837</c:v>
                </c:pt>
                <c:pt idx="367">
                  <c:v>30.583333333333169</c:v>
                </c:pt>
                <c:pt idx="368">
                  <c:v>30.666666666666501</c:v>
                </c:pt>
                <c:pt idx="369">
                  <c:v>30.749999999999833</c:v>
                </c:pt>
                <c:pt idx="370">
                  <c:v>30.833333333333165</c:v>
                </c:pt>
                <c:pt idx="371">
                  <c:v>30.916666666666497</c:v>
                </c:pt>
                <c:pt idx="372">
                  <c:v>30.999999999999829</c:v>
                </c:pt>
                <c:pt idx="373">
                  <c:v>31.083333333333162</c:v>
                </c:pt>
                <c:pt idx="374">
                  <c:v>31.166666666666494</c:v>
                </c:pt>
                <c:pt idx="375">
                  <c:v>31.249999999999826</c:v>
                </c:pt>
                <c:pt idx="376">
                  <c:v>31.333333333333158</c:v>
                </c:pt>
                <c:pt idx="377">
                  <c:v>31.41666666666649</c:v>
                </c:pt>
                <c:pt idx="378">
                  <c:v>31.499999999999822</c:v>
                </c:pt>
                <c:pt idx="379">
                  <c:v>31.583333333333155</c:v>
                </c:pt>
                <c:pt idx="380">
                  <c:v>31.666666666666487</c:v>
                </c:pt>
                <c:pt idx="381">
                  <c:v>31.749999999999819</c:v>
                </c:pt>
                <c:pt idx="382">
                  <c:v>31.833333333333151</c:v>
                </c:pt>
                <c:pt idx="383">
                  <c:v>31.916666666666483</c:v>
                </c:pt>
                <c:pt idx="384">
                  <c:v>31.999999999999815</c:v>
                </c:pt>
                <c:pt idx="385">
                  <c:v>32.083333333333151</c:v>
                </c:pt>
                <c:pt idx="386">
                  <c:v>32.166666666666487</c:v>
                </c:pt>
                <c:pt idx="387">
                  <c:v>32.249999999999822</c:v>
                </c:pt>
                <c:pt idx="388">
                  <c:v>32.333333333333158</c:v>
                </c:pt>
                <c:pt idx="389">
                  <c:v>32.416666666666494</c:v>
                </c:pt>
                <c:pt idx="390">
                  <c:v>32.499999999999829</c:v>
                </c:pt>
                <c:pt idx="391">
                  <c:v>32.583333333333165</c:v>
                </c:pt>
                <c:pt idx="392">
                  <c:v>32.666666666666501</c:v>
                </c:pt>
                <c:pt idx="393">
                  <c:v>32.749999999999837</c:v>
                </c:pt>
                <c:pt idx="394">
                  <c:v>32.833333333333172</c:v>
                </c:pt>
                <c:pt idx="395">
                  <c:v>32.916666666666508</c:v>
                </c:pt>
                <c:pt idx="396">
                  <c:v>32.999999999999844</c:v>
                </c:pt>
                <c:pt idx="397">
                  <c:v>33.083333333333179</c:v>
                </c:pt>
                <c:pt idx="398">
                  <c:v>33.166666666666515</c:v>
                </c:pt>
                <c:pt idx="399">
                  <c:v>33.249999999999851</c:v>
                </c:pt>
                <c:pt idx="400">
                  <c:v>33.333333333333186</c:v>
                </c:pt>
                <c:pt idx="401">
                  <c:v>33.416666666666522</c:v>
                </c:pt>
                <c:pt idx="402">
                  <c:v>33.499999999999858</c:v>
                </c:pt>
                <c:pt idx="403">
                  <c:v>33.583333333333194</c:v>
                </c:pt>
                <c:pt idx="404">
                  <c:v>33.666666666666529</c:v>
                </c:pt>
                <c:pt idx="405">
                  <c:v>33.749999999999865</c:v>
                </c:pt>
                <c:pt idx="406">
                  <c:v>33.833333333333201</c:v>
                </c:pt>
                <c:pt idx="407">
                  <c:v>33.916666666666536</c:v>
                </c:pt>
                <c:pt idx="408">
                  <c:v>33.999999999999872</c:v>
                </c:pt>
                <c:pt idx="409">
                  <c:v>34.083333333333208</c:v>
                </c:pt>
                <c:pt idx="410">
                  <c:v>34.166666666666544</c:v>
                </c:pt>
                <c:pt idx="411">
                  <c:v>34.249999999999879</c:v>
                </c:pt>
                <c:pt idx="412">
                  <c:v>34.333333333333215</c:v>
                </c:pt>
                <c:pt idx="413">
                  <c:v>34.416666666666551</c:v>
                </c:pt>
                <c:pt idx="414">
                  <c:v>34.499999999999886</c:v>
                </c:pt>
                <c:pt idx="415">
                  <c:v>34.583333333333222</c:v>
                </c:pt>
                <c:pt idx="416">
                  <c:v>34.666666666666558</c:v>
                </c:pt>
                <c:pt idx="417">
                  <c:v>34.749999999999893</c:v>
                </c:pt>
                <c:pt idx="418">
                  <c:v>34.833333333333229</c:v>
                </c:pt>
                <c:pt idx="419">
                  <c:v>34.916666666666565</c:v>
                </c:pt>
                <c:pt idx="420">
                  <c:v>34.999999999999901</c:v>
                </c:pt>
                <c:pt idx="421">
                  <c:v>35.083333333333236</c:v>
                </c:pt>
                <c:pt idx="422">
                  <c:v>35.166666666666572</c:v>
                </c:pt>
                <c:pt idx="423">
                  <c:v>35.249999999999908</c:v>
                </c:pt>
                <c:pt idx="424">
                  <c:v>35.333333333333243</c:v>
                </c:pt>
                <c:pt idx="425">
                  <c:v>35.416666666666579</c:v>
                </c:pt>
                <c:pt idx="426">
                  <c:v>35.499999999999915</c:v>
                </c:pt>
                <c:pt idx="427">
                  <c:v>35.58333333333325</c:v>
                </c:pt>
                <c:pt idx="428">
                  <c:v>35.666666666666586</c:v>
                </c:pt>
                <c:pt idx="429">
                  <c:v>35.749999999999922</c:v>
                </c:pt>
                <c:pt idx="430">
                  <c:v>35.833333333333258</c:v>
                </c:pt>
                <c:pt idx="431">
                  <c:v>35.916666666666593</c:v>
                </c:pt>
                <c:pt idx="432">
                  <c:v>35.999999999999929</c:v>
                </c:pt>
                <c:pt idx="433">
                  <c:v>36.083333333333265</c:v>
                </c:pt>
                <c:pt idx="434">
                  <c:v>36.1666666666666</c:v>
                </c:pt>
                <c:pt idx="435">
                  <c:v>36.249999999999936</c:v>
                </c:pt>
                <c:pt idx="436">
                  <c:v>36.333333333333272</c:v>
                </c:pt>
                <c:pt idx="437">
                  <c:v>36.416666666666607</c:v>
                </c:pt>
                <c:pt idx="438">
                  <c:v>36.499999999999943</c:v>
                </c:pt>
                <c:pt idx="439">
                  <c:v>36.583333333333279</c:v>
                </c:pt>
                <c:pt idx="440">
                  <c:v>36.666666666666615</c:v>
                </c:pt>
                <c:pt idx="441">
                  <c:v>36.74999999999995</c:v>
                </c:pt>
                <c:pt idx="442">
                  <c:v>36.833333333333286</c:v>
                </c:pt>
                <c:pt idx="443">
                  <c:v>36.916666666666622</c:v>
                </c:pt>
                <c:pt idx="444">
                  <c:v>36.999999999999957</c:v>
                </c:pt>
                <c:pt idx="445">
                  <c:v>37.083333333333293</c:v>
                </c:pt>
                <c:pt idx="446">
                  <c:v>37.166666666666629</c:v>
                </c:pt>
                <c:pt idx="447">
                  <c:v>37.249999999999964</c:v>
                </c:pt>
                <c:pt idx="448">
                  <c:v>37.3333333333333</c:v>
                </c:pt>
                <c:pt idx="449">
                  <c:v>37.416666666666636</c:v>
                </c:pt>
                <c:pt idx="450">
                  <c:v>37.499999999999972</c:v>
                </c:pt>
                <c:pt idx="451">
                  <c:v>37.583333333333307</c:v>
                </c:pt>
                <c:pt idx="452">
                  <c:v>37.666666666666643</c:v>
                </c:pt>
                <c:pt idx="453">
                  <c:v>37.749999999999979</c:v>
                </c:pt>
                <c:pt idx="454">
                  <c:v>37.833333333333314</c:v>
                </c:pt>
                <c:pt idx="455">
                  <c:v>37.91666666666665</c:v>
                </c:pt>
                <c:pt idx="456">
                  <c:v>37.999999999999986</c:v>
                </c:pt>
                <c:pt idx="457">
                  <c:v>38.083333333333321</c:v>
                </c:pt>
                <c:pt idx="458">
                  <c:v>38.166666666666657</c:v>
                </c:pt>
                <c:pt idx="459">
                  <c:v>38.249999999999993</c:v>
                </c:pt>
                <c:pt idx="460">
                  <c:v>38.333333333333329</c:v>
                </c:pt>
                <c:pt idx="461">
                  <c:v>38.416666666666664</c:v>
                </c:pt>
                <c:pt idx="462">
                  <c:v>38.5</c:v>
                </c:pt>
                <c:pt idx="463">
                  <c:v>38.583333333333336</c:v>
                </c:pt>
                <c:pt idx="464">
                  <c:v>38.666666666666671</c:v>
                </c:pt>
                <c:pt idx="465">
                  <c:v>38.750000000000007</c:v>
                </c:pt>
                <c:pt idx="466">
                  <c:v>38.833333333333343</c:v>
                </c:pt>
                <c:pt idx="467">
                  <c:v>38.916666666666679</c:v>
                </c:pt>
                <c:pt idx="468">
                  <c:v>39.000000000000014</c:v>
                </c:pt>
                <c:pt idx="469">
                  <c:v>39.08333333333335</c:v>
                </c:pt>
                <c:pt idx="470">
                  <c:v>39.166666666666686</c:v>
                </c:pt>
                <c:pt idx="471">
                  <c:v>39.250000000000021</c:v>
                </c:pt>
                <c:pt idx="472">
                  <c:v>39.333333333333357</c:v>
                </c:pt>
                <c:pt idx="473">
                  <c:v>39.416666666666693</c:v>
                </c:pt>
                <c:pt idx="474">
                  <c:v>39.500000000000028</c:v>
                </c:pt>
                <c:pt idx="475">
                  <c:v>39.583333333333364</c:v>
                </c:pt>
                <c:pt idx="476">
                  <c:v>39.6666666666667</c:v>
                </c:pt>
                <c:pt idx="477">
                  <c:v>39.750000000000036</c:v>
                </c:pt>
                <c:pt idx="478">
                  <c:v>39.833333333333371</c:v>
                </c:pt>
                <c:pt idx="479">
                  <c:v>39.916666666666707</c:v>
                </c:pt>
                <c:pt idx="480">
                  <c:v>40.000000000000043</c:v>
                </c:pt>
                <c:pt idx="481">
                  <c:v>40.083333333333378</c:v>
                </c:pt>
                <c:pt idx="482">
                  <c:v>40.166666666666714</c:v>
                </c:pt>
                <c:pt idx="483">
                  <c:v>40.25000000000005</c:v>
                </c:pt>
                <c:pt idx="484">
                  <c:v>40.333333333333385</c:v>
                </c:pt>
                <c:pt idx="485">
                  <c:v>40.416666666666721</c:v>
                </c:pt>
                <c:pt idx="486">
                  <c:v>40.500000000000057</c:v>
                </c:pt>
                <c:pt idx="487">
                  <c:v>40.583333333333393</c:v>
                </c:pt>
                <c:pt idx="488">
                  <c:v>40.666666666666728</c:v>
                </c:pt>
                <c:pt idx="489">
                  <c:v>40.750000000000064</c:v>
                </c:pt>
                <c:pt idx="490">
                  <c:v>40.8333333333334</c:v>
                </c:pt>
                <c:pt idx="491">
                  <c:v>40.916666666666735</c:v>
                </c:pt>
                <c:pt idx="492">
                  <c:v>41.000000000000071</c:v>
                </c:pt>
                <c:pt idx="493">
                  <c:v>41.083333333333407</c:v>
                </c:pt>
                <c:pt idx="494">
                  <c:v>41.166666666666742</c:v>
                </c:pt>
                <c:pt idx="495">
                  <c:v>41.250000000000078</c:v>
                </c:pt>
                <c:pt idx="496">
                  <c:v>41.333333333333414</c:v>
                </c:pt>
                <c:pt idx="497">
                  <c:v>41.41666666666675</c:v>
                </c:pt>
                <c:pt idx="498">
                  <c:v>41.500000000000085</c:v>
                </c:pt>
                <c:pt idx="499">
                  <c:v>41.583333333333421</c:v>
                </c:pt>
                <c:pt idx="500">
                  <c:v>41.666666666666757</c:v>
                </c:pt>
                <c:pt idx="501">
                  <c:v>41.750000000000092</c:v>
                </c:pt>
                <c:pt idx="502">
                  <c:v>41.833333333333428</c:v>
                </c:pt>
                <c:pt idx="503">
                  <c:v>41.916666666666764</c:v>
                </c:pt>
                <c:pt idx="504">
                  <c:v>42.000000000000099</c:v>
                </c:pt>
                <c:pt idx="505">
                  <c:v>42.083333333333435</c:v>
                </c:pt>
                <c:pt idx="506">
                  <c:v>42.166666666666771</c:v>
                </c:pt>
                <c:pt idx="507">
                  <c:v>42.250000000000107</c:v>
                </c:pt>
                <c:pt idx="508">
                  <c:v>42.333333333333442</c:v>
                </c:pt>
                <c:pt idx="509">
                  <c:v>42.416666666666778</c:v>
                </c:pt>
                <c:pt idx="510">
                  <c:v>42.500000000000114</c:v>
                </c:pt>
                <c:pt idx="511">
                  <c:v>42.583333333333449</c:v>
                </c:pt>
                <c:pt idx="512">
                  <c:v>42.666666666666785</c:v>
                </c:pt>
                <c:pt idx="513">
                  <c:v>42.750000000000121</c:v>
                </c:pt>
                <c:pt idx="514">
                  <c:v>42.833333333333456</c:v>
                </c:pt>
                <c:pt idx="515">
                  <c:v>42.916666666666792</c:v>
                </c:pt>
                <c:pt idx="516">
                  <c:v>43.000000000000128</c:v>
                </c:pt>
                <c:pt idx="517">
                  <c:v>43.083333333333464</c:v>
                </c:pt>
                <c:pt idx="518">
                  <c:v>43.166666666666799</c:v>
                </c:pt>
                <c:pt idx="519">
                  <c:v>43.250000000000135</c:v>
                </c:pt>
                <c:pt idx="520">
                  <c:v>43.333333333333471</c:v>
                </c:pt>
                <c:pt idx="521">
                  <c:v>43.416666666666806</c:v>
                </c:pt>
                <c:pt idx="522">
                  <c:v>43.500000000000142</c:v>
                </c:pt>
                <c:pt idx="523">
                  <c:v>43.583333333333478</c:v>
                </c:pt>
                <c:pt idx="524">
                  <c:v>43.666666666666814</c:v>
                </c:pt>
                <c:pt idx="525">
                  <c:v>43.750000000000149</c:v>
                </c:pt>
                <c:pt idx="526">
                  <c:v>43.833333333333485</c:v>
                </c:pt>
                <c:pt idx="527">
                  <c:v>43.916666666666821</c:v>
                </c:pt>
                <c:pt idx="528">
                  <c:v>44.000000000000156</c:v>
                </c:pt>
                <c:pt idx="529">
                  <c:v>44.083333333333492</c:v>
                </c:pt>
                <c:pt idx="530">
                  <c:v>44.166666666666828</c:v>
                </c:pt>
                <c:pt idx="531">
                  <c:v>44.250000000000163</c:v>
                </c:pt>
                <c:pt idx="532">
                  <c:v>44.333333333333499</c:v>
                </c:pt>
                <c:pt idx="533">
                  <c:v>44.416666666666835</c:v>
                </c:pt>
                <c:pt idx="534">
                  <c:v>44.500000000000171</c:v>
                </c:pt>
                <c:pt idx="535">
                  <c:v>44.583333333333506</c:v>
                </c:pt>
                <c:pt idx="536">
                  <c:v>44.666666666666842</c:v>
                </c:pt>
                <c:pt idx="537">
                  <c:v>44.750000000000178</c:v>
                </c:pt>
                <c:pt idx="538">
                  <c:v>44.833333333333513</c:v>
                </c:pt>
                <c:pt idx="539">
                  <c:v>44.916666666666849</c:v>
                </c:pt>
                <c:pt idx="540">
                  <c:v>45.000000000000185</c:v>
                </c:pt>
                <c:pt idx="541">
                  <c:v>45.08333333333352</c:v>
                </c:pt>
                <c:pt idx="542">
                  <c:v>45.166666666666856</c:v>
                </c:pt>
                <c:pt idx="543">
                  <c:v>45.250000000000192</c:v>
                </c:pt>
                <c:pt idx="544">
                  <c:v>45.333333333333528</c:v>
                </c:pt>
                <c:pt idx="545">
                  <c:v>45.416666666666863</c:v>
                </c:pt>
                <c:pt idx="546">
                  <c:v>45.500000000000199</c:v>
                </c:pt>
                <c:pt idx="547">
                  <c:v>45.583333333333535</c:v>
                </c:pt>
                <c:pt idx="548">
                  <c:v>45.66666666666687</c:v>
                </c:pt>
                <c:pt idx="549">
                  <c:v>45.750000000000206</c:v>
                </c:pt>
                <c:pt idx="550">
                  <c:v>45.833333333333542</c:v>
                </c:pt>
                <c:pt idx="551">
                  <c:v>45.916666666666877</c:v>
                </c:pt>
                <c:pt idx="552">
                  <c:v>46.000000000000213</c:v>
                </c:pt>
                <c:pt idx="553">
                  <c:v>46.083333333333549</c:v>
                </c:pt>
                <c:pt idx="554">
                  <c:v>46.166666666666885</c:v>
                </c:pt>
                <c:pt idx="555">
                  <c:v>46.25000000000022</c:v>
                </c:pt>
                <c:pt idx="556">
                  <c:v>46.333333333333556</c:v>
                </c:pt>
                <c:pt idx="557">
                  <c:v>46.416666666666892</c:v>
                </c:pt>
                <c:pt idx="558">
                  <c:v>46.500000000000227</c:v>
                </c:pt>
                <c:pt idx="559">
                  <c:v>46.583333333333563</c:v>
                </c:pt>
                <c:pt idx="560">
                  <c:v>46.666666666666899</c:v>
                </c:pt>
                <c:pt idx="561">
                  <c:v>46.750000000000234</c:v>
                </c:pt>
                <c:pt idx="562">
                  <c:v>46.83333333333357</c:v>
                </c:pt>
                <c:pt idx="563">
                  <c:v>46.916666666666906</c:v>
                </c:pt>
                <c:pt idx="564">
                  <c:v>47.000000000000242</c:v>
                </c:pt>
                <c:pt idx="565">
                  <c:v>47.083333333333577</c:v>
                </c:pt>
                <c:pt idx="566">
                  <c:v>47.166666666666913</c:v>
                </c:pt>
                <c:pt idx="567">
                  <c:v>47.250000000000249</c:v>
                </c:pt>
                <c:pt idx="568">
                  <c:v>47.333333333333584</c:v>
                </c:pt>
                <c:pt idx="569">
                  <c:v>47.41666666666692</c:v>
                </c:pt>
                <c:pt idx="570">
                  <c:v>47.500000000000256</c:v>
                </c:pt>
                <c:pt idx="571">
                  <c:v>47.583333333333591</c:v>
                </c:pt>
                <c:pt idx="572">
                  <c:v>47.666666666666927</c:v>
                </c:pt>
                <c:pt idx="573">
                  <c:v>47.750000000000263</c:v>
                </c:pt>
                <c:pt idx="574">
                  <c:v>47.833333333333599</c:v>
                </c:pt>
                <c:pt idx="575">
                  <c:v>47.916666666666934</c:v>
                </c:pt>
                <c:pt idx="576">
                  <c:v>48.00000000000027</c:v>
                </c:pt>
                <c:pt idx="577">
                  <c:v>48.083333333333606</c:v>
                </c:pt>
                <c:pt idx="578">
                  <c:v>48.166666666666941</c:v>
                </c:pt>
                <c:pt idx="579">
                  <c:v>48.250000000000277</c:v>
                </c:pt>
                <c:pt idx="580">
                  <c:v>48.333333333333613</c:v>
                </c:pt>
                <c:pt idx="581">
                  <c:v>48.416666666666949</c:v>
                </c:pt>
                <c:pt idx="582">
                  <c:v>48.500000000000284</c:v>
                </c:pt>
                <c:pt idx="583">
                  <c:v>48.58333333333362</c:v>
                </c:pt>
                <c:pt idx="584">
                  <c:v>48.666666666666956</c:v>
                </c:pt>
                <c:pt idx="585">
                  <c:v>48.750000000000291</c:v>
                </c:pt>
                <c:pt idx="586">
                  <c:v>48.833333333333627</c:v>
                </c:pt>
                <c:pt idx="587">
                  <c:v>48.916666666666963</c:v>
                </c:pt>
                <c:pt idx="588">
                  <c:v>49.000000000000298</c:v>
                </c:pt>
                <c:pt idx="589">
                  <c:v>49.083333333333634</c:v>
                </c:pt>
                <c:pt idx="590">
                  <c:v>49.16666666666697</c:v>
                </c:pt>
                <c:pt idx="591">
                  <c:v>49.250000000000306</c:v>
                </c:pt>
                <c:pt idx="592">
                  <c:v>49.333333333333641</c:v>
                </c:pt>
                <c:pt idx="593">
                  <c:v>49.416666666666977</c:v>
                </c:pt>
                <c:pt idx="594">
                  <c:v>49.500000000000313</c:v>
                </c:pt>
                <c:pt idx="595">
                  <c:v>49.583333333333648</c:v>
                </c:pt>
                <c:pt idx="596">
                  <c:v>49.666666666666984</c:v>
                </c:pt>
                <c:pt idx="597">
                  <c:v>49.75000000000032</c:v>
                </c:pt>
                <c:pt idx="598">
                  <c:v>49.833333333333655</c:v>
                </c:pt>
                <c:pt idx="599">
                  <c:v>49.916666666666991</c:v>
                </c:pt>
                <c:pt idx="600">
                  <c:v>50.000000000000327</c:v>
                </c:pt>
                <c:pt idx="601">
                  <c:v>50.083333333333663</c:v>
                </c:pt>
                <c:pt idx="602">
                  <c:v>50.166666666666998</c:v>
                </c:pt>
                <c:pt idx="603">
                  <c:v>50.250000000000334</c:v>
                </c:pt>
                <c:pt idx="604">
                  <c:v>50.33333333333367</c:v>
                </c:pt>
                <c:pt idx="605">
                  <c:v>50.416666666667005</c:v>
                </c:pt>
                <c:pt idx="606">
                  <c:v>50.500000000000341</c:v>
                </c:pt>
                <c:pt idx="607">
                  <c:v>50.583333333333677</c:v>
                </c:pt>
                <c:pt idx="608">
                  <c:v>50.666666666667012</c:v>
                </c:pt>
                <c:pt idx="609">
                  <c:v>50.750000000000348</c:v>
                </c:pt>
                <c:pt idx="610">
                  <c:v>50.833333333333684</c:v>
                </c:pt>
                <c:pt idx="611">
                  <c:v>50.91666666666702</c:v>
                </c:pt>
                <c:pt idx="612">
                  <c:v>51.000000000000355</c:v>
                </c:pt>
                <c:pt idx="613">
                  <c:v>51.083333333333691</c:v>
                </c:pt>
                <c:pt idx="614">
                  <c:v>51.166666666667027</c:v>
                </c:pt>
                <c:pt idx="615">
                  <c:v>51.250000000000362</c:v>
                </c:pt>
                <c:pt idx="616">
                  <c:v>51.333333333333698</c:v>
                </c:pt>
                <c:pt idx="617">
                  <c:v>51.416666666667034</c:v>
                </c:pt>
                <c:pt idx="618">
                  <c:v>51.500000000000369</c:v>
                </c:pt>
                <c:pt idx="619">
                  <c:v>51.583333333333705</c:v>
                </c:pt>
                <c:pt idx="620">
                  <c:v>51.666666666667041</c:v>
                </c:pt>
                <c:pt idx="621">
                  <c:v>51.750000000000377</c:v>
                </c:pt>
                <c:pt idx="622">
                  <c:v>51.833333333333712</c:v>
                </c:pt>
                <c:pt idx="623">
                  <c:v>51.916666666667048</c:v>
                </c:pt>
                <c:pt idx="624">
                  <c:v>52.000000000000384</c:v>
                </c:pt>
                <c:pt idx="625">
                  <c:v>52.083333333333719</c:v>
                </c:pt>
                <c:pt idx="626">
                  <c:v>52.166666666667055</c:v>
                </c:pt>
                <c:pt idx="627">
                  <c:v>52.250000000000391</c:v>
                </c:pt>
                <c:pt idx="628">
                  <c:v>52.333333333333727</c:v>
                </c:pt>
                <c:pt idx="629">
                  <c:v>52.416666666667062</c:v>
                </c:pt>
                <c:pt idx="630">
                  <c:v>52.500000000000398</c:v>
                </c:pt>
                <c:pt idx="631">
                  <c:v>52.583333333333734</c:v>
                </c:pt>
                <c:pt idx="632">
                  <c:v>52.666666666667069</c:v>
                </c:pt>
                <c:pt idx="633">
                  <c:v>52.750000000000405</c:v>
                </c:pt>
                <c:pt idx="634">
                  <c:v>52.833333333333741</c:v>
                </c:pt>
                <c:pt idx="635">
                  <c:v>52.916666666667076</c:v>
                </c:pt>
                <c:pt idx="636">
                  <c:v>53.000000000000412</c:v>
                </c:pt>
                <c:pt idx="637">
                  <c:v>53.083333333333748</c:v>
                </c:pt>
                <c:pt idx="638">
                  <c:v>53.166666666667084</c:v>
                </c:pt>
                <c:pt idx="639">
                  <c:v>53.250000000000419</c:v>
                </c:pt>
                <c:pt idx="640">
                  <c:v>53.333333333333755</c:v>
                </c:pt>
                <c:pt idx="641">
                  <c:v>53.416666666667091</c:v>
                </c:pt>
                <c:pt idx="642">
                  <c:v>53.500000000000426</c:v>
                </c:pt>
                <c:pt idx="643">
                  <c:v>53.583333333333762</c:v>
                </c:pt>
                <c:pt idx="644">
                  <c:v>53.666666666667098</c:v>
                </c:pt>
                <c:pt idx="645">
                  <c:v>53.750000000000433</c:v>
                </c:pt>
                <c:pt idx="646">
                  <c:v>53.833333333333769</c:v>
                </c:pt>
                <c:pt idx="647">
                  <c:v>53.916666666667105</c:v>
                </c:pt>
                <c:pt idx="648">
                  <c:v>54.000000000000441</c:v>
                </c:pt>
                <c:pt idx="649">
                  <c:v>54.083333333333776</c:v>
                </c:pt>
                <c:pt idx="650">
                  <c:v>54.166666666667112</c:v>
                </c:pt>
                <c:pt idx="651">
                  <c:v>54.250000000000448</c:v>
                </c:pt>
                <c:pt idx="652">
                  <c:v>54.333333333333783</c:v>
                </c:pt>
                <c:pt idx="653">
                  <c:v>54.416666666667119</c:v>
                </c:pt>
                <c:pt idx="654">
                  <c:v>54.500000000000455</c:v>
                </c:pt>
                <c:pt idx="655">
                  <c:v>54.58333333333379</c:v>
                </c:pt>
                <c:pt idx="656">
                  <c:v>54.666666666667126</c:v>
                </c:pt>
                <c:pt idx="657">
                  <c:v>54.750000000000462</c:v>
                </c:pt>
                <c:pt idx="658">
                  <c:v>54.833333333333798</c:v>
                </c:pt>
                <c:pt idx="659">
                  <c:v>54.916666666667133</c:v>
                </c:pt>
                <c:pt idx="660">
                  <c:v>55.000000000000469</c:v>
                </c:pt>
                <c:pt idx="661">
                  <c:v>55.083333333333805</c:v>
                </c:pt>
                <c:pt idx="662">
                  <c:v>55.16666666666714</c:v>
                </c:pt>
                <c:pt idx="663">
                  <c:v>55.250000000000476</c:v>
                </c:pt>
                <c:pt idx="664">
                  <c:v>55.333333333333812</c:v>
                </c:pt>
                <c:pt idx="665">
                  <c:v>55.416666666667147</c:v>
                </c:pt>
                <c:pt idx="666">
                  <c:v>55.500000000000483</c:v>
                </c:pt>
                <c:pt idx="667">
                  <c:v>55.583333333333819</c:v>
                </c:pt>
                <c:pt idx="668">
                  <c:v>55.666666666667155</c:v>
                </c:pt>
                <c:pt idx="669">
                  <c:v>55.75000000000049</c:v>
                </c:pt>
                <c:pt idx="670">
                  <c:v>55.833333333333826</c:v>
                </c:pt>
                <c:pt idx="671">
                  <c:v>55.916666666667162</c:v>
                </c:pt>
                <c:pt idx="672">
                  <c:v>56.000000000000497</c:v>
                </c:pt>
                <c:pt idx="673">
                  <c:v>56.083333333333833</c:v>
                </c:pt>
                <c:pt idx="674">
                  <c:v>56.166666666667169</c:v>
                </c:pt>
                <c:pt idx="675">
                  <c:v>56.250000000000504</c:v>
                </c:pt>
                <c:pt idx="676">
                  <c:v>56.33333333333384</c:v>
                </c:pt>
                <c:pt idx="677">
                  <c:v>56.416666666667176</c:v>
                </c:pt>
                <c:pt idx="678">
                  <c:v>56.500000000000512</c:v>
                </c:pt>
                <c:pt idx="679">
                  <c:v>56.583333333333847</c:v>
                </c:pt>
                <c:pt idx="680">
                  <c:v>56.666666666667183</c:v>
                </c:pt>
                <c:pt idx="681">
                  <c:v>56.750000000000519</c:v>
                </c:pt>
                <c:pt idx="682">
                  <c:v>56.833333333333854</c:v>
                </c:pt>
                <c:pt idx="683">
                  <c:v>56.91666666666719</c:v>
                </c:pt>
                <c:pt idx="684">
                  <c:v>57.000000000000526</c:v>
                </c:pt>
                <c:pt idx="685">
                  <c:v>57.083333333333862</c:v>
                </c:pt>
                <c:pt idx="686">
                  <c:v>57.166666666667197</c:v>
                </c:pt>
                <c:pt idx="687">
                  <c:v>57.250000000000533</c:v>
                </c:pt>
                <c:pt idx="688">
                  <c:v>57.333333333333869</c:v>
                </c:pt>
                <c:pt idx="689">
                  <c:v>57.416666666667204</c:v>
                </c:pt>
                <c:pt idx="690">
                  <c:v>57.50000000000054</c:v>
                </c:pt>
                <c:pt idx="691">
                  <c:v>57.583333333333876</c:v>
                </c:pt>
                <c:pt idx="692">
                  <c:v>57.666666666667211</c:v>
                </c:pt>
                <c:pt idx="693">
                  <c:v>57.750000000000547</c:v>
                </c:pt>
                <c:pt idx="694">
                  <c:v>57.833333333333883</c:v>
                </c:pt>
                <c:pt idx="695">
                  <c:v>57.916666666667219</c:v>
                </c:pt>
                <c:pt idx="696">
                  <c:v>58.000000000000554</c:v>
                </c:pt>
                <c:pt idx="697">
                  <c:v>58.08333333333389</c:v>
                </c:pt>
                <c:pt idx="698">
                  <c:v>58.166666666667226</c:v>
                </c:pt>
                <c:pt idx="699">
                  <c:v>58.250000000000561</c:v>
                </c:pt>
                <c:pt idx="700">
                  <c:v>58.333333333333897</c:v>
                </c:pt>
                <c:pt idx="701">
                  <c:v>58.416666666667233</c:v>
                </c:pt>
                <c:pt idx="702">
                  <c:v>58.500000000000568</c:v>
                </c:pt>
                <c:pt idx="703">
                  <c:v>58.583333333333904</c:v>
                </c:pt>
                <c:pt idx="704">
                  <c:v>58.66666666666724</c:v>
                </c:pt>
                <c:pt idx="705">
                  <c:v>58.750000000000576</c:v>
                </c:pt>
                <c:pt idx="706">
                  <c:v>58.833333333333911</c:v>
                </c:pt>
                <c:pt idx="707">
                  <c:v>58.916666666667247</c:v>
                </c:pt>
                <c:pt idx="708">
                  <c:v>59.000000000000583</c:v>
                </c:pt>
                <c:pt idx="709">
                  <c:v>59.083333333333918</c:v>
                </c:pt>
                <c:pt idx="710">
                  <c:v>59.166666666667254</c:v>
                </c:pt>
                <c:pt idx="711">
                  <c:v>59.25000000000059</c:v>
                </c:pt>
                <c:pt idx="712">
                  <c:v>59.333333333333925</c:v>
                </c:pt>
                <c:pt idx="713">
                  <c:v>59.416666666667261</c:v>
                </c:pt>
                <c:pt idx="714">
                  <c:v>59.500000000000597</c:v>
                </c:pt>
                <c:pt idx="715">
                  <c:v>59.583333333333933</c:v>
                </c:pt>
                <c:pt idx="716">
                  <c:v>59.666666666667268</c:v>
                </c:pt>
                <c:pt idx="717">
                  <c:v>59.750000000000604</c:v>
                </c:pt>
                <c:pt idx="718">
                  <c:v>59.83333333333394</c:v>
                </c:pt>
                <c:pt idx="719">
                  <c:v>59.916666666667275</c:v>
                </c:pt>
              </c:numCache>
            </c:numRef>
          </c:xVal>
          <c:yVal>
            <c:numRef>
              <c:f>Output!$AG$12:$AG$731</c:f>
              <c:numCache>
                <c:formatCode>General</c:formatCode>
                <c:ptCount val="720"/>
                <c:pt idx="0">
                  <c:v>5.0510607190649572E-2</c:v>
                </c:pt>
                <c:pt idx="1">
                  <c:v>5.0008807939477443E-2</c:v>
                </c:pt>
                <c:pt idx="2">
                  <c:v>4.9742221941774439E-2</c:v>
                </c:pt>
                <c:pt idx="3">
                  <c:v>5.0285105300551192E-2</c:v>
                </c:pt>
                <c:pt idx="4">
                  <c:v>5.0089568504343367E-2</c:v>
                </c:pt>
                <c:pt idx="5">
                  <c:v>4.9836457453830668E-2</c:v>
                </c:pt>
                <c:pt idx="6">
                  <c:v>5.0685825302462281E-2</c:v>
                </c:pt>
                <c:pt idx="7">
                  <c:v>5.0647647441202537E-2</c:v>
                </c:pt>
                <c:pt idx="8">
                  <c:v>5.063214408537748E-2</c:v>
                </c:pt>
                <c:pt idx="9">
                  <c:v>5.0980296415028825E-2</c:v>
                </c:pt>
                <c:pt idx="10">
                  <c:v>5.0836937651642662E-2</c:v>
                </c:pt>
                <c:pt idx="11">
                  <c:v>5.0938161531685788E-2</c:v>
                </c:pt>
                <c:pt idx="12">
                  <c:v>5.1391268696999351E-2</c:v>
                </c:pt>
                <c:pt idx="13">
                  <c:v>5.1695249848078002E-2</c:v>
                </c:pt>
                <c:pt idx="14">
                  <c:v>5.2186212844946872E-2</c:v>
                </c:pt>
                <c:pt idx="15">
                  <c:v>5.2201443338982793E-2</c:v>
                </c:pt>
                <c:pt idx="16">
                  <c:v>5.2362654665624009E-2</c:v>
                </c:pt>
                <c:pt idx="17">
                  <c:v>5.1910254565029887E-2</c:v>
                </c:pt>
                <c:pt idx="18">
                  <c:v>5.2503639519664157E-2</c:v>
                </c:pt>
                <c:pt idx="19">
                  <c:v>5.258350115111584E-2</c:v>
                </c:pt>
                <c:pt idx="20">
                  <c:v>5.2828482016363427E-2</c:v>
                </c:pt>
                <c:pt idx="21">
                  <c:v>5.2987112678361759E-2</c:v>
                </c:pt>
                <c:pt idx="22">
                  <c:v>5.3135886585864309E-2</c:v>
                </c:pt>
                <c:pt idx="23">
                  <c:v>5.3382414794220831E-2</c:v>
                </c:pt>
                <c:pt idx="24">
                  <c:v>5.3741976436264133E-2</c:v>
                </c:pt>
                <c:pt idx="25">
                  <c:v>5.3577046753801698E-2</c:v>
                </c:pt>
                <c:pt idx="26">
                  <c:v>5.3616706664942525E-2</c:v>
                </c:pt>
                <c:pt idx="27">
                  <c:v>5.3885204716710988E-2</c:v>
                </c:pt>
                <c:pt idx="28">
                  <c:v>5.409818715134173E-2</c:v>
                </c:pt>
                <c:pt idx="29">
                  <c:v>5.4252975409284025E-2</c:v>
                </c:pt>
                <c:pt idx="30">
                  <c:v>5.4438353819940749E-2</c:v>
                </c:pt>
                <c:pt idx="31">
                  <c:v>5.4647066470479233E-2</c:v>
                </c:pt>
                <c:pt idx="32">
                  <c:v>5.5081149421979184E-2</c:v>
                </c:pt>
                <c:pt idx="33">
                  <c:v>5.4820385153040059E-2</c:v>
                </c:pt>
                <c:pt idx="34">
                  <c:v>5.5104900013457261E-2</c:v>
                </c:pt>
                <c:pt idx="35">
                  <c:v>5.5527641699317426E-2</c:v>
                </c:pt>
                <c:pt idx="36">
                  <c:v>5.5998478992007349E-2</c:v>
                </c:pt>
                <c:pt idx="37">
                  <c:v>5.5966754912965488E-2</c:v>
                </c:pt>
                <c:pt idx="38">
                  <c:v>5.6164605285340029E-2</c:v>
                </c:pt>
                <c:pt idx="39">
                  <c:v>5.6615371104129897E-2</c:v>
                </c:pt>
                <c:pt idx="40">
                  <c:v>5.6902611492955134E-2</c:v>
                </c:pt>
                <c:pt idx="41">
                  <c:v>5.7489618470090063E-2</c:v>
                </c:pt>
                <c:pt idx="42">
                  <c:v>5.8261889615305089E-2</c:v>
                </c:pt>
                <c:pt idx="43">
                  <c:v>5.8428308189583576E-2</c:v>
                </c:pt>
                <c:pt idx="44">
                  <c:v>5.8732931284961772E-2</c:v>
                </c:pt>
                <c:pt idx="45">
                  <c:v>5.858430300924216E-2</c:v>
                </c:pt>
                <c:pt idx="46">
                  <c:v>5.8762955870704126E-2</c:v>
                </c:pt>
                <c:pt idx="47">
                  <c:v>5.9165421331505791E-2</c:v>
                </c:pt>
                <c:pt idx="48">
                  <c:v>5.9152809765299373E-2</c:v>
                </c:pt>
                <c:pt idx="49">
                  <c:v>5.9390621867711012E-2</c:v>
                </c:pt>
                <c:pt idx="50">
                  <c:v>5.9762642021846085E-2</c:v>
                </c:pt>
                <c:pt idx="51">
                  <c:v>6.0088593009591205E-2</c:v>
                </c:pt>
                <c:pt idx="52">
                  <c:v>6.0073200116431025E-2</c:v>
                </c:pt>
                <c:pt idx="53">
                  <c:v>6.0341757635994496E-2</c:v>
                </c:pt>
                <c:pt idx="54">
                  <c:v>6.0669580638379905E-2</c:v>
                </c:pt>
                <c:pt idx="55">
                  <c:v>6.0885795359795165E-2</c:v>
                </c:pt>
                <c:pt idx="56">
                  <c:v>6.1186789019601097E-2</c:v>
                </c:pt>
                <c:pt idx="57">
                  <c:v>6.1550743243437171E-2</c:v>
                </c:pt>
                <c:pt idx="58">
                  <c:v>6.1806288286657046E-2</c:v>
                </c:pt>
                <c:pt idx="59">
                  <c:v>6.2077279713426484E-2</c:v>
                </c:pt>
                <c:pt idx="60">
                  <c:v>6.207876816433499E-2</c:v>
                </c:pt>
                <c:pt idx="61">
                  <c:v>6.255694952697434E-2</c:v>
                </c:pt>
                <c:pt idx="62">
                  <c:v>6.2964743238888718E-2</c:v>
                </c:pt>
                <c:pt idx="63">
                  <c:v>6.32393989015613E-2</c:v>
                </c:pt>
                <c:pt idx="64">
                  <c:v>6.3506398860220262E-2</c:v>
                </c:pt>
                <c:pt idx="65">
                  <c:v>6.3768076515122507E-2</c:v>
                </c:pt>
                <c:pt idx="66">
                  <c:v>6.3980640916820597E-2</c:v>
                </c:pt>
                <c:pt idx="67">
                  <c:v>6.4444803557562227E-2</c:v>
                </c:pt>
                <c:pt idx="68">
                  <c:v>6.4904547177704608E-2</c:v>
                </c:pt>
                <c:pt idx="69">
                  <c:v>6.5035666108687482E-2</c:v>
                </c:pt>
                <c:pt idx="70">
                  <c:v>6.5324836443770892E-2</c:v>
                </c:pt>
                <c:pt idx="71">
                  <c:v>6.5744543393222707E-2</c:v>
                </c:pt>
                <c:pt idx="72">
                  <c:v>6.6087890294472137E-2</c:v>
                </c:pt>
                <c:pt idx="73">
                  <c:v>6.638228010301675E-2</c:v>
                </c:pt>
                <c:pt idx="74">
                  <c:v>6.6580145078452294E-2</c:v>
                </c:pt>
                <c:pt idx="75">
                  <c:v>6.6818447857265387E-2</c:v>
                </c:pt>
                <c:pt idx="76">
                  <c:v>6.6984819859850331E-2</c:v>
                </c:pt>
                <c:pt idx="77">
                  <c:v>6.7450514024386454E-2</c:v>
                </c:pt>
                <c:pt idx="78">
                  <c:v>6.787595429853796E-2</c:v>
                </c:pt>
                <c:pt idx="79">
                  <c:v>6.8054132081350152E-2</c:v>
                </c:pt>
                <c:pt idx="80">
                  <c:v>6.8299482218362281E-2</c:v>
                </c:pt>
                <c:pt idx="81">
                  <c:v>6.861106002947806E-2</c:v>
                </c:pt>
                <c:pt idx="82">
                  <c:v>6.8700245732176229E-2</c:v>
                </c:pt>
                <c:pt idx="83">
                  <c:v>6.9189968461918661E-2</c:v>
                </c:pt>
                <c:pt idx="84">
                  <c:v>6.9353835408146852E-2</c:v>
                </c:pt>
                <c:pt idx="85">
                  <c:v>6.9552304956986485E-2</c:v>
                </c:pt>
                <c:pt idx="86">
                  <c:v>6.9772268527785744E-2</c:v>
                </c:pt>
                <c:pt idx="87">
                  <c:v>6.9881891049594733E-2</c:v>
                </c:pt>
                <c:pt idx="88">
                  <c:v>7.0202977395442331E-2</c:v>
                </c:pt>
                <c:pt idx="89">
                  <c:v>7.0069530578809727E-2</c:v>
                </c:pt>
                <c:pt idx="90">
                  <c:v>7.0373964050549326E-2</c:v>
                </c:pt>
                <c:pt idx="91">
                  <c:v>7.0723990392372982E-2</c:v>
                </c:pt>
                <c:pt idx="92">
                  <c:v>7.0622146874534386E-2</c:v>
                </c:pt>
                <c:pt idx="93">
                  <c:v>7.0913764201711804E-2</c:v>
                </c:pt>
                <c:pt idx="94">
                  <c:v>7.1056519540268134E-2</c:v>
                </c:pt>
                <c:pt idx="95">
                  <c:v>7.1285554581682287E-2</c:v>
                </c:pt>
                <c:pt idx="96">
                  <c:v>7.1499814213636881E-2</c:v>
                </c:pt>
                <c:pt idx="97">
                  <c:v>7.1710503577177204E-2</c:v>
                </c:pt>
                <c:pt idx="98">
                  <c:v>7.2083135369114607E-2</c:v>
                </c:pt>
                <c:pt idx="99">
                  <c:v>7.2514850664072733E-2</c:v>
                </c:pt>
                <c:pt idx="100">
                  <c:v>7.2777222300133615E-2</c:v>
                </c:pt>
                <c:pt idx="101">
                  <c:v>7.2999753201457906E-2</c:v>
                </c:pt>
                <c:pt idx="102">
                  <c:v>7.3388623536198599E-2</c:v>
                </c:pt>
                <c:pt idx="103">
                  <c:v>7.3627577100309635E-2</c:v>
                </c:pt>
                <c:pt idx="104">
                  <c:v>7.3938816701447224E-2</c:v>
                </c:pt>
                <c:pt idx="105">
                  <c:v>7.4112427416342955E-2</c:v>
                </c:pt>
                <c:pt idx="106">
                  <c:v>7.4223369718819113E-2</c:v>
                </c:pt>
                <c:pt idx="107">
                  <c:v>7.4496474098221258E-2</c:v>
                </c:pt>
                <c:pt idx="108">
                  <c:v>7.4830194431884781E-2</c:v>
                </c:pt>
                <c:pt idx="109">
                  <c:v>7.5072814707601285E-2</c:v>
                </c:pt>
                <c:pt idx="110">
                  <c:v>7.5306993676222581E-2</c:v>
                </c:pt>
                <c:pt idx="111">
                  <c:v>7.5692421485592021E-2</c:v>
                </c:pt>
                <c:pt idx="112">
                  <c:v>7.6040045446962662E-2</c:v>
                </c:pt>
                <c:pt idx="113">
                  <c:v>7.6286701039171123E-2</c:v>
                </c:pt>
                <c:pt idx="114">
                  <c:v>7.6647564310636712E-2</c:v>
                </c:pt>
                <c:pt idx="115">
                  <c:v>7.6971623375099829E-2</c:v>
                </c:pt>
                <c:pt idx="116">
                  <c:v>7.724931336687603E-2</c:v>
                </c:pt>
                <c:pt idx="117">
                  <c:v>7.7679686926222027E-2</c:v>
                </c:pt>
                <c:pt idx="118">
                  <c:v>7.798323024072927E-2</c:v>
                </c:pt>
                <c:pt idx="119">
                  <c:v>7.8259960508810664E-2</c:v>
                </c:pt>
                <c:pt idx="120">
                  <c:v>7.8458198316817232E-2</c:v>
                </c:pt>
                <c:pt idx="121">
                  <c:v>7.8842812913591381E-2</c:v>
                </c:pt>
                <c:pt idx="122">
                  <c:v>7.901005650072053E-2</c:v>
                </c:pt>
                <c:pt idx="123">
                  <c:v>7.9289933555318118E-2</c:v>
                </c:pt>
                <c:pt idx="124">
                  <c:v>7.9510704864672113E-2</c:v>
                </c:pt>
                <c:pt idx="125">
                  <c:v>7.9637967938446547E-2</c:v>
                </c:pt>
                <c:pt idx="126">
                  <c:v>8.0006050909969401E-2</c:v>
                </c:pt>
                <c:pt idx="127">
                  <c:v>8.0244971470124021E-2</c:v>
                </c:pt>
                <c:pt idx="128">
                  <c:v>8.0429058748149637E-2</c:v>
                </c:pt>
                <c:pt idx="129">
                  <c:v>8.0731657272205493E-2</c:v>
                </c:pt>
                <c:pt idx="130">
                  <c:v>8.0999170479817112E-2</c:v>
                </c:pt>
                <c:pt idx="131">
                  <c:v>8.1264347276203977E-2</c:v>
                </c:pt>
                <c:pt idx="132">
                  <c:v>8.1572629066635607E-2</c:v>
                </c:pt>
                <c:pt idx="133">
                  <c:v>8.17976450335135E-2</c:v>
                </c:pt>
                <c:pt idx="134">
                  <c:v>8.2170685280804373E-2</c:v>
                </c:pt>
                <c:pt idx="135">
                  <c:v>8.2396628248617362E-2</c:v>
                </c:pt>
                <c:pt idx="136">
                  <c:v>8.2619626961038875E-2</c:v>
                </c:pt>
                <c:pt idx="137">
                  <c:v>8.2829123753300329E-2</c:v>
                </c:pt>
                <c:pt idx="138">
                  <c:v>8.2972740293060537E-2</c:v>
                </c:pt>
                <c:pt idx="139">
                  <c:v>8.3250373657632729E-2</c:v>
                </c:pt>
                <c:pt idx="140">
                  <c:v>8.355631269403066E-2</c:v>
                </c:pt>
                <c:pt idx="141">
                  <c:v>8.3644540887531774E-2</c:v>
                </c:pt>
                <c:pt idx="142">
                  <c:v>8.3885343207035085E-2</c:v>
                </c:pt>
                <c:pt idx="143">
                  <c:v>8.4255196388871301E-2</c:v>
                </c:pt>
                <c:pt idx="144">
                  <c:v>8.4566777652983885E-2</c:v>
                </c:pt>
                <c:pt idx="145">
                  <c:v>8.5017967329963876E-2</c:v>
                </c:pt>
                <c:pt idx="146">
                  <c:v>8.5426348215772982E-2</c:v>
                </c:pt>
                <c:pt idx="147">
                  <c:v>8.5683366833443284E-2</c:v>
                </c:pt>
                <c:pt idx="148">
                  <c:v>8.6012898861800441E-2</c:v>
                </c:pt>
                <c:pt idx="149">
                  <c:v>8.6456607774300767E-2</c:v>
                </c:pt>
                <c:pt idx="150">
                  <c:v>8.6832374036267534E-2</c:v>
                </c:pt>
                <c:pt idx="151">
                  <c:v>8.7029166895412152E-2</c:v>
                </c:pt>
                <c:pt idx="152">
                  <c:v>8.7212125351412706E-2</c:v>
                </c:pt>
                <c:pt idx="153">
                  <c:v>8.747243155628584E-2</c:v>
                </c:pt>
                <c:pt idx="154">
                  <c:v>8.7640319391486463E-2</c:v>
                </c:pt>
                <c:pt idx="155">
                  <c:v>8.7794373450321025E-2</c:v>
                </c:pt>
                <c:pt idx="156">
                  <c:v>8.8136174699927405E-2</c:v>
                </c:pt>
                <c:pt idx="157">
                  <c:v>8.8331478736716915E-2</c:v>
                </c:pt>
                <c:pt idx="158">
                  <c:v>8.8490002153918237E-2</c:v>
                </c:pt>
                <c:pt idx="159">
                  <c:v>8.8788010092587882E-2</c:v>
                </c:pt>
                <c:pt idx="160">
                  <c:v>8.8986190942731025E-2</c:v>
                </c:pt>
                <c:pt idx="161">
                  <c:v>8.9280369181509694E-2</c:v>
                </c:pt>
                <c:pt idx="162">
                  <c:v>8.9531156838310408E-2</c:v>
                </c:pt>
                <c:pt idx="163">
                  <c:v>8.9759485316650262E-2</c:v>
                </c:pt>
                <c:pt idx="164">
                  <c:v>9.013453862493577E-2</c:v>
                </c:pt>
                <c:pt idx="165">
                  <c:v>9.042309716672238E-2</c:v>
                </c:pt>
                <c:pt idx="166">
                  <c:v>9.0791259005192679E-2</c:v>
                </c:pt>
                <c:pt idx="167">
                  <c:v>9.1034170355819566E-2</c:v>
                </c:pt>
                <c:pt idx="168">
                  <c:v>9.1302582369060123E-2</c:v>
                </c:pt>
                <c:pt idx="169">
                  <c:v>9.1649445708082797E-2</c:v>
                </c:pt>
                <c:pt idx="170">
                  <c:v>9.1980371652843271E-2</c:v>
                </c:pt>
                <c:pt idx="171">
                  <c:v>9.2222421741181865E-2</c:v>
                </c:pt>
                <c:pt idx="172">
                  <c:v>9.2537733570389968E-2</c:v>
                </c:pt>
                <c:pt idx="173">
                  <c:v>9.2726906539745108E-2</c:v>
                </c:pt>
                <c:pt idx="174">
                  <c:v>9.3137272295580026E-2</c:v>
                </c:pt>
                <c:pt idx="175">
                  <c:v>9.3306242785268986E-2</c:v>
                </c:pt>
                <c:pt idx="176">
                  <c:v>9.3613594143703682E-2</c:v>
                </c:pt>
                <c:pt idx="177">
                  <c:v>9.3840648654795092E-2</c:v>
                </c:pt>
                <c:pt idx="178">
                  <c:v>9.4337239830293962E-2</c:v>
                </c:pt>
                <c:pt idx="179">
                  <c:v>9.4568627428117308E-2</c:v>
                </c:pt>
                <c:pt idx="180">
                  <c:v>9.4827837289397685E-2</c:v>
                </c:pt>
                <c:pt idx="181">
                  <c:v>9.5106709603160283E-2</c:v>
                </c:pt>
                <c:pt idx="182">
                  <c:v>9.5518766056763127E-2</c:v>
                </c:pt>
                <c:pt idx="183">
                  <c:v>9.5808466741820891E-2</c:v>
                </c:pt>
                <c:pt idx="184">
                  <c:v>9.611422079881364E-2</c:v>
                </c:pt>
                <c:pt idx="185">
                  <c:v>9.6460066197842378E-2</c:v>
                </c:pt>
                <c:pt idx="186">
                  <c:v>9.6767176923397341E-2</c:v>
                </c:pt>
                <c:pt idx="187">
                  <c:v>9.7105834320464837E-2</c:v>
                </c:pt>
                <c:pt idx="188">
                  <c:v>9.7384370795846567E-2</c:v>
                </c:pt>
                <c:pt idx="189">
                  <c:v>9.7786265733278255E-2</c:v>
                </c:pt>
                <c:pt idx="190">
                  <c:v>9.7996582830502457E-2</c:v>
                </c:pt>
                <c:pt idx="191">
                  <c:v>9.8253631986339934E-2</c:v>
                </c:pt>
                <c:pt idx="192">
                  <c:v>9.8484154623417447E-2</c:v>
                </c:pt>
                <c:pt idx="193">
                  <c:v>9.873896090091186E-2</c:v>
                </c:pt>
                <c:pt idx="194">
                  <c:v>9.9057640999584778E-2</c:v>
                </c:pt>
                <c:pt idx="195">
                  <c:v>9.9260391124691538E-2</c:v>
                </c:pt>
                <c:pt idx="196">
                  <c:v>9.9413573184492163E-2</c:v>
                </c:pt>
                <c:pt idx="197">
                  <c:v>9.9831928419820234E-2</c:v>
                </c:pt>
                <c:pt idx="198">
                  <c:v>0.10007361424354268</c:v>
                </c:pt>
                <c:pt idx="199">
                  <c:v>0.1001811339025819</c:v>
                </c:pt>
                <c:pt idx="200">
                  <c:v>0.10036969817224957</c:v>
                </c:pt>
                <c:pt idx="201">
                  <c:v>0.10057708902948967</c:v>
                </c:pt>
                <c:pt idx="202">
                  <c:v>0.1009120261043175</c:v>
                </c:pt>
                <c:pt idx="203">
                  <c:v>0.10115625928590637</c:v>
                </c:pt>
                <c:pt idx="204">
                  <c:v>0.10142648701719247</c:v>
                </c:pt>
                <c:pt idx="205">
                  <c:v>0.10167878553573736</c:v>
                </c:pt>
                <c:pt idx="206">
                  <c:v>0.10191567078853253</c:v>
                </c:pt>
                <c:pt idx="207">
                  <c:v>0.1022321933628752</c:v>
                </c:pt>
                <c:pt idx="208">
                  <c:v>0.10253526542327127</c:v>
                </c:pt>
                <c:pt idx="209">
                  <c:v>0.10277897665963326</c:v>
                </c:pt>
                <c:pt idx="210">
                  <c:v>0.1029340804713078</c:v>
                </c:pt>
                <c:pt idx="211">
                  <c:v>0.10315414385516151</c:v>
                </c:pt>
                <c:pt idx="212">
                  <c:v>0.1032620834634</c:v>
                </c:pt>
                <c:pt idx="213">
                  <c:v>0.10349442650777943</c:v>
                </c:pt>
                <c:pt idx="214">
                  <c:v>0.10370418848723272</c:v>
                </c:pt>
                <c:pt idx="215">
                  <c:v>0.10383695897290575</c:v>
                </c:pt>
                <c:pt idx="216">
                  <c:v>0.10400998166620276</c:v>
                </c:pt>
                <c:pt idx="217">
                  <c:v>0.10427478039676395</c:v>
                </c:pt>
                <c:pt idx="218">
                  <c:v>0.10451197801769833</c:v>
                </c:pt>
                <c:pt idx="219">
                  <c:v>0.10477075495338412</c:v>
                </c:pt>
                <c:pt idx="220">
                  <c:v>0.10502537934493762</c:v>
                </c:pt>
                <c:pt idx="221">
                  <c:v>0.10524288613547259</c:v>
                </c:pt>
                <c:pt idx="222">
                  <c:v>0.10561514907826561</c:v>
                </c:pt>
                <c:pt idx="223">
                  <c:v>0.1059506196243945</c:v>
                </c:pt>
                <c:pt idx="224">
                  <c:v>0.10635954556728099</c:v>
                </c:pt>
                <c:pt idx="225">
                  <c:v>0.10640567346453722</c:v>
                </c:pt>
                <c:pt idx="226">
                  <c:v>0.10669027096017855</c:v>
                </c:pt>
                <c:pt idx="227">
                  <c:v>0.1070571456414478</c:v>
                </c:pt>
                <c:pt idx="228">
                  <c:v>0.10728720469986815</c:v>
                </c:pt>
                <c:pt idx="229">
                  <c:v>0.10745571657905306</c:v>
                </c:pt>
                <c:pt idx="230">
                  <c:v>0.10767712834153914</c:v>
                </c:pt>
                <c:pt idx="231">
                  <c:v>0.10795031563848848</c:v>
                </c:pt>
                <c:pt idx="232">
                  <c:v>0.10814730489225079</c:v>
                </c:pt>
                <c:pt idx="233">
                  <c:v>0.10840093921046294</c:v>
                </c:pt>
                <c:pt idx="234">
                  <c:v>0.1086409310523616</c:v>
                </c:pt>
                <c:pt idx="235">
                  <c:v>0.1088085042017678</c:v>
                </c:pt>
                <c:pt idx="236">
                  <c:v>0.10902843883339312</c:v>
                </c:pt>
                <c:pt idx="237">
                  <c:v>0.10936054261401548</c:v>
                </c:pt>
                <c:pt idx="238">
                  <c:v>0.10973570928059348</c:v>
                </c:pt>
                <c:pt idx="239">
                  <c:v>0.11009504686339294</c:v>
                </c:pt>
                <c:pt idx="240">
                  <c:v>0.11025095862583149</c:v>
                </c:pt>
                <c:pt idx="241">
                  <c:v>0.11053897592205748</c:v>
                </c:pt>
                <c:pt idx="242">
                  <c:v>0.11096103173724238</c:v>
                </c:pt>
                <c:pt idx="243">
                  <c:v>0.11104942950273625</c:v>
                </c:pt>
                <c:pt idx="244">
                  <c:v>0.11132773715383126</c:v>
                </c:pt>
                <c:pt idx="245">
                  <c:v>0.11155763944034405</c:v>
                </c:pt>
                <c:pt idx="246">
                  <c:v>0.11185942403032392</c:v>
                </c:pt>
                <c:pt idx="247">
                  <c:v>0.11217628321850302</c:v>
                </c:pt>
                <c:pt idx="248">
                  <c:v>0.11238041916545312</c:v>
                </c:pt>
                <c:pt idx="249">
                  <c:v>0.11258877312014887</c:v>
                </c:pt>
                <c:pt idx="250">
                  <c:v>0.11285412454967819</c:v>
                </c:pt>
                <c:pt idx="251">
                  <c:v>0.11306497482496758</c:v>
                </c:pt>
                <c:pt idx="252">
                  <c:v>0.11339652742482045</c:v>
                </c:pt>
                <c:pt idx="253">
                  <c:v>0.11361831625006273</c:v>
                </c:pt>
                <c:pt idx="254">
                  <c:v>0.11390621645636424</c:v>
                </c:pt>
                <c:pt idx="255">
                  <c:v>0.11417047568021527</c:v>
                </c:pt>
                <c:pt idx="256">
                  <c:v>0.1145277207013279</c:v>
                </c:pt>
                <c:pt idx="257">
                  <c:v>0.11490555201088729</c:v>
                </c:pt>
                <c:pt idx="258">
                  <c:v>0.11520167049298752</c:v>
                </c:pt>
                <c:pt idx="259">
                  <c:v>0.11542727222487945</c:v>
                </c:pt>
                <c:pt idx="260">
                  <c:v>0.11569416233424748</c:v>
                </c:pt>
                <c:pt idx="261">
                  <c:v>0.11592114922409341</c:v>
                </c:pt>
                <c:pt idx="262">
                  <c:v>0.11619722822122509</c:v>
                </c:pt>
                <c:pt idx="263">
                  <c:v>0.11644023922986931</c:v>
                </c:pt>
                <c:pt idx="264">
                  <c:v>0.11665085818594213</c:v>
                </c:pt>
                <c:pt idx="265">
                  <c:v>0.11684843658866088</c:v>
                </c:pt>
                <c:pt idx="266">
                  <c:v>0.11708131773410974</c:v>
                </c:pt>
                <c:pt idx="267">
                  <c:v>0.11727655164157121</c:v>
                </c:pt>
                <c:pt idx="268">
                  <c:v>0.11751977363613571</c:v>
                </c:pt>
                <c:pt idx="269">
                  <c:v>0.11765994896351595</c:v>
                </c:pt>
                <c:pt idx="270">
                  <c:v>0.11792956702586756</c:v>
                </c:pt>
                <c:pt idx="271">
                  <c:v>0.11816969636226854</c:v>
                </c:pt>
                <c:pt idx="272">
                  <c:v>0.11840599589776706</c:v>
                </c:pt>
                <c:pt idx="273">
                  <c:v>0.11859996669545832</c:v>
                </c:pt>
                <c:pt idx="274">
                  <c:v>0.1188476005172296</c:v>
                </c:pt>
                <c:pt idx="275">
                  <c:v>0.11901361039924789</c:v>
                </c:pt>
                <c:pt idx="276">
                  <c:v>0.11919921949645083</c:v>
                </c:pt>
                <c:pt idx="277">
                  <c:v>0.1193620348044592</c:v>
                </c:pt>
                <c:pt idx="278">
                  <c:v>0.11955749623513504</c:v>
                </c:pt>
                <c:pt idx="279">
                  <c:v>0.11970300414628877</c:v>
                </c:pt>
                <c:pt idx="280">
                  <c:v>0.11992477596526858</c:v>
                </c:pt>
                <c:pt idx="281">
                  <c:v>0.12026762568906217</c:v>
                </c:pt>
                <c:pt idx="282">
                  <c:v>0.12047504118152905</c:v>
                </c:pt>
                <c:pt idx="283">
                  <c:v>0.12059837039372158</c:v>
                </c:pt>
                <c:pt idx="284">
                  <c:v>0.12085148929208574</c:v>
                </c:pt>
                <c:pt idx="285">
                  <c:v>0.12116491713102572</c:v>
                </c:pt>
                <c:pt idx="286">
                  <c:v>0.12137434534545641</c:v>
                </c:pt>
                <c:pt idx="287">
                  <c:v>0.12165242366765971</c:v>
                </c:pt>
                <c:pt idx="288">
                  <c:v>0.12189152348023699</c:v>
                </c:pt>
                <c:pt idx="289">
                  <c:v>0.12216111415039289</c:v>
                </c:pt>
                <c:pt idx="290">
                  <c:v>0.12234006940181846</c:v>
                </c:pt>
                <c:pt idx="291">
                  <c:v>0.12251646076028348</c:v>
                </c:pt>
                <c:pt idx="292">
                  <c:v>0.12282273626522178</c:v>
                </c:pt>
                <c:pt idx="293">
                  <c:v>0.12311780007267463</c:v>
                </c:pt>
                <c:pt idx="294">
                  <c:v>0.12340000621257456</c:v>
                </c:pt>
                <c:pt idx="295">
                  <c:v>0.12361236359285435</c:v>
                </c:pt>
                <c:pt idx="296">
                  <c:v>0.12380451231467328</c:v>
                </c:pt>
                <c:pt idx="297">
                  <c:v>0.12402910968381183</c:v>
                </c:pt>
                <c:pt idx="298">
                  <c:v>0.1243081214490433</c:v>
                </c:pt>
                <c:pt idx="299">
                  <c:v>0.12443448916600257</c:v>
                </c:pt>
                <c:pt idx="300">
                  <c:v>0.12476081344924547</c:v>
                </c:pt>
                <c:pt idx="301">
                  <c:v>0.12495048421320819</c:v>
                </c:pt>
                <c:pt idx="302">
                  <c:v>0.12515826798649399</c:v>
                </c:pt>
                <c:pt idx="303">
                  <c:v>0.12542133355840074</c:v>
                </c:pt>
                <c:pt idx="304">
                  <c:v>0.12558376310844896</c:v>
                </c:pt>
                <c:pt idx="305">
                  <c:v>0.12585177205289752</c:v>
                </c:pt>
                <c:pt idx="306">
                  <c:v>0.1260191950235709</c:v>
                </c:pt>
                <c:pt idx="307">
                  <c:v>0.12627564704829505</c:v>
                </c:pt>
                <c:pt idx="308">
                  <c:v>0.1264853283597264</c:v>
                </c:pt>
                <c:pt idx="309">
                  <c:v>0.12675712929438351</c:v>
                </c:pt>
                <c:pt idx="310">
                  <c:v>0.1270574162880396</c:v>
                </c:pt>
                <c:pt idx="311">
                  <c:v>0.12724165409285057</c:v>
                </c:pt>
                <c:pt idx="312">
                  <c:v>0.12748175361903033</c:v>
                </c:pt>
                <c:pt idx="313">
                  <c:v>0.12760049940426718</c:v>
                </c:pt>
                <c:pt idx="314">
                  <c:v>0.12767433333683212</c:v>
                </c:pt>
                <c:pt idx="315">
                  <c:v>0.12779760760819533</c:v>
                </c:pt>
                <c:pt idx="316">
                  <c:v>0.12798383391582521</c:v>
                </c:pt>
                <c:pt idx="317">
                  <c:v>0.12812068177507258</c:v>
                </c:pt>
                <c:pt idx="318">
                  <c:v>0.1283986356149264</c:v>
                </c:pt>
                <c:pt idx="319">
                  <c:v>0.12862442887677505</c:v>
                </c:pt>
                <c:pt idx="320">
                  <c:v>0.12869931594279782</c:v>
                </c:pt>
                <c:pt idx="321">
                  <c:v>0.12893557364775418</c:v>
                </c:pt>
                <c:pt idx="322">
                  <c:v>0.12914625104525751</c:v>
                </c:pt>
                <c:pt idx="323">
                  <c:v>0.12941145720848968</c:v>
                </c:pt>
                <c:pt idx="324">
                  <c:v>0.12961943250330815</c:v>
                </c:pt>
                <c:pt idx="325">
                  <c:v>0.12988924341563629</c:v>
                </c:pt>
                <c:pt idx="326">
                  <c:v>0.13006600234717561</c:v>
                </c:pt>
                <c:pt idx="327">
                  <c:v>0.13041564196906016</c:v>
                </c:pt>
                <c:pt idx="328">
                  <c:v>0.13060953764697156</c:v>
                </c:pt>
                <c:pt idx="329">
                  <c:v>0.1308163129378197</c:v>
                </c:pt>
                <c:pt idx="330">
                  <c:v>0.13092796730416131</c:v>
                </c:pt>
                <c:pt idx="331">
                  <c:v>0.13104624706105253</c:v>
                </c:pt>
                <c:pt idx="332">
                  <c:v>0.13123069751740835</c:v>
                </c:pt>
                <c:pt idx="333">
                  <c:v>0.13138252368810543</c:v>
                </c:pt>
                <c:pt idx="334">
                  <c:v>0.13160489154938534</c:v>
                </c:pt>
                <c:pt idx="335">
                  <c:v>0.13177665482898684</c:v>
                </c:pt>
                <c:pt idx="336">
                  <c:v>0.13195166501706518</c:v>
                </c:pt>
                <c:pt idx="337">
                  <c:v>0.13211379843560966</c:v>
                </c:pt>
                <c:pt idx="338">
                  <c:v>0.13229979644412793</c:v>
                </c:pt>
                <c:pt idx="339">
                  <c:v>0.13263178167928416</c:v>
                </c:pt>
                <c:pt idx="340">
                  <c:v>0.13275804237425284</c:v>
                </c:pt>
                <c:pt idx="341">
                  <c:v>0.1329061705702837</c:v>
                </c:pt>
                <c:pt idx="342">
                  <c:v>0.13310506152653281</c:v>
                </c:pt>
                <c:pt idx="343">
                  <c:v>0.13331991148799882</c:v>
                </c:pt>
                <c:pt idx="344">
                  <c:v>0.1335264220815322</c:v>
                </c:pt>
                <c:pt idx="345">
                  <c:v>0.13374752029999432</c:v>
                </c:pt>
                <c:pt idx="346">
                  <c:v>0.13399306266517788</c:v>
                </c:pt>
                <c:pt idx="347">
                  <c:v>0.13418007476879151</c:v>
                </c:pt>
                <c:pt idx="348">
                  <c:v>0.1344398978136985</c:v>
                </c:pt>
                <c:pt idx="349">
                  <c:v>0.13457135648286711</c:v>
                </c:pt>
                <c:pt idx="350">
                  <c:v>0.13464517533824188</c:v>
                </c:pt>
                <c:pt idx="351">
                  <c:v>0.13497397012889503</c:v>
                </c:pt>
                <c:pt idx="352">
                  <c:v>0.13516350749765871</c:v>
                </c:pt>
                <c:pt idx="353">
                  <c:v>0.13533868247471056</c:v>
                </c:pt>
                <c:pt idx="354">
                  <c:v>0.13554499632943601</c:v>
                </c:pt>
                <c:pt idx="355">
                  <c:v>0.13567718305383791</c:v>
                </c:pt>
                <c:pt idx="356">
                  <c:v>0.1359268217157874</c:v>
                </c:pt>
                <c:pt idx="357">
                  <c:v>0.13612861362862097</c:v>
                </c:pt>
                <c:pt idx="358">
                  <c:v>0.13638799684768202</c:v>
                </c:pt>
                <c:pt idx="359">
                  <c:v>0.136581565864137</c:v>
                </c:pt>
                <c:pt idx="360">
                  <c:v>0.13678804491393878</c:v>
                </c:pt>
                <c:pt idx="361">
                  <c:v>0.1369158830318026</c:v>
                </c:pt>
                <c:pt idx="362">
                  <c:v>0.13720259087377107</c:v>
                </c:pt>
                <c:pt idx="363">
                  <c:v>0.13740818801398855</c:v>
                </c:pt>
                <c:pt idx="364">
                  <c:v>0.13753188960522486</c:v>
                </c:pt>
                <c:pt idx="365">
                  <c:v>0.13779042919838247</c:v>
                </c:pt>
                <c:pt idx="366">
                  <c:v>0.13802697634823935</c:v>
                </c:pt>
                <c:pt idx="367">
                  <c:v>0.13811362098620494</c:v>
                </c:pt>
                <c:pt idx="368">
                  <c:v>0.13827071942278277</c:v>
                </c:pt>
                <c:pt idx="369">
                  <c:v>0.13834030940777317</c:v>
                </c:pt>
                <c:pt idx="370">
                  <c:v>0.13857362179399635</c:v>
                </c:pt>
                <c:pt idx="371">
                  <c:v>0.13880134139297615</c:v>
                </c:pt>
                <c:pt idx="372">
                  <c:v>0.13902109425665526</c:v>
                </c:pt>
                <c:pt idx="373">
                  <c:v>0.13924205007115786</c:v>
                </c:pt>
                <c:pt idx="374">
                  <c:v>0.13944065430365674</c:v>
                </c:pt>
                <c:pt idx="375">
                  <c:v>0.13963349509102094</c:v>
                </c:pt>
                <c:pt idx="376">
                  <c:v>0.13980820485646972</c:v>
                </c:pt>
                <c:pt idx="377">
                  <c:v>0.14002289532403783</c:v>
                </c:pt>
                <c:pt idx="378">
                  <c:v>0.14021565349362516</c:v>
                </c:pt>
                <c:pt idx="379">
                  <c:v>0.14040427061331859</c:v>
                </c:pt>
                <c:pt idx="380">
                  <c:v>0.14059940822039532</c:v>
                </c:pt>
                <c:pt idx="381">
                  <c:v>0.1408121253876212</c:v>
                </c:pt>
                <c:pt idx="382">
                  <c:v>0.14109303978263565</c:v>
                </c:pt>
                <c:pt idx="383">
                  <c:v>0.1411655315913837</c:v>
                </c:pt>
                <c:pt idx="384">
                  <c:v>0.14131628446236999</c:v>
                </c:pt>
                <c:pt idx="385">
                  <c:v>0.14145840466148618</c:v>
                </c:pt>
                <c:pt idx="386">
                  <c:v>0.14163046193596837</c:v>
                </c:pt>
                <c:pt idx="387">
                  <c:v>0.14183034401935449</c:v>
                </c:pt>
                <c:pt idx="388">
                  <c:v>0.14192534207371654</c:v>
                </c:pt>
                <c:pt idx="389">
                  <c:v>0.14213111863480929</c:v>
                </c:pt>
                <c:pt idx="390">
                  <c:v>0.14232905383988079</c:v>
                </c:pt>
                <c:pt idx="391">
                  <c:v>0.14246414343204394</c:v>
                </c:pt>
                <c:pt idx="392">
                  <c:v>0.14269095822979805</c:v>
                </c:pt>
                <c:pt idx="393">
                  <c:v>0.14280276877449208</c:v>
                </c:pt>
                <c:pt idx="394">
                  <c:v>0.14294733029500536</c:v>
                </c:pt>
                <c:pt idx="395">
                  <c:v>0.14302462809899205</c:v>
                </c:pt>
                <c:pt idx="396">
                  <c:v>0.14320855960453621</c:v>
                </c:pt>
                <c:pt idx="397">
                  <c:v>0.14336535840322648</c:v>
                </c:pt>
                <c:pt idx="398">
                  <c:v>0.14346405097775861</c:v>
                </c:pt>
                <c:pt idx="399">
                  <c:v>0.14364371604145948</c:v>
                </c:pt>
                <c:pt idx="400">
                  <c:v>0.14385987080744392</c:v>
                </c:pt>
                <c:pt idx="401">
                  <c:v>0.14414008271020748</c:v>
                </c:pt>
                <c:pt idx="402">
                  <c:v>0.14442203017617641</c:v>
                </c:pt>
                <c:pt idx="403">
                  <c:v>0.14462951243864183</c:v>
                </c:pt>
                <c:pt idx="404">
                  <c:v>0.1448097666162311</c:v>
                </c:pt>
                <c:pt idx="405">
                  <c:v>0.14496988759421658</c:v>
                </c:pt>
                <c:pt idx="406">
                  <c:v>0.1451781800483912</c:v>
                </c:pt>
                <c:pt idx="407">
                  <c:v>0.14535945107373405</c:v>
                </c:pt>
                <c:pt idx="408">
                  <c:v>0.14549673501738705</c:v>
                </c:pt>
                <c:pt idx="409">
                  <c:v>0.14562875919175686</c:v>
                </c:pt>
                <c:pt idx="410">
                  <c:v>0.1457633825166805</c:v>
                </c:pt>
                <c:pt idx="411">
                  <c:v>0.14590080885076798</c:v>
                </c:pt>
                <c:pt idx="412">
                  <c:v>0.14609858318927879</c:v>
                </c:pt>
                <c:pt idx="413">
                  <c:v>0.1462341513225078</c:v>
                </c:pt>
                <c:pt idx="414">
                  <c:v>0.14639007686711619</c:v>
                </c:pt>
                <c:pt idx="415">
                  <c:v>0.14652801301782664</c:v>
                </c:pt>
                <c:pt idx="416">
                  <c:v>0.14676008817261074</c:v>
                </c:pt>
                <c:pt idx="417">
                  <c:v>0.14686897116680925</c:v>
                </c:pt>
                <c:pt idx="418">
                  <c:v>0.14711338146941566</c:v>
                </c:pt>
                <c:pt idx="419">
                  <c:v>0.1472683216268314</c:v>
                </c:pt>
                <c:pt idx="420">
                  <c:v>0.14747364964537032</c:v>
                </c:pt>
                <c:pt idx="421">
                  <c:v>0.14760938438383267</c:v>
                </c:pt>
                <c:pt idx="422">
                  <c:v>0.14776145386928294</c:v>
                </c:pt>
                <c:pt idx="423">
                  <c:v>0.14800356562245165</c:v>
                </c:pt>
                <c:pt idx="424">
                  <c:v>0.14814101387867681</c:v>
                </c:pt>
                <c:pt idx="425">
                  <c:v>0.14831061260130873</c:v>
                </c:pt>
                <c:pt idx="426">
                  <c:v>0.14854979074948435</c:v>
                </c:pt>
                <c:pt idx="427">
                  <c:v>0.14868791869988585</c:v>
                </c:pt>
                <c:pt idx="428">
                  <c:v>0.148939510250157</c:v>
                </c:pt>
                <c:pt idx="429">
                  <c:v>0.14905390455826467</c:v>
                </c:pt>
                <c:pt idx="430">
                  <c:v>0.14921021893732941</c:v>
                </c:pt>
                <c:pt idx="431">
                  <c:v>0.14940090323128705</c:v>
                </c:pt>
                <c:pt idx="432">
                  <c:v>0.1495224366698234</c:v>
                </c:pt>
                <c:pt idx="433">
                  <c:v>0.14968963119730905</c:v>
                </c:pt>
                <c:pt idx="434">
                  <c:v>0.14986790043214304</c:v>
                </c:pt>
                <c:pt idx="435">
                  <c:v>0.15002607254890979</c:v>
                </c:pt>
                <c:pt idx="436">
                  <c:v>0.15014581092661441</c:v>
                </c:pt>
                <c:pt idx="437">
                  <c:v>0.15028569299338823</c:v>
                </c:pt>
                <c:pt idx="438">
                  <c:v>0.15050500235184758</c:v>
                </c:pt>
                <c:pt idx="439">
                  <c:v>0.15059260131437319</c:v>
                </c:pt>
                <c:pt idx="440">
                  <c:v>0.15077807930330597</c:v>
                </c:pt>
                <c:pt idx="441">
                  <c:v>0.15101822603674889</c:v>
                </c:pt>
                <c:pt idx="442">
                  <c:v>0.15124125175638192</c:v>
                </c:pt>
                <c:pt idx="443">
                  <c:v>0.15137191890597793</c:v>
                </c:pt>
                <c:pt idx="444">
                  <c:v>0.15153539516854231</c:v>
                </c:pt>
                <c:pt idx="445">
                  <c:v>0.1516933826669018</c:v>
                </c:pt>
                <c:pt idx="446">
                  <c:v>0.1519411413679998</c:v>
                </c:pt>
                <c:pt idx="447">
                  <c:v>0.15208146389081295</c:v>
                </c:pt>
                <c:pt idx="448">
                  <c:v>0.15221311535545512</c:v>
                </c:pt>
                <c:pt idx="449">
                  <c:v>0.15231411168550549</c:v>
                </c:pt>
                <c:pt idx="450">
                  <c:v>0.1524670472848498</c:v>
                </c:pt>
                <c:pt idx="451">
                  <c:v>0.15253217494890398</c:v>
                </c:pt>
                <c:pt idx="452">
                  <c:v>0.15270452961059994</c:v>
                </c:pt>
                <c:pt idx="453">
                  <c:v>0.15280633809007171</c:v>
                </c:pt>
                <c:pt idx="454">
                  <c:v>0.15296466775198506</c:v>
                </c:pt>
                <c:pt idx="455">
                  <c:v>0.15307159989116495</c:v>
                </c:pt>
                <c:pt idx="456">
                  <c:v>0.1532640655294743</c:v>
                </c:pt>
                <c:pt idx="457">
                  <c:v>0.15349213372600071</c:v>
                </c:pt>
                <c:pt idx="458">
                  <c:v>0.1536941608263391</c:v>
                </c:pt>
                <c:pt idx="459">
                  <c:v>0.1538327649057207</c:v>
                </c:pt>
                <c:pt idx="460">
                  <c:v>0.15400072938764511</c:v>
                </c:pt>
                <c:pt idx="461">
                  <c:v>0.15411373273633505</c:v>
                </c:pt>
                <c:pt idx="462">
                  <c:v>0.15432712713836583</c:v>
                </c:pt>
                <c:pt idx="463">
                  <c:v>0.15455671289858736</c:v>
                </c:pt>
                <c:pt idx="464">
                  <c:v>0.15480606523132767</c:v>
                </c:pt>
                <c:pt idx="465">
                  <c:v>0.15505558271511552</c:v>
                </c:pt>
                <c:pt idx="466">
                  <c:v>0.15524287231406625</c:v>
                </c:pt>
                <c:pt idx="467">
                  <c:v>0.1554167190035958</c:v>
                </c:pt>
                <c:pt idx="468">
                  <c:v>0.1556076015729442</c:v>
                </c:pt>
                <c:pt idx="469">
                  <c:v>0.15584043375471951</c:v>
                </c:pt>
                <c:pt idx="470">
                  <c:v>0.15603763210785387</c:v>
                </c:pt>
                <c:pt idx="471">
                  <c:v>0.15614492728930213</c:v>
                </c:pt>
                <c:pt idx="472">
                  <c:v>0.15635849242515176</c:v>
                </c:pt>
                <c:pt idx="473">
                  <c:v>0.15651807831418077</c:v>
                </c:pt>
                <c:pt idx="474">
                  <c:v>0.15663077888108623</c:v>
                </c:pt>
                <c:pt idx="475">
                  <c:v>0.15684540916583392</c:v>
                </c:pt>
                <c:pt idx="476">
                  <c:v>0.15691807194261789</c:v>
                </c:pt>
                <c:pt idx="477">
                  <c:v>0.1570900476000725</c:v>
                </c:pt>
                <c:pt idx="478">
                  <c:v>0.15731001063997183</c:v>
                </c:pt>
                <c:pt idx="479">
                  <c:v>0.1575792558177673</c:v>
                </c:pt>
                <c:pt idx="480">
                  <c:v>0.15782435996576985</c:v>
                </c:pt>
                <c:pt idx="481">
                  <c:v>0.15798524326470187</c:v>
                </c:pt>
                <c:pt idx="482">
                  <c:v>0.15823902180440316</c:v>
                </c:pt>
                <c:pt idx="483">
                  <c:v>0.15831743759580585</c:v>
                </c:pt>
                <c:pt idx="484">
                  <c:v>0.1584345655896475</c:v>
                </c:pt>
                <c:pt idx="485">
                  <c:v>0.15853582631580554</c:v>
                </c:pt>
                <c:pt idx="486">
                  <c:v>0.15866492340237084</c:v>
                </c:pt>
                <c:pt idx="487">
                  <c:v>0.15871011931446982</c:v>
                </c:pt>
                <c:pt idx="488">
                  <c:v>0.15890128627731434</c:v>
                </c:pt>
                <c:pt idx="489">
                  <c:v>0.15901194461567253</c:v>
                </c:pt>
                <c:pt idx="490">
                  <c:v>0.15918692368301879</c:v>
                </c:pt>
                <c:pt idx="491">
                  <c:v>0.15929489408169209</c:v>
                </c:pt>
                <c:pt idx="492">
                  <c:v>0.15947663153759534</c:v>
                </c:pt>
                <c:pt idx="493">
                  <c:v>0.15964047336218881</c:v>
                </c:pt>
                <c:pt idx="494">
                  <c:v>0.15979164581320082</c:v>
                </c:pt>
                <c:pt idx="495">
                  <c:v>0.15995225761890017</c:v>
                </c:pt>
                <c:pt idx="496">
                  <c:v>0.1601167494931818</c:v>
                </c:pt>
                <c:pt idx="497">
                  <c:v>0.16027431135639281</c:v>
                </c:pt>
                <c:pt idx="498">
                  <c:v>0.16046676716417946</c:v>
                </c:pt>
                <c:pt idx="499">
                  <c:v>0.16069249307378999</c:v>
                </c:pt>
                <c:pt idx="500">
                  <c:v>0.16084490301428842</c:v>
                </c:pt>
                <c:pt idx="501">
                  <c:v>0.16103823385385405</c:v>
                </c:pt>
                <c:pt idx="502">
                  <c:v>0.16111182149008801</c:v>
                </c:pt>
                <c:pt idx="503">
                  <c:v>0.1612949274473269</c:v>
                </c:pt>
                <c:pt idx="504">
                  <c:v>0.16137662297992891</c:v>
                </c:pt>
                <c:pt idx="505">
                  <c:v>0.16161320733230528</c:v>
                </c:pt>
                <c:pt idx="506">
                  <c:v>0.1617469687163085</c:v>
                </c:pt>
                <c:pt idx="507">
                  <c:v>0.16187089321369813</c:v>
                </c:pt>
                <c:pt idx="508">
                  <c:v>0.16204717100058505</c:v>
                </c:pt>
                <c:pt idx="509">
                  <c:v>0.16219561661715709</c:v>
                </c:pt>
                <c:pt idx="510">
                  <c:v>0.16231649100585913</c:v>
                </c:pt>
                <c:pt idx="511">
                  <c:v>0.16244476894201276</c:v>
                </c:pt>
                <c:pt idx="512">
                  <c:v>0.16268214000273903</c:v>
                </c:pt>
                <c:pt idx="513">
                  <c:v>0.16284395242789287</c:v>
                </c:pt>
                <c:pt idx="514">
                  <c:v>0.16305711388580413</c:v>
                </c:pt>
                <c:pt idx="515">
                  <c:v>0.16324726923434568</c:v>
                </c:pt>
                <c:pt idx="516">
                  <c:v>0.16343053305335961</c:v>
                </c:pt>
                <c:pt idx="517">
                  <c:v>0.16359967211505097</c:v>
                </c:pt>
                <c:pt idx="518">
                  <c:v>0.16373507143809535</c:v>
                </c:pt>
                <c:pt idx="519">
                  <c:v>0.16391702500646946</c:v>
                </c:pt>
                <c:pt idx="520">
                  <c:v>0.16407477588553016</c:v>
                </c:pt>
                <c:pt idx="521">
                  <c:v>0.16421834239727282</c:v>
                </c:pt>
                <c:pt idx="522">
                  <c:v>0.16433443423604166</c:v>
                </c:pt>
                <c:pt idx="523">
                  <c:v>0.16448897944225638</c:v>
                </c:pt>
                <c:pt idx="524">
                  <c:v>0.16465215014037238</c:v>
                </c:pt>
                <c:pt idx="525">
                  <c:v>0.16478830929088201</c:v>
                </c:pt>
                <c:pt idx="526">
                  <c:v>0.16486153499578493</c:v>
                </c:pt>
                <c:pt idx="527">
                  <c:v>0.16501868423362054</c:v>
                </c:pt>
                <c:pt idx="528">
                  <c:v>0.16523021383913394</c:v>
                </c:pt>
                <c:pt idx="529">
                  <c:v>0.16528315787280065</c:v>
                </c:pt>
                <c:pt idx="530">
                  <c:v>0.16533761465066676</c:v>
                </c:pt>
                <c:pt idx="531">
                  <c:v>0.16549738307498946</c:v>
                </c:pt>
                <c:pt idx="532">
                  <c:v>0.16569365373049702</c:v>
                </c:pt>
                <c:pt idx="533">
                  <c:v>0.16581787333832834</c:v>
                </c:pt>
                <c:pt idx="534">
                  <c:v>0.16592907917740043</c:v>
                </c:pt>
                <c:pt idx="535">
                  <c:v>0.16618557906370968</c:v>
                </c:pt>
                <c:pt idx="536">
                  <c:v>0.16636742888989978</c:v>
                </c:pt>
                <c:pt idx="537">
                  <c:v>0.16657892020878559</c:v>
                </c:pt>
                <c:pt idx="538">
                  <c:v>0.16679841994493783</c:v>
                </c:pt>
                <c:pt idx="539">
                  <c:v>0.16695528851641622</c:v>
                </c:pt>
                <c:pt idx="540">
                  <c:v>0.16712222500742221</c:v>
                </c:pt>
                <c:pt idx="541">
                  <c:v>0.16720830527115157</c:v>
                </c:pt>
                <c:pt idx="542">
                  <c:v>0.16734729970657694</c:v>
                </c:pt>
                <c:pt idx="543">
                  <c:v>0.16750201872290746</c:v>
                </c:pt>
                <c:pt idx="544">
                  <c:v>0.16757083405766893</c:v>
                </c:pt>
                <c:pt idx="545">
                  <c:v>0.16768387257064787</c:v>
                </c:pt>
                <c:pt idx="546">
                  <c:v>0.16781683354981872</c:v>
                </c:pt>
                <c:pt idx="547">
                  <c:v>0.16792620131024222</c:v>
                </c:pt>
                <c:pt idx="548">
                  <c:v>0.16807271004065119</c:v>
                </c:pt>
                <c:pt idx="549">
                  <c:v>0.16831602527438219</c:v>
                </c:pt>
                <c:pt idx="550">
                  <c:v>0.16841157676736537</c:v>
                </c:pt>
                <c:pt idx="551">
                  <c:v>0.16854312952713241</c:v>
                </c:pt>
                <c:pt idx="552">
                  <c:v>0.16870053699553342</c:v>
                </c:pt>
                <c:pt idx="553">
                  <c:v>0.16883693891201809</c:v>
                </c:pt>
                <c:pt idx="554">
                  <c:v>0.16893897106388564</c:v>
                </c:pt>
                <c:pt idx="555">
                  <c:v>0.16916600988885558</c:v>
                </c:pt>
                <c:pt idx="556">
                  <c:v>0.16931891573711449</c:v>
                </c:pt>
                <c:pt idx="557">
                  <c:v>0.16952569362324152</c:v>
                </c:pt>
                <c:pt idx="558">
                  <c:v>0.16975393385557735</c:v>
                </c:pt>
                <c:pt idx="559">
                  <c:v>0.16987869700715899</c:v>
                </c:pt>
                <c:pt idx="560">
                  <c:v>0.16996979825371558</c:v>
                </c:pt>
                <c:pt idx="561">
                  <c:v>0.17010394190210062</c:v>
                </c:pt>
                <c:pt idx="562">
                  <c:v>0.17018281040839209</c:v>
                </c:pt>
                <c:pt idx="563">
                  <c:v>0.17033208184240156</c:v>
                </c:pt>
                <c:pt idx="564">
                  <c:v>0.17041788140429923</c:v>
                </c:pt>
                <c:pt idx="565">
                  <c:v>0.17051673764564523</c:v>
                </c:pt>
                <c:pt idx="566">
                  <c:v>0.17063792075577913</c:v>
                </c:pt>
                <c:pt idx="567">
                  <c:v>0.17072765858240524</c:v>
                </c:pt>
                <c:pt idx="568">
                  <c:v>0.17080891155381075</c:v>
                </c:pt>
                <c:pt idx="569">
                  <c:v>0.17098229577939614</c:v>
                </c:pt>
                <c:pt idx="570">
                  <c:v>0.17111041948787956</c:v>
                </c:pt>
                <c:pt idx="571">
                  <c:v>0.17126450448599673</c:v>
                </c:pt>
                <c:pt idx="572">
                  <c:v>0.17140199528779243</c:v>
                </c:pt>
                <c:pt idx="573">
                  <c:v>0.17160852905936932</c:v>
                </c:pt>
                <c:pt idx="574">
                  <c:v>0.17174364146795981</c:v>
                </c:pt>
                <c:pt idx="575">
                  <c:v>0.17191698896931168</c:v>
                </c:pt>
                <c:pt idx="576">
                  <c:v>0.17209956849117611</c:v>
                </c:pt>
                <c:pt idx="577">
                  <c:v>0.1722536070899503</c:v>
                </c:pt>
                <c:pt idx="578">
                  <c:v>0.17240852404379287</c:v>
                </c:pt>
                <c:pt idx="579">
                  <c:v>0.17249873895424078</c:v>
                </c:pt>
                <c:pt idx="580">
                  <c:v>0.17265568902185674</c:v>
                </c:pt>
                <c:pt idx="581">
                  <c:v>0.17275873584078552</c:v>
                </c:pt>
                <c:pt idx="582">
                  <c:v>0.17296391206623363</c:v>
                </c:pt>
                <c:pt idx="583">
                  <c:v>0.17312154169872346</c:v>
                </c:pt>
                <c:pt idx="584">
                  <c:v>0.17323132255940146</c:v>
                </c:pt>
                <c:pt idx="585">
                  <c:v>0.17337047706804948</c:v>
                </c:pt>
                <c:pt idx="586">
                  <c:v>0.17351250919271727</c:v>
                </c:pt>
                <c:pt idx="587">
                  <c:v>0.17358400301308882</c:v>
                </c:pt>
                <c:pt idx="588">
                  <c:v>0.17360897003743583</c:v>
                </c:pt>
                <c:pt idx="589">
                  <c:v>0.17370422843821656</c:v>
                </c:pt>
                <c:pt idx="590">
                  <c:v>0.17385997394951797</c:v>
                </c:pt>
                <c:pt idx="591">
                  <c:v>0.17390883520945841</c:v>
                </c:pt>
                <c:pt idx="592">
                  <c:v>0.17398071516095326</c:v>
                </c:pt>
                <c:pt idx="593">
                  <c:v>0.17399821104357427</c:v>
                </c:pt>
                <c:pt idx="594">
                  <c:v>0.17412610919471436</c:v>
                </c:pt>
                <c:pt idx="595">
                  <c:v>0.1742201305355271</c:v>
                </c:pt>
                <c:pt idx="596">
                  <c:v>0.17432548559653807</c:v>
                </c:pt>
                <c:pt idx="597">
                  <c:v>0.17450843928052603</c:v>
                </c:pt>
                <c:pt idx="598">
                  <c:v>0.17460307339258324</c:v>
                </c:pt>
                <c:pt idx="599">
                  <c:v>0.17469030579117625</c:v>
                </c:pt>
                <c:pt idx="600">
                  <c:v>0.17480074282802044</c:v>
                </c:pt>
                <c:pt idx="601">
                  <c:v>0.17494039587342278</c:v>
                </c:pt>
                <c:pt idx="602">
                  <c:v>0.17508327725040085</c:v>
                </c:pt>
                <c:pt idx="603">
                  <c:v>0.17526900106548676</c:v>
                </c:pt>
                <c:pt idx="604">
                  <c:v>0.1753841094358137</c:v>
                </c:pt>
                <c:pt idx="605">
                  <c:v>0.17545233603027546</c:v>
                </c:pt>
                <c:pt idx="606">
                  <c:v>0.17564379988551762</c:v>
                </c:pt>
                <c:pt idx="607">
                  <c:v>0.17569865490433195</c:v>
                </c:pt>
                <c:pt idx="608">
                  <c:v>0.17586883693185057</c:v>
                </c:pt>
                <c:pt idx="609">
                  <c:v>0.17597440862532993</c:v>
                </c:pt>
                <c:pt idx="610">
                  <c:v>0.17600052402676272</c:v>
                </c:pt>
                <c:pt idx="611">
                  <c:v>0.17614975247335429</c:v>
                </c:pt>
                <c:pt idx="612">
                  <c:v>0.17632406114798799</c:v>
                </c:pt>
                <c:pt idx="613">
                  <c:v>0.17638748174299992</c:v>
                </c:pt>
                <c:pt idx="614">
                  <c:v>0.17652569611760052</c:v>
                </c:pt>
                <c:pt idx="615">
                  <c:v>0.17661123863573855</c:v>
                </c:pt>
                <c:pt idx="616">
                  <c:v>0.17673842984813665</c:v>
                </c:pt>
                <c:pt idx="617">
                  <c:v>0.17692784404195794</c:v>
                </c:pt>
                <c:pt idx="618">
                  <c:v>0.17702214230834962</c:v>
                </c:pt>
                <c:pt idx="619">
                  <c:v>0.17721189292897002</c:v>
                </c:pt>
                <c:pt idx="620">
                  <c:v>0.17727275041083315</c:v>
                </c:pt>
                <c:pt idx="621">
                  <c:v>0.17737772147999248</c:v>
                </c:pt>
                <c:pt idx="622">
                  <c:v>0.17752526410515401</c:v>
                </c:pt>
                <c:pt idx="623">
                  <c:v>0.17764816051487561</c:v>
                </c:pt>
                <c:pt idx="624">
                  <c:v>0.17776056160714138</c:v>
                </c:pt>
                <c:pt idx="625">
                  <c:v>0.1778596932018702</c:v>
                </c:pt>
                <c:pt idx="626">
                  <c:v>0.1779849896525095</c:v>
                </c:pt>
                <c:pt idx="627">
                  <c:v>0.17802420810969841</c:v>
                </c:pt>
                <c:pt idx="628">
                  <c:v>0.17804998922227022</c:v>
                </c:pt>
                <c:pt idx="629">
                  <c:v>0.17810832998560547</c:v>
                </c:pt>
                <c:pt idx="630">
                  <c:v>0.17820541257434713</c:v>
                </c:pt>
                <c:pt idx="631">
                  <c:v>0.17829815631229298</c:v>
                </c:pt>
                <c:pt idx="632">
                  <c:v>0.17837129483393604</c:v>
                </c:pt>
                <c:pt idx="633">
                  <c:v>0.17852393946912909</c:v>
                </c:pt>
                <c:pt idx="634">
                  <c:v>0.17862944601178254</c:v>
                </c:pt>
                <c:pt idx="635">
                  <c:v>0.17865471862433049</c:v>
                </c:pt>
                <c:pt idx="636">
                  <c:v>0.1787274391862059</c:v>
                </c:pt>
                <c:pt idx="637">
                  <c:v>0.178872893284202</c:v>
                </c:pt>
                <c:pt idx="638">
                  <c:v>0.17897067167609146</c:v>
                </c:pt>
                <c:pt idx="639">
                  <c:v>0.17912877087434584</c:v>
                </c:pt>
                <c:pt idx="640">
                  <c:v>0.17921606593147921</c:v>
                </c:pt>
                <c:pt idx="641">
                  <c:v>0.17930491216008049</c:v>
                </c:pt>
                <c:pt idx="642">
                  <c:v>0.17940681657028643</c:v>
                </c:pt>
                <c:pt idx="643">
                  <c:v>0.17958528196771528</c:v>
                </c:pt>
                <c:pt idx="644">
                  <c:v>0.17969168525538778</c:v>
                </c:pt>
                <c:pt idx="645">
                  <c:v>0.17977076914647649</c:v>
                </c:pt>
                <c:pt idx="646">
                  <c:v>0.17986284278229059</c:v>
                </c:pt>
                <c:pt idx="647">
                  <c:v>0.18002622409845512</c:v>
                </c:pt>
                <c:pt idx="648">
                  <c:v>0.18013191458039707</c:v>
                </c:pt>
                <c:pt idx="649">
                  <c:v>0.18023361497758386</c:v>
                </c:pt>
                <c:pt idx="650">
                  <c:v>0.18037717647955018</c:v>
                </c:pt>
                <c:pt idx="651">
                  <c:v>0.1804609331189253</c:v>
                </c:pt>
                <c:pt idx="652">
                  <c:v>0.18060749599848072</c:v>
                </c:pt>
                <c:pt idx="653">
                  <c:v>0.18071617657094191</c:v>
                </c:pt>
                <c:pt idx="654">
                  <c:v>0.18083295451110171</c:v>
                </c:pt>
                <c:pt idx="655">
                  <c:v>0.18097284595996971</c:v>
                </c:pt>
                <c:pt idx="656">
                  <c:v>0.18103356416768715</c:v>
                </c:pt>
                <c:pt idx="657">
                  <c:v>0.18116241448212542</c:v>
                </c:pt>
                <c:pt idx="658">
                  <c:v>0.18125841712820351</c:v>
                </c:pt>
                <c:pt idx="659">
                  <c:v>0.1813686115031681</c:v>
                </c:pt>
                <c:pt idx="660">
                  <c:v>0.18149643158303855</c:v>
                </c:pt>
                <c:pt idx="661">
                  <c:v>0.18163327856762915</c:v>
                </c:pt>
                <c:pt idx="662">
                  <c:v>0.18177564017116429</c:v>
                </c:pt>
                <c:pt idx="663">
                  <c:v>0.18191318969593898</c:v>
                </c:pt>
                <c:pt idx="664">
                  <c:v>0.18199128830117747</c:v>
                </c:pt>
                <c:pt idx="665">
                  <c:v>0.18205981861130463</c:v>
                </c:pt>
                <c:pt idx="666">
                  <c:v>0.18225736347827864</c:v>
                </c:pt>
                <c:pt idx="667">
                  <c:v>0.18235360235446829</c:v>
                </c:pt>
                <c:pt idx="668">
                  <c:v>0.18244662434675585</c:v>
                </c:pt>
                <c:pt idx="669">
                  <c:v>0.18255452101874609</c:v>
                </c:pt>
                <c:pt idx="670">
                  <c:v>0.18262152020435313</c:v>
                </c:pt>
                <c:pt idx="671">
                  <c:v>0.18274292246042959</c:v>
                </c:pt>
                <c:pt idx="672">
                  <c:v>0.18291247453392548</c:v>
                </c:pt>
                <c:pt idx="673">
                  <c:v>0.1830236443149019</c:v>
                </c:pt>
                <c:pt idx="674">
                  <c:v>0.18316707302573396</c:v>
                </c:pt>
                <c:pt idx="675">
                  <c:v>0.18327283289397153</c:v>
                </c:pt>
                <c:pt idx="676">
                  <c:v>0.18329365710252535</c:v>
                </c:pt>
                <c:pt idx="677">
                  <c:v>0.18341204073733958</c:v>
                </c:pt>
                <c:pt idx="678">
                  <c:v>0.1834603216732538</c:v>
                </c:pt>
                <c:pt idx="679">
                  <c:v>0.18355627993359663</c:v>
                </c:pt>
                <c:pt idx="680">
                  <c:v>0.18368710055797141</c:v>
                </c:pt>
                <c:pt idx="681">
                  <c:v>0.18380923383861655</c:v>
                </c:pt>
                <c:pt idx="682">
                  <c:v>0.18388652273893147</c:v>
                </c:pt>
                <c:pt idx="683">
                  <c:v>0.18402968461036864</c:v>
                </c:pt>
                <c:pt idx="684">
                  <c:v>0.18413927583644796</c:v>
                </c:pt>
                <c:pt idx="685">
                  <c:v>0.18419890236967032</c:v>
                </c:pt>
                <c:pt idx="686">
                  <c:v>0.18430640737479845</c:v>
                </c:pt>
                <c:pt idx="687">
                  <c:v>0.18437661657402049</c:v>
                </c:pt>
                <c:pt idx="688">
                  <c:v>0.1844203463655732</c:v>
                </c:pt>
                <c:pt idx="689">
                  <c:v>0.18453359726200341</c:v>
                </c:pt>
                <c:pt idx="690">
                  <c:v>0.1845695599473641</c:v>
                </c:pt>
                <c:pt idx="691">
                  <c:v>0.18465640765004554</c:v>
                </c:pt>
                <c:pt idx="692">
                  <c:v>0.18475645110970565</c:v>
                </c:pt>
                <c:pt idx="693">
                  <c:v>0.18487504974057811</c:v>
                </c:pt>
                <c:pt idx="694">
                  <c:v>0.18499596230885079</c:v>
                </c:pt>
                <c:pt idx="695">
                  <c:v>0.1850740060136789</c:v>
                </c:pt>
                <c:pt idx="696">
                  <c:v>0.18508701920102597</c:v>
                </c:pt>
                <c:pt idx="697">
                  <c:v>0.185141684116468</c:v>
                </c:pt>
                <c:pt idx="698">
                  <c:v>0.18517392932913845</c:v>
                </c:pt>
                <c:pt idx="699">
                  <c:v>0.18528075186880441</c:v>
                </c:pt>
                <c:pt idx="700">
                  <c:v>0.18538854314253103</c:v>
                </c:pt>
                <c:pt idx="701">
                  <c:v>0.18548287866355326</c:v>
                </c:pt>
                <c:pt idx="702">
                  <c:v>0.18557156684278245</c:v>
                </c:pt>
                <c:pt idx="703">
                  <c:v>0.18565118497466124</c:v>
                </c:pt>
                <c:pt idx="704">
                  <c:v>0.1856819915364645</c:v>
                </c:pt>
                <c:pt idx="705">
                  <c:v>0.18575982469371</c:v>
                </c:pt>
                <c:pt idx="706">
                  <c:v>0.18581125133861129</c:v>
                </c:pt>
                <c:pt idx="707">
                  <c:v>0.18582278908960248</c:v>
                </c:pt>
                <c:pt idx="708">
                  <c:v>0.18588643196377244</c:v>
                </c:pt>
                <c:pt idx="709">
                  <c:v>0.18606854248855748</c:v>
                </c:pt>
                <c:pt idx="710">
                  <c:v>0.18612329263270913</c:v>
                </c:pt>
                <c:pt idx="711">
                  <c:v>0.18623773927703929</c:v>
                </c:pt>
                <c:pt idx="712">
                  <c:v>0.18627988960626934</c:v>
                </c:pt>
                <c:pt idx="713">
                  <c:v>0.18634855742908751</c:v>
                </c:pt>
                <c:pt idx="714">
                  <c:v>0.18641740008265825</c:v>
                </c:pt>
                <c:pt idx="715">
                  <c:v>0.18649193147751805</c:v>
                </c:pt>
                <c:pt idx="716">
                  <c:v>0.18655245629220849</c:v>
                </c:pt>
                <c:pt idx="717">
                  <c:v>0.18656665119211488</c:v>
                </c:pt>
                <c:pt idx="718">
                  <c:v>0.18666040502634998</c:v>
                </c:pt>
                <c:pt idx="719">
                  <c:v>0.18672207119045492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01216"/>
        <c:axId val="231928192"/>
      </c:scatterChart>
      <c:valAx>
        <c:axId val="231801216"/>
        <c:scaling>
          <c:orientation val="minMax"/>
        </c:scaling>
        <c:delete val="0"/>
        <c:axPos val="b"/>
        <c:majorGridlines/>
        <c:numFmt formatCode="_-* #,##0.00_-;\-* #,##0.00_-;_-* &quot;-&quot;??_-;_-@_-" sourceLinked="1"/>
        <c:majorTickMark val="out"/>
        <c:minorTickMark val="none"/>
        <c:tickLblPos val="nextTo"/>
        <c:crossAx val="231928192"/>
        <c:crosses val="autoZero"/>
        <c:crossBetween val="midCat"/>
      </c:valAx>
      <c:valAx>
        <c:axId val="23192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012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Sheet1!$B$6:$B$11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Sheet1!$B$12:$B$1212</c:f>
              <c:numCache>
                <c:formatCode>General</c:formatCode>
                <c:ptCount val="1201"/>
                <c:pt idx="0">
                  <c:v>1.0000008170269756</c:v>
                </c:pt>
                <c:pt idx="1">
                  <c:v>0.99999798122145445</c:v>
                </c:pt>
                <c:pt idx="2">
                  <c:v>0.99999037921102973</c:v>
                </c:pt>
                <c:pt idx="3">
                  <c:v>0.99998443339241261</c:v>
                </c:pt>
                <c:pt idx="4">
                  <c:v>0.99997642849198431</c:v>
                </c:pt>
                <c:pt idx="5">
                  <c:v>0.99996952121722915</c:v>
                </c:pt>
                <c:pt idx="6">
                  <c:v>0.99997800022820316</c:v>
                </c:pt>
                <c:pt idx="7">
                  <c:v>0.99998560144307447</c:v>
                </c:pt>
                <c:pt idx="8">
                  <c:v>0.99997004303593384</c:v>
                </c:pt>
                <c:pt idx="9">
                  <c:v>0.99996385776886632</c:v>
                </c:pt>
                <c:pt idx="10">
                  <c:v>0.99996990387760631</c:v>
                </c:pt>
                <c:pt idx="11">
                  <c:v>0.99996877266654971</c:v>
                </c:pt>
                <c:pt idx="12">
                  <c:v>0.99996726418043058</c:v>
                </c:pt>
                <c:pt idx="13">
                  <c:v>0.99995666138189077</c:v>
                </c:pt>
                <c:pt idx="14">
                  <c:v>0.99997534145745304</c:v>
                </c:pt>
                <c:pt idx="15">
                  <c:v>0.99996801883145714</c:v>
                </c:pt>
                <c:pt idx="16">
                  <c:v>0.99996557522808527</c:v>
                </c:pt>
                <c:pt idx="17">
                  <c:v>0.99993738344054439</c:v>
                </c:pt>
                <c:pt idx="18">
                  <c:v>0.99995258268271792</c:v>
                </c:pt>
                <c:pt idx="19">
                  <c:v>0.99994854570263469</c:v>
                </c:pt>
                <c:pt idx="20">
                  <c:v>0.99996062880779968</c:v>
                </c:pt>
                <c:pt idx="21">
                  <c:v>0.99996568786671758</c:v>
                </c:pt>
                <c:pt idx="22">
                  <c:v>0.99995980274176777</c:v>
                </c:pt>
                <c:pt idx="23">
                  <c:v>0.9999627242753808</c:v>
                </c:pt>
                <c:pt idx="24">
                  <c:v>0.99999359849789871</c:v>
                </c:pt>
                <c:pt idx="25">
                  <c:v>0.9999668570017004</c:v>
                </c:pt>
                <c:pt idx="26">
                  <c:v>0.99995663093432852</c:v>
                </c:pt>
                <c:pt idx="27">
                  <c:v>0.99995106265978395</c:v>
                </c:pt>
                <c:pt idx="28">
                  <c:v>0.99994479584998042</c:v>
                </c:pt>
                <c:pt idx="29">
                  <c:v>0.99999012048034241</c:v>
                </c:pt>
                <c:pt idx="30">
                  <c:v>0.99998464025141043</c:v>
                </c:pt>
                <c:pt idx="31">
                  <c:v>0.99999685986330678</c:v>
                </c:pt>
                <c:pt idx="32">
                  <c:v>1.0000049854826221</c:v>
                </c:pt>
                <c:pt idx="33">
                  <c:v>0.99995913803976255</c:v>
                </c:pt>
                <c:pt idx="34">
                  <c:v>0.99997145968836743</c:v>
                </c:pt>
                <c:pt idx="35">
                  <c:v>0.99998995791655065</c:v>
                </c:pt>
                <c:pt idx="36">
                  <c:v>1.0000297004506578</c:v>
                </c:pt>
                <c:pt idx="37">
                  <c:v>0.99999048941397273</c:v>
                </c:pt>
                <c:pt idx="38">
                  <c:v>0.99999358030225316</c:v>
                </c:pt>
                <c:pt idx="39">
                  <c:v>1.0000264127375411</c:v>
                </c:pt>
                <c:pt idx="40">
                  <c:v>1.0000295784952622</c:v>
                </c:pt>
                <c:pt idx="41">
                  <c:v>1.0000539262889487</c:v>
                </c:pt>
                <c:pt idx="42">
                  <c:v>1.0001019109619249</c:v>
                </c:pt>
                <c:pt idx="43">
                  <c:v>1.0000929073945906</c:v>
                </c:pt>
                <c:pt idx="44">
                  <c:v>1.0001052876743393</c:v>
                </c:pt>
                <c:pt idx="45">
                  <c:v>1.0000670153838416</c:v>
                </c:pt>
                <c:pt idx="46">
                  <c:v>1.0000781108750674</c:v>
                </c:pt>
                <c:pt idx="47">
                  <c:v>1.0000745888534854</c:v>
                </c:pt>
                <c:pt idx="48">
                  <c:v>1.0000519340188798</c:v>
                </c:pt>
                <c:pt idx="49">
                  <c:v>1.0000284117883262</c:v>
                </c:pt>
                <c:pt idx="50">
                  <c:v>1.0000497972329281</c:v>
                </c:pt>
                <c:pt idx="51">
                  <c:v>1.0000547331351706</c:v>
                </c:pt>
                <c:pt idx="52">
                  <c:v>1.0000320289765097</c:v>
                </c:pt>
                <c:pt idx="53">
                  <c:v>1.0000438343038256</c:v>
                </c:pt>
                <c:pt idx="54">
                  <c:v>1.0000717988812446</c:v>
                </c:pt>
                <c:pt idx="55">
                  <c:v>1.0000760668925102</c:v>
                </c:pt>
                <c:pt idx="56">
                  <c:v>1.00007385889276</c:v>
                </c:pt>
                <c:pt idx="57">
                  <c:v>1.000082900934824</c:v>
                </c:pt>
                <c:pt idx="58">
                  <c:v>1.0000916240850433</c:v>
                </c:pt>
                <c:pt idx="59">
                  <c:v>1.0000893474831352</c:v>
                </c:pt>
                <c:pt idx="60">
                  <c:v>1.0000548149635868</c:v>
                </c:pt>
                <c:pt idx="61">
                  <c:v>1.0001041224138467</c:v>
                </c:pt>
                <c:pt idx="62">
                  <c:v>1.0001313023370577</c:v>
                </c:pt>
                <c:pt idx="63">
                  <c:v>1.0001306507300443</c:v>
                </c:pt>
                <c:pt idx="64">
                  <c:v>1.0001679426322654</c:v>
                </c:pt>
                <c:pt idx="65">
                  <c:v>1.0001866696844244</c:v>
                </c:pt>
                <c:pt idx="66">
                  <c:v>1.0001558373735948</c:v>
                </c:pt>
                <c:pt idx="67">
                  <c:v>1.0001794999668803</c:v>
                </c:pt>
                <c:pt idx="68">
                  <c:v>1.0002162280332672</c:v>
                </c:pt>
                <c:pt idx="69">
                  <c:v>1.0002247715539205</c:v>
                </c:pt>
                <c:pt idx="70">
                  <c:v>1.0002365053546878</c:v>
                </c:pt>
                <c:pt idx="71">
                  <c:v>1.0002419718942555</c:v>
                </c:pt>
                <c:pt idx="72">
                  <c:v>1.0002228361463077</c:v>
                </c:pt>
                <c:pt idx="73">
                  <c:v>1.0002217699945379</c:v>
                </c:pt>
                <c:pt idx="74">
                  <c:v>1.0002577037594094</c:v>
                </c:pt>
                <c:pt idx="75">
                  <c:v>1.0002400805724494</c:v>
                </c:pt>
                <c:pt idx="76">
                  <c:v>1.0002751270663859</c:v>
                </c:pt>
                <c:pt idx="77">
                  <c:v>1.0002881409803195</c:v>
                </c:pt>
                <c:pt idx="78">
                  <c:v>1.000318451774961</c:v>
                </c:pt>
                <c:pt idx="79">
                  <c:v>1.0003720306590276</c:v>
                </c:pt>
                <c:pt idx="80">
                  <c:v>1.0003680300575504</c:v>
                </c:pt>
                <c:pt idx="81">
                  <c:v>1.0003710314766294</c:v>
                </c:pt>
                <c:pt idx="82">
                  <c:v>1.0003043503445099</c:v>
                </c:pt>
                <c:pt idx="83">
                  <c:v>1.0003270844855092</c:v>
                </c:pt>
                <c:pt idx="84">
                  <c:v>1.0003310785851969</c:v>
                </c:pt>
                <c:pt idx="85">
                  <c:v>1.0003311839665809</c:v>
                </c:pt>
                <c:pt idx="86">
                  <c:v>1.0003357273506921</c:v>
                </c:pt>
                <c:pt idx="87">
                  <c:v>1.0003107143379444</c:v>
                </c:pt>
                <c:pt idx="88">
                  <c:v>1.0003262035701681</c:v>
                </c:pt>
                <c:pt idx="89">
                  <c:v>1.0003007876657415</c:v>
                </c:pt>
                <c:pt idx="90">
                  <c:v>1.0003262638270125</c:v>
                </c:pt>
                <c:pt idx="91">
                  <c:v>1.0003685746413244</c:v>
                </c:pt>
                <c:pt idx="92">
                  <c:v>1.0002642345447139</c:v>
                </c:pt>
                <c:pt idx="93">
                  <c:v>1.000290825591003</c:v>
                </c:pt>
                <c:pt idx="94">
                  <c:v>1.0003199488172265</c:v>
                </c:pt>
                <c:pt idx="95">
                  <c:v>1.0003191018019271</c:v>
                </c:pt>
                <c:pt idx="96">
                  <c:v>1.0002549687876801</c:v>
                </c:pt>
                <c:pt idx="97">
                  <c:v>1.0002332434386074</c:v>
                </c:pt>
                <c:pt idx="98">
                  <c:v>1.0002387010915714</c:v>
                </c:pt>
                <c:pt idx="99">
                  <c:v>1.0002761918036669</c:v>
                </c:pt>
                <c:pt idx="100">
                  <c:v>1.0002646715419028</c:v>
                </c:pt>
                <c:pt idx="101">
                  <c:v>1.0002786645718973</c:v>
                </c:pt>
                <c:pt idx="102">
                  <c:v>1.0003220532512243</c:v>
                </c:pt>
                <c:pt idx="103">
                  <c:v>1.0003720688121551</c:v>
                </c:pt>
                <c:pt idx="104">
                  <c:v>1.0004452814826981</c:v>
                </c:pt>
                <c:pt idx="105">
                  <c:v>1.0004879402637259</c:v>
                </c:pt>
                <c:pt idx="106">
                  <c:v>1.0004027310909389</c:v>
                </c:pt>
                <c:pt idx="107">
                  <c:v>1.0003186765088183</c:v>
                </c:pt>
                <c:pt idx="108">
                  <c:v>1.0003271593226288</c:v>
                </c:pt>
                <c:pt idx="109">
                  <c:v>1.0002952364305384</c:v>
                </c:pt>
                <c:pt idx="110">
                  <c:v>1.0002782919632258</c:v>
                </c:pt>
                <c:pt idx="111">
                  <c:v>1.0002918409253341</c:v>
                </c:pt>
                <c:pt idx="112">
                  <c:v>1.0003490968863811</c:v>
                </c:pt>
                <c:pt idx="113">
                  <c:v>1.0004535676379782</c:v>
                </c:pt>
                <c:pt idx="114">
                  <c:v>1.0004529217764007</c:v>
                </c:pt>
                <c:pt idx="115">
                  <c:v>1.000415055489895</c:v>
                </c:pt>
                <c:pt idx="116">
                  <c:v>1.0004417760687965</c:v>
                </c:pt>
                <c:pt idx="117">
                  <c:v>1.0004930617170156</c:v>
                </c:pt>
                <c:pt idx="118">
                  <c:v>1.0004533119580958</c:v>
                </c:pt>
                <c:pt idx="119">
                  <c:v>1.0004705243260406</c:v>
                </c:pt>
                <c:pt idx="120">
                  <c:v>1.0003776888517977</c:v>
                </c:pt>
                <c:pt idx="121">
                  <c:v>1.0003796685772512</c:v>
                </c:pt>
                <c:pt idx="122">
                  <c:v>1.0004096334315966</c:v>
                </c:pt>
                <c:pt idx="123">
                  <c:v>1.000447796884653</c:v>
                </c:pt>
                <c:pt idx="124">
                  <c:v>1.0004197984473853</c:v>
                </c:pt>
                <c:pt idx="125">
                  <c:v>1.0003950373277781</c:v>
                </c:pt>
                <c:pt idx="126">
                  <c:v>1.0004314211700038</c:v>
                </c:pt>
                <c:pt idx="127">
                  <c:v>1.0004863221946541</c:v>
                </c:pt>
                <c:pt idx="128">
                  <c:v>1.000490094078089</c:v>
                </c:pt>
                <c:pt idx="129">
                  <c:v>1.0004687176100138</c:v>
                </c:pt>
                <c:pt idx="130">
                  <c:v>1.0004700108422886</c:v>
                </c:pt>
                <c:pt idx="131">
                  <c:v>1.0004618536568912</c:v>
                </c:pt>
                <c:pt idx="132">
                  <c:v>1.0005238380066879</c:v>
                </c:pt>
                <c:pt idx="133">
                  <c:v>1.0005352022488987</c:v>
                </c:pt>
                <c:pt idx="134">
                  <c:v>1.0005181656354269</c:v>
                </c:pt>
                <c:pt idx="135">
                  <c:v>1.0005289851159629</c:v>
                </c:pt>
                <c:pt idx="136">
                  <c:v>1.0005245142441985</c:v>
                </c:pt>
                <c:pt idx="137">
                  <c:v>1.0004848458026343</c:v>
                </c:pt>
                <c:pt idx="138">
                  <c:v>1.0004723851122121</c:v>
                </c:pt>
                <c:pt idx="139">
                  <c:v>1.0005003716812175</c:v>
                </c:pt>
                <c:pt idx="140">
                  <c:v>1.0005095948702449</c:v>
                </c:pt>
                <c:pt idx="141">
                  <c:v>1.0005194786319722</c:v>
                </c:pt>
                <c:pt idx="142">
                  <c:v>1.0004425511031489</c:v>
                </c:pt>
                <c:pt idx="143">
                  <c:v>1.000535694545398</c:v>
                </c:pt>
                <c:pt idx="144">
                  <c:v>1.0004936471188131</c:v>
                </c:pt>
                <c:pt idx="145">
                  <c:v>1.0005841982975514</c:v>
                </c:pt>
                <c:pt idx="146">
                  <c:v>1.0006270125703427</c:v>
                </c:pt>
                <c:pt idx="147">
                  <c:v>1.0005971436531702</c:v>
                </c:pt>
                <c:pt idx="148">
                  <c:v>1.0005797751333005</c:v>
                </c:pt>
                <c:pt idx="149">
                  <c:v>1.0006171874151071</c:v>
                </c:pt>
                <c:pt idx="150">
                  <c:v>1.000617081981179</c:v>
                </c:pt>
                <c:pt idx="151">
                  <c:v>1.0005998406652308</c:v>
                </c:pt>
                <c:pt idx="152">
                  <c:v>1.0005922341177256</c:v>
                </c:pt>
                <c:pt idx="153">
                  <c:v>1.000643793018996</c:v>
                </c:pt>
                <c:pt idx="154">
                  <c:v>1.0005385170534247</c:v>
                </c:pt>
                <c:pt idx="155">
                  <c:v>1.000460695840621</c:v>
                </c:pt>
                <c:pt idx="156">
                  <c:v>1.0004601240638962</c:v>
                </c:pt>
                <c:pt idx="157">
                  <c:v>1.0004903498439786</c:v>
                </c:pt>
                <c:pt idx="158">
                  <c:v>1.0004548457720173</c:v>
                </c:pt>
                <c:pt idx="159">
                  <c:v>1.0004719349432063</c:v>
                </c:pt>
                <c:pt idx="160">
                  <c:v>1.0004709297047278</c:v>
                </c:pt>
                <c:pt idx="161">
                  <c:v>1.0004469126904183</c:v>
                </c:pt>
                <c:pt idx="162">
                  <c:v>1.0004393986620903</c:v>
                </c:pt>
                <c:pt idx="163">
                  <c:v>1.0004261568111428</c:v>
                </c:pt>
                <c:pt idx="164">
                  <c:v>1.0004474864880983</c:v>
                </c:pt>
                <c:pt idx="165">
                  <c:v>1.0005789354285739</c:v>
                </c:pt>
                <c:pt idx="166">
                  <c:v>1.0005222000749425</c:v>
                </c:pt>
                <c:pt idx="167">
                  <c:v>1.0005226202465569</c:v>
                </c:pt>
                <c:pt idx="168">
                  <c:v>1.0004764709575706</c:v>
                </c:pt>
                <c:pt idx="169">
                  <c:v>1.000471992029963</c:v>
                </c:pt>
                <c:pt idx="170">
                  <c:v>1.00046522048243</c:v>
                </c:pt>
                <c:pt idx="171">
                  <c:v>1.0004847219407713</c:v>
                </c:pt>
                <c:pt idx="172">
                  <c:v>1.0005327903072383</c:v>
                </c:pt>
                <c:pt idx="173">
                  <c:v>1.0005123806326093</c:v>
                </c:pt>
                <c:pt idx="174">
                  <c:v>1.0005725510512433</c:v>
                </c:pt>
                <c:pt idx="175">
                  <c:v>1.0004748678863027</c:v>
                </c:pt>
                <c:pt idx="176">
                  <c:v>1.0005629748593134</c:v>
                </c:pt>
                <c:pt idx="177">
                  <c:v>1.0006668027287275</c:v>
                </c:pt>
                <c:pt idx="178">
                  <c:v>1.0007667777649059</c:v>
                </c:pt>
                <c:pt idx="179">
                  <c:v>1.0006957166712571</c:v>
                </c:pt>
                <c:pt idx="180">
                  <c:v>1.0007287683836701</c:v>
                </c:pt>
                <c:pt idx="181">
                  <c:v>1.0006647934315316</c:v>
                </c:pt>
                <c:pt idx="182">
                  <c:v>1.000726827595132</c:v>
                </c:pt>
                <c:pt idx="183">
                  <c:v>1.0007610549564034</c:v>
                </c:pt>
                <c:pt idx="184">
                  <c:v>1.0008270552813179</c:v>
                </c:pt>
                <c:pt idx="185">
                  <c:v>1.0008432237038716</c:v>
                </c:pt>
                <c:pt idx="186">
                  <c:v>1.000921272434397</c:v>
                </c:pt>
                <c:pt idx="187">
                  <c:v>1.000911936179159</c:v>
                </c:pt>
                <c:pt idx="188">
                  <c:v>1.0009299381703183</c:v>
                </c:pt>
                <c:pt idx="189">
                  <c:v>1.0009393068822667</c:v>
                </c:pt>
                <c:pt idx="190">
                  <c:v>1.0008973519438078</c:v>
                </c:pt>
                <c:pt idx="191">
                  <c:v>1.0008752450086318</c:v>
                </c:pt>
                <c:pt idx="192">
                  <c:v>1.0009093803636326</c:v>
                </c:pt>
                <c:pt idx="193">
                  <c:v>1.0009550456144098</c:v>
                </c:pt>
                <c:pt idx="194">
                  <c:v>1.0010144720402083</c:v>
                </c:pt>
                <c:pt idx="195">
                  <c:v>1.0010379454372493</c:v>
                </c:pt>
                <c:pt idx="196">
                  <c:v>1.0010371171029828</c:v>
                </c:pt>
                <c:pt idx="197">
                  <c:v>1.0010482740370408</c:v>
                </c:pt>
                <c:pt idx="198">
                  <c:v>1.0009909262705647</c:v>
                </c:pt>
                <c:pt idx="199">
                  <c:v>1.0010130808959365</c:v>
                </c:pt>
                <c:pt idx="200">
                  <c:v>1.0009803796409926</c:v>
                </c:pt>
                <c:pt idx="201">
                  <c:v>1.000948701216845</c:v>
                </c:pt>
                <c:pt idx="202">
                  <c:v>1.0010158600426213</c:v>
                </c:pt>
                <c:pt idx="203">
                  <c:v>1.0010112863366509</c:v>
                </c:pt>
                <c:pt idx="204">
                  <c:v>1.0011959686836716</c:v>
                </c:pt>
                <c:pt idx="205">
                  <c:v>1.0011688143158668</c:v>
                </c:pt>
                <c:pt idx="206">
                  <c:v>1.0011684014790638</c:v>
                </c:pt>
                <c:pt idx="207">
                  <c:v>1.0011121025406924</c:v>
                </c:pt>
                <c:pt idx="208">
                  <c:v>1.0010779882406997</c:v>
                </c:pt>
                <c:pt idx="209">
                  <c:v>1.0011367735322152</c:v>
                </c:pt>
                <c:pt idx="210">
                  <c:v>1.0010788920575642</c:v>
                </c:pt>
                <c:pt idx="211">
                  <c:v>1.0009378741123991</c:v>
                </c:pt>
                <c:pt idx="212">
                  <c:v>1.0008500927551134</c:v>
                </c:pt>
                <c:pt idx="213">
                  <c:v>1.0008000731256996</c:v>
                </c:pt>
                <c:pt idx="214">
                  <c:v>1.0006854453399707</c:v>
                </c:pt>
                <c:pt idx="215">
                  <c:v>1.0006762691857065</c:v>
                </c:pt>
                <c:pt idx="216">
                  <c:v>1.0005119863201835</c:v>
                </c:pt>
                <c:pt idx="217">
                  <c:v>1.0004437116164695</c:v>
                </c:pt>
                <c:pt idx="218">
                  <c:v>1.0004214204113067</c:v>
                </c:pt>
                <c:pt idx="219">
                  <c:v>1.0004527911035095</c:v>
                </c:pt>
                <c:pt idx="220">
                  <c:v>1.0004565106387571</c:v>
                </c:pt>
                <c:pt idx="221">
                  <c:v>1.0004272756539745</c:v>
                </c:pt>
                <c:pt idx="222">
                  <c:v>1.0004790050416255</c:v>
                </c:pt>
                <c:pt idx="223">
                  <c:v>1.0004444538242101</c:v>
                </c:pt>
                <c:pt idx="224">
                  <c:v>1.0005121035697662</c:v>
                </c:pt>
                <c:pt idx="225">
                  <c:v>1.0004928172025296</c:v>
                </c:pt>
                <c:pt idx="226">
                  <c:v>1.0005648281692501</c:v>
                </c:pt>
                <c:pt idx="227">
                  <c:v>1.0005534505536253</c:v>
                </c:pt>
                <c:pt idx="228">
                  <c:v>1.0005541564030254</c:v>
                </c:pt>
                <c:pt idx="229">
                  <c:v>1.0005890564468993</c:v>
                </c:pt>
                <c:pt idx="230">
                  <c:v>1.0005675437413089</c:v>
                </c:pt>
                <c:pt idx="231">
                  <c:v>1.0005555015019685</c:v>
                </c:pt>
                <c:pt idx="232">
                  <c:v>1.0004912035273577</c:v>
                </c:pt>
                <c:pt idx="233">
                  <c:v>1.0004694054680423</c:v>
                </c:pt>
                <c:pt idx="234">
                  <c:v>1.0004931498172049</c:v>
                </c:pt>
                <c:pt idx="235">
                  <c:v>1.0004051994105196</c:v>
                </c:pt>
                <c:pt idx="236">
                  <c:v>1.0003714170278613</c:v>
                </c:pt>
                <c:pt idx="237">
                  <c:v>1.0004746122477377</c:v>
                </c:pt>
                <c:pt idx="238">
                  <c:v>1.0005769883316946</c:v>
                </c:pt>
                <c:pt idx="239">
                  <c:v>1.0006021466847193</c:v>
                </c:pt>
                <c:pt idx="240">
                  <c:v>1.0005830488673899</c:v>
                </c:pt>
                <c:pt idx="241">
                  <c:v>1.0005810563866031</c:v>
                </c:pt>
                <c:pt idx="242">
                  <c:v>1.0006577723409991</c:v>
                </c:pt>
                <c:pt idx="243">
                  <c:v>1.0005969820751279</c:v>
                </c:pt>
                <c:pt idx="244">
                  <c:v>1.0007080912760369</c:v>
                </c:pt>
                <c:pt idx="245">
                  <c:v>1.0006108264673557</c:v>
                </c:pt>
                <c:pt idx="246">
                  <c:v>1.0007088115955347</c:v>
                </c:pt>
                <c:pt idx="247">
                  <c:v>1.0008120369178926</c:v>
                </c:pt>
                <c:pt idx="248">
                  <c:v>1.0007750614325353</c:v>
                </c:pt>
                <c:pt idx="249">
                  <c:v>1.0006493758434669</c:v>
                </c:pt>
                <c:pt idx="250">
                  <c:v>1.0005627180935788</c:v>
                </c:pt>
                <c:pt idx="251">
                  <c:v>1.0005367412034538</c:v>
                </c:pt>
                <c:pt idx="252">
                  <c:v>1.0005530269832013</c:v>
                </c:pt>
                <c:pt idx="253">
                  <c:v>1.0004734113766809</c:v>
                </c:pt>
                <c:pt idx="254">
                  <c:v>1.0005052948718969</c:v>
                </c:pt>
                <c:pt idx="255">
                  <c:v>1.0005613469105428</c:v>
                </c:pt>
                <c:pt idx="256">
                  <c:v>1.0007099151942727</c:v>
                </c:pt>
                <c:pt idx="257">
                  <c:v>1.0009255962546173</c:v>
                </c:pt>
                <c:pt idx="258">
                  <c:v>1.000927960333464</c:v>
                </c:pt>
                <c:pt idx="259">
                  <c:v>1.0008198372275849</c:v>
                </c:pt>
                <c:pt idx="260">
                  <c:v>1.0008382635534403</c:v>
                </c:pt>
                <c:pt idx="261">
                  <c:v>1.0008265270024148</c:v>
                </c:pt>
                <c:pt idx="262">
                  <c:v>1.0008678318588657</c:v>
                </c:pt>
                <c:pt idx="263">
                  <c:v>1.0009524442486244</c:v>
                </c:pt>
                <c:pt idx="264">
                  <c:v>1.000954349389207</c:v>
                </c:pt>
                <c:pt idx="265">
                  <c:v>1.0009630566544541</c:v>
                </c:pt>
                <c:pt idx="266">
                  <c:v>1.0009550032345049</c:v>
                </c:pt>
                <c:pt idx="267">
                  <c:v>1.000998940575041</c:v>
                </c:pt>
                <c:pt idx="268">
                  <c:v>1.0010056207979829</c:v>
                </c:pt>
                <c:pt idx="269">
                  <c:v>1.0010525537191004</c:v>
                </c:pt>
                <c:pt idx="270">
                  <c:v>1.0009602495087109</c:v>
                </c:pt>
                <c:pt idx="271">
                  <c:v>1.0009437298838415</c:v>
                </c:pt>
                <c:pt idx="272">
                  <c:v>1.0009275296552342</c:v>
                </c:pt>
                <c:pt idx="273">
                  <c:v>1.0009549520814682</c:v>
                </c:pt>
                <c:pt idx="274">
                  <c:v>1.0010746469755307</c:v>
                </c:pt>
                <c:pt idx="275">
                  <c:v>1.0009688521305777</c:v>
                </c:pt>
                <c:pt idx="276">
                  <c:v>1.0008646560500332</c:v>
                </c:pt>
                <c:pt idx="277">
                  <c:v>1.0008931642330094</c:v>
                </c:pt>
                <c:pt idx="278">
                  <c:v>1.0008453433389592</c:v>
                </c:pt>
                <c:pt idx="279">
                  <c:v>1.0009118314492835</c:v>
                </c:pt>
                <c:pt idx="280">
                  <c:v>1.0009583131103783</c:v>
                </c:pt>
                <c:pt idx="281">
                  <c:v>1.0009769343334121</c:v>
                </c:pt>
                <c:pt idx="282">
                  <c:v>1.0010846378065112</c:v>
                </c:pt>
                <c:pt idx="283">
                  <c:v>1.0010650632394447</c:v>
                </c:pt>
                <c:pt idx="284">
                  <c:v>1.001043773279936</c:v>
                </c:pt>
                <c:pt idx="285">
                  <c:v>1.0011464153595848</c:v>
                </c:pt>
                <c:pt idx="286">
                  <c:v>1.0011792838654647</c:v>
                </c:pt>
                <c:pt idx="287">
                  <c:v>1.0011350865677744</c:v>
                </c:pt>
                <c:pt idx="288">
                  <c:v>1.0011607996327199</c:v>
                </c:pt>
                <c:pt idx="289">
                  <c:v>1.0011657975706183</c:v>
                </c:pt>
                <c:pt idx="290">
                  <c:v>1.0010703968943448</c:v>
                </c:pt>
                <c:pt idx="291">
                  <c:v>1.0010954031508188</c:v>
                </c:pt>
                <c:pt idx="292">
                  <c:v>1.0010589035132735</c:v>
                </c:pt>
                <c:pt idx="293">
                  <c:v>1.0011588850270146</c:v>
                </c:pt>
                <c:pt idx="294">
                  <c:v>1.0011679154969604</c:v>
                </c:pt>
                <c:pt idx="295">
                  <c:v>1.0010845439914626</c:v>
                </c:pt>
                <c:pt idx="296">
                  <c:v>1.0010984138701176</c:v>
                </c:pt>
                <c:pt idx="297">
                  <c:v>1.000848621698804</c:v>
                </c:pt>
                <c:pt idx="298">
                  <c:v>1.0008176148342878</c:v>
                </c:pt>
                <c:pt idx="299">
                  <c:v>1.0007625705145142</c:v>
                </c:pt>
                <c:pt idx="300">
                  <c:v>1.0007813165674835</c:v>
                </c:pt>
                <c:pt idx="301">
                  <c:v>1.000805034584124</c:v>
                </c:pt>
                <c:pt idx="302">
                  <c:v>1.000783498944148</c:v>
                </c:pt>
                <c:pt idx="303">
                  <c:v>1.0008488094607875</c:v>
                </c:pt>
                <c:pt idx="304">
                  <c:v>1.0006710279768183</c:v>
                </c:pt>
                <c:pt idx="305">
                  <c:v>1.0007107309888728</c:v>
                </c:pt>
                <c:pt idx="306">
                  <c:v>1.0007285942732029</c:v>
                </c:pt>
                <c:pt idx="307">
                  <c:v>1.0006776478040824</c:v>
                </c:pt>
                <c:pt idx="308">
                  <c:v>1.0007334818029918</c:v>
                </c:pt>
                <c:pt idx="309">
                  <c:v>1.0008254015948788</c:v>
                </c:pt>
                <c:pt idx="310">
                  <c:v>1.0009130636033208</c:v>
                </c:pt>
                <c:pt idx="311">
                  <c:v>1.000933144651607</c:v>
                </c:pt>
                <c:pt idx="312">
                  <c:v>1.001003048779</c:v>
                </c:pt>
                <c:pt idx="313">
                  <c:v>1.0009959753898723</c:v>
                </c:pt>
                <c:pt idx="314">
                  <c:v>1.0009487720331349</c:v>
                </c:pt>
                <c:pt idx="315">
                  <c:v>1.0009227037242245</c:v>
                </c:pt>
                <c:pt idx="316">
                  <c:v>1.0009232049430956</c:v>
                </c:pt>
                <c:pt idx="317">
                  <c:v>1.000840160462243</c:v>
                </c:pt>
                <c:pt idx="318">
                  <c:v>1.0008316741343295</c:v>
                </c:pt>
                <c:pt idx="319">
                  <c:v>1.0007488949129857</c:v>
                </c:pt>
                <c:pt idx="320">
                  <c:v>1.000752025043578</c:v>
                </c:pt>
                <c:pt idx="321">
                  <c:v>1.0007166216730754</c:v>
                </c:pt>
                <c:pt idx="322">
                  <c:v>1.0006839247215951</c:v>
                </c:pt>
                <c:pt idx="323">
                  <c:v>1.0005945467887289</c:v>
                </c:pt>
                <c:pt idx="324">
                  <c:v>1.0006295771536478</c:v>
                </c:pt>
                <c:pt idx="325">
                  <c:v>1.0006602097450044</c:v>
                </c:pt>
                <c:pt idx="326">
                  <c:v>1.0006051974425911</c:v>
                </c:pt>
                <c:pt idx="327">
                  <c:v>1.0007267297415989</c:v>
                </c:pt>
                <c:pt idx="328">
                  <c:v>1.0007776961290418</c:v>
                </c:pt>
                <c:pt idx="329">
                  <c:v>1.0007438708199103</c:v>
                </c:pt>
                <c:pt idx="330">
                  <c:v>1.0007142826566668</c:v>
                </c:pt>
                <c:pt idx="331">
                  <c:v>1.0007752004583508</c:v>
                </c:pt>
                <c:pt idx="332">
                  <c:v>1.0007523374794041</c:v>
                </c:pt>
                <c:pt idx="333">
                  <c:v>1.0007198867203699</c:v>
                </c:pt>
                <c:pt idx="334">
                  <c:v>1.0007569616292853</c:v>
                </c:pt>
                <c:pt idx="335">
                  <c:v>1.0006410619488657</c:v>
                </c:pt>
                <c:pt idx="336">
                  <c:v>1.000627983323447</c:v>
                </c:pt>
                <c:pt idx="337">
                  <c:v>1.0006386215562189</c:v>
                </c:pt>
                <c:pt idx="338">
                  <c:v>1.0005566865302991</c:v>
                </c:pt>
                <c:pt idx="339">
                  <c:v>1.0004983698284102</c:v>
                </c:pt>
                <c:pt idx="340">
                  <c:v>1.000367987496781</c:v>
                </c:pt>
                <c:pt idx="341">
                  <c:v>1.0004043151055362</c:v>
                </c:pt>
                <c:pt idx="342">
                  <c:v>1.0002381515739365</c:v>
                </c:pt>
                <c:pt idx="343">
                  <c:v>1.000286469047172</c:v>
                </c:pt>
                <c:pt idx="344">
                  <c:v>1.0003719818318761</c:v>
                </c:pt>
                <c:pt idx="345">
                  <c:v>1.0003422301014184</c:v>
                </c:pt>
                <c:pt idx="346">
                  <c:v>1.0004333913460994</c:v>
                </c:pt>
                <c:pt idx="347">
                  <c:v>1.0003833574758898</c:v>
                </c:pt>
                <c:pt idx="348">
                  <c:v>1.0004272040405116</c:v>
                </c:pt>
                <c:pt idx="349">
                  <c:v>1.0003492168615633</c:v>
                </c:pt>
                <c:pt idx="350">
                  <c:v>1.0003127880753955</c:v>
                </c:pt>
                <c:pt idx="351">
                  <c:v>1.000336572513572</c:v>
                </c:pt>
                <c:pt idx="352">
                  <c:v>1.000263648577133</c:v>
                </c:pt>
                <c:pt idx="353">
                  <c:v>1.0002462093912008</c:v>
                </c:pt>
                <c:pt idx="354">
                  <c:v>1.0003673291595971</c:v>
                </c:pt>
                <c:pt idx="355">
                  <c:v>1.0003392868854368</c:v>
                </c:pt>
                <c:pt idx="356">
                  <c:v>1.0004758466837698</c:v>
                </c:pt>
                <c:pt idx="357">
                  <c:v>1.0003827398236793</c:v>
                </c:pt>
                <c:pt idx="358">
                  <c:v>1.0004098444606713</c:v>
                </c:pt>
                <c:pt idx="359">
                  <c:v>1.0003788916972296</c:v>
                </c:pt>
                <c:pt idx="360">
                  <c:v>1.0004077748500497</c:v>
                </c:pt>
                <c:pt idx="361">
                  <c:v>1.0003777313703799</c:v>
                </c:pt>
                <c:pt idx="362">
                  <c:v>1.0003922245245214</c:v>
                </c:pt>
                <c:pt idx="363">
                  <c:v>1.0002992254215153</c:v>
                </c:pt>
                <c:pt idx="364">
                  <c:v>1.0002747714557871</c:v>
                </c:pt>
                <c:pt idx="365">
                  <c:v>1.0002964357586994</c:v>
                </c:pt>
                <c:pt idx="366">
                  <c:v>1.00033754376246</c:v>
                </c:pt>
                <c:pt idx="367">
                  <c:v>1.0003813132721786</c:v>
                </c:pt>
                <c:pt idx="368">
                  <c:v>1.0001995826933576</c:v>
                </c:pt>
                <c:pt idx="369">
                  <c:v>1.0002022510959567</c:v>
                </c:pt>
                <c:pt idx="370">
                  <c:v>1.000169363889011</c:v>
                </c:pt>
                <c:pt idx="371">
                  <c:v>1.0002120838315598</c:v>
                </c:pt>
                <c:pt idx="372">
                  <c:v>1.0003028460889576</c:v>
                </c:pt>
                <c:pt idx="373">
                  <c:v>1.0003426529503627</c:v>
                </c:pt>
                <c:pt idx="374">
                  <c:v>1.0003619568909203</c:v>
                </c:pt>
                <c:pt idx="375">
                  <c:v>1.0004617123911741</c:v>
                </c:pt>
                <c:pt idx="376">
                  <c:v>1.0005328049353472</c:v>
                </c:pt>
                <c:pt idx="377">
                  <c:v>1.000542412752099</c:v>
                </c:pt>
                <c:pt idx="378">
                  <c:v>1.000436979282304</c:v>
                </c:pt>
                <c:pt idx="379">
                  <c:v>1.0004401562270724</c:v>
                </c:pt>
                <c:pt idx="380">
                  <c:v>1.0004545377685758</c:v>
                </c:pt>
                <c:pt idx="381">
                  <c:v>1.0003291818143736</c:v>
                </c:pt>
                <c:pt idx="382">
                  <c:v>1.0003533884209392</c:v>
                </c:pt>
                <c:pt idx="383">
                  <c:v>1.0002933285501894</c:v>
                </c:pt>
                <c:pt idx="384">
                  <c:v>1.0002347590837355</c:v>
                </c:pt>
                <c:pt idx="385">
                  <c:v>1.0001268931837544</c:v>
                </c:pt>
                <c:pt idx="386">
                  <c:v>1.0000829681738439</c:v>
                </c:pt>
                <c:pt idx="387">
                  <c:v>1.0000697110195773</c:v>
                </c:pt>
                <c:pt idx="388">
                  <c:v>1.0000655369638809</c:v>
                </c:pt>
                <c:pt idx="389">
                  <c:v>1.0001253174284439</c:v>
                </c:pt>
                <c:pt idx="390">
                  <c:v>1.0000584195383662</c:v>
                </c:pt>
                <c:pt idx="391">
                  <c:v>1.0001095245230631</c:v>
                </c:pt>
                <c:pt idx="392">
                  <c:v>1.0002596178906398</c:v>
                </c:pt>
                <c:pt idx="393">
                  <c:v>1.0000838365529972</c:v>
                </c:pt>
                <c:pt idx="394">
                  <c:v>0.99998502473547846</c:v>
                </c:pt>
                <c:pt idx="395">
                  <c:v>0.99975937234699264</c:v>
                </c:pt>
                <c:pt idx="396">
                  <c:v>0.99982791647486957</c:v>
                </c:pt>
                <c:pt idx="397">
                  <c:v>0.99974320777802528</c:v>
                </c:pt>
                <c:pt idx="398">
                  <c:v>0.99967662414983005</c:v>
                </c:pt>
                <c:pt idx="399">
                  <c:v>0.99971455905670759</c:v>
                </c:pt>
                <c:pt idx="400">
                  <c:v>0.99978045415690542</c:v>
                </c:pt>
                <c:pt idx="401">
                  <c:v>0.99982394637518734</c:v>
                </c:pt>
                <c:pt idx="402">
                  <c:v>0.99989072157481473</c:v>
                </c:pt>
                <c:pt idx="403">
                  <c:v>1.0000085949801347</c:v>
                </c:pt>
                <c:pt idx="404">
                  <c:v>1.0000139228135814</c:v>
                </c:pt>
                <c:pt idx="405">
                  <c:v>1.000104179581613</c:v>
                </c:pt>
                <c:pt idx="406">
                  <c:v>1.0000587847741187</c:v>
                </c:pt>
                <c:pt idx="407">
                  <c:v>1.0000301160168481</c:v>
                </c:pt>
                <c:pt idx="408">
                  <c:v>1.0000265381839903</c:v>
                </c:pt>
                <c:pt idx="409">
                  <c:v>1.0000570081773936</c:v>
                </c:pt>
                <c:pt idx="410">
                  <c:v>1.0000418932000956</c:v>
                </c:pt>
                <c:pt idx="411">
                  <c:v>1.0000862188804251</c:v>
                </c:pt>
                <c:pt idx="412">
                  <c:v>1.0001251023356204</c:v>
                </c:pt>
                <c:pt idx="413">
                  <c:v>0.9999791801536092</c:v>
                </c:pt>
                <c:pt idx="414">
                  <c:v>0.9999882155216766</c:v>
                </c:pt>
                <c:pt idx="415">
                  <c:v>1.0001830511104604</c:v>
                </c:pt>
                <c:pt idx="416">
                  <c:v>1.0002943486847546</c:v>
                </c:pt>
                <c:pt idx="417">
                  <c:v>1.0002037122460272</c:v>
                </c:pt>
                <c:pt idx="418">
                  <c:v>1.0002747439569297</c:v>
                </c:pt>
                <c:pt idx="419">
                  <c:v>1.0002289369800104</c:v>
                </c:pt>
                <c:pt idx="420">
                  <c:v>1.0002381425952991</c:v>
                </c:pt>
                <c:pt idx="421">
                  <c:v>1.0000992012791647</c:v>
                </c:pt>
                <c:pt idx="422">
                  <c:v>1.0001137902730379</c:v>
                </c:pt>
                <c:pt idx="423">
                  <c:v>1.0000793988736809</c:v>
                </c:pt>
                <c:pt idx="424">
                  <c:v>0.9998271273169852</c:v>
                </c:pt>
                <c:pt idx="425">
                  <c:v>0.99983819623018988</c:v>
                </c:pt>
                <c:pt idx="426">
                  <c:v>0.99985700012053658</c:v>
                </c:pt>
                <c:pt idx="427">
                  <c:v>0.99990261669185743</c:v>
                </c:pt>
                <c:pt idx="428">
                  <c:v>0.99999002882346499</c:v>
                </c:pt>
                <c:pt idx="429">
                  <c:v>0.99978963065149162</c:v>
                </c:pt>
                <c:pt idx="430">
                  <c:v>0.99987121139539226</c:v>
                </c:pt>
                <c:pt idx="431">
                  <c:v>0.99989788611408825</c:v>
                </c:pt>
                <c:pt idx="432">
                  <c:v>0.99983971709016661</c:v>
                </c:pt>
                <c:pt idx="433">
                  <c:v>0.99983444432680058</c:v>
                </c:pt>
                <c:pt idx="434">
                  <c:v>0.99993758192552229</c:v>
                </c:pt>
                <c:pt idx="435">
                  <c:v>1.0000003950253495</c:v>
                </c:pt>
                <c:pt idx="436">
                  <c:v>1.0000408756361849</c:v>
                </c:pt>
                <c:pt idx="437">
                  <c:v>1.0000068845043177</c:v>
                </c:pt>
                <c:pt idx="438">
                  <c:v>1.0000655499552351</c:v>
                </c:pt>
                <c:pt idx="439">
                  <c:v>0.99990068959916256</c:v>
                </c:pt>
                <c:pt idx="440">
                  <c:v>0.99989632157563679</c:v>
                </c:pt>
                <c:pt idx="441">
                  <c:v>0.9998754029322301</c:v>
                </c:pt>
                <c:pt idx="442">
                  <c:v>0.99985459260854037</c:v>
                </c:pt>
                <c:pt idx="443">
                  <c:v>1.0000425104403623</c:v>
                </c:pt>
                <c:pt idx="444">
                  <c:v>1.0001579691968814</c:v>
                </c:pt>
                <c:pt idx="445">
                  <c:v>1.0000776363175958</c:v>
                </c:pt>
                <c:pt idx="446">
                  <c:v>1.0000529242785885</c:v>
                </c:pt>
                <c:pt idx="447">
                  <c:v>0.99991694446806612</c:v>
                </c:pt>
                <c:pt idx="448">
                  <c:v>0.99985542037393715</c:v>
                </c:pt>
                <c:pt idx="449">
                  <c:v>0.99967897735691769</c:v>
                </c:pt>
                <c:pt idx="450">
                  <c:v>0.99969765366051033</c:v>
                </c:pt>
                <c:pt idx="451">
                  <c:v>0.99971685506053676</c:v>
                </c:pt>
                <c:pt idx="452">
                  <c:v>0.99980565878566974</c:v>
                </c:pt>
                <c:pt idx="453">
                  <c:v>0.99986974334239853</c:v>
                </c:pt>
                <c:pt idx="454">
                  <c:v>0.99962580917078636</c:v>
                </c:pt>
                <c:pt idx="455">
                  <c:v>0.99957495334127766</c:v>
                </c:pt>
                <c:pt idx="456">
                  <c:v>0.99948812048982183</c:v>
                </c:pt>
                <c:pt idx="457">
                  <c:v>0.99950939157491847</c:v>
                </c:pt>
                <c:pt idx="458">
                  <c:v>0.9995272338367609</c:v>
                </c:pt>
                <c:pt idx="459">
                  <c:v>0.99961571814965833</c:v>
                </c:pt>
                <c:pt idx="460">
                  <c:v>0.99949223336722393</c:v>
                </c:pt>
                <c:pt idx="461">
                  <c:v>0.9995210227271778</c:v>
                </c:pt>
                <c:pt idx="462">
                  <c:v>0.99961702547216214</c:v>
                </c:pt>
                <c:pt idx="463">
                  <c:v>0.9997379014983393</c:v>
                </c:pt>
                <c:pt idx="464">
                  <c:v>0.99979987155549244</c:v>
                </c:pt>
                <c:pt idx="465">
                  <c:v>0.99979617149422562</c:v>
                </c:pt>
                <c:pt idx="466">
                  <c:v>0.99980931752409741</c:v>
                </c:pt>
                <c:pt idx="467">
                  <c:v>0.99981505932114834</c:v>
                </c:pt>
                <c:pt idx="468">
                  <c:v>0.99985486238658761</c:v>
                </c:pt>
                <c:pt idx="469">
                  <c:v>0.99975153657142035</c:v>
                </c:pt>
                <c:pt idx="470">
                  <c:v>0.99969386638363067</c:v>
                </c:pt>
                <c:pt idx="471">
                  <c:v>0.99969458708642855</c:v>
                </c:pt>
                <c:pt idx="472">
                  <c:v>0.99971940783273805</c:v>
                </c:pt>
                <c:pt idx="473">
                  <c:v>0.99952454675387492</c:v>
                </c:pt>
                <c:pt idx="474">
                  <c:v>0.99958655302817223</c:v>
                </c:pt>
                <c:pt idx="475">
                  <c:v>0.99966736761152497</c:v>
                </c:pt>
                <c:pt idx="476">
                  <c:v>0.9996240835707827</c:v>
                </c:pt>
                <c:pt idx="477">
                  <c:v>0.99960092901986586</c:v>
                </c:pt>
                <c:pt idx="478">
                  <c:v>0.99967820538158592</c:v>
                </c:pt>
                <c:pt idx="479">
                  <c:v>0.99969826039990672</c:v>
                </c:pt>
                <c:pt idx="480">
                  <c:v>0.9996644323760826</c:v>
                </c:pt>
                <c:pt idx="481">
                  <c:v>0.99970525759049056</c:v>
                </c:pt>
                <c:pt idx="482">
                  <c:v>0.99987344988473381</c:v>
                </c:pt>
                <c:pt idx="483">
                  <c:v>0.99977762234991419</c:v>
                </c:pt>
                <c:pt idx="484">
                  <c:v>0.99982222458347647</c:v>
                </c:pt>
                <c:pt idx="485">
                  <c:v>0.99988644230889445</c:v>
                </c:pt>
                <c:pt idx="486">
                  <c:v>0.9998180302002414</c:v>
                </c:pt>
                <c:pt idx="487">
                  <c:v>0.99993229234690462</c:v>
                </c:pt>
                <c:pt idx="488">
                  <c:v>0.99987522993763556</c:v>
                </c:pt>
                <c:pt idx="489">
                  <c:v>0.99969429788124908</c:v>
                </c:pt>
                <c:pt idx="490">
                  <c:v>0.99969218009844329</c:v>
                </c:pt>
                <c:pt idx="491">
                  <c:v>0.99963371422503622</c:v>
                </c:pt>
                <c:pt idx="492">
                  <c:v>0.99964311301872766</c:v>
                </c:pt>
                <c:pt idx="493">
                  <c:v>0.999775359341468</c:v>
                </c:pt>
                <c:pt idx="494">
                  <c:v>0.99970083900690965</c:v>
                </c:pt>
                <c:pt idx="495">
                  <c:v>0.99986076499937915</c:v>
                </c:pt>
                <c:pt idx="496">
                  <c:v>0.99976875584255687</c:v>
                </c:pt>
                <c:pt idx="497">
                  <c:v>0.99961617133843261</c:v>
                </c:pt>
                <c:pt idx="498">
                  <c:v>0.99948602174805001</c:v>
                </c:pt>
                <c:pt idx="499">
                  <c:v>0.99950935581197486</c:v>
                </c:pt>
                <c:pt idx="500">
                  <c:v>0.99949343573318661</c:v>
                </c:pt>
                <c:pt idx="501">
                  <c:v>0.99965017087070285</c:v>
                </c:pt>
                <c:pt idx="502">
                  <c:v>0.99958973053926348</c:v>
                </c:pt>
                <c:pt idx="503">
                  <c:v>0.99969531812525625</c:v>
                </c:pt>
                <c:pt idx="504">
                  <c:v>0.99952865921971079</c:v>
                </c:pt>
                <c:pt idx="505">
                  <c:v>0.99952735459289965</c:v>
                </c:pt>
                <c:pt idx="506">
                  <c:v>0.99962659517211505</c:v>
                </c:pt>
                <c:pt idx="507">
                  <c:v>0.99963176157835676</c:v>
                </c:pt>
                <c:pt idx="508">
                  <c:v>0.99959469900383624</c:v>
                </c:pt>
                <c:pt idx="509">
                  <c:v>0.9996829394858916</c:v>
                </c:pt>
                <c:pt idx="510">
                  <c:v>0.99973545649603335</c:v>
                </c:pt>
                <c:pt idx="511">
                  <c:v>0.99970813556528138</c:v>
                </c:pt>
                <c:pt idx="512">
                  <c:v>0.99978116216080948</c:v>
                </c:pt>
                <c:pt idx="513">
                  <c:v>0.9996570264291067</c:v>
                </c:pt>
                <c:pt idx="514">
                  <c:v>0.99968434369598946</c:v>
                </c:pt>
                <c:pt idx="515">
                  <c:v>0.99956049376423639</c:v>
                </c:pt>
                <c:pt idx="516">
                  <c:v>0.99954512717025901</c:v>
                </c:pt>
                <c:pt idx="517">
                  <c:v>0.99961427907939138</c:v>
                </c:pt>
                <c:pt idx="518">
                  <c:v>0.99949659243454914</c:v>
                </c:pt>
                <c:pt idx="519">
                  <c:v>0.99961525201187962</c:v>
                </c:pt>
                <c:pt idx="520">
                  <c:v>0.99953037625630292</c:v>
                </c:pt>
                <c:pt idx="521">
                  <c:v>0.99952988658400332</c:v>
                </c:pt>
                <c:pt idx="522">
                  <c:v>0.99960453632305812</c:v>
                </c:pt>
                <c:pt idx="523">
                  <c:v>0.99953228734618138</c:v>
                </c:pt>
                <c:pt idx="524">
                  <c:v>0.99960346031448133</c:v>
                </c:pt>
                <c:pt idx="525">
                  <c:v>0.99953884666308546</c:v>
                </c:pt>
                <c:pt idx="526">
                  <c:v>0.99965225169105287</c:v>
                </c:pt>
                <c:pt idx="527">
                  <c:v>0.9997141604742128</c:v>
                </c:pt>
                <c:pt idx="528">
                  <c:v>0.9997889477287647</c:v>
                </c:pt>
                <c:pt idx="529">
                  <c:v>0.99982037712096827</c:v>
                </c:pt>
                <c:pt idx="530">
                  <c:v>0.99965573703765453</c:v>
                </c:pt>
                <c:pt idx="531">
                  <c:v>0.99967561339461608</c:v>
                </c:pt>
                <c:pt idx="532">
                  <c:v>0.99964302470287347</c:v>
                </c:pt>
                <c:pt idx="533">
                  <c:v>0.99955939195377908</c:v>
                </c:pt>
                <c:pt idx="534">
                  <c:v>0.99954852470838884</c:v>
                </c:pt>
                <c:pt idx="535">
                  <c:v>0.99965362842163397</c:v>
                </c:pt>
                <c:pt idx="536">
                  <c:v>0.99950457333017151</c:v>
                </c:pt>
                <c:pt idx="537">
                  <c:v>0.99950418740078273</c:v>
                </c:pt>
                <c:pt idx="538">
                  <c:v>0.99950333121680901</c:v>
                </c:pt>
                <c:pt idx="539">
                  <c:v>0.99949156601971223</c:v>
                </c:pt>
                <c:pt idx="540">
                  <c:v>0.99964470786500648</c:v>
                </c:pt>
                <c:pt idx="541">
                  <c:v>0.99956634282959167</c:v>
                </c:pt>
                <c:pt idx="542">
                  <c:v>0.99948262155243173</c:v>
                </c:pt>
                <c:pt idx="543">
                  <c:v>0.99943849738131152</c:v>
                </c:pt>
                <c:pt idx="544">
                  <c:v>0.99946952205550277</c:v>
                </c:pt>
                <c:pt idx="545">
                  <c:v>0.99936970640844136</c:v>
                </c:pt>
                <c:pt idx="546">
                  <c:v>0.99921899680136816</c:v>
                </c:pt>
                <c:pt idx="547">
                  <c:v>0.99914095328970776</c:v>
                </c:pt>
                <c:pt idx="548">
                  <c:v>0.99916785892980786</c:v>
                </c:pt>
                <c:pt idx="549">
                  <c:v>0.99926806018643854</c:v>
                </c:pt>
                <c:pt idx="550">
                  <c:v>0.99918544329345527</c:v>
                </c:pt>
                <c:pt idx="551">
                  <c:v>0.99913272300842959</c:v>
                </c:pt>
                <c:pt idx="552">
                  <c:v>0.99922464958599388</c:v>
                </c:pt>
                <c:pt idx="553">
                  <c:v>0.99916305433616492</c:v>
                </c:pt>
                <c:pt idx="554">
                  <c:v>0.99924644798184525</c:v>
                </c:pt>
                <c:pt idx="555">
                  <c:v>0.99938110617912213</c:v>
                </c:pt>
                <c:pt idx="556">
                  <c:v>0.99942100442271276</c:v>
                </c:pt>
                <c:pt idx="557">
                  <c:v>0.99947139962045206</c:v>
                </c:pt>
                <c:pt idx="558">
                  <c:v>0.99942906944824628</c:v>
                </c:pt>
                <c:pt idx="559">
                  <c:v>0.99937385143636459</c:v>
                </c:pt>
                <c:pt idx="560">
                  <c:v>0.99949265693401179</c:v>
                </c:pt>
                <c:pt idx="561">
                  <c:v>0.99942341069881646</c:v>
                </c:pt>
                <c:pt idx="562">
                  <c:v>0.99928712131904252</c:v>
                </c:pt>
                <c:pt idx="563">
                  <c:v>0.99924218971700962</c:v>
                </c:pt>
                <c:pt idx="564">
                  <c:v>0.99915730542098935</c:v>
                </c:pt>
                <c:pt idx="565">
                  <c:v>0.99930185241792224</c:v>
                </c:pt>
                <c:pt idx="566">
                  <c:v>0.99924640338861648</c:v>
                </c:pt>
                <c:pt idx="567">
                  <c:v>0.99922352267110781</c:v>
                </c:pt>
                <c:pt idx="568">
                  <c:v>0.99917979473979868</c:v>
                </c:pt>
                <c:pt idx="569">
                  <c:v>0.9992142131899171</c:v>
                </c:pt>
                <c:pt idx="570">
                  <c:v>0.99918378839558331</c:v>
                </c:pt>
                <c:pt idx="571">
                  <c:v>0.99919183834424241</c:v>
                </c:pt>
                <c:pt idx="572">
                  <c:v>0.99936710772004189</c:v>
                </c:pt>
                <c:pt idx="573">
                  <c:v>0.99943756589921318</c:v>
                </c:pt>
                <c:pt idx="574">
                  <c:v>0.99915459229115544</c:v>
                </c:pt>
                <c:pt idx="575">
                  <c:v>0.99909496522173125</c:v>
                </c:pt>
                <c:pt idx="576">
                  <c:v>0.99909288492987869</c:v>
                </c:pt>
                <c:pt idx="577">
                  <c:v>0.99918105653376932</c:v>
                </c:pt>
                <c:pt idx="578">
                  <c:v>0.99932905221696566</c:v>
                </c:pt>
                <c:pt idx="579">
                  <c:v>0.99921559455691056</c:v>
                </c:pt>
                <c:pt idx="580">
                  <c:v>0.99914520506036808</c:v>
                </c:pt>
                <c:pt idx="581">
                  <c:v>0.9991960481057286</c:v>
                </c:pt>
                <c:pt idx="582">
                  <c:v>0.99921801832920665</c:v>
                </c:pt>
                <c:pt idx="583">
                  <c:v>0.99928704777646671</c:v>
                </c:pt>
                <c:pt idx="584">
                  <c:v>0.99928783273047483</c:v>
                </c:pt>
                <c:pt idx="585">
                  <c:v>0.99922644323827059</c:v>
                </c:pt>
                <c:pt idx="586">
                  <c:v>0.99926501001329548</c:v>
                </c:pt>
                <c:pt idx="587">
                  <c:v>0.99935433819513075</c:v>
                </c:pt>
                <c:pt idx="588">
                  <c:v>0.99929834866831824</c:v>
                </c:pt>
                <c:pt idx="589">
                  <c:v>0.99940907518865518</c:v>
                </c:pt>
                <c:pt idx="590">
                  <c:v>0.99951909548263829</c:v>
                </c:pt>
                <c:pt idx="591">
                  <c:v>0.9992641778304574</c:v>
                </c:pt>
                <c:pt idx="592">
                  <c:v>0.99919526327637775</c:v>
                </c:pt>
                <c:pt idx="593">
                  <c:v>0.99902021295081866</c:v>
                </c:pt>
                <c:pt idx="594">
                  <c:v>0.99899752023050692</c:v>
                </c:pt>
                <c:pt idx="595">
                  <c:v>0.99899394240961026</c:v>
                </c:pt>
                <c:pt idx="596">
                  <c:v>0.99900298580464675</c:v>
                </c:pt>
                <c:pt idx="597">
                  <c:v>0.99922106721981141</c:v>
                </c:pt>
                <c:pt idx="598">
                  <c:v>0.99932343195883055</c:v>
                </c:pt>
                <c:pt idx="599">
                  <c:v>0.9992119893131417</c:v>
                </c:pt>
                <c:pt idx="600">
                  <c:v>0.99909144496223201</c:v>
                </c:pt>
                <c:pt idx="601">
                  <c:v>0.99885555655812919</c:v>
                </c:pt>
                <c:pt idx="602">
                  <c:v>0.99890329523177934</c:v>
                </c:pt>
                <c:pt idx="603">
                  <c:v>0.99878716630259734</c:v>
                </c:pt>
                <c:pt idx="604">
                  <c:v>0.9987459654880706</c:v>
                </c:pt>
                <c:pt idx="605">
                  <c:v>0.99877437312338102</c:v>
                </c:pt>
                <c:pt idx="606">
                  <c:v>0.99874747942514563</c:v>
                </c:pt>
                <c:pt idx="607">
                  <c:v>0.99872994535490811</c:v>
                </c:pt>
                <c:pt idx="608">
                  <c:v>0.99874448829909834</c:v>
                </c:pt>
                <c:pt idx="609">
                  <c:v>0.99873264115378535</c:v>
                </c:pt>
                <c:pt idx="610">
                  <c:v>0.99864271687860218</c:v>
                </c:pt>
                <c:pt idx="611">
                  <c:v>0.9987174246514815</c:v>
                </c:pt>
                <c:pt idx="612">
                  <c:v>0.99888055959980615</c:v>
                </c:pt>
                <c:pt idx="613">
                  <c:v>0.99887763853046541</c:v>
                </c:pt>
                <c:pt idx="614">
                  <c:v>0.99881073477316551</c:v>
                </c:pt>
                <c:pt idx="615">
                  <c:v>0.99891752182718285</c:v>
                </c:pt>
                <c:pt idx="616">
                  <c:v>0.99899747689442797</c:v>
                </c:pt>
                <c:pt idx="617">
                  <c:v>0.99904206063517964</c:v>
                </c:pt>
                <c:pt idx="618">
                  <c:v>0.99920109545812552</c:v>
                </c:pt>
                <c:pt idx="619">
                  <c:v>0.99915507256019231</c:v>
                </c:pt>
                <c:pt idx="620">
                  <c:v>0.99905007407023805</c:v>
                </c:pt>
                <c:pt idx="621">
                  <c:v>0.99923339313266968</c:v>
                </c:pt>
                <c:pt idx="622">
                  <c:v>0.99918069278450583</c:v>
                </c:pt>
                <c:pt idx="623">
                  <c:v>0.99925991416888504</c:v>
                </c:pt>
                <c:pt idx="624">
                  <c:v>0.99919275121792217</c:v>
                </c:pt>
                <c:pt idx="625">
                  <c:v>0.99910877063628722</c:v>
                </c:pt>
                <c:pt idx="626">
                  <c:v>0.99902336313663342</c:v>
                </c:pt>
                <c:pt idx="627">
                  <c:v>0.99899176090722352</c:v>
                </c:pt>
                <c:pt idx="628">
                  <c:v>0.99910174632120907</c:v>
                </c:pt>
                <c:pt idx="629">
                  <c:v>0.99916755402654434</c:v>
                </c:pt>
                <c:pt idx="630">
                  <c:v>0.99937651896719204</c:v>
                </c:pt>
                <c:pt idx="631">
                  <c:v>0.99950279135334785</c:v>
                </c:pt>
                <c:pt idx="632">
                  <c:v>0.99932691156395836</c:v>
                </c:pt>
                <c:pt idx="633">
                  <c:v>0.99945063107631593</c:v>
                </c:pt>
                <c:pt idx="634">
                  <c:v>0.99955433849004172</c:v>
                </c:pt>
                <c:pt idx="635">
                  <c:v>0.99933695567113079</c:v>
                </c:pt>
                <c:pt idx="636">
                  <c:v>0.99936005277127438</c:v>
                </c:pt>
                <c:pt idx="637">
                  <c:v>0.99939244150392659</c:v>
                </c:pt>
                <c:pt idx="638">
                  <c:v>0.99922302414754594</c:v>
                </c:pt>
                <c:pt idx="639">
                  <c:v>0.99923966926644137</c:v>
                </c:pt>
                <c:pt idx="640">
                  <c:v>0.99927130984816248</c:v>
                </c:pt>
                <c:pt idx="641">
                  <c:v>0.9993376431491755</c:v>
                </c:pt>
                <c:pt idx="642">
                  <c:v>0.99925491758107077</c:v>
                </c:pt>
                <c:pt idx="643">
                  <c:v>0.99913737469836816</c:v>
                </c:pt>
                <c:pt idx="644">
                  <c:v>0.99922099667425923</c:v>
                </c:pt>
                <c:pt idx="645">
                  <c:v>0.99926213029515087</c:v>
                </c:pt>
                <c:pt idx="646">
                  <c:v>0.99915139648229145</c:v>
                </c:pt>
                <c:pt idx="647">
                  <c:v>0.99908514983371466</c:v>
                </c:pt>
                <c:pt idx="648">
                  <c:v>0.99908050728215458</c:v>
                </c:pt>
                <c:pt idx="649">
                  <c:v>0.99909679130765994</c:v>
                </c:pt>
                <c:pt idx="650">
                  <c:v>0.99915963488672388</c:v>
                </c:pt>
                <c:pt idx="651">
                  <c:v>0.99919512838054503</c:v>
                </c:pt>
                <c:pt idx="652">
                  <c:v>0.99913180277367697</c:v>
                </c:pt>
                <c:pt idx="653">
                  <c:v>0.99922034084834921</c:v>
                </c:pt>
                <c:pt idx="654">
                  <c:v>0.99915356227143204</c:v>
                </c:pt>
                <c:pt idx="655">
                  <c:v>0.99913975519237919</c:v>
                </c:pt>
                <c:pt idx="656">
                  <c:v>0.99899525404856249</c:v>
                </c:pt>
                <c:pt idx="657">
                  <c:v>0.99895442353424646</c:v>
                </c:pt>
                <c:pt idx="658">
                  <c:v>0.99890125211944414</c:v>
                </c:pt>
                <c:pt idx="659">
                  <c:v>0.99886576817659967</c:v>
                </c:pt>
                <c:pt idx="660">
                  <c:v>0.99876879797819307</c:v>
                </c:pt>
                <c:pt idx="661">
                  <c:v>0.99892970743349419</c:v>
                </c:pt>
                <c:pt idx="662">
                  <c:v>0.99877431311657583</c:v>
                </c:pt>
                <c:pt idx="663">
                  <c:v>0.99889453634616299</c:v>
                </c:pt>
                <c:pt idx="664">
                  <c:v>0.99890122437889772</c:v>
                </c:pt>
                <c:pt idx="665">
                  <c:v>0.99901333357536437</c:v>
                </c:pt>
                <c:pt idx="666">
                  <c:v>0.99914597847965703</c:v>
                </c:pt>
                <c:pt idx="667">
                  <c:v>0.99929737631922466</c:v>
                </c:pt>
                <c:pt idx="668">
                  <c:v>0.99929027643525747</c:v>
                </c:pt>
                <c:pt idx="669">
                  <c:v>0.99939702871843128</c:v>
                </c:pt>
                <c:pt idx="670">
                  <c:v>0.99935401122190448</c:v>
                </c:pt>
                <c:pt idx="671">
                  <c:v>0.99933139395749293</c:v>
                </c:pt>
                <c:pt idx="672">
                  <c:v>0.99946739435580689</c:v>
                </c:pt>
                <c:pt idx="673">
                  <c:v>0.99941569689129606</c:v>
                </c:pt>
                <c:pt idx="674">
                  <c:v>0.99938195407949793</c:v>
                </c:pt>
                <c:pt idx="675">
                  <c:v>0.99937232770176521</c:v>
                </c:pt>
                <c:pt idx="676">
                  <c:v>0.99930051728804115</c:v>
                </c:pt>
                <c:pt idx="677">
                  <c:v>0.9993100149895674</c:v>
                </c:pt>
                <c:pt idx="678">
                  <c:v>0.99916763460185143</c:v>
                </c:pt>
                <c:pt idx="679">
                  <c:v>0.99912837638076268</c:v>
                </c:pt>
                <c:pt idx="680">
                  <c:v>0.99904755725274386</c:v>
                </c:pt>
                <c:pt idx="681">
                  <c:v>0.99882707993356523</c:v>
                </c:pt>
                <c:pt idx="682">
                  <c:v>0.99868783700200803</c:v>
                </c:pt>
                <c:pt idx="683">
                  <c:v>0.99867884502740634</c:v>
                </c:pt>
                <c:pt idx="684">
                  <c:v>0.99855932389040025</c:v>
                </c:pt>
                <c:pt idx="685">
                  <c:v>0.99871884984656756</c:v>
                </c:pt>
                <c:pt idx="686">
                  <c:v>0.99865443779309704</c:v>
                </c:pt>
                <c:pt idx="687">
                  <c:v>0.99883306021851659</c:v>
                </c:pt>
                <c:pt idx="688">
                  <c:v>0.99885095489060804</c:v>
                </c:pt>
                <c:pt idx="689">
                  <c:v>0.99903959134519305</c:v>
                </c:pt>
                <c:pt idx="690">
                  <c:v>0.99900457821185173</c:v>
                </c:pt>
                <c:pt idx="691">
                  <c:v>0.99909430162729584</c:v>
                </c:pt>
                <c:pt idx="692">
                  <c:v>0.99888486678108779</c:v>
                </c:pt>
                <c:pt idx="693">
                  <c:v>0.99884854639674581</c:v>
                </c:pt>
                <c:pt idx="694">
                  <c:v>0.9988479949008493</c:v>
                </c:pt>
                <c:pt idx="695">
                  <c:v>0.99879690686752487</c:v>
                </c:pt>
                <c:pt idx="696">
                  <c:v>0.99864146813403187</c:v>
                </c:pt>
                <c:pt idx="697">
                  <c:v>0.99843834589812852</c:v>
                </c:pt>
                <c:pt idx="698">
                  <c:v>0.99846910279736079</c:v>
                </c:pt>
                <c:pt idx="699">
                  <c:v>0.99836494594509528</c:v>
                </c:pt>
                <c:pt idx="700">
                  <c:v>0.99828536512097377</c:v>
                </c:pt>
                <c:pt idx="701">
                  <c:v>0.99834761816974349</c:v>
                </c:pt>
                <c:pt idx="702">
                  <c:v>0.99838249325268391</c:v>
                </c:pt>
                <c:pt idx="703">
                  <c:v>0.99849440550858848</c:v>
                </c:pt>
                <c:pt idx="704">
                  <c:v>0.99851799553802356</c:v>
                </c:pt>
                <c:pt idx="705">
                  <c:v>0.99862160091017849</c:v>
                </c:pt>
                <c:pt idx="706">
                  <c:v>0.9986911953517229</c:v>
                </c:pt>
                <c:pt idx="707">
                  <c:v>0.99867561155856654</c:v>
                </c:pt>
                <c:pt idx="708">
                  <c:v>0.99853885538570086</c:v>
                </c:pt>
                <c:pt idx="709">
                  <c:v>0.99839364122543062</c:v>
                </c:pt>
                <c:pt idx="710">
                  <c:v>0.99837763013305758</c:v>
                </c:pt>
                <c:pt idx="711">
                  <c:v>0.99832481531033412</c:v>
                </c:pt>
                <c:pt idx="712">
                  <c:v>0.99821086748422627</c:v>
                </c:pt>
                <c:pt idx="713">
                  <c:v>0.99798974801566509</c:v>
                </c:pt>
                <c:pt idx="714">
                  <c:v>0.99787953565172316</c:v>
                </c:pt>
                <c:pt idx="715">
                  <c:v>0.99783561694923151</c:v>
                </c:pt>
                <c:pt idx="716">
                  <c:v>0.99796818036022428</c:v>
                </c:pt>
                <c:pt idx="717">
                  <c:v>0.99799901123704515</c:v>
                </c:pt>
                <c:pt idx="718">
                  <c:v>0.99788209786620241</c:v>
                </c:pt>
                <c:pt idx="719">
                  <c:v>0.99775659228659219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Sheet1!$C$6:$C$11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Sheet1!$C$12:$C$1212</c:f>
              <c:numCache>
                <c:formatCode>General</c:formatCode>
                <c:ptCount val="1201"/>
                <c:pt idx="0">
                  <c:v>1.0618288171182881</c:v>
                </c:pt>
                <c:pt idx="1">
                  <c:v>1.0810524714685317</c:v>
                </c:pt>
                <c:pt idx="2">
                  <c:v>1.0905328759056194</c:v>
                </c:pt>
                <c:pt idx="3">
                  <c:v>1.097404336900389</c:v>
                </c:pt>
                <c:pt idx="4">
                  <c:v>1.118685040297418</c:v>
                </c:pt>
                <c:pt idx="5">
                  <c:v>1.1305202143248396</c:v>
                </c:pt>
                <c:pt idx="6">
                  <c:v>1.1490275367664089</c:v>
                </c:pt>
                <c:pt idx="7">
                  <c:v>1.1824049537497143</c:v>
                </c:pt>
                <c:pt idx="8">
                  <c:v>1.1960089043454754</c:v>
                </c:pt>
                <c:pt idx="9">
                  <c:v>1.168082451434826</c:v>
                </c:pt>
                <c:pt idx="10">
                  <c:v>1.1806371623898413</c:v>
                </c:pt>
                <c:pt idx="11">
                  <c:v>1.200551338496793</c:v>
                </c:pt>
                <c:pt idx="12">
                  <c:v>1.1960616351699036</c:v>
                </c:pt>
                <c:pt idx="13">
                  <c:v>1.1955767303726925</c:v>
                </c:pt>
                <c:pt idx="14">
                  <c:v>1.2078128216687074</c:v>
                </c:pt>
                <c:pt idx="15">
                  <c:v>1.2238402044284133</c:v>
                </c:pt>
                <c:pt idx="16">
                  <c:v>1.2453835978271066</c:v>
                </c:pt>
                <c:pt idx="17">
                  <c:v>1.2635586284052276</c:v>
                </c:pt>
                <c:pt idx="18">
                  <c:v>1.2463793988220351</c:v>
                </c:pt>
                <c:pt idx="19">
                  <c:v>1.2537375403357085</c:v>
                </c:pt>
                <c:pt idx="20">
                  <c:v>1.270165897632703</c:v>
                </c:pt>
                <c:pt idx="21">
                  <c:v>1.3051891618303266</c:v>
                </c:pt>
                <c:pt idx="22">
                  <c:v>1.2935125329059358</c:v>
                </c:pt>
                <c:pt idx="23">
                  <c:v>1.290132543236332</c:v>
                </c:pt>
                <c:pt idx="24">
                  <c:v>1.3222943504557261</c:v>
                </c:pt>
                <c:pt idx="25">
                  <c:v>1.316897416226162</c:v>
                </c:pt>
                <c:pt idx="26">
                  <c:v>1.3553070771111886</c:v>
                </c:pt>
                <c:pt idx="27">
                  <c:v>1.3411205059547469</c:v>
                </c:pt>
                <c:pt idx="28">
                  <c:v>1.3455857909013698</c:v>
                </c:pt>
                <c:pt idx="29">
                  <c:v>1.3419398498883033</c:v>
                </c:pt>
                <c:pt idx="30">
                  <c:v>1.3640536697036076</c:v>
                </c:pt>
                <c:pt idx="31">
                  <c:v>1.3694550490787949</c:v>
                </c:pt>
                <c:pt idx="32">
                  <c:v>1.4070276902266714</c:v>
                </c:pt>
                <c:pt idx="33">
                  <c:v>1.449110599969534</c:v>
                </c:pt>
                <c:pt idx="34">
                  <c:v>1.4575565142073774</c:v>
                </c:pt>
                <c:pt idx="35">
                  <c:v>1.4851821905740901</c:v>
                </c:pt>
                <c:pt idx="36">
                  <c:v>1.466478466275444</c:v>
                </c:pt>
                <c:pt idx="37">
                  <c:v>1.4743758286397639</c:v>
                </c:pt>
                <c:pt idx="38">
                  <c:v>1.4984624502013304</c:v>
                </c:pt>
                <c:pt idx="39">
                  <c:v>1.5240335184983467</c:v>
                </c:pt>
                <c:pt idx="40">
                  <c:v>1.5092578395511724</c:v>
                </c:pt>
                <c:pt idx="41">
                  <c:v>1.4951948903989865</c:v>
                </c:pt>
                <c:pt idx="42">
                  <c:v>1.4971766163868745</c:v>
                </c:pt>
                <c:pt idx="43">
                  <c:v>1.498884869652068</c:v>
                </c:pt>
                <c:pt idx="44">
                  <c:v>1.5201903074641807</c:v>
                </c:pt>
                <c:pt idx="45">
                  <c:v>1.5049464489807722</c:v>
                </c:pt>
                <c:pt idx="46">
                  <c:v>1.503893789282909</c:v>
                </c:pt>
                <c:pt idx="47">
                  <c:v>1.4933063621044649</c:v>
                </c:pt>
                <c:pt idx="48">
                  <c:v>1.5101970027096063</c:v>
                </c:pt>
                <c:pt idx="49">
                  <c:v>1.4769253711188235</c:v>
                </c:pt>
                <c:pt idx="50">
                  <c:v>1.5274892838708918</c:v>
                </c:pt>
                <c:pt idx="51">
                  <c:v>1.539288270335569</c:v>
                </c:pt>
                <c:pt idx="52">
                  <c:v>1.5204961921558522</c:v>
                </c:pt>
                <c:pt idx="53">
                  <c:v>1.532802453516765</c:v>
                </c:pt>
                <c:pt idx="54">
                  <c:v>1.5545910620995362</c:v>
                </c:pt>
                <c:pt idx="55">
                  <c:v>1.5439403246931904</c:v>
                </c:pt>
                <c:pt idx="56">
                  <c:v>1.5272691611521159</c:v>
                </c:pt>
                <c:pt idx="57">
                  <c:v>1.5066822631098822</c:v>
                </c:pt>
                <c:pt idx="58">
                  <c:v>1.5365069919215439</c:v>
                </c:pt>
                <c:pt idx="59">
                  <c:v>1.5156420559071209</c:v>
                </c:pt>
                <c:pt idx="60">
                  <c:v>1.5217333287642554</c:v>
                </c:pt>
                <c:pt idx="61">
                  <c:v>1.5630595901117514</c:v>
                </c:pt>
                <c:pt idx="62">
                  <c:v>1.5668247480988058</c:v>
                </c:pt>
                <c:pt idx="63">
                  <c:v>1.5736362846528773</c:v>
                </c:pt>
                <c:pt idx="64">
                  <c:v>1.5854949310107185</c:v>
                </c:pt>
                <c:pt idx="65">
                  <c:v>1.5979580794114638</c:v>
                </c:pt>
                <c:pt idx="66">
                  <c:v>1.5692976118807356</c:v>
                </c:pt>
                <c:pt idx="67">
                  <c:v>1.5839279523178675</c:v>
                </c:pt>
                <c:pt idx="68">
                  <c:v>1.5561922392572356</c:v>
                </c:pt>
                <c:pt idx="69">
                  <c:v>1.5672720970101457</c:v>
                </c:pt>
                <c:pt idx="70">
                  <c:v>1.579266900421129</c:v>
                </c:pt>
                <c:pt idx="71">
                  <c:v>1.5819509620936005</c:v>
                </c:pt>
                <c:pt idx="72">
                  <c:v>1.5521879208607023</c:v>
                </c:pt>
                <c:pt idx="73">
                  <c:v>1.528531767484602</c:v>
                </c:pt>
                <c:pt idx="74">
                  <c:v>1.5200055370887324</c:v>
                </c:pt>
                <c:pt idx="75">
                  <c:v>1.5597112264344855</c:v>
                </c:pt>
                <c:pt idx="76">
                  <c:v>1.5378360718282753</c:v>
                </c:pt>
                <c:pt idx="77">
                  <c:v>1.5781254746281705</c:v>
                </c:pt>
                <c:pt idx="78">
                  <c:v>1.6015035164725391</c:v>
                </c:pt>
                <c:pt idx="79">
                  <c:v>1.5662643807205952</c:v>
                </c:pt>
                <c:pt idx="80">
                  <c:v>1.5722673714419888</c:v>
                </c:pt>
                <c:pt idx="81">
                  <c:v>1.5661055046516166</c:v>
                </c:pt>
                <c:pt idx="82">
                  <c:v>1.5881885909718179</c:v>
                </c:pt>
                <c:pt idx="83">
                  <c:v>1.5767050989892375</c:v>
                </c:pt>
                <c:pt idx="84">
                  <c:v>1.5680143401277964</c:v>
                </c:pt>
                <c:pt idx="85">
                  <c:v>1.554739070293802</c:v>
                </c:pt>
                <c:pt idx="86">
                  <c:v>1.5828803322056042</c:v>
                </c:pt>
                <c:pt idx="87">
                  <c:v>1.5791403313110954</c:v>
                </c:pt>
                <c:pt idx="88">
                  <c:v>1.5563007071707531</c:v>
                </c:pt>
                <c:pt idx="89">
                  <c:v>1.5637305433258539</c:v>
                </c:pt>
                <c:pt idx="90">
                  <c:v>1.6162633070483752</c:v>
                </c:pt>
                <c:pt idx="91">
                  <c:v>1.5879227913072873</c:v>
                </c:pt>
                <c:pt idx="92">
                  <c:v>1.5815840296635615</c:v>
                </c:pt>
                <c:pt idx="93">
                  <c:v>1.5610363003946333</c:v>
                </c:pt>
                <c:pt idx="94">
                  <c:v>1.5650857651455803</c:v>
                </c:pt>
                <c:pt idx="95">
                  <c:v>1.6065653015847725</c:v>
                </c:pt>
                <c:pt idx="96">
                  <c:v>1.6212884968587444</c:v>
                </c:pt>
                <c:pt idx="97">
                  <c:v>1.6041324844350697</c:v>
                </c:pt>
                <c:pt idx="98">
                  <c:v>1.6024436334738672</c:v>
                </c:pt>
                <c:pt idx="99">
                  <c:v>1.6149622479900891</c:v>
                </c:pt>
                <c:pt idx="100">
                  <c:v>1.6412048596365094</c:v>
                </c:pt>
                <c:pt idx="101">
                  <c:v>1.6408770931230949</c:v>
                </c:pt>
                <c:pt idx="102">
                  <c:v>1.6414532467506102</c:v>
                </c:pt>
                <c:pt idx="103">
                  <c:v>1.6351726276851755</c:v>
                </c:pt>
                <c:pt idx="104">
                  <c:v>1.6319581029201022</c:v>
                </c:pt>
                <c:pt idx="105">
                  <c:v>1.6343654968876558</c:v>
                </c:pt>
                <c:pt idx="106">
                  <c:v>1.6336815380760707</c:v>
                </c:pt>
                <c:pt idx="107">
                  <c:v>1.6003071850747999</c:v>
                </c:pt>
                <c:pt idx="108">
                  <c:v>1.6079078981559365</c:v>
                </c:pt>
                <c:pt idx="109">
                  <c:v>1.5893381698401334</c:v>
                </c:pt>
                <c:pt idx="110">
                  <c:v>1.6067898939064313</c:v>
                </c:pt>
                <c:pt idx="111">
                  <c:v>1.6178087577258733</c:v>
                </c:pt>
                <c:pt idx="112">
                  <c:v>1.6355357054000357</c:v>
                </c:pt>
                <c:pt idx="113">
                  <c:v>1.6283154600341203</c:v>
                </c:pt>
                <c:pt idx="114">
                  <c:v>1.6735723641835492</c:v>
                </c:pt>
                <c:pt idx="115">
                  <c:v>1.6732117506191042</c:v>
                </c:pt>
                <c:pt idx="116">
                  <c:v>1.6906257076681475</c:v>
                </c:pt>
                <c:pt idx="117">
                  <c:v>1.652502706997834</c:v>
                </c:pt>
                <c:pt idx="118">
                  <c:v>1.637992715627937</c:v>
                </c:pt>
                <c:pt idx="119">
                  <c:v>1.6690437428707099</c:v>
                </c:pt>
                <c:pt idx="120">
                  <c:v>1.6304089128738501</c:v>
                </c:pt>
                <c:pt idx="121">
                  <c:v>1.6476325503815821</c:v>
                </c:pt>
                <c:pt idx="122">
                  <c:v>1.662985800113099</c:v>
                </c:pt>
                <c:pt idx="123">
                  <c:v>1.6844553181614375</c:v>
                </c:pt>
                <c:pt idx="124">
                  <c:v>1.6976580130540408</c:v>
                </c:pt>
                <c:pt idx="125">
                  <c:v>1.7450552152909524</c:v>
                </c:pt>
                <c:pt idx="126">
                  <c:v>1.7364347641897155</c:v>
                </c:pt>
                <c:pt idx="127">
                  <c:v>1.7436991385659639</c:v>
                </c:pt>
                <c:pt idx="128">
                  <c:v>1.7165640354925813</c:v>
                </c:pt>
                <c:pt idx="129">
                  <c:v>1.7167616608702627</c:v>
                </c:pt>
                <c:pt idx="130">
                  <c:v>1.7127896523157373</c:v>
                </c:pt>
                <c:pt idx="131">
                  <c:v>1.7534942796722992</c:v>
                </c:pt>
                <c:pt idx="132">
                  <c:v>1.7445334997460733</c:v>
                </c:pt>
                <c:pt idx="133">
                  <c:v>1.7946799314217172</c:v>
                </c:pt>
                <c:pt idx="134">
                  <c:v>1.8439322909562967</c:v>
                </c:pt>
                <c:pt idx="135">
                  <c:v>1.8509883674697392</c:v>
                </c:pt>
                <c:pt idx="136">
                  <c:v>1.84090508427379</c:v>
                </c:pt>
                <c:pt idx="137">
                  <c:v>1.8201059233095922</c:v>
                </c:pt>
                <c:pt idx="138">
                  <c:v>1.853907182473157</c:v>
                </c:pt>
                <c:pt idx="139">
                  <c:v>1.8744016957341316</c:v>
                </c:pt>
                <c:pt idx="140">
                  <c:v>1.8851759142825959</c:v>
                </c:pt>
                <c:pt idx="141">
                  <c:v>1.902960466245692</c:v>
                </c:pt>
                <c:pt idx="142">
                  <c:v>1.8876909102156911</c:v>
                </c:pt>
                <c:pt idx="143">
                  <c:v>1.8962984530984863</c:v>
                </c:pt>
                <c:pt idx="144">
                  <c:v>1.8905227056722713</c:v>
                </c:pt>
                <c:pt idx="145">
                  <c:v>1.8314559341632777</c:v>
                </c:pt>
                <c:pt idx="146">
                  <c:v>1.8481947817445099</c:v>
                </c:pt>
                <c:pt idx="147">
                  <c:v>1.8182840594524701</c:v>
                </c:pt>
                <c:pt idx="148">
                  <c:v>1.8119869303821186</c:v>
                </c:pt>
                <c:pt idx="149">
                  <c:v>1.883570977072232</c:v>
                </c:pt>
                <c:pt idx="150">
                  <c:v>1.9089322736654113</c:v>
                </c:pt>
                <c:pt idx="151">
                  <c:v>1.9575589838582335</c:v>
                </c:pt>
                <c:pt idx="152">
                  <c:v>1.9624559742589793</c:v>
                </c:pt>
                <c:pt idx="153">
                  <c:v>1.9461025538146721</c:v>
                </c:pt>
                <c:pt idx="154">
                  <c:v>1.974402088064946</c:v>
                </c:pt>
                <c:pt idx="155">
                  <c:v>1.9632469656104623</c:v>
                </c:pt>
                <c:pt idx="156">
                  <c:v>1.9501167061393683</c:v>
                </c:pt>
                <c:pt idx="157">
                  <c:v>1.9367794981079145</c:v>
                </c:pt>
                <c:pt idx="158">
                  <c:v>1.9876624746798162</c:v>
                </c:pt>
                <c:pt idx="159">
                  <c:v>1.9793884304523943</c:v>
                </c:pt>
                <c:pt idx="160">
                  <c:v>1.9856649864274083</c:v>
                </c:pt>
                <c:pt idx="161">
                  <c:v>2.0130866452011054</c:v>
                </c:pt>
                <c:pt idx="162">
                  <c:v>2.043971463534485</c:v>
                </c:pt>
                <c:pt idx="163">
                  <c:v>2.0700858022151523</c:v>
                </c:pt>
                <c:pt idx="164">
                  <c:v>2.0515409179276793</c:v>
                </c:pt>
                <c:pt idx="165">
                  <c:v>2.0647635259687287</c:v>
                </c:pt>
                <c:pt idx="166">
                  <c:v>2.04952397233418</c:v>
                </c:pt>
                <c:pt idx="167">
                  <c:v>2.0817659271858187</c:v>
                </c:pt>
                <c:pt idx="168">
                  <c:v>2.0983553698843567</c:v>
                </c:pt>
                <c:pt idx="169">
                  <c:v>2.1198167208762175</c:v>
                </c:pt>
                <c:pt idx="170">
                  <c:v>2.090448293602873</c:v>
                </c:pt>
                <c:pt idx="171">
                  <c:v>2.1246031450389125</c:v>
                </c:pt>
                <c:pt idx="172">
                  <c:v>2.0719083244787981</c:v>
                </c:pt>
                <c:pt idx="173">
                  <c:v>2.1231794925668503</c:v>
                </c:pt>
                <c:pt idx="174">
                  <c:v>2.1421235568870687</c:v>
                </c:pt>
                <c:pt idx="175">
                  <c:v>2.1259042436938791</c:v>
                </c:pt>
                <c:pt idx="176">
                  <c:v>2.1194029190708368</c:v>
                </c:pt>
                <c:pt idx="177">
                  <c:v>2.160070830545695</c:v>
                </c:pt>
                <c:pt idx="178">
                  <c:v>2.1923116977021615</c:v>
                </c:pt>
                <c:pt idx="179">
                  <c:v>2.1758696629091672</c:v>
                </c:pt>
                <c:pt idx="180">
                  <c:v>2.1448031899413125</c:v>
                </c:pt>
                <c:pt idx="181">
                  <c:v>2.1827712185836612</c:v>
                </c:pt>
                <c:pt idx="182">
                  <c:v>2.1737028103653562</c:v>
                </c:pt>
                <c:pt idx="183">
                  <c:v>2.0915952506938602</c:v>
                </c:pt>
                <c:pt idx="184">
                  <c:v>2.1063451812765051</c:v>
                </c:pt>
                <c:pt idx="185">
                  <c:v>2.1024106327119716</c:v>
                </c:pt>
                <c:pt idx="186">
                  <c:v>2.1163245842533103</c:v>
                </c:pt>
                <c:pt idx="187">
                  <c:v>2.1561475155135605</c:v>
                </c:pt>
                <c:pt idx="188">
                  <c:v>2.1896680970440658</c:v>
                </c:pt>
                <c:pt idx="189">
                  <c:v>2.1800455509564749</c:v>
                </c:pt>
                <c:pt idx="190">
                  <c:v>2.1961269011543196</c:v>
                </c:pt>
                <c:pt idx="191">
                  <c:v>2.1974046287584783</c:v>
                </c:pt>
                <c:pt idx="192">
                  <c:v>2.2071036306304155</c:v>
                </c:pt>
                <c:pt idx="193">
                  <c:v>2.1946431157312136</c:v>
                </c:pt>
                <c:pt idx="194">
                  <c:v>2.2327200274392252</c:v>
                </c:pt>
                <c:pt idx="195">
                  <c:v>2.2969509080004489</c:v>
                </c:pt>
                <c:pt idx="196">
                  <c:v>2.2561436065911664</c:v>
                </c:pt>
                <c:pt idx="197">
                  <c:v>2.2657632287476099</c:v>
                </c:pt>
                <c:pt idx="198">
                  <c:v>2.2737747941092499</c:v>
                </c:pt>
                <c:pt idx="199">
                  <c:v>2.3114506536142128</c:v>
                </c:pt>
                <c:pt idx="200">
                  <c:v>2.2613364488802969</c:v>
                </c:pt>
                <c:pt idx="201">
                  <c:v>2.2107495625129516</c:v>
                </c:pt>
                <c:pt idx="202">
                  <c:v>2.1734719441635502</c:v>
                </c:pt>
                <c:pt idx="203">
                  <c:v>2.199614667132459</c:v>
                </c:pt>
                <c:pt idx="204">
                  <c:v>2.2182834192280128</c:v>
                </c:pt>
                <c:pt idx="205">
                  <c:v>2.1957348855340646</c:v>
                </c:pt>
                <c:pt idx="206">
                  <c:v>2.2737243687680775</c:v>
                </c:pt>
                <c:pt idx="207">
                  <c:v>2.2261581088957669</c:v>
                </c:pt>
                <c:pt idx="208">
                  <c:v>2.1449982203896583</c:v>
                </c:pt>
                <c:pt idx="209">
                  <c:v>2.0971564325623206</c:v>
                </c:pt>
                <c:pt idx="210">
                  <c:v>2.0962861458121673</c:v>
                </c:pt>
                <c:pt idx="211">
                  <c:v>2.1356707940332313</c:v>
                </c:pt>
                <c:pt idx="212">
                  <c:v>2.1719251634383787</c:v>
                </c:pt>
                <c:pt idx="213">
                  <c:v>2.1510570382140259</c:v>
                </c:pt>
                <c:pt idx="214">
                  <c:v>2.1680942349807428</c:v>
                </c:pt>
                <c:pt idx="215">
                  <c:v>2.1592318079245945</c:v>
                </c:pt>
                <c:pt idx="216">
                  <c:v>2.1317689714118924</c:v>
                </c:pt>
                <c:pt idx="217">
                  <c:v>2.1305662811304962</c:v>
                </c:pt>
                <c:pt idx="218">
                  <c:v>2.1134804013019859</c:v>
                </c:pt>
                <c:pt idx="219">
                  <c:v>2.1327924842697161</c:v>
                </c:pt>
                <c:pt idx="220">
                  <c:v>2.1320054392525054</c:v>
                </c:pt>
                <c:pt idx="221">
                  <c:v>2.092728054407679</c:v>
                </c:pt>
                <c:pt idx="222">
                  <c:v>2.0797090532497222</c:v>
                </c:pt>
                <c:pt idx="223">
                  <c:v>2.0914660802671223</c:v>
                </c:pt>
                <c:pt idx="224">
                  <c:v>2.061468901958722</c:v>
                </c:pt>
                <c:pt idx="225">
                  <c:v>2.0389851143885083</c:v>
                </c:pt>
                <c:pt idx="226">
                  <c:v>2.0665111071749784</c:v>
                </c:pt>
                <c:pt idx="227">
                  <c:v>2.0478559712014706</c:v>
                </c:pt>
                <c:pt idx="228">
                  <c:v>2.0739019594377335</c:v>
                </c:pt>
                <c:pt idx="229">
                  <c:v>2.0742600902505011</c:v>
                </c:pt>
                <c:pt idx="230">
                  <c:v>2.1147590239248202</c:v>
                </c:pt>
                <c:pt idx="231">
                  <c:v>2.0837262461358823</c:v>
                </c:pt>
                <c:pt idx="232">
                  <c:v>2.0399390296191324</c:v>
                </c:pt>
                <c:pt idx="233">
                  <c:v>2.0132312074130856</c:v>
                </c:pt>
                <c:pt idx="234">
                  <c:v>1.9915979788138056</c:v>
                </c:pt>
                <c:pt idx="235">
                  <c:v>2.0123380692986039</c:v>
                </c:pt>
                <c:pt idx="236">
                  <c:v>2.030690485984564</c:v>
                </c:pt>
                <c:pt idx="237">
                  <c:v>2.055036104516085</c:v>
                </c:pt>
                <c:pt idx="238">
                  <c:v>2.0915578974224931</c:v>
                </c:pt>
                <c:pt idx="239">
                  <c:v>2.1146766383251401</c:v>
                </c:pt>
                <c:pt idx="240">
                  <c:v>2.1528482208741195</c:v>
                </c:pt>
                <c:pt idx="241">
                  <c:v>2.2019845613721745</c:v>
                </c:pt>
                <c:pt idx="242">
                  <c:v>2.1915974897613553</c:v>
                </c:pt>
                <c:pt idx="243">
                  <c:v>2.1672084294407052</c:v>
                </c:pt>
                <c:pt idx="244">
                  <c:v>2.1939149176418504</c:v>
                </c:pt>
                <c:pt idx="245">
                  <c:v>2.1903210556150778</c:v>
                </c:pt>
                <c:pt idx="246">
                  <c:v>2.2387349536605776</c:v>
                </c:pt>
                <c:pt idx="247">
                  <c:v>2.2142398299276134</c:v>
                </c:pt>
                <c:pt idx="248">
                  <c:v>2.225430902024764</c:v>
                </c:pt>
                <c:pt idx="249">
                  <c:v>2.1739562871462659</c:v>
                </c:pt>
                <c:pt idx="250">
                  <c:v>2.1529311874886572</c:v>
                </c:pt>
                <c:pt idx="251">
                  <c:v>2.0774808643029914</c:v>
                </c:pt>
                <c:pt idx="252">
                  <c:v>2.0647138196518213</c:v>
                </c:pt>
                <c:pt idx="253">
                  <c:v>2.0559048156203446</c:v>
                </c:pt>
                <c:pt idx="254">
                  <c:v>2.0676069833252386</c:v>
                </c:pt>
                <c:pt idx="255">
                  <c:v>2.1062410497235162</c:v>
                </c:pt>
                <c:pt idx="256">
                  <c:v>2.1578636088991829</c:v>
                </c:pt>
                <c:pt idx="257">
                  <c:v>2.1696347237003493</c:v>
                </c:pt>
                <c:pt idx="258">
                  <c:v>2.1739946583846956</c:v>
                </c:pt>
                <c:pt idx="259">
                  <c:v>2.2180732526106808</c:v>
                </c:pt>
                <c:pt idx="260">
                  <c:v>2.2035864539097139</c:v>
                </c:pt>
                <c:pt idx="261">
                  <c:v>2.2893934290086726</c:v>
                </c:pt>
                <c:pt idx="262">
                  <c:v>2.3124943202734936</c:v>
                </c:pt>
                <c:pt idx="263">
                  <c:v>2.2876964701733447</c:v>
                </c:pt>
                <c:pt idx="264">
                  <c:v>2.2669701680397054</c:v>
                </c:pt>
                <c:pt idx="265">
                  <c:v>2.2694565678777492</c:v>
                </c:pt>
                <c:pt idx="266">
                  <c:v>2.3110217915808349</c:v>
                </c:pt>
                <c:pt idx="267">
                  <c:v>2.3092917895031913</c:v>
                </c:pt>
                <c:pt idx="268">
                  <c:v>2.3413503528804855</c:v>
                </c:pt>
                <c:pt idx="269">
                  <c:v>2.350421636486316</c:v>
                </c:pt>
                <c:pt idx="270">
                  <c:v>2.3451617513823511</c:v>
                </c:pt>
                <c:pt idx="271">
                  <c:v>2.3736531956176492</c:v>
                </c:pt>
                <c:pt idx="272">
                  <c:v>2.3349566526415995</c:v>
                </c:pt>
                <c:pt idx="273">
                  <c:v>2.3323762079331325</c:v>
                </c:pt>
                <c:pt idx="274">
                  <c:v>2.2928920080692969</c:v>
                </c:pt>
                <c:pt idx="275">
                  <c:v>2.3390026228287328</c:v>
                </c:pt>
                <c:pt idx="276">
                  <c:v>2.3572336082467817</c:v>
                </c:pt>
                <c:pt idx="277">
                  <c:v>2.3366969955348864</c:v>
                </c:pt>
                <c:pt idx="278">
                  <c:v>2.2760398436930651</c:v>
                </c:pt>
                <c:pt idx="279">
                  <c:v>2.2889774097023499</c:v>
                </c:pt>
                <c:pt idx="280">
                  <c:v>2.3092141761964502</c:v>
                </c:pt>
                <c:pt idx="281">
                  <c:v>2.3569254982308658</c:v>
                </c:pt>
                <c:pt idx="282">
                  <c:v>2.3465789295467392</c:v>
                </c:pt>
                <c:pt idx="283">
                  <c:v>2.3945807785476174</c:v>
                </c:pt>
                <c:pt idx="284">
                  <c:v>2.3333531914369505</c:v>
                </c:pt>
                <c:pt idx="285">
                  <c:v>2.2988037924373601</c:v>
                </c:pt>
                <c:pt idx="286">
                  <c:v>2.3318209897308071</c:v>
                </c:pt>
                <c:pt idx="287">
                  <c:v>2.3567324058392543</c:v>
                </c:pt>
                <c:pt idx="288">
                  <c:v>2.3534929731617358</c:v>
                </c:pt>
                <c:pt idx="289">
                  <c:v>2.3730872033528225</c:v>
                </c:pt>
                <c:pt idx="290">
                  <c:v>2.3532535216714123</c:v>
                </c:pt>
                <c:pt idx="291">
                  <c:v>2.3214448202574989</c:v>
                </c:pt>
                <c:pt idx="292">
                  <c:v>2.2876964090602416</c:v>
                </c:pt>
                <c:pt idx="293">
                  <c:v>2.3031736034917056</c:v>
                </c:pt>
                <c:pt idx="294">
                  <c:v>2.3045399570085534</c:v>
                </c:pt>
                <c:pt idx="295">
                  <c:v>2.295920960566455</c:v>
                </c:pt>
                <c:pt idx="296">
                  <c:v>2.2809799180119543</c:v>
                </c:pt>
                <c:pt idx="297">
                  <c:v>2.2780289100262352</c:v>
                </c:pt>
                <c:pt idx="298">
                  <c:v>2.2859633578321539</c:v>
                </c:pt>
                <c:pt idx="299">
                  <c:v>2.2705923071984935</c:v>
                </c:pt>
                <c:pt idx="300">
                  <c:v>2.2433432754171307</c:v>
                </c:pt>
                <c:pt idx="301">
                  <c:v>2.3103802695394906</c:v>
                </c:pt>
                <c:pt idx="302">
                  <c:v>2.3295722230766178</c:v>
                </c:pt>
                <c:pt idx="303">
                  <c:v>2.3123870408070504</c:v>
                </c:pt>
                <c:pt idx="304">
                  <c:v>2.2872152067478773</c:v>
                </c:pt>
                <c:pt idx="305">
                  <c:v>2.2873828093301674</c:v>
                </c:pt>
                <c:pt idx="306">
                  <c:v>2.2969078808590351</c:v>
                </c:pt>
                <c:pt idx="307">
                  <c:v>2.3106869765604046</c:v>
                </c:pt>
                <c:pt idx="308">
                  <c:v>2.2900929665471814</c:v>
                </c:pt>
                <c:pt idx="309">
                  <c:v>2.272907558120119</c:v>
                </c:pt>
                <c:pt idx="310">
                  <c:v>2.2335478875208228</c:v>
                </c:pt>
                <c:pt idx="311">
                  <c:v>2.2679882057304659</c:v>
                </c:pt>
                <c:pt idx="312">
                  <c:v>2.2438531956446854</c:v>
                </c:pt>
                <c:pt idx="313">
                  <c:v>2.3532968282297526</c:v>
                </c:pt>
                <c:pt idx="314">
                  <c:v>2.403773281180984</c:v>
                </c:pt>
                <c:pt idx="315">
                  <c:v>2.4168541400767816</c:v>
                </c:pt>
                <c:pt idx="316">
                  <c:v>2.4333532127522939</c:v>
                </c:pt>
                <c:pt idx="317">
                  <c:v>2.4422899321040892</c:v>
                </c:pt>
                <c:pt idx="318">
                  <c:v>2.4534568019045677</c:v>
                </c:pt>
                <c:pt idx="319">
                  <c:v>2.4037174446033296</c:v>
                </c:pt>
                <c:pt idx="320">
                  <c:v>2.419598634571364</c:v>
                </c:pt>
                <c:pt idx="321">
                  <c:v>2.4182538113837819</c:v>
                </c:pt>
                <c:pt idx="322">
                  <c:v>2.4501387326731034</c:v>
                </c:pt>
                <c:pt idx="323">
                  <c:v>2.401207096937255</c:v>
                </c:pt>
                <c:pt idx="324">
                  <c:v>2.4030902148591058</c:v>
                </c:pt>
                <c:pt idx="325">
                  <c:v>2.385351753632956</c:v>
                </c:pt>
                <c:pt idx="326">
                  <c:v>2.5176278578234137</c:v>
                </c:pt>
                <c:pt idx="327">
                  <c:v>2.5136143362915719</c:v>
                </c:pt>
                <c:pt idx="328">
                  <c:v>2.566573376402951</c:v>
                </c:pt>
                <c:pt idx="329">
                  <c:v>2.5251241266395548</c:v>
                </c:pt>
                <c:pt idx="330">
                  <c:v>2.4877344823899485</c:v>
                </c:pt>
                <c:pt idx="331">
                  <c:v>2.4709811725483131</c:v>
                </c:pt>
                <c:pt idx="332">
                  <c:v>2.4771710616663594</c:v>
                </c:pt>
                <c:pt idx="333">
                  <c:v>2.489429012442006</c:v>
                </c:pt>
                <c:pt idx="334">
                  <c:v>2.4380643348704685</c:v>
                </c:pt>
                <c:pt idx="335">
                  <c:v>2.429964966031481</c:v>
                </c:pt>
                <c:pt idx="336">
                  <c:v>2.4154439804654642</c:v>
                </c:pt>
                <c:pt idx="337">
                  <c:v>2.392105979595613</c:v>
                </c:pt>
                <c:pt idx="338">
                  <c:v>2.3617152213475543</c:v>
                </c:pt>
                <c:pt idx="339">
                  <c:v>2.3390266643028061</c:v>
                </c:pt>
                <c:pt idx="340">
                  <c:v>2.3412307351636046</c:v>
                </c:pt>
                <c:pt idx="341">
                  <c:v>2.3041010402449875</c:v>
                </c:pt>
                <c:pt idx="342">
                  <c:v>2.3072336851806705</c:v>
                </c:pt>
                <c:pt idx="343">
                  <c:v>2.3242472556962821</c:v>
                </c:pt>
                <c:pt idx="344">
                  <c:v>2.3948035567045016</c:v>
                </c:pt>
                <c:pt idx="345">
                  <c:v>2.4107058919804003</c:v>
                </c:pt>
                <c:pt idx="346">
                  <c:v>2.4293885889643483</c:v>
                </c:pt>
                <c:pt idx="347">
                  <c:v>2.4783082502109641</c:v>
                </c:pt>
                <c:pt idx="348">
                  <c:v>2.4304675172484149</c:v>
                </c:pt>
                <c:pt idx="349">
                  <c:v>2.3974149567790857</c:v>
                </c:pt>
                <c:pt idx="350">
                  <c:v>2.3820077136872397</c:v>
                </c:pt>
                <c:pt idx="351">
                  <c:v>2.3904168375945618</c:v>
                </c:pt>
                <c:pt idx="352">
                  <c:v>2.3608777550874311</c:v>
                </c:pt>
                <c:pt idx="353">
                  <c:v>2.3667718308618326</c:v>
                </c:pt>
                <c:pt idx="354">
                  <c:v>2.3951031253728283</c:v>
                </c:pt>
                <c:pt idx="355">
                  <c:v>2.4097984213404477</c:v>
                </c:pt>
                <c:pt idx="356">
                  <c:v>2.4043874301663251</c:v>
                </c:pt>
                <c:pt idx="357">
                  <c:v>2.4166748008477041</c:v>
                </c:pt>
                <c:pt idx="358">
                  <c:v>2.45478912286065</c:v>
                </c:pt>
                <c:pt idx="359">
                  <c:v>2.4904083663137451</c:v>
                </c:pt>
                <c:pt idx="360">
                  <c:v>2.444482490251747</c:v>
                </c:pt>
                <c:pt idx="361">
                  <c:v>2.4548683721440465</c:v>
                </c:pt>
                <c:pt idx="362">
                  <c:v>2.4473515426601113</c:v>
                </c:pt>
                <c:pt idx="363">
                  <c:v>2.5011503261445118</c:v>
                </c:pt>
                <c:pt idx="364">
                  <c:v>2.5434112997742107</c:v>
                </c:pt>
                <c:pt idx="365">
                  <c:v>2.5517928192023009</c:v>
                </c:pt>
                <c:pt idx="366">
                  <c:v>2.5302894365653015</c:v>
                </c:pt>
                <c:pt idx="367">
                  <c:v>2.556154097323811</c:v>
                </c:pt>
                <c:pt idx="368">
                  <c:v>2.5099691788289458</c:v>
                </c:pt>
                <c:pt idx="369">
                  <c:v>2.5371902317325277</c:v>
                </c:pt>
                <c:pt idx="370">
                  <c:v>2.5079512241770261</c:v>
                </c:pt>
                <c:pt idx="371">
                  <c:v>2.4658309777393166</c:v>
                </c:pt>
                <c:pt idx="372">
                  <c:v>2.4599009773623361</c:v>
                </c:pt>
                <c:pt idx="373">
                  <c:v>2.4711876545978235</c:v>
                </c:pt>
                <c:pt idx="374">
                  <c:v>2.4709760397087086</c:v>
                </c:pt>
                <c:pt idx="375">
                  <c:v>2.4946193839057362</c:v>
                </c:pt>
                <c:pt idx="376">
                  <c:v>2.5131083345318839</c:v>
                </c:pt>
                <c:pt idx="377">
                  <c:v>2.5090015379856232</c:v>
                </c:pt>
                <c:pt idx="378">
                  <c:v>2.4897086316898998</c:v>
                </c:pt>
                <c:pt idx="379">
                  <c:v>2.4146958245632106</c:v>
                </c:pt>
                <c:pt idx="380">
                  <c:v>2.4560425775509529</c:v>
                </c:pt>
                <c:pt idx="381">
                  <c:v>2.4329260937519308</c:v>
                </c:pt>
                <c:pt idx="382">
                  <c:v>2.4333505493770997</c:v>
                </c:pt>
                <c:pt idx="383">
                  <c:v>2.4331460593148835</c:v>
                </c:pt>
                <c:pt idx="384">
                  <c:v>2.4359121175178609</c:v>
                </c:pt>
                <c:pt idx="385">
                  <c:v>2.4002990947855674</c:v>
                </c:pt>
                <c:pt idx="386">
                  <c:v>2.3850187962399181</c:v>
                </c:pt>
                <c:pt idx="387">
                  <c:v>2.433408192818213</c:v>
                </c:pt>
                <c:pt idx="388">
                  <c:v>2.3852573057182682</c:v>
                </c:pt>
                <c:pt idx="389">
                  <c:v>2.389918529282141</c:v>
                </c:pt>
                <c:pt idx="390">
                  <c:v>2.4045271335261056</c:v>
                </c:pt>
                <c:pt idx="391">
                  <c:v>2.4378779701754083</c:v>
                </c:pt>
                <c:pt idx="392">
                  <c:v>2.4174524090232401</c:v>
                </c:pt>
                <c:pt idx="393">
                  <c:v>2.4236976009117339</c:v>
                </c:pt>
                <c:pt idx="394">
                  <c:v>2.4417065567714809</c:v>
                </c:pt>
                <c:pt idx="395">
                  <c:v>2.4015288990900414</c:v>
                </c:pt>
                <c:pt idx="396">
                  <c:v>2.3667947171504222</c:v>
                </c:pt>
                <c:pt idx="397">
                  <c:v>2.4239976050254688</c:v>
                </c:pt>
                <c:pt idx="398">
                  <c:v>2.4675928013675303</c:v>
                </c:pt>
                <c:pt idx="399">
                  <c:v>2.509846048940402</c:v>
                </c:pt>
                <c:pt idx="400">
                  <c:v>2.5017277838664063</c:v>
                </c:pt>
                <c:pt idx="401">
                  <c:v>2.587533960555489</c:v>
                </c:pt>
                <c:pt idx="402">
                  <c:v>2.5603031854966458</c:v>
                </c:pt>
                <c:pt idx="403">
                  <c:v>2.5521827892042839</c:v>
                </c:pt>
                <c:pt idx="404">
                  <c:v>2.530416956802394</c:v>
                </c:pt>
                <c:pt idx="405">
                  <c:v>2.5394561401952438</c:v>
                </c:pt>
                <c:pt idx="406">
                  <c:v>2.6338330597183512</c:v>
                </c:pt>
                <c:pt idx="407">
                  <c:v>2.6584251372455294</c:v>
                </c:pt>
                <c:pt idx="408">
                  <c:v>2.6857050470977515</c:v>
                </c:pt>
                <c:pt idx="409">
                  <c:v>2.699059532097523</c:v>
                </c:pt>
                <c:pt idx="410">
                  <c:v>2.7172267589625636</c:v>
                </c:pt>
                <c:pt idx="411">
                  <c:v>2.7534278245888788</c:v>
                </c:pt>
                <c:pt idx="412">
                  <c:v>2.7005115995148672</c:v>
                </c:pt>
                <c:pt idx="413">
                  <c:v>2.7120304457824429</c:v>
                </c:pt>
                <c:pt idx="414">
                  <c:v>2.726432612824472</c:v>
                </c:pt>
                <c:pt idx="415">
                  <c:v>2.7988555029191953</c:v>
                </c:pt>
                <c:pt idx="416">
                  <c:v>2.756840108563809</c:v>
                </c:pt>
                <c:pt idx="417">
                  <c:v>2.7890635563003046</c:v>
                </c:pt>
                <c:pt idx="418">
                  <c:v>2.7847550055213151</c:v>
                </c:pt>
                <c:pt idx="419">
                  <c:v>2.7283774323063592</c:v>
                </c:pt>
                <c:pt idx="420">
                  <c:v>2.683934871505345</c:v>
                </c:pt>
                <c:pt idx="421">
                  <c:v>2.7032981841826866</c:v>
                </c:pt>
                <c:pt idx="422">
                  <c:v>2.7070706559134377</c:v>
                </c:pt>
                <c:pt idx="423">
                  <c:v>2.730724792516432</c:v>
                </c:pt>
                <c:pt idx="424">
                  <c:v>2.745762761575461</c:v>
                </c:pt>
                <c:pt idx="425">
                  <c:v>2.799108400175343</c:v>
                </c:pt>
                <c:pt idx="426">
                  <c:v>2.8030064221538695</c:v>
                </c:pt>
                <c:pt idx="427">
                  <c:v>2.8271889450058079</c:v>
                </c:pt>
                <c:pt idx="428">
                  <c:v>2.7881570828482269</c:v>
                </c:pt>
                <c:pt idx="429">
                  <c:v>2.7552600080304122</c:v>
                </c:pt>
                <c:pt idx="430">
                  <c:v>2.7535387856985807</c:v>
                </c:pt>
                <c:pt idx="431">
                  <c:v>2.706702610068104</c:v>
                </c:pt>
                <c:pt idx="432">
                  <c:v>2.6981218505541884</c:v>
                </c:pt>
                <c:pt idx="433">
                  <c:v>2.6822350038449709</c:v>
                </c:pt>
                <c:pt idx="434">
                  <c:v>2.6700486609185274</c:v>
                </c:pt>
                <c:pt idx="435">
                  <c:v>2.716318508275382</c:v>
                </c:pt>
                <c:pt idx="436">
                  <c:v>2.6675385905439701</c:v>
                </c:pt>
                <c:pt idx="437">
                  <c:v>2.6547035109688575</c:v>
                </c:pt>
                <c:pt idx="438">
                  <c:v>2.6307859032142291</c:v>
                </c:pt>
                <c:pt idx="439">
                  <c:v>2.6517292570284536</c:v>
                </c:pt>
                <c:pt idx="440">
                  <c:v>2.7063727694226101</c:v>
                </c:pt>
                <c:pt idx="441">
                  <c:v>2.796920245929587</c:v>
                </c:pt>
                <c:pt idx="442">
                  <c:v>2.8198171289335918</c:v>
                </c:pt>
                <c:pt idx="443">
                  <c:v>2.8348511225185602</c:v>
                </c:pt>
                <c:pt idx="444">
                  <c:v>2.8848225556374572</c:v>
                </c:pt>
                <c:pt idx="445">
                  <c:v>2.8753944481671172</c:v>
                </c:pt>
                <c:pt idx="446">
                  <c:v>2.8081945318213686</c:v>
                </c:pt>
                <c:pt idx="447">
                  <c:v>2.786444539949795</c:v>
                </c:pt>
                <c:pt idx="448">
                  <c:v>2.7965147470429144</c:v>
                </c:pt>
                <c:pt idx="449">
                  <c:v>2.7886772065896017</c:v>
                </c:pt>
                <c:pt idx="450">
                  <c:v>2.8839913093633553</c:v>
                </c:pt>
                <c:pt idx="451">
                  <c:v>2.9007400886196737</c:v>
                </c:pt>
                <c:pt idx="452">
                  <c:v>2.9332292633542645</c:v>
                </c:pt>
                <c:pt idx="453">
                  <c:v>2.9409384131810619</c:v>
                </c:pt>
                <c:pt idx="454">
                  <c:v>2.8625377688245974</c:v>
                </c:pt>
                <c:pt idx="455">
                  <c:v>2.8867183122753852</c:v>
                </c:pt>
                <c:pt idx="456">
                  <c:v>2.8197266274434476</c:v>
                </c:pt>
                <c:pt idx="457">
                  <c:v>2.8908671809772613</c:v>
                </c:pt>
                <c:pt idx="458">
                  <c:v>2.8734602259337994</c:v>
                </c:pt>
                <c:pt idx="459">
                  <c:v>2.9224596689677411</c:v>
                </c:pt>
                <c:pt idx="460">
                  <c:v>2.882380903801478</c:v>
                </c:pt>
                <c:pt idx="461">
                  <c:v>2.8557508132087683</c:v>
                </c:pt>
                <c:pt idx="462">
                  <c:v>2.8102037352617151</c:v>
                </c:pt>
                <c:pt idx="463">
                  <c:v>2.7655076533330618</c:v>
                </c:pt>
                <c:pt idx="464">
                  <c:v>2.767934175495713</c:v>
                </c:pt>
                <c:pt idx="465">
                  <c:v>2.7778921680878996</c:v>
                </c:pt>
                <c:pt idx="466">
                  <c:v>2.7375566753853069</c:v>
                </c:pt>
                <c:pt idx="467">
                  <c:v>2.7573046378194643</c:v>
                </c:pt>
                <c:pt idx="468">
                  <c:v>2.7746722252982963</c:v>
                </c:pt>
                <c:pt idx="469">
                  <c:v>2.738272165114922</c:v>
                </c:pt>
                <c:pt idx="470">
                  <c:v>2.6779978034201344</c:v>
                </c:pt>
                <c:pt idx="471">
                  <c:v>2.6378343815758818</c:v>
                </c:pt>
                <c:pt idx="472">
                  <c:v>2.6262460657655873</c:v>
                </c:pt>
                <c:pt idx="473">
                  <c:v>2.7201905228727803</c:v>
                </c:pt>
                <c:pt idx="474">
                  <c:v>2.7190072804232583</c:v>
                </c:pt>
                <c:pt idx="475">
                  <c:v>2.7212112164444293</c:v>
                </c:pt>
                <c:pt idx="476">
                  <c:v>2.7619140943131484</c:v>
                </c:pt>
                <c:pt idx="477">
                  <c:v>2.7275276052522606</c:v>
                </c:pt>
                <c:pt idx="478">
                  <c:v>2.6721349629795541</c:v>
                </c:pt>
                <c:pt idx="479">
                  <c:v>2.6729431202229343</c:v>
                </c:pt>
                <c:pt idx="480">
                  <c:v>2.6685854364657131</c:v>
                </c:pt>
                <c:pt idx="481">
                  <c:v>2.7094965951605663</c:v>
                </c:pt>
                <c:pt idx="482">
                  <c:v>2.7752243008654673</c:v>
                </c:pt>
                <c:pt idx="483">
                  <c:v>2.8292471203219143</c:v>
                </c:pt>
                <c:pt idx="484">
                  <c:v>2.86691167029718</c:v>
                </c:pt>
                <c:pt idx="485">
                  <c:v>2.9669311857809135</c:v>
                </c:pt>
                <c:pt idx="486">
                  <c:v>2.9940564598891286</c:v>
                </c:pt>
                <c:pt idx="487">
                  <c:v>2.9059763166435157</c:v>
                </c:pt>
                <c:pt idx="488">
                  <c:v>2.9332210731295452</c:v>
                </c:pt>
                <c:pt idx="489">
                  <c:v>2.8768907528197558</c:v>
                </c:pt>
                <c:pt idx="490">
                  <c:v>2.8931393867828876</c:v>
                </c:pt>
                <c:pt idx="491">
                  <c:v>2.8484824534271693</c:v>
                </c:pt>
                <c:pt idx="492">
                  <c:v>2.8822051994924043</c:v>
                </c:pt>
                <c:pt idx="493">
                  <c:v>2.8030902804690272</c:v>
                </c:pt>
                <c:pt idx="494">
                  <c:v>2.7959610938972599</c:v>
                </c:pt>
                <c:pt idx="495">
                  <c:v>2.8252394072598417</c:v>
                </c:pt>
                <c:pt idx="496">
                  <c:v>2.8513628799833994</c:v>
                </c:pt>
                <c:pt idx="497">
                  <c:v>2.818496018211722</c:v>
                </c:pt>
                <c:pt idx="498">
                  <c:v>2.823427776062482</c:v>
                </c:pt>
                <c:pt idx="499">
                  <c:v>2.8330124468093167</c:v>
                </c:pt>
                <c:pt idx="500">
                  <c:v>2.8204544837969365</c:v>
                </c:pt>
                <c:pt idx="501">
                  <c:v>2.8607331788394008</c:v>
                </c:pt>
                <c:pt idx="502">
                  <c:v>2.8778708783853455</c:v>
                </c:pt>
                <c:pt idx="503">
                  <c:v>2.8790569252116924</c:v>
                </c:pt>
                <c:pt idx="504">
                  <c:v>2.8898860752569053</c:v>
                </c:pt>
                <c:pt idx="505">
                  <c:v>2.8975632093680943</c:v>
                </c:pt>
                <c:pt idx="506">
                  <c:v>3.002923389157405</c:v>
                </c:pt>
                <c:pt idx="507">
                  <c:v>2.9492647245278083</c:v>
                </c:pt>
                <c:pt idx="508">
                  <c:v>2.9120738635034589</c:v>
                </c:pt>
                <c:pt idx="509">
                  <c:v>2.9185438010498292</c:v>
                </c:pt>
                <c:pt idx="510">
                  <c:v>2.9783883282391339</c:v>
                </c:pt>
                <c:pt idx="511">
                  <c:v>2.9216109271618191</c:v>
                </c:pt>
                <c:pt idx="512">
                  <c:v>2.9343337529308378</c:v>
                </c:pt>
                <c:pt idx="513">
                  <c:v>2.9806982290856783</c:v>
                </c:pt>
                <c:pt idx="514">
                  <c:v>2.9957836228712797</c:v>
                </c:pt>
                <c:pt idx="515">
                  <c:v>3.064687980919607</c:v>
                </c:pt>
                <c:pt idx="516">
                  <c:v>3.1109750446480038</c:v>
                </c:pt>
                <c:pt idx="517">
                  <c:v>3.1083932465490971</c:v>
                </c:pt>
                <c:pt idx="518">
                  <c:v>3.0657255398267926</c:v>
                </c:pt>
                <c:pt idx="519">
                  <c:v>3.073319713734084</c:v>
                </c:pt>
                <c:pt idx="520">
                  <c:v>3.1479790620901245</c:v>
                </c:pt>
                <c:pt idx="521">
                  <c:v>3.1506112031561204</c:v>
                </c:pt>
                <c:pt idx="522">
                  <c:v>3.1522471017060449</c:v>
                </c:pt>
                <c:pt idx="523">
                  <c:v>3.1410136308216985</c:v>
                </c:pt>
                <c:pt idx="524">
                  <c:v>3.1671646855017412</c:v>
                </c:pt>
                <c:pt idx="525">
                  <c:v>3.2726445739248193</c:v>
                </c:pt>
                <c:pt idx="526">
                  <c:v>3.2620680260140125</c:v>
                </c:pt>
                <c:pt idx="527">
                  <c:v>3.1744986849629959</c:v>
                </c:pt>
                <c:pt idx="528">
                  <c:v>3.1347211263393109</c:v>
                </c:pt>
                <c:pt idx="529">
                  <c:v>3.2342053877791344</c:v>
                </c:pt>
                <c:pt idx="530">
                  <c:v>3.258566856400412</c:v>
                </c:pt>
                <c:pt idx="531">
                  <c:v>3.1907571605520215</c:v>
                </c:pt>
                <c:pt idx="532">
                  <c:v>3.1672411345841063</c:v>
                </c:pt>
                <c:pt idx="533">
                  <c:v>3.1454547801039641</c:v>
                </c:pt>
                <c:pt idx="534">
                  <c:v>3.2223370482243654</c:v>
                </c:pt>
                <c:pt idx="535">
                  <c:v>3.2772629006921736</c:v>
                </c:pt>
                <c:pt idx="536">
                  <c:v>3.2003884683709325</c:v>
                </c:pt>
                <c:pt idx="537">
                  <c:v>3.1902575938787399</c:v>
                </c:pt>
                <c:pt idx="538">
                  <c:v>3.1905747646669935</c:v>
                </c:pt>
                <c:pt idx="539">
                  <c:v>3.2074154404291146</c:v>
                </c:pt>
                <c:pt idx="540">
                  <c:v>3.1417810018276398</c:v>
                </c:pt>
                <c:pt idx="541">
                  <c:v>3.129587927613354</c:v>
                </c:pt>
                <c:pt idx="542">
                  <c:v>3.1534757996969693</c:v>
                </c:pt>
                <c:pt idx="543">
                  <c:v>3.2211833147196143</c:v>
                </c:pt>
                <c:pt idx="544">
                  <c:v>3.2051735999702915</c:v>
                </c:pt>
                <c:pt idx="545">
                  <c:v>3.1605147436726302</c:v>
                </c:pt>
                <c:pt idx="546">
                  <c:v>3.1620552875773078</c:v>
                </c:pt>
                <c:pt idx="547">
                  <c:v>3.1339901176304767</c:v>
                </c:pt>
                <c:pt idx="548">
                  <c:v>3.1986876201202752</c:v>
                </c:pt>
                <c:pt idx="549">
                  <c:v>3.1871370582631102</c:v>
                </c:pt>
                <c:pt idx="550">
                  <c:v>3.1751128032323415</c:v>
                </c:pt>
                <c:pt idx="551">
                  <c:v>3.1287767041484886</c:v>
                </c:pt>
                <c:pt idx="552">
                  <c:v>3.1579382584256921</c:v>
                </c:pt>
                <c:pt idx="553">
                  <c:v>3.2431397049062269</c:v>
                </c:pt>
                <c:pt idx="554">
                  <c:v>3.1299969034131125</c:v>
                </c:pt>
                <c:pt idx="555">
                  <c:v>3.1800899152532875</c:v>
                </c:pt>
                <c:pt idx="556">
                  <c:v>3.1910678141363653</c:v>
                </c:pt>
                <c:pt idx="557">
                  <c:v>3.1892943418086421</c:v>
                </c:pt>
                <c:pt idx="558">
                  <c:v>3.1249145715117934</c:v>
                </c:pt>
                <c:pt idx="559">
                  <c:v>3.1295083551589049</c:v>
                </c:pt>
                <c:pt idx="560">
                  <c:v>3.1309919118702361</c:v>
                </c:pt>
                <c:pt idx="561">
                  <c:v>3.1068483759719725</c:v>
                </c:pt>
                <c:pt idx="562">
                  <c:v>3.2373746390753499</c:v>
                </c:pt>
                <c:pt idx="563">
                  <c:v>3.2430880610000137</c:v>
                </c:pt>
                <c:pt idx="564">
                  <c:v>3.318113649573657</c:v>
                </c:pt>
                <c:pt idx="565">
                  <c:v>3.3441948004348636</c:v>
                </c:pt>
                <c:pt idx="566">
                  <c:v>3.3085137582225621</c:v>
                </c:pt>
                <c:pt idx="567">
                  <c:v>3.3320604521730965</c:v>
                </c:pt>
                <c:pt idx="568">
                  <c:v>3.3491330702356827</c:v>
                </c:pt>
                <c:pt idx="569">
                  <c:v>3.3554441191145776</c:v>
                </c:pt>
                <c:pt idx="570">
                  <c:v>3.4294731830924126</c:v>
                </c:pt>
                <c:pt idx="571">
                  <c:v>3.4318603133967494</c:v>
                </c:pt>
                <c:pt idx="572">
                  <c:v>3.4369933892886375</c:v>
                </c:pt>
                <c:pt idx="573">
                  <c:v>3.435375392110247</c:v>
                </c:pt>
                <c:pt idx="574">
                  <c:v>3.5545285356586653</c:v>
                </c:pt>
                <c:pt idx="575">
                  <c:v>3.5570663020634852</c:v>
                </c:pt>
                <c:pt idx="576">
                  <c:v>3.5737449290888383</c:v>
                </c:pt>
                <c:pt idx="577">
                  <c:v>3.5972626450781884</c:v>
                </c:pt>
                <c:pt idx="578">
                  <c:v>3.6394332766547324</c:v>
                </c:pt>
                <c:pt idx="579">
                  <c:v>3.65838658852031</c:v>
                </c:pt>
                <c:pt idx="580">
                  <c:v>3.6055921941104643</c:v>
                </c:pt>
                <c:pt idx="581">
                  <c:v>3.6742157480236739</c:v>
                </c:pt>
                <c:pt idx="582">
                  <c:v>3.72623938696655</c:v>
                </c:pt>
                <c:pt idx="583">
                  <c:v>3.6767184601944178</c:v>
                </c:pt>
                <c:pt idx="584">
                  <c:v>3.7584691262986936</c:v>
                </c:pt>
                <c:pt idx="585">
                  <c:v>3.8383996194972796</c:v>
                </c:pt>
                <c:pt idx="586">
                  <c:v>3.8762381934962975</c:v>
                </c:pt>
                <c:pt idx="587">
                  <c:v>3.852057497171621</c:v>
                </c:pt>
                <c:pt idx="588">
                  <c:v>3.7795053155777891</c:v>
                </c:pt>
                <c:pt idx="589">
                  <c:v>3.7042044056459416</c:v>
                </c:pt>
                <c:pt idx="590">
                  <c:v>3.6427154183984229</c:v>
                </c:pt>
                <c:pt idx="591">
                  <c:v>3.6201738332857207</c:v>
                </c:pt>
                <c:pt idx="592">
                  <c:v>3.5902462498363974</c:v>
                </c:pt>
                <c:pt idx="593">
                  <c:v>3.6039283698389384</c:v>
                </c:pt>
                <c:pt idx="594">
                  <c:v>3.6107890632262869</c:v>
                </c:pt>
                <c:pt idx="595">
                  <c:v>3.5926290976020612</c:v>
                </c:pt>
                <c:pt idx="596">
                  <c:v>3.5383643872185293</c:v>
                </c:pt>
                <c:pt idx="597">
                  <c:v>3.5757527045726993</c:v>
                </c:pt>
                <c:pt idx="598">
                  <c:v>3.5039741737915486</c:v>
                </c:pt>
                <c:pt idx="599">
                  <c:v>3.5623225584152358</c:v>
                </c:pt>
                <c:pt idx="600">
                  <c:v>3.5377154493375018</c:v>
                </c:pt>
                <c:pt idx="601">
                  <c:v>3.5624726077477007</c:v>
                </c:pt>
                <c:pt idx="602">
                  <c:v>3.5693137816808784</c:v>
                </c:pt>
                <c:pt idx="603">
                  <c:v>3.5080530747804319</c:v>
                </c:pt>
                <c:pt idx="604">
                  <c:v>3.5248324006543617</c:v>
                </c:pt>
                <c:pt idx="605">
                  <c:v>3.5446849935170941</c:v>
                </c:pt>
                <c:pt idx="606">
                  <c:v>3.5408331930507497</c:v>
                </c:pt>
                <c:pt idx="607">
                  <c:v>3.570923612829632</c:v>
                </c:pt>
                <c:pt idx="608">
                  <c:v>3.5457292748188634</c:v>
                </c:pt>
                <c:pt idx="609">
                  <c:v>3.5081400840231671</c:v>
                </c:pt>
                <c:pt idx="610">
                  <c:v>3.5258575175485469</c:v>
                </c:pt>
                <c:pt idx="611">
                  <c:v>3.5119965823016521</c:v>
                </c:pt>
                <c:pt idx="612">
                  <c:v>3.5635484388985792</c:v>
                </c:pt>
                <c:pt idx="613">
                  <c:v>3.5177247787303449</c:v>
                </c:pt>
                <c:pt idx="614">
                  <c:v>3.4865951628913514</c:v>
                </c:pt>
                <c:pt idx="615">
                  <c:v>3.4605180368462278</c:v>
                </c:pt>
                <c:pt idx="616">
                  <c:v>3.3884441911030971</c:v>
                </c:pt>
                <c:pt idx="617">
                  <c:v>3.3991364000218245</c:v>
                </c:pt>
                <c:pt idx="618">
                  <c:v>3.3689177707611853</c:v>
                </c:pt>
                <c:pt idx="619">
                  <c:v>3.324782418727168</c:v>
                </c:pt>
                <c:pt idx="620">
                  <c:v>3.3081477567498414</c:v>
                </c:pt>
                <c:pt idx="621">
                  <c:v>3.2890125841186477</c:v>
                </c:pt>
                <c:pt idx="622">
                  <c:v>3.2419204247593445</c:v>
                </c:pt>
                <c:pt idx="623">
                  <c:v>3.2882652902555942</c:v>
                </c:pt>
                <c:pt idx="624">
                  <c:v>3.2866002899861888</c:v>
                </c:pt>
                <c:pt idx="625">
                  <c:v>3.3224842078302861</c:v>
                </c:pt>
                <c:pt idx="626">
                  <c:v>3.318816144955246</c:v>
                </c:pt>
                <c:pt idx="627">
                  <c:v>3.4293970240598184</c:v>
                </c:pt>
                <c:pt idx="628">
                  <c:v>3.4148437914137708</c:v>
                </c:pt>
                <c:pt idx="629">
                  <c:v>3.4479157035419989</c:v>
                </c:pt>
                <c:pt idx="630">
                  <c:v>3.464653074273663</c:v>
                </c:pt>
                <c:pt idx="631">
                  <c:v>3.5397665460987446</c:v>
                </c:pt>
                <c:pt idx="632">
                  <c:v>3.4894332252458153</c:v>
                </c:pt>
                <c:pt idx="633">
                  <c:v>3.5141518043059428</c:v>
                </c:pt>
                <c:pt idx="634">
                  <c:v>3.4509937441741121</c:v>
                </c:pt>
                <c:pt idx="635">
                  <c:v>3.4358329240635022</c:v>
                </c:pt>
                <c:pt idx="636">
                  <c:v>3.4769013645540006</c:v>
                </c:pt>
                <c:pt idx="637">
                  <c:v>3.5280872904090641</c:v>
                </c:pt>
                <c:pt idx="638">
                  <c:v>3.57619974656963</c:v>
                </c:pt>
                <c:pt idx="639">
                  <c:v>3.5533107359536276</c:v>
                </c:pt>
                <c:pt idx="640">
                  <c:v>3.5234514089384126</c:v>
                </c:pt>
                <c:pt idx="641">
                  <c:v>3.4674972078476505</c:v>
                </c:pt>
                <c:pt idx="642">
                  <c:v>3.4555662524145077</c:v>
                </c:pt>
                <c:pt idx="643">
                  <c:v>3.480934889637016</c:v>
                </c:pt>
                <c:pt idx="644">
                  <c:v>3.4623811702466947</c:v>
                </c:pt>
                <c:pt idx="645">
                  <c:v>3.5019219908088695</c:v>
                </c:pt>
                <c:pt idx="646">
                  <c:v>3.4753346568195127</c:v>
                </c:pt>
                <c:pt idx="647">
                  <c:v>3.4972700735280591</c:v>
                </c:pt>
                <c:pt idx="648">
                  <c:v>3.5342200210911505</c:v>
                </c:pt>
                <c:pt idx="649">
                  <c:v>3.5272900963034459</c:v>
                </c:pt>
                <c:pt idx="650">
                  <c:v>3.5734359129960001</c:v>
                </c:pt>
                <c:pt idx="651">
                  <c:v>3.5421614839312139</c:v>
                </c:pt>
                <c:pt idx="652">
                  <c:v>3.4938217402496576</c:v>
                </c:pt>
                <c:pt idx="653">
                  <c:v>3.4688754598289027</c:v>
                </c:pt>
                <c:pt idx="654">
                  <c:v>3.4439850626147446</c:v>
                </c:pt>
                <c:pt idx="655">
                  <c:v>3.4918497558003625</c:v>
                </c:pt>
                <c:pt idx="656">
                  <c:v>3.4561462461340038</c:v>
                </c:pt>
                <c:pt idx="657">
                  <c:v>3.4667059759380794</c:v>
                </c:pt>
                <c:pt idx="658">
                  <c:v>3.4331560983728</c:v>
                </c:pt>
                <c:pt idx="659">
                  <c:v>3.4073887213604346</c:v>
                </c:pt>
                <c:pt idx="660">
                  <c:v>3.3974417854017709</c:v>
                </c:pt>
                <c:pt idx="661">
                  <c:v>3.4034660852506877</c:v>
                </c:pt>
                <c:pt idx="662">
                  <c:v>3.4160621575729997</c:v>
                </c:pt>
                <c:pt idx="663">
                  <c:v>3.3980723783937328</c:v>
                </c:pt>
                <c:pt idx="664">
                  <c:v>3.4284898250422917</c:v>
                </c:pt>
                <c:pt idx="665">
                  <c:v>3.4277680739043337</c:v>
                </c:pt>
                <c:pt idx="666">
                  <c:v>3.4485088329061142</c:v>
                </c:pt>
                <c:pt idx="667">
                  <c:v>3.5018222729493798</c:v>
                </c:pt>
                <c:pt idx="668">
                  <c:v>3.5324001466748016</c:v>
                </c:pt>
                <c:pt idx="669">
                  <c:v>3.5162144020997701</c:v>
                </c:pt>
                <c:pt idx="670">
                  <c:v>3.6420995408059103</c:v>
                </c:pt>
                <c:pt idx="671">
                  <c:v>3.5689228788567466</c:v>
                </c:pt>
                <c:pt idx="672">
                  <c:v>3.5904351958911129</c:v>
                </c:pt>
                <c:pt idx="673">
                  <c:v>3.5357320034908883</c:v>
                </c:pt>
                <c:pt idx="674">
                  <c:v>3.5167010755760515</c:v>
                </c:pt>
                <c:pt idx="675">
                  <c:v>3.6183922602593794</c:v>
                </c:pt>
                <c:pt idx="676">
                  <c:v>3.6690463599613983</c:v>
                </c:pt>
                <c:pt idx="677">
                  <c:v>3.6838701470589874</c:v>
                </c:pt>
                <c:pt idx="678">
                  <c:v>3.6790382469944909</c:v>
                </c:pt>
                <c:pt idx="679">
                  <c:v>3.6806272413314192</c:v>
                </c:pt>
                <c:pt idx="680">
                  <c:v>3.6001623037922044</c:v>
                </c:pt>
                <c:pt idx="681">
                  <c:v>3.6559957913215264</c:v>
                </c:pt>
                <c:pt idx="682">
                  <c:v>3.7282149497189336</c:v>
                </c:pt>
                <c:pt idx="683">
                  <c:v>3.7155183305294743</c:v>
                </c:pt>
                <c:pt idx="684">
                  <c:v>3.6957781281341626</c:v>
                </c:pt>
                <c:pt idx="685">
                  <c:v>3.6680890035783609</c:v>
                </c:pt>
                <c:pt idx="686">
                  <c:v>3.7177010920841957</c:v>
                </c:pt>
                <c:pt idx="687">
                  <c:v>3.6521064823184122</c:v>
                </c:pt>
                <c:pt idx="688">
                  <c:v>3.737563907702881</c:v>
                </c:pt>
                <c:pt idx="689">
                  <c:v>3.6685592430615634</c:v>
                </c:pt>
                <c:pt idx="690">
                  <c:v>3.6068634756588263</c:v>
                </c:pt>
                <c:pt idx="691">
                  <c:v>3.5597545470173237</c:v>
                </c:pt>
                <c:pt idx="692">
                  <c:v>3.6060501461971377</c:v>
                </c:pt>
                <c:pt idx="693">
                  <c:v>3.593798663996814</c:v>
                </c:pt>
                <c:pt idx="694">
                  <c:v>3.6136894958373693</c:v>
                </c:pt>
                <c:pt idx="695">
                  <c:v>3.5772224996039883</c:v>
                </c:pt>
                <c:pt idx="696">
                  <c:v>3.5054232943253458</c:v>
                </c:pt>
                <c:pt idx="697">
                  <c:v>3.4949947231911422</c:v>
                </c:pt>
                <c:pt idx="698">
                  <c:v>3.4624837840915421</c:v>
                </c:pt>
                <c:pt idx="699">
                  <c:v>3.4550947562908063</c:v>
                </c:pt>
                <c:pt idx="700">
                  <c:v>3.4715132761140941</c:v>
                </c:pt>
                <c:pt idx="701">
                  <c:v>3.4169829156756268</c:v>
                </c:pt>
                <c:pt idx="702">
                  <c:v>3.4001834177669812</c:v>
                </c:pt>
                <c:pt idx="703">
                  <c:v>3.5257444351489795</c:v>
                </c:pt>
                <c:pt idx="704">
                  <c:v>3.5274144110053989</c:v>
                </c:pt>
                <c:pt idx="705">
                  <c:v>3.6260382423456106</c:v>
                </c:pt>
                <c:pt idx="706">
                  <c:v>3.5366935211251604</c:v>
                </c:pt>
                <c:pt idx="707">
                  <c:v>3.5199849134938015</c:v>
                </c:pt>
                <c:pt idx="708">
                  <c:v>3.5710566679553235</c:v>
                </c:pt>
                <c:pt idx="709">
                  <c:v>3.5342623296953271</c:v>
                </c:pt>
                <c:pt idx="710">
                  <c:v>3.5481352807158051</c:v>
                </c:pt>
                <c:pt idx="711">
                  <c:v>3.5990816938286856</c:v>
                </c:pt>
                <c:pt idx="712">
                  <c:v>3.5354835745107724</c:v>
                </c:pt>
                <c:pt idx="713">
                  <c:v>3.5706970204021418</c:v>
                </c:pt>
                <c:pt idx="714">
                  <c:v>3.6044239373383293</c:v>
                </c:pt>
                <c:pt idx="715">
                  <c:v>3.5491949966904275</c:v>
                </c:pt>
                <c:pt idx="716">
                  <c:v>3.5847474761824847</c:v>
                </c:pt>
                <c:pt idx="717">
                  <c:v>3.7118515084536257</c:v>
                </c:pt>
                <c:pt idx="718">
                  <c:v>3.6812531331986817</c:v>
                </c:pt>
                <c:pt idx="719">
                  <c:v>3.7911031612030026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Sheet1!$D$6:$D$11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Sheet1!$D$12:$D$1212</c:f>
              <c:numCache>
                <c:formatCode>General</c:formatCode>
                <c:ptCount val="1201"/>
                <c:pt idx="0">
                  <c:v>0.94165299999999996</c:v>
                </c:pt>
                <c:pt idx="1">
                  <c:v>0.92461705778524905</c:v>
                </c:pt>
                <c:pt idx="2">
                  <c:v>0.91639299655493967</c:v>
                </c:pt>
                <c:pt idx="3">
                  <c:v>0.91051341966949062</c:v>
                </c:pt>
                <c:pt idx="4">
                  <c:v>0.89296983548641706</c:v>
                </c:pt>
                <c:pt idx="5">
                  <c:v>0.88341087319600642</c:v>
                </c:pt>
                <c:pt idx="6">
                  <c:v>0.86901623427161123</c:v>
                </c:pt>
                <c:pt idx="7">
                  <c:v>0.8442924552433424</c:v>
                </c:pt>
                <c:pt idx="8">
                  <c:v>0.83455020990086282</c:v>
                </c:pt>
                <c:pt idx="9">
                  <c:v>0.85433068975504611</c:v>
                </c:pt>
                <c:pt idx="10">
                  <c:v>0.84503097917155789</c:v>
                </c:pt>
                <c:pt idx="11">
                  <c:v>0.83083941817934848</c:v>
                </c:pt>
                <c:pt idx="12">
                  <c:v>0.83380737212207934</c:v>
                </c:pt>
                <c:pt idx="13">
                  <c:v>0.83401545044436398</c:v>
                </c:pt>
                <c:pt idx="14">
                  <c:v>0.82532653797949995</c:v>
                </c:pt>
                <c:pt idx="15">
                  <c:v>0.81440160340900725</c:v>
                </c:pt>
                <c:pt idx="16">
                  <c:v>0.80009336111846363</c:v>
                </c:pt>
                <c:pt idx="17">
                  <c:v>0.78844977655514381</c:v>
                </c:pt>
                <c:pt idx="18">
                  <c:v>0.79918588190744888</c:v>
                </c:pt>
                <c:pt idx="19">
                  <c:v>0.79429177069687773</c:v>
                </c:pt>
                <c:pt idx="20">
                  <c:v>0.78382978942831993</c:v>
                </c:pt>
                <c:pt idx="21">
                  <c:v>0.76269602589340801</c:v>
                </c:pt>
                <c:pt idx="22">
                  <c:v>0.76939578165104616</c:v>
                </c:pt>
                <c:pt idx="23">
                  <c:v>0.77124024248822864</c:v>
                </c:pt>
                <c:pt idx="24">
                  <c:v>0.75231694495349521</c:v>
                </c:pt>
                <c:pt idx="25">
                  <c:v>0.75528293844866456</c:v>
                </c:pt>
                <c:pt idx="26">
                  <c:v>0.73370961950903024</c:v>
                </c:pt>
                <c:pt idx="27">
                  <c:v>0.74130842225114568</c:v>
                </c:pt>
                <c:pt idx="28">
                  <c:v>0.73871783914196776</c:v>
                </c:pt>
                <c:pt idx="29">
                  <c:v>0.74054099301831744</c:v>
                </c:pt>
                <c:pt idx="30">
                  <c:v>0.7284017405547607</c:v>
                </c:pt>
                <c:pt idx="31">
                  <c:v>0.72535966268070418</c:v>
                </c:pt>
                <c:pt idx="32">
                  <c:v>0.70586145728332383</c:v>
                </c:pt>
                <c:pt idx="33">
                  <c:v>0.68520132016334701</c:v>
                </c:pt>
                <c:pt idx="34">
                  <c:v>0.68111726479396284</c:v>
                </c:pt>
                <c:pt idx="35">
                  <c:v>0.66827256032564597</c:v>
                </c:pt>
                <c:pt idx="36">
                  <c:v>0.67665922299558579</c:v>
                </c:pt>
                <c:pt idx="37">
                  <c:v>0.67292180720173922</c:v>
                </c:pt>
                <c:pt idx="38">
                  <c:v>0.6619596497810003</c:v>
                </c:pt>
                <c:pt idx="39">
                  <c:v>0.65071644394535233</c:v>
                </c:pt>
                <c:pt idx="40">
                  <c:v>0.65693321898277468</c:v>
                </c:pt>
                <c:pt idx="41">
                  <c:v>0.66300513645718007</c:v>
                </c:pt>
                <c:pt idx="42">
                  <c:v>0.66194489266795875</c:v>
                </c:pt>
                <c:pt idx="43">
                  <c:v>0.66107435039195273</c:v>
                </c:pt>
                <c:pt idx="44">
                  <c:v>0.65167512600223598</c:v>
                </c:pt>
                <c:pt idx="45">
                  <c:v>0.6581603045692358</c:v>
                </c:pt>
                <c:pt idx="46">
                  <c:v>0.65845548943600352</c:v>
                </c:pt>
                <c:pt idx="47">
                  <c:v>0.6630079992744462</c:v>
                </c:pt>
                <c:pt idx="48">
                  <c:v>0.65542459559136579</c:v>
                </c:pt>
                <c:pt idx="49">
                  <c:v>0.67004993982908501</c:v>
                </c:pt>
                <c:pt idx="50">
                  <c:v>0.64771864991251205</c:v>
                </c:pt>
                <c:pt idx="51">
                  <c:v>0.64263941009415526</c:v>
                </c:pt>
                <c:pt idx="52">
                  <c:v>0.65047416059900842</c:v>
                </c:pt>
                <c:pt idx="53">
                  <c:v>0.64507459584977389</c:v>
                </c:pt>
                <c:pt idx="54">
                  <c:v>0.6359144707972344</c:v>
                </c:pt>
                <c:pt idx="55">
                  <c:v>0.64019007427771812</c:v>
                </c:pt>
                <c:pt idx="56">
                  <c:v>0.64704546503357208</c:v>
                </c:pt>
                <c:pt idx="57">
                  <c:v>0.65572171115348277</c:v>
                </c:pt>
                <c:pt idx="58">
                  <c:v>0.64288132685909027</c:v>
                </c:pt>
                <c:pt idx="59">
                  <c:v>0.65158584515541096</c:v>
                </c:pt>
                <c:pt idx="60">
                  <c:v>0.64884870428597963</c:v>
                </c:pt>
                <c:pt idx="61">
                  <c:v>0.6315803059374161</c:v>
                </c:pt>
                <c:pt idx="62">
                  <c:v>0.62990012649381888</c:v>
                </c:pt>
                <c:pt idx="63">
                  <c:v>0.62703608136296318</c:v>
                </c:pt>
                <c:pt idx="64">
                  <c:v>0.62220556283559614</c:v>
                </c:pt>
                <c:pt idx="65">
                  <c:v>0.61723420285139319</c:v>
                </c:pt>
                <c:pt idx="66">
                  <c:v>0.62837543074813884</c:v>
                </c:pt>
                <c:pt idx="67">
                  <c:v>0.6224734992674823</c:v>
                </c:pt>
                <c:pt idx="68">
                  <c:v>0.63344068681918864</c:v>
                </c:pt>
                <c:pt idx="69">
                  <c:v>0.6288071580720479</c:v>
                </c:pt>
                <c:pt idx="70">
                  <c:v>0.62390305389856315</c:v>
                </c:pt>
                <c:pt idx="71">
                  <c:v>0.62273688044970998</c:v>
                </c:pt>
                <c:pt idx="72">
                  <c:v>0.63451167764480132</c:v>
                </c:pt>
                <c:pt idx="73">
                  <c:v>0.64421696640699588</c:v>
                </c:pt>
                <c:pt idx="74">
                  <c:v>0.64770425917462338</c:v>
                </c:pt>
                <c:pt idx="75">
                  <c:v>0.63109017539606127</c:v>
                </c:pt>
                <c:pt idx="76">
                  <c:v>0.63994128778687387</c:v>
                </c:pt>
                <c:pt idx="77">
                  <c:v>0.62343951458608915</c:v>
                </c:pt>
                <c:pt idx="78">
                  <c:v>0.61421000883300958</c:v>
                </c:pt>
                <c:pt idx="79">
                  <c:v>0.62792796159603692</c:v>
                </c:pt>
                <c:pt idx="80">
                  <c:v>0.62536499759746667</c:v>
                </c:pt>
                <c:pt idx="81">
                  <c:v>0.62771336511324838</c:v>
                </c:pt>
                <c:pt idx="82">
                  <c:v>0.61880345201499809</c:v>
                </c:pt>
                <c:pt idx="83">
                  <c:v>0.62320701358952624</c:v>
                </c:pt>
                <c:pt idx="84">
                  <c:v>0.62654665003216881</c:v>
                </c:pt>
                <c:pt idx="85">
                  <c:v>0.63176962300979389</c:v>
                </c:pt>
                <c:pt idx="86">
                  <c:v>0.62040123300538697</c:v>
                </c:pt>
                <c:pt idx="87">
                  <c:v>0.62171656575819723</c:v>
                </c:pt>
                <c:pt idx="88">
                  <c:v>0.63073903095138406</c:v>
                </c:pt>
                <c:pt idx="89">
                  <c:v>0.62763610401321202</c:v>
                </c:pt>
                <c:pt idx="90">
                  <c:v>0.60711861488493291</c:v>
                </c:pt>
                <c:pt idx="91">
                  <c:v>0.6178031687328347</c:v>
                </c:pt>
                <c:pt idx="92">
                  <c:v>0.62016017791032862</c:v>
                </c:pt>
                <c:pt idx="93">
                  <c:v>0.62818325569926314</c:v>
                </c:pt>
                <c:pt idx="94">
                  <c:v>0.62644429579941707</c:v>
                </c:pt>
                <c:pt idx="95">
                  <c:v>0.61013057008444849</c:v>
                </c:pt>
                <c:pt idx="96">
                  <c:v>0.60443442877521358</c:v>
                </c:pt>
                <c:pt idx="97">
                  <c:v>0.61079413385261572</c:v>
                </c:pt>
                <c:pt idx="98">
                  <c:v>0.61132842712686608</c:v>
                </c:pt>
                <c:pt idx="99">
                  <c:v>0.60643503910099039</c:v>
                </c:pt>
                <c:pt idx="100">
                  <c:v>0.59660412352475212</c:v>
                </c:pt>
                <c:pt idx="101">
                  <c:v>0.59659347093438764</c:v>
                </c:pt>
                <c:pt idx="102">
                  <c:v>0.59630326687820134</c:v>
                </c:pt>
                <c:pt idx="103">
                  <c:v>0.59845260206024309</c:v>
                </c:pt>
                <c:pt idx="104">
                  <c:v>0.5994642260740316</c:v>
                </c:pt>
                <c:pt idx="105">
                  <c:v>0.59847781223801666</c:v>
                </c:pt>
                <c:pt idx="106">
                  <c:v>0.59864040766540616</c:v>
                </c:pt>
                <c:pt idx="107">
                  <c:v>0.61096700372214052</c:v>
                </c:pt>
                <c:pt idx="108">
                  <c:v>0.6079683385715362</c:v>
                </c:pt>
                <c:pt idx="109">
                  <c:v>0.61492100132291538</c:v>
                </c:pt>
                <c:pt idx="110">
                  <c:v>0.60812177951197</c:v>
                </c:pt>
                <c:pt idx="111">
                  <c:v>0.60385843919722704</c:v>
                </c:pt>
                <c:pt idx="112">
                  <c:v>0.59716961750482878</c:v>
                </c:pt>
                <c:pt idx="113">
                  <c:v>0.59968495903314101</c:v>
                </c:pt>
                <c:pt idx="114">
                  <c:v>0.58342075119882797</c:v>
                </c:pt>
                <c:pt idx="115">
                  <c:v>0.58340210907534917</c:v>
                </c:pt>
                <c:pt idx="116">
                  <c:v>0.57726870119510565</c:v>
                </c:pt>
                <c:pt idx="117">
                  <c:v>0.59044293032705786</c:v>
                </c:pt>
                <c:pt idx="118">
                  <c:v>0.59559118203453953</c:v>
                </c:pt>
                <c:pt idx="119">
                  <c:v>0.58436662979228104</c:v>
                </c:pt>
                <c:pt idx="120">
                  <c:v>0.59805561030556875</c:v>
                </c:pt>
                <c:pt idx="121">
                  <c:v>0.5916963897149341</c:v>
                </c:pt>
                <c:pt idx="122">
                  <c:v>0.58609713107040717</c:v>
                </c:pt>
                <c:pt idx="123">
                  <c:v>0.57852791899962508</c:v>
                </c:pt>
                <c:pt idx="124">
                  <c:v>0.57390233025374604</c:v>
                </c:pt>
                <c:pt idx="125">
                  <c:v>0.55818780227091969</c:v>
                </c:pt>
                <c:pt idx="126">
                  <c:v>0.56085161765192348</c:v>
                </c:pt>
                <c:pt idx="127">
                  <c:v>0.55841055533552841</c:v>
                </c:pt>
                <c:pt idx="128">
                  <c:v>0.56709262097018132</c:v>
                </c:pt>
                <c:pt idx="129">
                  <c:v>0.56693486211129251</c:v>
                </c:pt>
                <c:pt idx="130">
                  <c:v>0.56811980663094919</c:v>
                </c:pt>
                <c:pt idx="131">
                  <c:v>0.55482236843775101</c:v>
                </c:pt>
                <c:pt idx="132">
                  <c:v>0.55757236973704016</c:v>
                </c:pt>
                <c:pt idx="133">
                  <c:v>0.54185786631120991</c:v>
                </c:pt>
                <c:pt idx="134">
                  <c:v>0.52727808815517041</c:v>
                </c:pt>
                <c:pt idx="135">
                  <c:v>0.52516579596814583</c:v>
                </c:pt>
                <c:pt idx="136">
                  <c:v>0.52791651987814703</c:v>
                </c:pt>
                <c:pt idx="137">
                  <c:v>0.53384947370019376</c:v>
                </c:pt>
                <c:pt idx="138">
                  <c:v>0.52402493076256562</c:v>
                </c:pt>
                <c:pt idx="139">
                  <c:v>0.51817557010566739</c:v>
                </c:pt>
                <c:pt idx="140">
                  <c:v>0.51508750856049756</c:v>
                </c:pt>
                <c:pt idx="141">
                  <c:v>0.51018116921981149</c:v>
                </c:pt>
                <c:pt idx="142">
                  <c:v>0.51420895971326064</c:v>
                </c:pt>
                <c:pt idx="143">
                  <c:v>0.51176975021853821</c:v>
                </c:pt>
                <c:pt idx="144">
                  <c:v>0.51322337692897468</c:v>
                </c:pt>
                <c:pt idx="145">
                  <c:v>0.52966991551504339</c:v>
                </c:pt>
                <c:pt idx="146">
                  <c:v>0.52474740864782354</c:v>
                </c:pt>
                <c:pt idx="147">
                  <c:v>0.53327561469120921</c:v>
                </c:pt>
                <c:pt idx="148">
                  <c:v>0.53499861851382968</c:v>
                </c:pt>
                <c:pt idx="149">
                  <c:v>0.51457583705191556</c:v>
                </c:pt>
                <c:pt idx="150">
                  <c:v>0.50761620872297641</c:v>
                </c:pt>
                <c:pt idx="151">
                  <c:v>0.49492600904476863</c:v>
                </c:pt>
                <c:pt idx="152">
                  <c:v>0.49357901920971992</c:v>
                </c:pt>
                <c:pt idx="153">
                  <c:v>0.49763165790444469</c:v>
                </c:pt>
                <c:pt idx="154">
                  <c:v>0.49039171249384461</c:v>
                </c:pt>
                <c:pt idx="155">
                  <c:v>0.49306525796882561</c:v>
                </c:pt>
                <c:pt idx="156">
                  <c:v>0.49627822503386737</c:v>
                </c:pt>
                <c:pt idx="157">
                  <c:v>0.49960388036846787</c:v>
                </c:pt>
                <c:pt idx="158">
                  <c:v>0.48672128218579253</c:v>
                </c:pt>
                <c:pt idx="159">
                  <c:v>0.48863600459903694</c:v>
                </c:pt>
                <c:pt idx="160">
                  <c:v>0.48699434113631429</c:v>
                </c:pt>
                <c:pt idx="161">
                  <c:v>0.48026226950118039</c:v>
                </c:pt>
                <c:pt idx="162">
                  <c:v>0.47290807972481735</c:v>
                </c:pt>
                <c:pt idx="163">
                  <c:v>0.46684321185310079</c:v>
                </c:pt>
                <c:pt idx="164">
                  <c:v>0.47096148695535234</c:v>
                </c:pt>
                <c:pt idx="165">
                  <c:v>0.46785848943476449</c:v>
                </c:pt>
                <c:pt idx="166">
                  <c:v>0.47124262201222061</c:v>
                </c:pt>
                <c:pt idx="167">
                  <c:v>0.46383405190939159</c:v>
                </c:pt>
                <c:pt idx="168">
                  <c:v>0.46007572898604882</c:v>
                </c:pt>
                <c:pt idx="169">
                  <c:v>0.45531784572470702</c:v>
                </c:pt>
                <c:pt idx="170">
                  <c:v>0.46162156231215973</c:v>
                </c:pt>
                <c:pt idx="171">
                  <c:v>0.45411625239263242</c:v>
                </c:pt>
                <c:pt idx="172">
                  <c:v>0.46555927475891418</c:v>
                </c:pt>
                <c:pt idx="173">
                  <c:v>0.45423638790358872</c:v>
                </c:pt>
                <c:pt idx="174">
                  <c:v>0.45011756967220107</c:v>
                </c:pt>
                <c:pt idx="175">
                  <c:v>0.45344465873006962</c:v>
                </c:pt>
                <c:pt idx="176">
                  <c:v>0.45476062100792208</c:v>
                </c:pt>
                <c:pt idx="177">
                  <c:v>0.44608376359791635</c:v>
                </c:pt>
                <c:pt idx="178">
                  <c:v>0.43945042042388088</c:v>
                </c:pt>
                <c:pt idx="179">
                  <c:v>0.44267076701905966</c:v>
                </c:pt>
                <c:pt idx="180">
                  <c:v>0.44898222156164258</c:v>
                </c:pt>
                <c:pt idx="181">
                  <c:v>0.44109281919009219</c:v>
                </c:pt>
                <c:pt idx="182">
                  <c:v>0.4428294876782391</c:v>
                </c:pt>
                <c:pt idx="183">
                  <c:v>0.46013398829489005</c:v>
                </c:pt>
                <c:pt idx="184">
                  <c:v>0.45680932278351249</c:v>
                </c:pt>
                <c:pt idx="185">
                  <c:v>0.45757183253301276</c:v>
                </c:pt>
                <c:pt idx="186">
                  <c:v>0.45446174495318176</c:v>
                </c:pt>
                <c:pt idx="187">
                  <c:v>0.44598892745242547</c:v>
                </c:pt>
                <c:pt idx="188">
                  <c:v>0.43906340521088338</c:v>
                </c:pt>
                <c:pt idx="189">
                  <c:v>0.44090731949530471</c:v>
                </c:pt>
                <c:pt idx="190">
                  <c:v>0.43758231326999869</c:v>
                </c:pt>
                <c:pt idx="191">
                  <c:v>0.43722860784315526</c:v>
                </c:pt>
                <c:pt idx="192">
                  <c:v>0.43522784607479587</c:v>
                </c:pt>
                <c:pt idx="193">
                  <c:v>0.43761383283683919</c:v>
                </c:pt>
                <c:pt idx="194">
                  <c:v>0.43006401885741552</c:v>
                </c:pt>
                <c:pt idx="195">
                  <c:v>0.4179316611563253</c:v>
                </c:pt>
                <c:pt idx="196">
                  <c:v>0.42540728607304679</c:v>
                </c:pt>
                <c:pt idx="197">
                  <c:v>0.42351562255036124</c:v>
                </c:pt>
                <c:pt idx="198">
                  <c:v>0.42194136705054164</c:v>
                </c:pt>
                <c:pt idx="199">
                  <c:v>0.41497520679114153</c:v>
                </c:pt>
                <c:pt idx="200">
                  <c:v>0.42408605343185379</c:v>
                </c:pt>
                <c:pt idx="201">
                  <c:v>0.43368868745736</c:v>
                </c:pt>
                <c:pt idx="202">
                  <c:v>0.44104207910823812</c:v>
                </c:pt>
                <c:pt idx="203">
                  <c:v>0.43570795553329433</c:v>
                </c:pt>
                <c:pt idx="204">
                  <c:v>0.43196144664523317</c:v>
                </c:pt>
                <c:pt idx="205">
                  <c:v>0.43630253845642053</c:v>
                </c:pt>
                <c:pt idx="206">
                  <c:v>0.42124057578145918</c:v>
                </c:pt>
                <c:pt idx="207">
                  <c:v>0.4301478661180731</c:v>
                </c:pt>
                <c:pt idx="208">
                  <c:v>0.4463423594843956</c:v>
                </c:pt>
                <c:pt idx="209">
                  <c:v>0.45642488893658273</c:v>
                </c:pt>
                <c:pt idx="210">
                  <c:v>0.45652064085405586</c:v>
                </c:pt>
                <c:pt idx="211">
                  <c:v>0.44802007151786721</c:v>
                </c:pt>
                <c:pt idx="212">
                  <c:v>0.44044580907129616</c:v>
                </c:pt>
                <c:pt idx="213">
                  <c:v>0.44461060120162232</c:v>
                </c:pt>
                <c:pt idx="214">
                  <c:v>0.44103765036541676</c:v>
                </c:pt>
                <c:pt idx="215">
                  <c:v>0.44275858241311478</c:v>
                </c:pt>
                <c:pt idx="216">
                  <c:v>0.4483627520148456</c:v>
                </c:pt>
                <c:pt idx="217">
                  <c:v>0.44852940012359105</c:v>
                </c:pt>
                <c:pt idx="218">
                  <c:v>0.45205450722344898</c:v>
                </c:pt>
                <c:pt idx="219">
                  <c:v>0.44786931388206619</c:v>
                </c:pt>
                <c:pt idx="220">
                  <c:v>0.4479375114110738</c:v>
                </c:pt>
                <c:pt idx="221">
                  <c:v>0.45624730904548078</c:v>
                </c:pt>
                <c:pt idx="222">
                  <c:v>0.45900662922090363</c:v>
                </c:pt>
                <c:pt idx="223">
                  <c:v>0.45633983064326272</c:v>
                </c:pt>
                <c:pt idx="224">
                  <c:v>0.46287141236697182</c:v>
                </c:pt>
                <c:pt idx="225">
                  <c:v>0.46789119507663463</c:v>
                </c:pt>
                <c:pt idx="226">
                  <c:v>0.46156038230912805</c:v>
                </c:pt>
                <c:pt idx="227">
                  <c:v>0.46566013572574821</c:v>
                </c:pt>
                <c:pt idx="228">
                  <c:v>0.45970802674806338</c:v>
                </c:pt>
                <c:pt idx="229">
                  <c:v>0.45954321355478384</c:v>
                </c:pt>
                <c:pt idx="230">
                  <c:v>0.45064714441046844</c:v>
                </c:pt>
                <c:pt idx="231">
                  <c:v>0.45725923410497427</c:v>
                </c:pt>
                <c:pt idx="232">
                  <c:v>0.46699210663790885</c:v>
                </c:pt>
                <c:pt idx="233">
                  <c:v>0.47307268873700209</c:v>
                </c:pt>
                <c:pt idx="234">
                  <c:v>0.47812276340575693</c:v>
                </c:pt>
                <c:pt idx="235">
                  <c:v>0.47309392625370011</c:v>
                </c:pt>
                <c:pt idx="236">
                  <c:v>0.46869209253129701</c:v>
                </c:pt>
                <c:pt idx="237">
                  <c:v>0.46306107269375146</c:v>
                </c:pt>
                <c:pt idx="238">
                  <c:v>0.45488783608122763</c:v>
                </c:pt>
                <c:pt idx="239">
                  <c:v>0.44982752241161111</c:v>
                </c:pt>
                <c:pt idx="240">
                  <c:v>0.44175633070399156</c:v>
                </c:pt>
                <c:pt idx="241">
                  <c:v>0.43182553457653333</c:v>
                </c:pt>
                <c:pt idx="242">
                  <c:v>0.43375304032287554</c:v>
                </c:pt>
                <c:pt idx="243">
                  <c:v>0.43854991245601932</c:v>
                </c:pt>
                <c:pt idx="244">
                  <c:v>0.43311196104610039</c:v>
                </c:pt>
                <c:pt idx="245">
                  <c:v>0.43372935395094464</c:v>
                </c:pt>
                <c:pt idx="246">
                  <c:v>0.42429119559161971</c:v>
                </c:pt>
                <c:pt idx="247">
                  <c:v>0.42886559497237414</c:v>
                </c:pt>
                <c:pt idx="248">
                  <c:v>0.42663800834882398</c:v>
                </c:pt>
                <c:pt idx="249">
                  <c:v>0.43662115615204178</c:v>
                </c:pt>
                <c:pt idx="250">
                  <c:v>0.44082483827234015</c:v>
                </c:pt>
                <c:pt idx="251">
                  <c:v>0.45674278817420377</c:v>
                </c:pt>
                <c:pt idx="252">
                  <c:v>0.45946901611939817</c:v>
                </c:pt>
                <c:pt idx="253">
                  <c:v>0.46132970458009193</c:v>
                </c:pt>
                <c:pt idx="254">
                  <c:v>0.45862540909599547</c:v>
                </c:pt>
                <c:pt idx="255">
                  <c:v>0.45013045888116238</c:v>
                </c:pt>
                <c:pt idx="256">
                  <c:v>0.43928659530799957</c:v>
                </c:pt>
                <c:pt idx="257">
                  <c:v>0.43680627668621042</c:v>
                </c:pt>
                <c:pt idx="258">
                  <c:v>0.43581197010830974</c:v>
                </c:pt>
                <c:pt idx="259">
                  <c:v>0.42707730163671109</c:v>
                </c:pt>
                <c:pt idx="260">
                  <c:v>0.42976861118692589</c:v>
                </c:pt>
                <c:pt idx="261">
                  <c:v>0.41358264015009866</c:v>
                </c:pt>
                <c:pt idx="262">
                  <c:v>0.40937574397571241</c:v>
                </c:pt>
                <c:pt idx="263">
                  <c:v>0.41372923899543512</c:v>
                </c:pt>
                <c:pt idx="264">
                  <c:v>0.41742855012826652</c:v>
                </c:pt>
                <c:pt idx="265">
                  <c:v>0.4168748565820608</c:v>
                </c:pt>
                <c:pt idx="266">
                  <c:v>0.40929707624105088</c:v>
                </c:pt>
                <c:pt idx="267">
                  <c:v>0.40950509572509564</c:v>
                </c:pt>
                <c:pt idx="268">
                  <c:v>0.40380675128686022</c:v>
                </c:pt>
                <c:pt idx="269">
                  <c:v>0.40219300867572244</c:v>
                </c:pt>
                <c:pt idx="270">
                  <c:v>0.40300688011280339</c:v>
                </c:pt>
                <c:pt idx="271">
                  <c:v>0.39808270988975558</c:v>
                </c:pt>
                <c:pt idx="272">
                  <c:v>0.40459543086147026</c:v>
                </c:pt>
                <c:pt idx="273">
                  <c:v>0.40497410714050053</c:v>
                </c:pt>
                <c:pt idx="274">
                  <c:v>0.41182963509886644</c:v>
                </c:pt>
                <c:pt idx="275">
                  <c:v>0.40363936668775008</c:v>
                </c:pt>
                <c:pt idx="276">
                  <c:v>0.40042791739765005</c:v>
                </c:pt>
                <c:pt idx="277">
                  <c:v>0.40386632677279</c:v>
                </c:pt>
                <c:pt idx="278">
                  <c:v>0.4145374806884895</c:v>
                </c:pt>
                <c:pt idx="279">
                  <c:v>0.41212713192637074</c:v>
                </c:pt>
                <c:pt idx="280">
                  <c:v>0.40842194821030886</c:v>
                </c:pt>
                <c:pt idx="281">
                  <c:v>0.40006998281225631</c:v>
                </c:pt>
                <c:pt idx="282">
                  <c:v>0.40175337769843128</c:v>
                </c:pt>
                <c:pt idx="283">
                  <c:v>0.39360063498592235</c:v>
                </c:pt>
                <c:pt idx="284">
                  <c:v>0.40386483557103414</c:v>
                </c:pt>
                <c:pt idx="285">
                  <c:v>0.40984891229893244</c:v>
                </c:pt>
                <c:pt idx="286">
                  <c:v>0.4039672705191526</c:v>
                </c:pt>
                <c:pt idx="287">
                  <c:v>0.39960384638170271</c:v>
                </c:pt>
                <c:pt idx="288">
                  <c:v>0.40007548399491355</c:v>
                </c:pt>
                <c:pt idx="289">
                  <c:v>0.39667821920115287</c:v>
                </c:pt>
                <c:pt idx="290">
                  <c:v>0.39993563770320695</c:v>
                </c:pt>
                <c:pt idx="291">
                  <c:v>0.40533639368625501</c:v>
                </c:pt>
                <c:pt idx="292">
                  <c:v>0.41123794268950892</c:v>
                </c:pt>
                <c:pt idx="293">
                  <c:v>0.40839682945196848</c:v>
                </c:pt>
                <c:pt idx="294">
                  <c:v>0.40806632273707572</c:v>
                </c:pt>
                <c:pt idx="295">
                  <c:v>0.40950087101887928</c:v>
                </c:pt>
                <c:pt idx="296">
                  <c:v>0.41210680016511964</c:v>
                </c:pt>
                <c:pt idx="297">
                  <c:v>0.41253430701457411</c:v>
                </c:pt>
                <c:pt idx="298">
                  <c:v>0.41101435546028597</c:v>
                </c:pt>
                <c:pt idx="299">
                  <c:v>0.41373180810785998</c:v>
                </c:pt>
                <c:pt idx="300">
                  <c:v>0.41867161166322642</c:v>
                </c:pt>
                <c:pt idx="301">
                  <c:v>0.40642471566349231</c:v>
                </c:pt>
                <c:pt idx="302">
                  <c:v>0.40300647488946911</c:v>
                </c:pt>
                <c:pt idx="303">
                  <c:v>0.40591405605348629</c:v>
                </c:pt>
                <c:pt idx="304">
                  <c:v>0.41031951573627107</c:v>
                </c:pt>
                <c:pt idx="305">
                  <c:v>0.41016834638509575</c:v>
                </c:pt>
                <c:pt idx="306">
                  <c:v>0.40839888124173429</c:v>
                </c:pt>
                <c:pt idx="307">
                  <c:v>0.40588426385654419</c:v>
                </c:pt>
                <c:pt idx="308">
                  <c:v>0.40943757366230887</c:v>
                </c:pt>
                <c:pt idx="309">
                  <c:v>0.41244388334863602</c:v>
                </c:pt>
                <c:pt idx="310">
                  <c:v>0.41961315004564848</c:v>
                </c:pt>
                <c:pt idx="311">
                  <c:v>0.41319784637144735</c:v>
                </c:pt>
                <c:pt idx="312">
                  <c:v>0.41754425752346452</c:v>
                </c:pt>
                <c:pt idx="313">
                  <c:v>0.39802606293607912</c:v>
                </c:pt>
                <c:pt idx="314">
                  <c:v>0.38960574124113528</c:v>
                </c:pt>
                <c:pt idx="315">
                  <c:v>0.38740741072621132</c:v>
                </c:pt>
                <c:pt idx="316">
                  <c:v>0.38469756647641973</c:v>
                </c:pt>
                <c:pt idx="317">
                  <c:v>0.38319399658660208</c:v>
                </c:pt>
                <c:pt idx="318">
                  <c:v>0.38136674286895805</c:v>
                </c:pt>
                <c:pt idx="319">
                  <c:v>0.38919459534785011</c:v>
                </c:pt>
                <c:pt idx="320">
                  <c:v>0.38655371641139796</c:v>
                </c:pt>
                <c:pt idx="321">
                  <c:v>0.38670226760309589</c:v>
                </c:pt>
                <c:pt idx="322">
                  <c:v>0.38157452913883122</c:v>
                </c:pt>
                <c:pt idx="323">
                  <c:v>0.38926405320560686</c:v>
                </c:pt>
                <c:pt idx="324">
                  <c:v>0.38887897391972442</c:v>
                </c:pt>
                <c:pt idx="325">
                  <c:v>0.3917041592440309</c:v>
                </c:pt>
                <c:pt idx="326">
                  <c:v>0.37105031305440045</c:v>
                </c:pt>
                <c:pt idx="327">
                  <c:v>0.37156616104920909</c:v>
                </c:pt>
                <c:pt idx="328">
                  <c:v>0.36381976941821931</c:v>
                </c:pt>
                <c:pt idx="329">
                  <c:v>0.36969005842495267</c:v>
                </c:pt>
                <c:pt idx="330">
                  <c:v>0.37519156772274787</c:v>
                </c:pt>
                <c:pt idx="331">
                  <c:v>0.37764077641720617</c:v>
                </c:pt>
                <c:pt idx="332">
                  <c:v>0.37661676782599696</c:v>
                </c:pt>
                <c:pt idx="333">
                  <c:v>0.37468303872815001</c:v>
                </c:pt>
                <c:pt idx="334">
                  <c:v>0.3825100134181959</c:v>
                </c:pt>
                <c:pt idx="335">
                  <c:v>0.38371138353205075</c:v>
                </c:pt>
                <c:pt idx="336">
                  <c:v>0.38593522220443688</c:v>
                </c:pt>
                <c:pt idx="337">
                  <c:v>0.38961198993114438</c:v>
                </c:pt>
                <c:pt idx="338">
                  <c:v>0.39454769751615093</c:v>
                </c:pt>
                <c:pt idx="339">
                  <c:v>0.39830201837348028</c:v>
                </c:pt>
                <c:pt idx="340">
                  <c:v>0.3978344131881601</c:v>
                </c:pt>
                <c:pt idx="341">
                  <c:v>0.4041417521575229</c:v>
                </c:pt>
                <c:pt idx="342">
                  <c:v>0.40353033569677621</c:v>
                </c:pt>
                <c:pt idx="343">
                  <c:v>0.40048352712498986</c:v>
                </c:pt>
                <c:pt idx="344">
                  <c:v>0.38861350957204549</c:v>
                </c:pt>
                <c:pt idx="345">
                  <c:v>0.38597073178769059</c:v>
                </c:pt>
                <c:pt idx="346">
                  <c:v>0.38292550651044188</c:v>
                </c:pt>
                <c:pt idx="347">
                  <c:v>0.37528568881110769</c:v>
                </c:pt>
                <c:pt idx="348">
                  <c:v>0.38259405573046357</c:v>
                </c:pt>
                <c:pt idx="349">
                  <c:v>0.3877794357206007</c:v>
                </c:pt>
                <c:pt idx="350">
                  <c:v>0.39021112668276886</c:v>
                </c:pt>
                <c:pt idx="351">
                  <c:v>0.38876033848041269</c:v>
                </c:pt>
                <c:pt idx="352">
                  <c:v>0.39353225524522656</c:v>
                </c:pt>
                <c:pt idx="353">
                  <c:v>0.39248200410960266</c:v>
                </c:pt>
                <c:pt idx="354">
                  <c:v>0.38774652722022085</c:v>
                </c:pt>
                <c:pt idx="355">
                  <c:v>0.38530650682503309</c:v>
                </c:pt>
                <c:pt idx="356">
                  <c:v>0.38610000014963652</c:v>
                </c:pt>
                <c:pt idx="357">
                  <c:v>0.38405736127061718</c:v>
                </c:pt>
                <c:pt idx="358">
                  <c:v>0.3780130519945038</c:v>
                </c:pt>
                <c:pt idx="359">
                  <c:v>0.37252478712282255</c:v>
                </c:pt>
                <c:pt idx="360">
                  <c:v>0.37944746240445854</c:v>
                </c:pt>
                <c:pt idx="361">
                  <c:v>0.37776409109152936</c:v>
                </c:pt>
                <c:pt idx="362">
                  <c:v>0.37883937182834215</c:v>
                </c:pt>
                <c:pt idx="363">
                  <c:v>0.37062310628899525</c:v>
                </c:pt>
                <c:pt idx="364">
                  <c:v>0.36438192679093739</c:v>
                </c:pt>
                <c:pt idx="365">
                  <c:v>0.36311160288160588</c:v>
                </c:pt>
                <c:pt idx="366">
                  <c:v>0.36611540342600624</c:v>
                </c:pt>
                <c:pt idx="367">
                  <c:v>0.36234521584352747</c:v>
                </c:pt>
                <c:pt idx="368">
                  <c:v>0.36893156483191525</c:v>
                </c:pt>
                <c:pt idx="369">
                  <c:v>0.36489526587198667</c:v>
                </c:pt>
                <c:pt idx="370">
                  <c:v>0.36907149250883448</c:v>
                </c:pt>
                <c:pt idx="371">
                  <c:v>0.37529693781459295</c:v>
                </c:pt>
                <c:pt idx="372">
                  <c:v>0.37612453007829727</c:v>
                </c:pt>
                <c:pt idx="373">
                  <c:v>0.37434144110062517</c:v>
                </c:pt>
                <c:pt idx="374">
                  <c:v>0.37427668313363127</c:v>
                </c:pt>
                <c:pt idx="375">
                  <c:v>0.37066489405043196</c:v>
                </c:pt>
                <c:pt idx="376">
                  <c:v>0.36786073722851037</c:v>
                </c:pt>
                <c:pt idx="377">
                  <c:v>0.36838277963569688</c:v>
                </c:pt>
                <c:pt idx="378">
                  <c:v>0.37115628106040227</c:v>
                </c:pt>
                <c:pt idx="379">
                  <c:v>0.38261093110977434</c:v>
                </c:pt>
                <c:pt idx="380">
                  <c:v>0.37609014358129839</c:v>
                </c:pt>
                <c:pt idx="381">
                  <c:v>0.37959187390473487</c:v>
                </c:pt>
                <c:pt idx="382">
                  <c:v>0.37946610720377921</c:v>
                </c:pt>
                <c:pt idx="383">
                  <c:v>0.37940945668369125</c:v>
                </c:pt>
                <c:pt idx="384">
                  <c:v>0.37888397536982793</c:v>
                </c:pt>
                <c:pt idx="385">
                  <c:v>0.38444115638320986</c:v>
                </c:pt>
                <c:pt idx="386">
                  <c:v>0.38681449382473254</c:v>
                </c:pt>
                <c:pt idx="387">
                  <c:v>0.37905124482744185</c:v>
                </c:pt>
                <c:pt idx="388">
                  <c:v>0.38660599941725809</c:v>
                </c:pt>
                <c:pt idx="389">
                  <c:v>0.38578239731995545</c:v>
                </c:pt>
                <c:pt idx="390">
                  <c:v>0.38335481338670468</c:v>
                </c:pt>
                <c:pt idx="391">
                  <c:v>0.37802313711379842</c:v>
                </c:pt>
                <c:pt idx="392">
                  <c:v>0.3811470659984792</c:v>
                </c:pt>
                <c:pt idx="393">
                  <c:v>0.38008132554041252</c:v>
                </c:pt>
                <c:pt idx="394">
                  <c:v>0.37720355372249054</c:v>
                </c:pt>
                <c:pt idx="395">
                  <c:v>0.38343044393363113</c:v>
                </c:pt>
                <c:pt idx="396">
                  <c:v>0.38897544135846496</c:v>
                </c:pt>
                <c:pt idx="397">
                  <c:v>0.37971758701208425</c:v>
                </c:pt>
                <c:pt idx="398">
                  <c:v>0.37293085936944326</c:v>
                </c:pt>
                <c:pt idx="399">
                  <c:v>0.36657578732239859</c:v>
                </c:pt>
                <c:pt idx="400">
                  <c:v>0.36768617378250484</c:v>
                </c:pt>
                <c:pt idx="401">
                  <c:v>0.35542551659170385</c:v>
                </c:pt>
                <c:pt idx="402">
                  <c:v>0.3591295147980893</c:v>
                </c:pt>
                <c:pt idx="403">
                  <c:v>0.36019352005326238</c:v>
                </c:pt>
                <c:pt idx="404">
                  <c:v>0.36321858950115804</c:v>
                </c:pt>
                <c:pt idx="405">
                  <c:v>0.36185087852567083</c:v>
                </c:pt>
                <c:pt idx="406">
                  <c:v>0.34881100767899398</c:v>
                </c:pt>
                <c:pt idx="407">
                  <c:v>0.34550827486634117</c:v>
                </c:pt>
                <c:pt idx="408">
                  <c:v>0.34193229962040134</c:v>
                </c:pt>
                <c:pt idx="409">
                  <c:v>0.340170542700023</c:v>
                </c:pt>
                <c:pt idx="410">
                  <c:v>0.33782226993116027</c:v>
                </c:pt>
                <c:pt idx="411">
                  <c:v>0.33330922993796819</c:v>
                </c:pt>
                <c:pt idx="412">
                  <c:v>0.33977422367700144</c:v>
                </c:pt>
                <c:pt idx="413">
                  <c:v>0.33825681871513125</c:v>
                </c:pt>
                <c:pt idx="414">
                  <c:v>0.33640020067515924</c:v>
                </c:pt>
                <c:pt idx="415">
                  <c:v>0.32762518930978096</c:v>
                </c:pt>
                <c:pt idx="416">
                  <c:v>0.33255104316934042</c:v>
                </c:pt>
                <c:pt idx="417">
                  <c:v>0.32864504432890657</c:v>
                </c:pt>
                <c:pt idx="418">
                  <c:v>0.32908344892356844</c:v>
                </c:pt>
                <c:pt idx="419">
                  <c:v>0.3358140474753239</c:v>
                </c:pt>
                <c:pt idx="420">
                  <c:v>0.34129875269360233</c:v>
                </c:pt>
                <c:pt idx="421">
                  <c:v>0.33878789274906967</c:v>
                </c:pt>
                <c:pt idx="422">
                  <c:v>0.33824153452484168</c:v>
                </c:pt>
                <c:pt idx="423">
                  <c:v>0.335245161317413</c:v>
                </c:pt>
                <c:pt idx="424">
                  <c:v>0.33334175872230531</c:v>
                </c:pt>
                <c:pt idx="425">
                  <c:v>0.32691500237704552</c:v>
                </c:pt>
                <c:pt idx="426">
                  <c:v>0.32639542102544084</c:v>
                </c:pt>
                <c:pt idx="427">
                  <c:v>0.32353476186589664</c:v>
                </c:pt>
                <c:pt idx="428">
                  <c:v>0.32799481280918308</c:v>
                </c:pt>
                <c:pt idx="429">
                  <c:v>0.33183937917306738</c:v>
                </c:pt>
                <c:pt idx="430">
                  <c:v>0.33198099614856375</c:v>
                </c:pt>
                <c:pt idx="431">
                  <c:v>0.33765679562415207</c:v>
                </c:pt>
                <c:pt idx="432">
                  <c:v>0.33865678616411432</c:v>
                </c:pt>
                <c:pt idx="433">
                  <c:v>0.34059277193579512</c:v>
                </c:pt>
                <c:pt idx="434">
                  <c:v>0.3420774871333267</c:v>
                </c:pt>
                <c:pt idx="435">
                  <c:v>0.33618388572817881</c:v>
                </c:pt>
                <c:pt idx="436">
                  <c:v>0.34225186359365273</c:v>
                </c:pt>
                <c:pt idx="437">
                  <c:v>0.3438403163733742</c:v>
                </c:pt>
                <c:pt idx="438">
                  <c:v>0.34688884373205081</c:v>
                </c:pt>
                <c:pt idx="439">
                  <c:v>0.34407920146455201</c:v>
                </c:pt>
                <c:pt idx="440">
                  <c:v>0.33706422426498878</c:v>
                </c:pt>
                <c:pt idx="441">
                  <c:v>0.32608497179120211</c:v>
                </c:pt>
                <c:pt idx="442">
                  <c:v>0.32336440819351581</c:v>
                </c:pt>
                <c:pt idx="443">
                  <c:v>0.32158387230075325</c:v>
                </c:pt>
                <c:pt idx="444">
                  <c:v>0.31594323880466263</c:v>
                </c:pt>
                <c:pt idx="445">
                  <c:v>0.3169191955954328</c:v>
                </c:pt>
                <c:pt idx="446">
                  <c:v>0.32443609636557391</c:v>
                </c:pt>
                <c:pt idx="447">
                  <c:v>0.32689994952132317</c:v>
                </c:pt>
                <c:pt idx="448">
                  <c:v>0.32565725939205126</c:v>
                </c:pt>
                <c:pt idx="449">
                  <c:v>0.32649726834193499</c:v>
                </c:pt>
                <c:pt idx="450">
                  <c:v>0.3156430076216119</c:v>
                </c:pt>
                <c:pt idx="451">
                  <c:v>0.31376019405946443</c:v>
                </c:pt>
                <c:pt idx="452">
                  <c:v>0.31021717030133561</c:v>
                </c:pt>
                <c:pt idx="453">
                  <c:v>0.30934218204612945</c:v>
                </c:pt>
                <c:pt idx="454">
                  <c:v>0.31774671718895359</c:v>
                </c:pt>
                <c:pt idx="455">
                  <c:v>0.31502128205396623</c:v>
                </c:pt>
                <c:pt idx="456">
                  <c:v>0.32243674610105161</c:v>
                </c:pt>
                <c:pt idx="457">
                  <c:v>0.31443273094352397</c:v>
                </c:pt>
                <c:pt idx="458">
                  <c:v>0.31627641268604978</c:v>
                </c:pt>
                <c:pt idx="459">
                  <c:v>0.31090741443638248</c:v>
                </c:pt>
                <c:pt idx="460">
                  <c:v>0.31515980422337825</c:v>
                </c:pt>
                <c:pt idx="461">
                  <c:v>0.31803438012717372</c:v>
                </c:pt>
                <c:pt idx="462">
                  <c:v>0.32312238435042262</c:v>
                </c:pt>
                <c:pt idx="463">
                  <c:v>0.32827851727565233</c:v>
                </c:pt>
                <c:pt idx="464">
                  <c:v>0.32791771336530917</c:v>
                </c:pt>
                <c:pt idx="465">
                  <c:v>0.3266784693719898</c:v>
                </c:pt>
                <c:pt idx="466">
                  <c:v>0.33142208304076504</c:v>
                </c:pt>
                <c:pt idx="467">
                  <c:v>0.3289787632282799</c:v>
                </c:pt>
                <c:pt idx="468">
                  <c:v>0.32685319749486075</c:v>
                </c:pt>
                <c:pt idx="469">
                  <c:v>0.33112922245542542</c:v>
                </c:pt>
                <c:pt idx="470">
                  <c:v>0.33851040885223121</c:v>
                </c:pt>
                <c:pt idx="471">
                  <c:v>0.34359791287100155</c:v>
                </c:pt>
                <c:pt idx="472">
                  <c:v>0.34503990137913898</c:v>
                </c:pt>
                <c:pt idx="473">
                  <c:v>0.33304891074033732</c:v>
                </c:pt>
                <c:pt idx="474">
                  <c:v>0.3331281887550363</c:v>
                </c:pt>
                <c:pt idx="475">
                  <c:v>0.33279266292687465</c:v>
                </c:pt>
                <c:pt idx="476">
                  <c:v>0.32782020604635548</c:v>
                </c:pt>
                <c:pt idx="477">
                  <c:v>0.33188106016010066</c:v>
                </c:pt>
                <c:pt idx="478">
                  <c:v>0.33868755964221842</c:v>
                </c:pt>
                <c:pt idx="479">
                  <c:v>0.33851426187444944</c:v>
                </c:pt>
                <c:pt idx="480">
                  <c:v>0.33899910603659017</c:v>
                </c:pt>
                <c:pt idx="481">
                  <c:v>0.33380581404443205</c:v>
                </c:pt>
                <c:pt idx="482">
                  <c:v>0.3258385695121741</c:v>
                </c:pt>
                <c:pt idx="483">
                  <c:v>0.31954508899495615</c:v>
                </c:pt>
                <c:pt idx="484">
                  <c:v>0.3152854170271604</c:v>
                </c:pt>
                <c:pt idx="485">
                  <c:v>0.30459102629583101</c:v>
                </c:pt>
                <c:pt idx="486">
                  <c:v>0.30177080797173089</c:v>
                </c:pt>
                <c:pt idx="487">
                  <c:v>0.31084728731157341</c:v>
                </c:pt>
                <c:pt idx="488">
                  <c:v>0.30789967651835043</c:v>
                </c:pt>
                <c:pt idx="489">
                  <c:v>0.31386417729577032</c:v>
                </c:pt>
                <c:pt idx="490">
                  <c:v>0.31203530287287384</c:v>
                </c:pt>
                <c:pt idx="491">
                  <c:v>0.31686176280765049</c:v>
                </c:pt>
                <c:pt idx="492">
                  <c:v>0.31308486799914326</c:v>
                </c:pt>
                <c:pt idx="493">
                  <c:v>0.3218578590325395</c:v>
                </c:pt>
                <c:pt idx="494">
                  <c:v>0.32261179601289497</c:v>
                </c:pt>
                <c:pt idx="495">
                  <c:v>0.31919771032991195</c:v>
                </c:pt>
                <c:pt idx="496">
                  <c:v>0.31621293053400834</c:v>
                </c:pt>
                <c:pt idx="497">
                  <c:v>0.31983131435937534</c:v>
                </c:pt>
                <c:pt idx="498">
                  <c:v>0.31920754086999364</c:v>
                </c:pt>
                <c:pt idx="499">
                  <c:v>0.3180614141832584</c:v>
                </c:pt>
                <c:pt idx="500">
                  <c:v>0.31941208433462592</c:v>
                </c:pt>
                <c:pt idx="501">
                  <c:v>0.31484950302315851</c:v>
                </c:pt>
                <c:pt idx="502">
                  <c:v>0.31291014885447876</c:v>
                </c:pt>
                <c:pt idx="503">
                  <c:v>0.31272641225212938</c:v>
                </c:pt>
                <c:pt idx="504">
                  <c:v>0.31146463663351859</c:v>
                </c:pt>
                <c:pt idx="505">
                  <c:v>0.31059350852188172</c:v>
                </c:pt>
                <c:pt idx="506">
                  <c:v>0.29962262600599066</c:v>
                </c:pt>
                <c:pt idx="507">
                  <c:v>0.30502361816475859</c:v>
                </c:pt>
                <c:pt idx="508">
                  <c:v>0.30885191820520569</c:v>
                </c:pt>
                <c:pt idx="509">
                  <c:v>0.30810781866580433</c:v>
                </c:pt>
                <c:pt idx="510">
                  <c:v>0.3018543353074617</c:v>
                </c:pt>
                <c:pt idx="511">
                  <c:v>0.30765502064940847</c:v>
                </c:pt>
                <c:pt idx="512">
                  <c:v>0.30623240035932925</c:v>
                </c:pt>
                <c:pt idx="513">
                  <c:v>0.30141772533069155</c:v>
                </c:pt>
                <c:pt idx="514">
                  <c:v>0.29983877750897575</c:v>
                </c:pt>
                <c:pt idx="515">
                  <c:v>0.29304012649182659</c:v>
                </c:pt>
                <c:pt idx="516">
                  <c:v>0.28861153569453385</c:v>
                </c:pt>
                <c:pt idx="517">
                  <c:v>0.28879659358687126</c:v>
                </c:pt>
                <c:pt idx="518">
                  <c:v>0.29274930268460558</c:v>
                </c:pt>
                <c:pt idx="519">
                  <c:v>0.29196580152325163</c:v>
                </c:pt>
                <c:pt idx="520">
                  <c:v>0.28498505709383154</c:v>
                </c:pt>
                <c:pt idx="521">
                  <c:v>0.28469260797675999</c:v>
                </c:pt>
                <c:pt idx="522">
                  <c:v>0.28448721948790107</c:v>
                </c:pt>
                <c:pt idx="523">
                  <c:v>0.28544795794516992</c:v>
                </c:pt>
                <c:pt idx="524">
                  <c:v>0.28303080451132945</c:v>
                </c:pt>
                <c:pt idx="525">
                  <c:v>0.27383840449343755</c:v>
                </c:pt>
                <c:pt idx="526">
                  <c:v>0.2746877989267158</c:v>
                </c:pt>
                <c:pt idx="527">
                  <c:v>0.28220423376066267</c:v>
                </c:pt>
                <c:pt idx="528">
                  <c:v>0.28570813415648627</c:v>
                </c:pt>
                <c:pt idx="529">
                  <c:v>0.27687325760009568</c:v>
                </c:pt>
                <c:pt idx="530">
                  <c:v>0.2747386714314759</c:v>
                </c:pt>
                <c:pt idx="531">
                  <c:v>0.28051876848063195</c:v>
                </c:pt>
                <c:pt idx="532">
                  <c:v>0.28254733807979721</c:v>
                </c:pt>
                <c:pt idx="533">
                  <c:v>0.28443822890097553</c:v>
                </c:pt>
                <c:pt idx="534">
                  <c:v>0.27760513524450325</c:v>
                </c:pt>
                <c:pt idx="535">
                  <c:v>0.27288647175550046</c:v>
                </c:pt>
                <c:pt idx="536">
                  <c:v>0.27939615561760545</c:v>
                </c:pt>
                <c:pt idx="537">
                  <c:v>0.28022137115647122</c:v>
                </c:pt>
                <c:pt idx="538">
                  <c:v>0.28012504611994227</c:v>
                </c:pt>
                <c:pt idx="539">
                  <c:v>0.27860857336905198</c:v>
                </c:pt>
                <c:pt idx="540">
                  <c:v>0.284369534848121</c:v>
                </c:pt>
                <c:pt idx="541">
                  <c:v>0.28542148779717541</c:v>
                </c:pt>
                <c:pt idx="542">
                  <c:v>0.28318896118848508</c:v>
                </c:pt>
                <c:pt idx="543">
                  <c:v>0.27718281554035912</c:v>
                </c:pt>
                <c:pt idx="544">
                  <c:v>0.27850557672103299</c:v>
                </c:pt>
                <c:pt idx="545">
                  <c:v>0.28237986777008295</c:v>
                </c:pt>
                <c:pt idx="546">
                  <c:v>0.28219319781476748</c:v>
                </c:pt>
                <c:pt idx="547">
                  <c:v>0.28465840099885625</c:v>
                </c:pt>
                <c:pt idx="548">
                  <c:v>0.27884441192125492</c:v>
                </c:pt>
                <c:pt idx="549">
                  <c:v>0.2797914024933858</c:v>
                </c:pt>
                <c:pt idx="550">
                  <c:v>0.28079724577603088</c:v>
                </c:pt>
                <c:pt idx="551">
                  <c:v>0.28489561456680756</c:v>
                </c:pt>
                <c:pt idx="552">
                  <c:v>0.28219776879801722</c:v>
                </c:pt>
                <c:pt idx="553">
                  <c:v>0.27473777856480891</c:v>
                </c:pt>
                <c:pt idx="554">
                  <c:v>0.28460575421067147</c:v>
                </c:pt>
                <c:pt idx="555">
                  <c:v>0.28006782986229112</c:v>
                </c:pt>
                <c:pt idx="556">
                  <c:v>0.27903824450615139</c:v>
                </c:pt>
                <c:pt idx="557">
                  <c:v>0.27913348412111488</c:v>
                </c:pt>
                <c:pt idx="558">
                  <c:v>0.28483837363331466</c:v>
                </c:pt>
                <c:pt idx="559">
                  <c:v>0.28435372879603998</c:v>
                </c:pt>
                <c:pt idx="560">
                  <c:v>0.28416533085676693</c:v>
                </c:pt>
                <c:pt idx="561">
                  <c:v>0.28630069266657021</c:v>
                </c:pt>
                <c:pt idx="562">
                  <c:v>0.27470651876289853</c:v>
                </c:pt>
                <c:pt idx="563">
                  <c:v>0.27416894974422396</c:v>
                </c:pt>
                <c:pt idx="564">
                  <c:v>0.26791074295866779</c:v>
                </c:pt>
                <c:pt idx="565">
                  <c:v>0.26576121030572969</c:v>
                </c:pt>
                <c:pt idx="566">
                  <c:v>0.26857853035658069</c:v>
                </c:pt>
                <c:pt idx="567">
                  <c:v>0.26661618946013571</c:v>
                </c:pt>
                <c:pt idx="568">
                  <c:v>0.26520596350213965</c:v>
                </c:pt>
                <c:pt idx="569">
                  <c:v>0.26466043744226453</c:v>
                </c:pt>
                <c:pt idx="570">
                  <c:v>0.25888253307729331</c:v>
                </c:pt>
                <c:pt idx="571">
                  <c:v>0.25864928669233045</c:v>
                </c:pt>
                <c:pt idx="572">
                  <c:v>0.25821306459886922</c:v>
                </c:pt>
                <c:pt idx="573">
                  <c:v>0.25828478901910007</c:v>
                </c:pt>
                <c:pt idx="574">
                  <c:v>0.2495642024078206</c:v>
                </c:pt>
                <c:pt idx="575">
                  <c:v>0.24933564213173134</c:v>
                </c:pt>
                <c:pt idx="576">
                  <c:v>0.24812204796834958</c:v>
                </c:pt>
                <c:pt idx="577">
                  <c:v>0.24645717517689941</c:v>
                </c:pt>
                <c:pt idx="578">
                  <c:v>0.2435437536350665</c:v>
                </c:pt>
                <c:pt idx="579">
                  <c:v>0.24223445069323529</c:v>
                </c:pt>
                <c:pt idx="580">
                  <c:v>0.24572912815206502</c:v>
                </c:pt>
                <c:pt idx="581">
                  <c:v>0.24109117163757879</c:v>
                </c:pt>
                <c:pt idx="582">
                  <c:v>0.23767360476061006</c:v>
                </c:pt>
                <c:pt idx="583">
                  <c:v>0.24083097363848333</c:v>
                </c:pt>
                <c:pt idx="584">
                  <c:v>0.2355389884145806</c:v>
                </c:pt>
                <c:pt idx="585">
                  <c:v>0.23058372281020872</c:v>
                </c:pt>
                <c:pt idx="586">
                  <c:v>0.22828151342366812</c:v>
                </c:pt>
                <c:pt idx="587">
                  <c:v>0.22967146098574431</c:v>
                </c:pt>
                <c:pt idx="588">
                  <c:v>0.23403396902900264</c:v>
                </c:pt>
                <c:pt idx="589">
                  <c:v>0.23873320376647891</c:v>
                </c:pt>
                <c:pt idx="590">
                  <c:v>0.24272375731128321</c:v>
                </c:pt>
                <c:pt idx="591">
                  <c:v>0.24418005504601678</c:v>
                </c:pt>
                <c:pt idx="592">
                  <c:v>0.24616783812967166</c:v>
                </c:pt>
                <c:pt idx="593">
                  <c:v>0.24517795197354669</c:v>
                </c:pt>
                <c:pt idx="594">
                  <c:v>0.24466730111777496</c:v>
                </c:pt>
                <c:pt idx="595">
                  <c:v>0.24584245783997577</c:v>
                </c:pt>
                <c:pt idx="596">
                  <c:v>0.24956554282078253</c:v>
                </c:pt>
                <c:pt idx="597">
                  <c:v>0.24689519661762607</c:v>
                </c:pt>
                <c:pt idx="598">
                  <c:v>0.25190390343665381</c:v>
                </c:pt>
                <c:pt idx="599">
                  <c:v>0.24773631396214951</c:v>
                </c:pt>
                <c:pt idx="600">
                  <c:v>0.24939415566836032</c:v>
                </c:pt>
                <c:pt idx="601">
                  <c:v>0.24761982604350091</c:v>
                </c:pt>
                <c:pt idx="602">
                  <c:v>0.24709349366296793</c:v>
                </c:pt>
                <c:pt idx="603">
                  <c:v>0.25135337470554464</c:v>
                </c:pt>
                <c:pt idx="604">
                  <c:v>0.25010365113307553</c:v>
                </c:pt>
                <c:pt idx="605">
                  <c:v>0.24865440859762417</c:v>
                </c:pt>
                <c:pt idx="606">
                  <c:v>0.2488750241740684</c:v>
                </c:pt>
                <c:pt idx="607">
                  <c:v>0.24673146139326119</c:v>
                </c:pt>
                <c:pt idx="608">
                  <c:v>0.2484231172780105</c:v>
                </c:pt>
                <c:pt idx="609">
                  <c:v>0.25104094717200781</c:v>
                </c:pt>
                <c:pt idx="610">
                  <c:v>0.2497230037358156</c:v>
                </c:pt>
                <c:pt idx="611">
                  <c:v>0.25064916470219789</c:v>
                </c:pt>
                <c:pt idx="612">
                  <c:v>0.24697723489459819</c:v>
                </c:pt>
                <c:pt idx="613">
                  <c:v>0.25014656022606829</c:v>
                </c:pt>
                <c:pt idx="614">
                  <c:v>0.25231855026031402</c:v>
                </c:pt>
                <c:pt idx="615">
                  <c:v>0.25417626411384164</c:v>
                </c:pt>
                <c:pt idx="616">
                  <c:v>0.25952178786300867</c:v>
                </c:pt>
                <c:pt idx="617">
                  <c:v>0.25865234002950666</c:v>
                </c:pt>
                <c:pt idx="618">
                  <c:v>0.26091644726364371</c:v>
                </c:pt>
                <c:pt idx="619">
                  <c:v>0.26432649456902935</c:v>
                </c:pt>
                <c:pt idx="620">
                  <c:v>0.26559721911213785</c:v>
                </c:pt>
                <c:pt idx="621">
                  <c:v>0.26708152494314491</c:v>
                </c:pt>
                <c:pt idx="622">
                  <c:v>0.27091292557955743</c:v>
                </c:pt>
                <c:pt idx="623">
                  <c:v>0.26703596709360911</c:v>
                </c:pt>
                <c:pt idx="624">
                  <c:v>0.26711130060179833</c:v>
                </c:pt>
                <c:pt idx="625">
                  <c:v>0.26418046321815181</c:v>
                </c:pt>
                <c:pt idx="626">
                  <c:v>0.26440795340875789</c:v>
                </c:pt>
                <c:pt idx="627">
                  <c:v>0.25584440628809596</c:v>
                </c:pt>
                <c:pt idx="628">
                  <c:v>0.25686700120081296</c:v>
                </c:pt>
                <c:pt idx="629">
                  <c:v>0.25434634496958347</c:v>
                </c:pt>
                <c:pt idx="630">
                  <c:v>0.25307651640004131</c:v>
                </c:pt>
                <c:pt idx="631">
                  <c:v>0.24766022555948608</c:v>
                </c:pt>
                <c:pt idx="632">
                  <c:v>0.2511659809113379</c:v>
                </c:pt>
                <c:pt idx="633">
                  <c:v>0.2493675352470712</c:v>
                </c:pt>
                <c:pt idx="634">
                  <c:v>0.25386389136791371</c:v>
                </c:pt>
                <c:pt idx="635">
                  <c:v>0.25492952628716353</c:v>
                </c:pt>
                <c:pt idx="636">
                  <c:v>0.25185967740726833</c:v>
                </c:pt>
                <c:pt idx="637">
                  <c:v>0.24816429572021725</c:v>
                </c:pt>
                <c:pt idx="638">
                  <c:v>0.2447753285578862</c:v>
                </c:pt>
                <c:pt idx="639">
                  <c:v>0.24629491424116187</c:v>
                </c:pt>
                <c:pt idx="640">
                  <c:v>0.24833335983379903</c:v>
                </c:pt>
                <c:pt idx="641">
                  <c:v>0.25228532578301138</c:v>
                </c:pt>
                <c:pt idx="642">
                  <c:v>0.25311219535418217</c:v>
                </c:pt>
                <c:pt idx="643">
                  <c:v>0.25121765899923326</c:v>
                </c:pt>
                <c:pt idx="644">
                  <c:v>0.25250599337071822</c:v>
                </c:pt>
                <c:pt idx="645">
                  <c:v>0.24961050430053472</c:v>
                </c:pt>
                <c:pt idx="646">
                  <c:v>0.25145691908596168</c:v>
                </c:pt>
                <c:pt idx="647">
                  <c:v>0.24983872888421044</c:v>
                </c:pt>
                <c:pt idx="648">
                  <c:v>0.24717207016723353</c:v>
                </c:pt>
                <c:pt idx="649">
                  <c:v>0.24760485320967099</c:v>
                </c:pt>
                <c:pt idx="650">
                  <c:v>0.24434180116993198</c:v>
                </c:pt>
                <c:pt idx="651">
                  <c:v>0.24646159161379039</c:v>
                </c:pt>
                <c:pt idx="652">
                  <c:v>0.24980586753293885</c:v>
                </c:pt>
                <c:pt idx="653">
                  <c:v>0.25156010374337595</c:v>
                </c:pt>
                <c:pt idx="654">
                  <c:v>0.25332807472757102</c:v>
                </c:pt>
                <c:pt idx="655">
                  <c:v>0.24980130749795315</c:v>
                </c:pt>
                <c:pt idx="656">
                  <c:v>0.25231929301235673</c:v>
                </c:pt>
                <c:pt idx="657">
                  <c:v>0.25150351982391789</c:v>
                </c:pt>
                <c:pt idx="658">
                  <c:v>0.25391251561996925</c:v>
                </c:pt>
                <c:pt idx="659">
                  <c:v>0.25578095470710666</c:v>
                </c:pt>
                <c:pt idx="660">
                  <c:v>0.25648043058179137</c:v>
                </c:pt>
                <c:pt idx="661">
                  <c:v>0.25596956951777916</c:v>
                </c:pt>
                <c:pt idx="662">
                  <c:v>0.25497235507111171</c:v>
                </c:pt>
                <c:pt idx="663">
                  <c:v>0.25627409653144057</c:v>
                </c:pt>
                <c:pt idx="664">
                  <c:v>0.25393965907855837</c:v>
                </c:pt>
                <c:pt idx="665">
                  <c:v>0.25394148723642224</c:v>
                </c:pt>
                <c:pt idx="666">
                  <c:v>0.25236531553192226</c:v>
                </c:pt>
                <c:pt idx="667">
                  <c:v>0.24846526907877364</c:v>
                </c:pt>
                <c:pt idx="668">
                  <c:v>0.24625876450345913</c:v>
                </c:pt>
                <c:pt idx="669">
                  <c:v>0.24735607207220861</c:v>
                </c:pt>
                <c:pt idx="670">
                  <c:v>0.23874169003021764</c:v>
                </c:pt>
                <c:pt idx="671">
                  <c:v>0.24360109402835259</c:v>
                </c:pt>
                <c:pt idx="672">
                  <c:v>0.24209051096366388</c:v>
                </c:pt>
                <c:pt idx="673">
                  <c:v>0.24577736682702381</c:v>
                </c:pt>
                <c:pt idx="674">
                  <c:v>0.2470564392327709</c:v>
                </c:pt>
                <c:pt idx="675">
                  <c:v>0.24006693155498388</c:v>
                </c:pt>
                <c:pt idx="676">
                  <c:v>0.23670311371003544</c:v>
                </c:pt>
                <c:pt idx="677">
                  <c:v>0.23570216122987084</c:v>
                </c:pt>
                <c:pt idx="678">
                  <c:v>0.2359495666836717</c:v>
                </c:pt>
                <c:pt idx="679">
                  <c:v>0.2358031536310389</c:v>
                </c:pt>
                <c:pt idx="680">
                  <c:v>0.24103457477422849</c:v>
                </c:pt>
                <c:pt idx="681">
                  <c:v>0.23729242461975164</c:v>
                </c:pt>
                <c:pt idx="682">
                  <c:v>0.23264903477093871</c:v>
                </c:pt>
                <c:pt idx="683">
                  <c:v>0.23339469071027613</c:v>
                </c:pt>
                <c:pt idx="684">
                  <c:v>0.2345884996566428</c:v>
                </c:pt>
                <c:pt idx="685">
                  <c:v>0.2363157363495352</c:v>
                </c:pt>
                <c:pt idx="686">
                  <c:v>0.2331095856730013</c:v>
                </c:pt>
                <c:pt idx="687">
                  <c:v>0.23724928761823111</c:v>
                </c:pt>
                <c:pt idx="688">
                  <c:v>0.23177373441310492</c:v>
                </c:pt>
                <c:pt idx="689">
                  <c:v>0.23608875677660468</c:v>
                </c:pt>
                <c:pt idx="690">
                  <c:v>0.24007684273578273</c:v>
                </c:pt>
                <c:pt idx="691">
                  <c:v>0.24319661646180751</c:v>
                </c:pt>
                <c:pt idx="692">
                  <c:v>0.24002781415581551</c:v>
                </c:pt>
                <c:pt idx="693">
                  <c:v>0.24080333759239975</c:v>
                </c:pt>
                <c:pt idx="694">
                  <c:v>0.23942146185238089</c:v>
                </c:pt>
                <c:pt idx="695">
                  <c:v>0.24181731874865339</c:v>
                </c:pt>
                <c:pt idx="696">
                  <c:v>0.24672188925800406</c:v>
                </c:pt>
                <c:pt idx="697">
                  <c:v>0.24740881202024143</c:v>
                </c:pt>
                <c:pt idx="698">
                  <c:v>0.24967440090035314</c:v>
                </c:pt>
                <c:pt idx="699">
                  <c:v>0.25015170710082141</c:v>
                </c:pt>
                <c:pt idx="700">
                  <c:v>0.24893609039743447</c:v>
                </c:pt>
                <c:pt idx="701">
                  <c:v>0.25285624271452251</c:v>
                </c:pt>
                <c:pt idx="702">
                  <c:v>0.25404104782006526</c:v>
                </c:pt>
                <c:pt idx="703">
                  <c:v>0.24494637001146954</c:v>
                </c:pt>
                <c:pt idx="704">
                  <c:v>0.2447810546043406</c:v>
                </c:pt>
                <c:pt idx="705">
                  <c:v>0.23807156641452276</c:v>
                </c:pt>
                <c:pt idx="706">
                  <c:v>0.24403321873686465</c:v>
                </c:pt>
                <c:pt idx="707">
                  <c:v>0.24513751077603863</c:v>
                </c:pt>
                <c:pt idx="708">
                  <c:v>0.24157853843190022</c:v>
                </c:pt>
                <c:pt idx="709">
                  <c:v>0.24404001464359854</c:v>
                </c:pt>
                <c:pt idx="710">
                  <c:v>0.24303918670709226</c:v>
                </c:pt>
                <c:pt idx="711">
                  <c:v>0.23954653146090502</c:v>
                </c:pt>
                <c:pt idx="712">
                  <c:v>0.24381266995084383</c:v>
                </c:pt>
                <c:pt idx="713">
                  <c:v>0.24134984976547266</c:v>
                </c:pt>
                <c:pt idx="714">
                  <c:v>0.23904527944332285</c:v>
                </c:pt>
                <c:pt idx="715">
                  <c:v>0.24271265088774194</c:v>
                </c:pt>
                <c:pt idx="716">
                  <c:v>0.24025877405090276</c:v>
                </c:pt>
                <c:pt idx="717">
                  <c:v>0.23197751235342193</c:v>
                </c:pt>
                <c:pt idx="718">
                  <c:v>0.23386379211927844</c:v>
                </c:pt>
                <c:pt idx="719">
                  <c:v>0.22703915495287763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Sheet1!$E$6:$E$11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Sheet1!$L$12:$L$1212</c:f>
              <c:numCache>
                <c:formatCode>General</c:formatCode>
                <c:ptCount val="1201"/>
                <c:pt idx="0">
                  <c:v>1.0509838032393521</c:v>
                </c:pt>
                <c:pt idx="1">
                  <c:v>1.0679099300719426</c:v>
                </c:pt>
                <c:pt idx="2">
                  <c:v>1.0960638342402083</c:v>
                </c:pt>
                <c:pt idx="3">
                  <c:v>1.1083678321382431</c:v>
                </c:pt>
                <c:pt idx="4">
                  <c:v>1.14057555814318</c:v>
                </c:pt>
                <c:pt idx="5">
                  <c:v>1.1474606454010998</c:v>
                </c:pt>
                <c:pt idx="6">
                  <c:v>1.1403108739218222</c:v>
                </c:pt>
                <c:pt idx="7">
                  <c:v>1.1487653597648302</c:v>
                </c:pt>
                <c:pt idx="8">
                  <c:v>1.163869213049161</c:v>
                </c:pt>
                <c:pt idx="9">
                  <c:v>1.1793056536549529</c:v>
                </c:pt>
                <c:pt idx="10">
                  <c:v>1.1984079926967948</c:v>
                </c:pt>
                <c:pt idx="11">
                  <c:v>1.1924703519770092</c:v>
                </c:pt>
                <c:pt idx="12">
                  <c:v>1.2149942609842901</c:v>
                </c:pt>
                <c:pt idx="13">
                  <c:v>1.2081079636378205</c:v>
                </c:pt>
                <c:pt idx="14">
                  <c:v>1.2170547844251884</c:v>
                </c:pt>
                <c:pt idx="15">
                  <c:v>1.2210054475318661</c:v>
                </c:pt>
                <c:pt idx="16">
                  <c:v>1.2434763005654217</c:v>
                </c:pt>
                <c:pt idx="17">
                  <c:v>1.2664669976824214</c:v>
                </c:pt>
                <c:pt idx="18">
                  <c:v>1.2633356248378196</c:v>
                </c:pt>
                <c:pt idx="19">
                  <c:v>1.2549898421113961</c:v>
                </c:pt>
                <c:pt idx="20">
                  <c:v>1.2846700391496342</c:v>
                </c:pt>
                <c:pt idx="21">
                  <c:v>1.3269895572027413</c:v>
                </c:pt>
                <c:pt idx="22">
                  <c:v>1.3696096702026903</c:v>
                </c:pt>
                <c:pt idx="23">
                  <c:v>1.3930691978025622</c:v>
                </c:pt>
                <c:pt idx="24">
                  <c:v>1.4242632262074346</c:v>
                </c:pt>
                <c:pt idx="25">
                  <c:v>1.4079402019243434</c:v>
                </c:pt>
                <c:pt idx="26">
                  <c:v>1.4120761013319771</c:v>
                </c:pt>
                <c:pt idx="27">
                  <c:v>1.4025700291079497</c:v>
                </c:pt>
                <c:pt idx="28">
                  <c:v>1.4212220338529313</c:v>
                </c:pt>
                <c:pt idx="29">
                  <c:v>1.3835509628953213</c:v>
                </c:pt>
                <c:pt idx="30">
                  <c:v>1.3817846707477035</c:v>
                </c:pt>
                <c:pt idx="31">
                  <c:v>1.3952397857692909</c:v>
                </c:pt>
                <c:pt idx="32">
                  <c:v>1.4074276137264259</c:v>
                </c:pt>
                <c:pt idx="33">
                  <c:v>1.3879391664390048</c:v>
                </c:pt>
                <c:pt idx="34">
                  <c:v>1.3984891047932262</c:v>
                </c:pt>
                <c:pt idx="35">
                  <c:v>1.3994444338245871</c:v>
                </c:pt>
                <c:pt idx="36">
                  <c:v>1.4166761010043236</c:v>
                </c:pt>
                <c:pt idx="37">
                  <c:v>1.4387185382953982</c:v>
                </c:pt>
                <c:pt idx="38">
                  <c:v>1.4099847989302547</c:v>
                </c:pt>
                <c:pt idx="39">
                  <c:v>1.4353271388874373</c:v>
                </c:pt>
                <c:pt idx="40">
                  <c:v>1.4245700202952534</c:v>
                </c:pt>
                <c:pt idx="41">
                  <c:v>1.4178179225868401</c:v>
                </c:pt>
                <c:pt idx="42">
                  <c:v>1.4147106999503349</c:v>
                </c:pt>
                <c:pt idx="43">
                  <c:v>1.412371554388556</c:v>
                </c:pt>
                <c:pt idx="44">
                  <c:v>1.4267938225571573</c:v>
                </c:pt>
                <c:pt idx="45">
                  <c:v>1.4168655810934012</c:v>
                </c:pt>
                <c:pt idx="46">
                  <c:v>1.4342939757014632</c:v>
                </c:pt>
                <c:pt idx="47">
                  <c:v>1.4368212666486324</c:v>
                </c:pt>
                <c:pt idx="48">
                  <c:v>1.4515607767524508</c:v>
                </c:pt>
                <c:pt idx="49">
                  <c:v>1.4623135769440225</c:v>
                </c:pt>
                <c:pt idx="50">
                  <c:v>1.4487171591839467</c:v>
                </c:pt>
                <c:pt idx="51">
                  <c:v>1.436642339486333</c:v>
                </c:pt>
                <c:pt idx="52">
                  <c:v>1.4210896557826052</c:v>
                </c:pt>
                <c:pt idx="53">
                  <c:v>1.434801877008673</c:v>
                </c:pt>
                <c:pt idx="54">
                  <c:v>1.441035017511844</c:v>
                </c:pt>
                <c:pt idx="55">
                  <c:v>1.4490695348236828</c:v>
                </c:pt>
                <c:pt idx="56">
                  <c:v>1.4701891718948858</c:v>
                </c:pt>
                <c:pt idx="57">
                  <c:v>1.4896439679292237</c:v>
                </c:pt>
                <c:pt idx="58">
                  <c:v>1.4878348192227897</c:v>
                </c:pt>
                <c:pt idx="59">
                  <c:v>1.4741577039107856</c:v>
                </c:pt>
                <c:pt idx="60">
                  <c:v>1.5014835478777853</c:v>
                </c:pt>
                <c:pt idx="61">
                  <c:v>1.4651971776296482</c:v>
                </c:pt>
                <c:pt idx="62">
                  <c:v>1.4920168879513243</c:v>
                </c:pt>
                <c:pt idx="63">
                  <c:v>1.4668417943127567</c:v>
                </c:pt>
                <c:pt idx="64">
                  <c:v>1.4982571787659977</c:v>
                </c:pt>
                <c:pt idx="65">
                  <c:v>1.521410894828636</c:v>
                </c:pt>
                <c:pt idx="66">
                  <c:v>1.522127177779202</c:v>
                </c:pt>
                <c:pt idx="67">
                  <c:v>1.5146729675122481</c:v>
                </c:pt>
                <c:pt idx="68">
                  <c:v>1.5439261615875526</c:v>
                </c:pt>
                <c:pt idx="69">
                  <c:v>1.5521923459998839</c:v>
                </c:pt>
                <c:pt idx="70">
                  <c:v>1.5569096752632459</c:v>
                </c:pt>
                <c:pt idx="71">
                  <c:v>1.5946325533365553</c:v>
                </c:pt>
                <c:pt idx="72">
                  <c:v>1.61070258966003</c:v>
                </c:pt>
                <c:pt idx="73">
                  <c:v>1.601517777599931</c:v>
                </c:pt>
                <c:pt idx="74">
                  <c:v>1.6115967447299133</c:v>
                </c:pt>
                <c:pt idx="75">
                  <c:v>1.6167770922158522</c:v>
                </c:pt>
                <c:pt idx="76">
                  <c:v>1.5945631899400516</c:v>
                </c:pt>
                <c:pt idx="77">
                  <c:v>1.6295957752820625</c:v>
                </c:pt>
                <c:pt idx="78">
                  <c:v>1.6330492184227037</c:v>
                </c:pt>
                <c:pt idx="79">
                  <c:v>1.6320532500916165</c:v>
                </c:pt>
                <c:pt idx="80">
                  <c:v>1.6469141700481307</c:v>
                </c:pt>
                <c:pt idx="81">
                  <c:v>1.6721852372679569</c:v>
                </c:pt>
                <c:pt idx="82">
                  <c:v>1.6565525404579242</c:v>
                </c:pt>
                <c:pt idx="83">
                  <c:v>1.6517268734141419</c:v>
                </c:pt>
                <c:pt idx="84">
                  <c:v>1.6672615122728089</c:v>
                </c:pt>
                <c:pt idx="85">
                  <c:v>1.6698255261621304</c:v>
                </c:pt>
                <c:pt idx="86">
                  <c:v>1.6742187605943404</c:v>
                </c:pt>
                <c:pt idx="87">
                  <c:v>1.6474659020209157</c:v>
                </c:pt>
                <c:pt idx="88">
                  <c:v>1.6122808325031215</c:v>
                </c:pt>
                <c:pt idx="89">
                  <c:v>1.6433200769430585</c:v>
                </c:pt>
                <c:pt idx="90">
                  <c:v>1.6207422663802984</c:v>
                </c:pt>
                <c:pt idx="91">
                  <c:v>1.6485013800628907</c:v>
                </c:pt>
                <c:pt idx="92">
                  <c:v>1.6314664833672485</c:v>
                </c:pt>
                <c:pt idx="93">
                  <c:v>1.6170777368708102</c:v>
                </c:pt>
                <c:pt idx="94">
                  <c:v>1.6546879658116156</c:v>
                </c:pt>
                <c:pt idx="95">
                  <c:v>1.6479196385482475</c:v>
                </c:pt>
                <c:pt idx="96">
                  <c:v>1.6642775911867307</c:v>
                </c:pt>
                <c:pt idx="97">
                  <c:v>1.6770808652291065</c:v>
                </c:pt>
                <c:pt idx="98">
                  <c:v>1.7115980413150829</c:v>
                </c:pt>
                <c:pt idx="99">
                  <c:v>1.7011384484004926</c:v>
                </c:pt>
                <c:pt idx="100">
                  <c:v>1.733225842162454</c:v>
                </c:pt>
                <c:pt idx="101">
                  <c:v>1.7436889014023389</c:v>
                </c:pt>
                <c:pt idx="102">
                  <c:v>1.7398596399359576</c:v>
                </c:pt>
                <c:pt idx="103">
                  <c:v>1.7853214180325074</c:v>
                </c:pt>
                <c:pt idx="104">
                  <c:v>1.7750425095201092</c:v>
                </c:pt>
                <c:pt idx="105">
                  <c:v>1.7851780231768655</c:v>
                </c:pt>
                <c:pt idx="106">
                  <c:v>1.8010981599571279</c:v>
                </c:pt>
                <c:pt idx="107">
                  <c:v>1.7663596052633928</c:v>
                </c:pt>
                <c:pt idx="108">
                  <c:v>1.7348202337097813</c:v>
                </c:pt>
                <c:pt idx="109">
                  <c:v>1.7363190235922397</c:v>
                </c:pt>
                <c:pt idx="110">
                  <c:v>1.7289847148613926</c:v>
                </c:pt>
                <c:pt idx="111">
                  <c:v>1.7546479684184284</c:v>
                </c:pt>
                <c:pt idx="112">
                  <c:v>1.7919506652884445</c:v>
                </c:pt>
                <c:pt idx="113">
                  <c:v>1.8302608304664243</c:v>
                </c:pt>
                <c:pt idx="114">
                  <c:v>1.841775831928764</c:v>
                </c:pt>
                <c:pt idx="115">
                  <c:v>1.8186643948121872</c:v>
                </c:pt>
                <c:pt idx="116">
                  <c:v>1.8244373987960079</c:v>
                </c:pt>
                <c:pt idx="117">
                  <c:v>1.819183175155749</c:v>
                </c:pt>
                <c:pt idx="118">
                  <c:v>1.823642410238669</c:v>
                </c:pt>
                <c:pt idx="119">
                  <c:v>1.7990298937808666</c:v>
                </c:pt>
                <c:pt idx="120">
                  <c:v>1.8237969400796086</c:v>
                </c:pt>
                <c:pt idx="121">
                  <c:v>1.8282243149960389</c:v>
                </c:pt>
                <c:pt idx="122">
                  <c:v>1.8663601926012268</c:v>
                </c:pt>
                <c:pt idx="123">
                  <c:v>1.8935272763029405</c:v>
                </c:pt>
                <c:pt idx="124">
                  <c:v>1.8946034659104067</c:v>
                </c:pt>
                <c:pt idx="125">
                  <c:v>1.8843232034421127</c:v>
                </c:pt>
                <c:pt idx="126">
                  <c:v>1.8792712110446821</c:v>
                </c:pt>
                <c:pt idx="127">
                  <c:v>1.9134413827477661</c:v>
                </c:pt>
                <c:pt idx="128">
                  <c:v>1.8866744392016945</c:v>
                </c:pt>
                <c:pt idx="129">
                  <c:v>1.863005195904208</c:v>
                </c:pt>
                <c:pt idx="130">
                  <c:v>1.8944195359508518</c:v>
                </c:pt>
                <c:pt idx="131">
                  <c:v>1.8673965473849898</c:v>
                </c:pt>
                <c:pt idx="132">
                  <c:v>1.8585163285436175</c:v>
                </c:pt>
                <c:pt idx="133">
                  <c:v>1.828931611174772</c:v>
                </c:pt>
                <c:pt idx="134">
                  <c:v>1.8539799267372787</c:v>
                </c:pt>
                <c:pt idx="135">
                  <c:v>1.828145764639054</c:v>
                </c:pt>
                <c:pt idx="136">
                  <c:v>1.8860601158917831</c:v>
                </c:pt>
                <c:pt idx="137">
                  <c:v>1.9074757938978883</c:v>
                </c:pt>
                <c:pt idx="138">
                  <c:v>1.8773317428987069</c:v>
                </c:pt>
                <c:pt idx="139">
                  <c:v>1.8807224150924469</c:v>
                </c:pt>
                <c:pt idx="140">
                  <c:v>1.8526146786758999</c:v>
                </c:pt>
                <c:pt idx="141">
                  <c:v>1.8818038599573907</c:v>
                </c:pt>
                <c:pt idx="142">
                  <c:v>1.8685545102746273</c:v>
                </c:pt>
                <c:pt idx="143">
                  <c:v>1.8511148785072062</c:v>
                </c:pt>
                <c:pt idx="144">
                  <c:v>1.8361340342787391</c:v>
                </c:pt>
                <c:pt idx="145">
                  <c:v>1.8666250311976036</c:v>
                </c:pt>
                <c:pt idx="146">
                  <c:v>1.8468755769668501</c:v>
                </c:pt>
                <c:pt idx="147">
                  <c:v>1.8249939763553471</c:v>
                </c:pt>
                <c:pt idx="148">
                  <c:v>1.8321103896661133</c:v>
                </c:pt>
                <c:pt idx="149">
                  <c:v>1.8663799517365876</c:v>
                </c:pt>
                <c:pt idx="150">
                  <c:v>1.8585779764203789</c:v>
                </c:pt>
                <c:pt idx="151">
                  <c:v>1.8315488096878192</c:v>
                </c:pt>
                <c:pt idx="152">
                  <c:v>1.894820553576869</c:v>
                </c:pt>
                <c:pt idx="153">
                  <c:v>1.8726707579886843</c:v>
                </c:pt>
                <c:pt idx="154">
                  <c:v>1.8449492521852586</c:v>
                </c:pt>
                <c:pt idx="155">
                  <c:v>1.8357447446391135</c:v>
                </c:pt>
                <c:pt idx="156">
                  <c:v>1.8548162734224238</c:v>
                </c:pt>
                <c:pt idx="157">
                  <c:v>1.8436904692446054</c:v>
                </c:pt>
                <c:pt idx="158">
                  <c:v>1.8895598884313316</c:v>
                </c:pt>
                <c:pt idx="159">
                  <c:v>1.9006738014069404</c:v>
                </c:pt>
                <c:pt idx="160">
                  <c:v>1.9203613695152897</c:v>
                </c:pt>
                <c:pt idx="161">
                  <c:v>1.923045090805237</c:v>
                </c:pt>
                <c:pt idx="162">
                  <c:v>1.9407439351383131</c:v>
                </c:pt>
                <c:pt idx="163">
                  <c:v>1.9817705908769834</c:v>
                </c:pt>
                <c:pt idx="164">
                  <c:v>1.9514846517225375</c:v>
                </c:pt>
                <c:pt idx="165">
                  <c:v>2.0087858675755497</c:v>
                </c:pt>
                <c:pt idx="166">
                  <c:v>1.9866360117926456</c:v>
                </c:pt>
                <c:pt idx="167">
                  <c:v>2.0248023601781888</c:v>
                </c:pt>
                <c:pt idx="168">
                  <c:v>2.0175522985458172</c:v>
                </c:pt>
                <c:pt idx="169">
                  <c:v>2.0320435152509435</c:v>
                </c:pt>
                <c:pt idx="170">
                  <c:v>2.0990828583631971</c:v>
                </c:pt>
                <c:pt idx="171">
                  <c:v>2.0524844237220505</c:v>
                </c:pt>
                <c:pt idx="172">
                  <c:v>2.0601305398535041</c:v>
                </c:pt>
                <c:pt idx="173">
                  <c:v>2.1276135976995629</c:v>
                </c:pt>
                <c:pt idx="174">
                  <c:v>2.1934826038845228</c:v>
                </c:pt>
                <c:pt idx="175">
                  <c:v>2.2090816728342757</c:v>
                </c:pt>
                <c:pt idx="176">
                  <c:v>2.2170385107704638</c:v>
                </c:pt>
                <c:pt idx="177">
                  <c:v>2.2780783586525963</c:v>
                </c:pt>
                <c:pt idx="178">
                  <c:v>2.2767554216956909</c:v>
                </c:pt>
                <c:pt idx="179">
                  <c:v>2.2787726076027828</c:v>
                </c:pt>
                <c:pt idx="180">
                  <c:v>2.2506636994463283</c:v>
                </c:pt>
                <c:pt idx="181">
                  <c:v>2.197017600716634</c:v>
                </c:pt>
                <c:pt idx="182">
                  <c:v>2.206137168479791</c:v>
                </c:pt>
                <c:pt idx="183">
                  <c:v>2.1169055295625925</c:v>
                </c:pt>
                <c:pt idx="184">
                  <c:v>2.1027885864989559</c:v>
                </c:pt>
                <c:pt idx="185">
                  <c:v>2.1262233513745858</c:v>
                </c:pt>
                <c:pt idx="186">
                  <c:v>2.0706808027753865</c:v>
                </c:pt>
                <c:pt idx="187">
                  <c:v>2.0623721615118296</c:v>
                </c:pt>
                <c:pt idx="188">
                  <c:v>2.0942993715851639</c:v>
                </c:pt>
                <c:pt idx="189">
                  <c:v>2.1023751002685409</c:v>
                </c:pt>
                <c:pt idx="190">
                  <c:v>2.1059356938301845</c:v>
                </c:pt>
                <c:pt idx="191">
                  <c:v>2.0804362630932602</c:v>
                </c:pt>
                <c:pt idx="192">
                  <c:v>2.0847203608184932</c:v>
                </c:pt>
                <c:pt idx="193">
                  <c:v>2.0819927500691362</c:v>
                </c:pt>
                <c:pt idx="194">
                  <c:v>2.0381799838887029</c:v>
                </c:pt>
                <c:pt idx="195">
                  <c:v>2.0519432900357097</c:v>
                </c:pt>
                <c:pt idx="196">
                  <c:v>2.1072343302913703</c:v>
                </c:pt>
                <c:pt idx="197">
                  <c:v>2.1131347736426207</c:v>
                </c:pt>
                <c:pt idx="198">
                  <c:v>2.0825020221513184</c:v>
                </c:pt>
                <c:pt idx="199">
                  <c:v>2.0782414203522896</c:v>
                </c:pt>
                <c:pt idx="200">
                  <c:v>2.1190256378214052</c:v>
                </c:pt>
                <c:pt idx="201">
                  <c:v>2.1615079888341668</c:v>
                </c:pt>
                <c:pt idx="202">
                  <c:v>2.1957270890676703</c:v>
                </c:pt>
                <c:pt idx="203">
                  <c:v>2.1894118289549875</c:v>
                </c:pt>
                <c:pt idx="204">
                  <c:v>2.1947471153625671</c:v>
                </c:pt>
                <c:pt idx="205">
                  <c:v>2.2271046235944323</c:v>
                </c:pt>
                <c:pt idx="206">
                  <c:v>2.2462353029860522</c:v>
                </c:pt>
                <c:pt idx="207">
                  <c:v>2.2609905537342452</c:v>
                </c:pt>
                <c:pt idx="208">
                  <c:v>2.2785605757171945</c:v>
                </c:pt>
                <c:pt idx="209">
                  <c:v>2.2806102121446203</c:v>
                </c:pt>
                <c:pt idx="210">
                  <c:v>2.2990109699824797</c:v>
                </c:pt>
                <c:pt idx="211">
                  <c:v>2.3551235077399637</c:v>
                </c:pt>
                <c:pt idx="212">
                  <c:v>2.388577680482749</c:v>
                </c:pt>
                <c:pt idx="213">
                  <c:v>2.3887168472206546</c:v>
                </c:pt>
                <c:pt idx="214">
                  <c:v>2.3512827264266738</c:v>
                </c:pt>
                <c:pt idx="215">
                  <c:v>2.4062207700869194</c:v>
                </c:pt>
                <c:pt idx="216">
                  <c:v>2.3636686800426854</c:v>
                </c:pt>
                <c:pt idx="217">
                  <c:v>2.3402798223038612</c:v>
                </c:pt>
                <c:pt idx="218">
                  <c:v>2.3389111991896709</c:v>
                </c:pt>
                <c:pt idx="219">
                  <c:v>2.3357669464304802</c:v>
                </c:pt>
                <c:pt idx="220">
                  <c:v>2.3487177900419725</c:v>
                </c:pt>
                <c:pt idx="221">
                  <c:v>2.3580502666204453</c:v>
                </c:pt>
                <c:pt idx="222">
                  <c:v>2.3069262730809248</c:v>
                </c:pt>
                <c:pt idx="223">
                  <c:v>2.2978887608367211</c:v>
                </c:pt>
                <c:pt idx="224">
                  <c:v>2.3088322911417825</c:v>
                </c:pt>
                <c:pt idx="225">
                  <c:v>2.37178130670577</c:v>
                </c:pt>
                <c:pt idx="226">
                  <c:v>2.3365069662760822</c:v>
                </c:pt>
                <c:pt idx="227">
                  <c:v>2.2930393954131887</c:v>
                </c:pt>
                <c:pt idx="228">
                  <c:v>2.2818537553630946</c:v>
                </c:pt>
                <c:pt idx="229">
                  <c:v>2.2964373529350728</c:v>
                </c:pt>
                <c:pt idx="230">
                  <c:v>2.3035910589546011</c:v>
                </c:pt>
                <c:pt idx="231">
                  <c:v>2.2666749174117418</c:v>
                </c:pt>
                <c:pt idx="232">
                  <c:v>2.2377184772855334</c:v>
                </c:pt>
                <c:pt idx="233">
                  <c:v>2.1930428763829801</c:v>
                </c:pt>
                <c:pt idx="234">
                  <c:v>2.2351424374384465</c:v>
                </c:pt>
                <c:pt idx="235">
                  <c:v>2.2141771675833564</c:v>
                </c:pt>
                <c:pt idx="236">
                  <c:v>2.1765159291248599</c:v>
                </c:pt>
                <c:pt idx="237">
                  <c:v>2.218840184678526</c:v>
                </c:pt>
                <c:pt idx="238">
                  <c:v>2.261280998551547</c:v>
                </c:pt>
                <c:pt idx="239">
                  <c:v>2.2374862338215968</c:v>
                </c:pt>
                <c:pt idx="240">
                  <c:v>2.2375551664122715</c:v>
                </c:pt>
                <c:pt idx="241">
                  <c:v>2.2400512777364758</c:v>
                </c:pt>
                <c:pt idx="242">
                  <c:v>2.2394894477753327</c:v>
                </c:pt>
                <c:pt idx="243">
                  <c:v>2.271140780680041</c:v>
                </c:pt>
                <c:pt idx="244">
                  <c:v>2.2974060371115734</c:v>
                </c:pt>
                <c:pt idx="245">
                  <c:v>2.3367277929267001</c:v>
                </c:pt>
                <c:pt idx="246">
                  <c:v>2.3100742451886385</c:v>
                </c:pt>
                <c:pt idx="247">
                  <c:v>2.3561736702753855</c:v>
                </c:pt>
                <c:pt idx="248">
                  <c:v>2.3361359432906799</c:v>
                </c:pt>
                <c:pt idx="249">
                  <c:v>2.3101857012854161</c:v>
                </c:pt>
                <c:pt idx="250">
                  <c:v>2.3643723316930116</c:v>
                </c:pt>
                <c:pt idx="251">
                  <c:v>2.3692547705482641</c:v>
                </c:pt>
                <c:pt idx="252">
                  <c:v>2.3443053479467255</c:v>
                </c:pt>
                <c:pt idx="253">
                  <c:v>2.3390621912626988</c:v>
                </c:pt>
                <c:pt idx="254">
                  <c:v>2.281685746012259</c:v>
                </c:pt>
                <c:pt idx="255">
                  <c:v>2.2966343140584846</c:v>
                </c:pt>
                <c:pt idx="256">
                  <c:v>2.2807584334098578</c:v>
                </c:pt>
                <c:pt idx="257">
                  <c:v>2.3244206972117754</c:v>
                </c:pt>
                <c:pt idx="258">
                  <c:v>2.2544408461989378</c:v>
                </c:pt>
                <c:pt idx="259">
                  <c:v>2.2603582433288367</c:v>
                </c:pt>
                <c:pt idx="260">
                  <c:v>2.2923098364372327</c:v>
                </c:pt>
                <c:pt idx="261">
                  <c:v>2.2025839598640782</c:v>
                </c:pt>
                <c:pt idx="262">
                  <c:v>2.1978634396303622</c:v>
                </c:pt>
                <c:pt idx="263">
                  <c:v>2.2157201517449003</c:v>
                </c:pt>
                <c:pt idx="264">
                  <c:v>2.2844440579767271</c:v>
                </c:pt>
                <c:pt idx="265">
                  <c:v>2.2977539104338951</c:v>
                </c:pt>
                <c:pt idx="266">
                  <c:v>2.2976712004379296</c:v>
                </c:pt>
                <c:pt idx="267">
                  <c:v>2.3348359570078485</c:v>
                </c:pt>
                <c:pt idx="268">
                  <c:v>2.3275836896471818</c:v>
                </c:pt>
                <c:pt idx="269">
                  <c:v>2.3863411153606555</c:v>
                </c:pt>
                <c:pt idx="270">
                  <c:v>2.3225426344570108</c:v>
                </c:pt>
                <c:pt idx="271">
                  <c:v>2.3556679225845665</c:v>
                </c:pt>
                <c:pt idx="272">
                  <c:v>2.3840869806562419</c:v>
                </c:pt>
                <c:pt idx="273">
                  <c:v>2.4226217223246982</c:v>
                </c:pt>
                <c:pt idx="274">
                  <c:v>2.4491763402229796</c:v>
                </c:pt>
                <c:pt idx="275">
                  <c:v>2.4524440247937389</c:v>
                </c:pt>
                <c:pt idx="276">
                  <c:v>2.4762632437324976</c:v>
                </c:pt>
                <c:pt idx="277">
                  <c:v>2.5220644847545133</c:v>
                </c:pt>
                <c:pt idx="278">
                  <c:v>2.5597655592357462</c:v>
                </c:pt>
                <c:pt idx="279">
                  <c:v>2.5667195698349086</c:v>
                </c:pt>
                <c:pt idx="280">
                  <c:v>2.5853310004463625</c:v>
                </c:pt>
                <c:pt idx="281">
                  <c:v>2.608862596168847</c:v>
                </c:pt>
                <c:pt idx="282">
                  <c:v>2.5627446425049905</c:v>
                </c:pt>
                <c:pt idx="283">
                  <c:v>2.5003438614965425</c:v>
                </c:pt>
                <c:pt idx="284">
                  <c:v>2.5257267748020955</c:v>
                </c:pt>
                <c:pt idx="285">
                  <c:v>2.5326995577550413</c:v>
                </c:pt>
                <c:pt idx="286">
                  <c:v>2.5291892606243547</c:v>
                </c:pt>
                <c:pt idx="287">
                  <c:v>2.5860580119010397</c:v>
                </c:pt>
                <c:pt idx="288">
                  <c:v>2.5563811525840285</c:v>
                </c:pt>
                <c:pt idx="289">
                  <c:v>2.5619672375362419</c:v>
                </c:pt>
                <c:pt idx="290">
                  <c:v>2.5469717739088917</c:v>
                </c:pt>
                <c:pt idx="291">
                  <c:v>2.5703906111324599</c:v>
                </c:pt>
                <c:pt idx="292">
                  <c:v>2.5562978840441217</c:v>
                </c:pt>
                <c:pt idx="293">
                  <c:v>2.5394470937890565</c:v>
                </c:pt>
                <c:pt idx="294">
                  <c:v>2.5974411616133586</c:v>
                </c:pt>
                <c:pt idx="295">
                  <c:v>2.6265614981712258</c:v>
                </c:pt>
                <c:pt idx="296">
                  <c:v>2.5672526077537876</c:v>
                </c:pt>
                <c:pt idx="297">
                  <c:v>2.4869974134847941</c:v>
                </c:pt>
                <c:pt idx="298">
                  <c:v>2.4704963251767147</c:v>
                </c:pt>
                <c:pt idx="299">
                  <c:v>2.4801688873975349</c:v>
                </c:pt>
                <c:pt idx="300">
                  <c:v>2.4744136959977165</c:v>
                </c:pt>
                <c:pt idx="301">
                  <c:v>2.4551119010792233</c:v>
                </c:pt>
                <c:pt idx="302">
                  <c:v>2.4742021878602474</c:v>
                </c:pt>
                <c:pt idx="303">
                  <c:v>2.4708106507556056</c:v>
                </c:pt>
                <c:pt idx="304">
                  <c:v>2.4824715267996709</c:v>
                </c:pt>
                <c:pt idx="305">
                  <c:v>2.46977811246248</c:v>
                </c:pt>
                <c:pt idx="306">
                  <c:v>2.5019033329963261</c:v>
                </c:pt>
                <c:pt idx="307">
                  <c:v>2.5237508241310791</c:v>
                </c:pt>
                <c:pt idx="308">
                  <c:v>2.5242073561179206</c:v>
                </c:pt>
                <c:pt idx="309">
                  <c:v>2.4899355722818091</c:v>
                </c:pt>
                <c:pt idx="310">
                  <c:v>2.5336070159244999</c:v>
                </c:pt>
                <c:pt idx="311">
                  <c:v>2.4781046040576418</c:v>
                </c:pt>
                <c:pt idx="312">
                  <c:v>2.5141087964451514</c:v>
                </c:pt>
                <c:pt idx="313">
                  <c:v>2.5134700836679307</c:v>
                </c:pt>
                <c:pt idx="314">
                  <c:v>2.5880994671267938</c:v>
                </c:pt>
                <c:pt idx="315">
                  <c:v>2.6237800480403926</c:v>
                </c:pt>
                <c:pt idx="316">
                  <c:v>2.5932326956413401</c:v>
                </c:pt>
                <c:pt idx="317">
                  <c:v>2.5912759682458963</c:v>
                </c:pt>
                <c:pt idx="318">
                  <c:v>2.6323282671583743</c:v>
                </c:pt>
                <c:pt idx="319">
                  <c:v>2.6322788751186317</c:v>
                </c:pt>
                <c:pt idx="320">
                  <c:v>2.6486323449202298</c:v>
                </c:pt>
                <c:pt idx="321">
                  <c:v>2.6269180275717168</c:v>
                </c:pt>
                <c:pt idx="322">
                  <c:v>2.5694791073669703</c:v>
                </c:pt>
                <c:pt idx="323">
                  <c:v>2.6158684635667893</c:v>
                </c:pt>
                <c:pt idx="324">
                  <c:v>2.576384587446392</c:v>
                </c:pt>
                <c:pt idx="325">
                  <c:v>2.5037967374995316</c:v>
                </c:pt>
                <c:pt idx="326">
                  <c:v>2.5210456383778355</c:v>
                </c:pt>
                <c:pt idx="327">
                  <c:v>2.5403865426631294</c:v>
                </c:pt>
                <c:pt idx="328">
                  <c:v>2.601052258714815</c:v>
                </c:pt>
                <c:pt idx="329">
                  <c:v>2.6175259972253015</c:v>
                </c:pt>
                <c:pt idx="330">
                  <c:v>2.5904075687557797</c:v>
                </c:pt>
                <c:pt idx="331">
                  <c:v>2.5848270772461874</c:v>
                </c:pt>
                <c:pt idx="332">
                  <c:v>2.6045621776267618</c:v>
                </c:pt>
                <c:pt idx="333">
                  <c:v>2.5646356742988377</c:v>
                </c:pt>
                <c:pt idx="334">
                  <c:v>2.5885123922005389</c:v>
                </c:pt>
                <c:pt idx="335">
                  <c:v>2.6594179423352613</c:v>
                </c:pt>
                <c:pt idx="336">
                  <c:v>2.6977502298674652</c:v>
                </c:pt>
                <c:pt idx="337">
                  <c:v>2.69926373791081</c:v>
                </c:pt>
                <c:pt idx="338">
                  <c:v>2.7108387155630638</c:v>
                </c:pt>
                <c:pt idx="339">
                  <c:v>2.7936431975805687</c:v>
                </c:pt>
                <c:pt idx="340">
                  <c:v>2.7195793138993962</c:v>
                </c:pt>
                <c:pt idx="341">
                  <c:v>2.7021693678440082</c:v>
                </c:pt>
                <c:pt idx="342">
                  <c:v>2.7226228581075422</c:v>
                </c:pt>
                <c:pt idx="343">
                  <c:v>2.7562786702631885</c:v>
                </c:pt>
                <c:pt idx="344">
                  <c:v>2.7547925729191745</c:v>
                </c:pt>
                <c:pt idx="345">
                  <c:v>2.7312723678092059</c:v>
                </c:pt>
                <c:pt idx="346">
                  <c:v>2.7301073894549637</c:v>
                </c:pt>
                <c:pt idx="347">
                  <c:v>2.7558368790399479</c:v>
                </c:pt>
                <c:pt idx="348">
                  <c:v>2.8364639072521936</c:v>
                </c:pt>
                <c:pt idx="349">
                  <c:v>2.8945421068624131</c:v>
                </c:pt>
                <c:pt idx="350">
                  <c:v>2.9144554707689734</c:v>
                </c:pt>
                <c:pt idx="351">
                  <c:v>2.9649408915726854</c:v>
                </c:pt>
                <c:pt idx="352">
                  <c:v>2.898928935066952</c:v>
                </c:pt>
                <c:pt idx="353">
                  <c:v>2.887632376952066</c:v>
                </c:pt>
                <c:pt idx="354">
                  <c:v>2.9229763764440038</c:v>
                </c:pt>
                <c:pt idx="355">
                  <c:v>2.8733622960989691</c:v>
                </c:pt>
                <c:pt idx="356">
                  <c:v>2.8313760617346175</c:v>
                </c:pt>
                <c:pt idx="357">
                  <c:v>2.8022898995942356</c:v>
                </c:pt>
                <c:pt idx="358">
                  <c:v>2.8792107909248923</c:v>
                </c:pt>
                <c:pt idx="359">
                  <c:v>2.9464194591273007</c:v>
                </c:pt>
                <c:pt idx="360">
                  <c:v>2.9926828324729855</c:v>
                </c:pt>
                <c:pt idx="361">
                  <c:v>2.9123570877651987</c:v>
                </c:pt>
                <c:pt idx="362">
                  <c:v>2.8316061298020601</c:v>
                </c:pt>
                <c:pt idx="363">
                  <c:v>2.7980991722506627</c:v>
                </c:pt>
                <c:pt idx="364">
                  <c:v>2.8395572946826446</c:v>
                </c:pt>
                <c:pt idx="365">
                  <c:v>2.8109772593016631</c:v>
                </c:pt>
                <c:pt idx="366">
                  <c:v>2.8108154622783692</c:v>
                </c:pt>
                <c:pt idx="367">
                  <c:v>2.8027730926012171</c:v>
                </c:pt>
                <c:pt idx="368">
                  <c:v>2.8243002008878992</c:v>
                </c:pt>
                <c:pt idx="369">
                  <c:v>2.8267769118465229</c:v>
                </c:pt>
                <c:pt idx="370">
                  <c:v>2.7775182626222934</c:v>
                </c:pt>
                <c:pt idx="371">
                  <c:v>2.7858861825421699</c:v>
                </c:pt>
                <c:pt idx="372">
                  <c:v>2.7661523132824275</c:v>
                </c:pt>
                <c:pt idx="373">
                  <c:v>2.7535510674819474</c:v>
                </c:pt>
                <c:pt idx="374">
                  <c:v>2.7636889956839679</c:v>
                </c:pt>
                <c:pt idx="375">
                  <c:v>2.7136680610745954</c:v>
                </c:pt>
                <c:pt idx="376">
                  <c:v>2.7050967203225298</c:v>
                </c:pt>
                <c:pt idx="377">
                  <c:v>2.630832818337796</c:v>
                </c:pt>
                <c:pt idx="378">
                  <c:v>2.6181354054088906</c:v>
                </c:pt>
                <c:pt idx="379">
                  <c:v>2.677952679067944</c:v>
                </c:pt>
                <c:pt idx="380">
                  <c:v>2.7075181039330589</c:v>
                </c:pt>
                <c:pt idx="381">
                  <c:v>2.7093414695960911</c:v>
                </c:pt>
                <c:pt idx="382">
                  <c:v>2.6993587328443107</c:v>
                </c:pt>
                <c:pt idx="383">
                  <c:v>2.705825277657993</c:v>
                </c:pt>
                <c:pt idx="384">
                  <c:v>2.677249793750585</c:v>
                </c:pt>
                <c:pt idx="385">
                  <c:v>2.7004164643260973</c:v>
                </c:pt>
                <c:pt idx="386">
                  <c:v>2.6469065799885856</c:v>
                </c:pt>
                <c:pt idx="387">
                  <c:v>2.6950225347838233</c:v>
                </c:pt>
                <c:pt idx="388">
                  <c:v>2.678366603771801</c:v>
                </c:pt>
                <c:pt idx="389">
                  <c:v>2.6548586457590493</c:v>
                </c:pt>
                <c:pt idx="390">
                  <c:v>2.7042675931057958</c:v>
                </c:pt>
                <c:pt idx="391">
                  <c:v>2.7428009040258439</c:v>
                </c:pt>
                <c:pt idx="392">
                  <c:v>2.7227498335578169</c:v>
                </c:pt>
                <c:pt idx="393">
                  <c:v>2.7535562485721528</c:v>
                </c:pt>
                <c:pt idx="394">
                  <c:v>2.7865075692049133</c:v>
                </c:pt>
                <c:pt idx="395">
                  <c:v>2.7956479046657465</c:v>
                </c:pt>
                <c:pt idx="396">
                  <c:v>2.7153897746152489</c:v>
                </c:pt>
                <c:pt idx="397">
                  <c:v>2.6610331005300076</c:v>
                </c:pt>
                <c:pt idx="398">
                  <c:v>2.6752524635267667</c:v>
                </c:pt>
                <c:pt idx="399">
                  <c:v>2.6911546994155886</c:v>
                </c:pt>
                <c:pt idx="400">
                  <c:v>2.7180608685325183</c:v>
                </c:pt>
                <c:pt idx="401">
                  <c:v>2.6744627117112949</c:v>
                </c:pt>
                <c:pt idx="402">
                  <c:v>2.6760717856814029</c:v>
                </c:pt>
                <c:pt idx="403">
                  <c:v>2.6632860465771007</c:v>
                </c:pt>
                <c:pt idx="404">
                  <c:v>2.6548128529331336</c:v>
                </c:pt>
                <c:pt idx="405">
                  <c:v>2.7194048811309228</c:v>
                </c:pt>
                <c:pt idx="406">
                  <c:v>2.6613810531073345</c:v>
                </c:pt>
                <c:pt idx="407">
                  <c:v>2.6549071787561869</c:v>
                </c:pt>
                <c:pt idx="408">
                  <c:v>2.6727607660490462</c:v>
                </c:pt>
                <c:pt idx="409">
                  <c:v>2.7094447277242262</c:v>
                </c:pt>
                <c:pt idx="410">
                  <c:v>2.7413208690065756</c:v>
                </c:pt>
                <c:pt idx="411">
                  <c:v>2.7539148819673946</c:v>
                </c:pt>
                <c:pt idx="412">
                  <c:v>2.733600526096561</c:v>
                </c:pt>
                <c:pt idx="413">
                  <c:v>2.7206037746151233</c:v>
                </c:pt>
                <c:pt idx="414">
                  <c:v>2.6814619338249126</c:v>
                </c:pt>
                <c:pt idx="415">
                  <c:v>2.62130579320791</c:v>
                </c:pt>
                <c:pt idx="416">
                  <c:v>2.6837171287701702</c:v>
                </c:pt>
                <c:pt idx="417">
                  <c:v>2.70978661535014</c:v>
                </c:pt>
                <c:pt idx="418">
                  <c:v>2.6623868881808543</c:v>
                </c:pt>
                <c:pt idx="419">
                  <c:v>2.6598890168781142</c:v>
                </c:pt>
                <c:pt idx="420">
                  <c:v>2.682286697207648</c:v>
                </c:pt>
                <c:pt idx="421">
                  <c:v>2.7258659367283706</c:v>
                </c:pt>
                <c:pt idx="422">
                  <c:v>2.6544850919133451</c:v>
                </c:pt>
                <c:pt idx="423">
                  <c:v>2.691205129370291</c:v>
                </c:pt>
                <c:pt idx="424">
                  <c:v>2.7104905016429215</c:v>
                </c:pt>
                <c:pt idx="425">
                  <c:v>2.731189402162681</c:v>
                </c:pt>
                <c:pt idx="426">
                  <c:v>2.7400724515429591</c:v>
                </c:pt>
                <c:pt idx="427">
                  <c:v>2.7363795061552603</c:v>
                </c:pt>
                <c:pt idx="428">
                  <c:v>2.7459819652504982</c:v>
                </c:pt>
                <c:pt idx="429">
                  <c:v>2.7526022375870762</c:v>
                </c:pt>
                <c:pt idx="430">
                  <c:v>2.7898053972473495</c:v>
                </c:pt>
                <c:pt idx="431">
                  <c:v>2.7543048865119699</c:v>
                </c:pt>
                <c:pt idx="432">
                  <c:v>2.7969370735091559</c:v>
                </c:pt>
                <c:pt idx="433">
                  <c:v>2.8224337187295427</c:v>
                </c:pt>
                <c:pt idx="434">
                  <c:v>2.7859476284364746</c:v>
                </c:pt>
                <c:pt idx="435">
                  <c:v>2.7593809603871033</c:v>
                </c:pt>
                <c:pt idx="436">
                  <c:v>2.741841083625383</c:v>
                </c:pt>
                <c:pt idx="437">
                  <c:v>2.7837859406049006</c:v>
                </c:pt>
                <c:pt idx="438">
                  <c:v>2.7658926129957471</c:v>
                </c:pt>
                <c:pt idx="439">
                  <c:v>2.8303760002519334</c:v>
                </c:pt>
                <c:pt idx="440">
                  <c:v>2.8333874869406377</c:v>
                </c:pt>
                <c:pt idx="441">
                  <c:v>2.8451221090090115</c:v>
                </c:pt>
                <c:pt idx="442">
                  <c:v>2.8585977194227166</c:v>
                </c:pt>
                <c:pt idx="443">
                  <c:v>2.86646645423862</c:v>
                </c:pt>
                <c:pt idx="444">
                  <c:v>2.9015485414910223</c:v>
                </c:pt>
                <c:pt idx="445">
                  <c:v>2.9525030492668916</c:v>
                </c:pt>
                <c:pt idx="446">
                  <c:v>2.8778230992903424</c:v>
                </c:pt>
                <c:pt idx="447">
                  <c:v>2.8827505670971929</c:v>
                </c:pt>
                <c:pt idx="448">
                  <c:v>2.9254459081078159</c:v>
                </c:pt>
                <c:pt idx="449">
                  <c:v>2.9415171772981448</c:v>
                </c:pt>
                <c:pt idx="450">
                  <c:v>3.0219646560337909</c:v>
                </c:pt>
                <c:pt idx="451">
                  <c:v>3.0121332084078007</c:v>
                </c:pt>
                <c:pt idx="452">
                  <c:v>3.0305828670632611</c:v>
                </c:pt>
                <c:pt idx="453">
                  <c:v>2.9852451841097172</c:v>
                </c:pt>
                <c:pt idx="454">
                  <c:v>3.002058371816497</c:v>
                </c:pt>
                <c:pt idx="455">
                  <c:v>2.986664153660632</c:v>
                </c:pt>
                <c:pt idx="456">
                  <c:v>2.9530420887237132</c:v>
                </c:pt>
                <c:pt idx="457">
                  <c:v>2.9732858752434153</c:v>
                </c:pt>
                <c:pt idx="458">
                  <c:v>2.9547104307317698</c:v>
                </c:pt>
                <c:pt idx="459">
                  <c:v>2.9743130676078775</c:v>
                </c:pt>
                <c:pt idx="460">
                  <c:v>3.0294665197278099</c:v>
                </c:pt>
                <c:pt idx="461">
                  <c:v>3.0249234615387564</c:v>
                </c:pt>
                <c:pt idx="462">
                  <c:v>3.0418097620332434</c:v>
                </c:pt>
                <c:pt idx="463">
                  <c:v>3.0563946238877318</c:v>
                </c:pt>
                <c:pt idx="464">
                  <c:v>3.0299303150300672</c:v>
                </c:pt>
                <c:pt idx="465">
                  <c:v>3.1216482002847692</c:v>
                </c:pt>
                <c:pt idx="466">
                  <c:v>3.1733451655720284</c:v>
                </c:pt>
                <c:pt idx="467">
                  <c:v>3.2417577209695745</c:v>
                </c:pt>
                <c:pt idx="468">
                  <c:v>3.1704338938552956</c:v>
                </c:pt>
                <c:pt idx="469">
                  <c:v>3.2172248049924446</c:v>
                </c:pt>
                <c:pt idx="470">
                  <c:v>3.2524779564263824</c:v>
                </c:pt>
                <c:pt idx="471">
                  <c:v>3.2705950471149516</c:v>
                </c:pt>
                <c:pt idx="472">
                  <c:v>3.2709768720027124</c:v>
                </c:pt>
                <c:pt idx="473">
                  <c:v>3.3755140389168017</c:v>
                </c:pt>
                <c:pt idx="474">
                  <c:v>3.3507768315633686</c:v>
                </c:pt>
                <c:pt idx="475">
                  <c:v>3.4321291305963939</c:v>
                </c:pt>
                <c:pt idx="476">
                  <c:v>3.4070421032743252</c:v>
                </c:pt>
                <c:pt idx="477">
                  <c:v>3.5183860522346357</c:v>
                </c:pt>
                <c:pt idx="478">
                  <c:v>3.4829642345507503</c:v>
                </c:pt>
                <c:pt idx="479">
                  <c:v>3.4591299325751184</c:v>
                </c:pt>
                <c:pt idx="480">
                  <c:v>3.4711349435818279</c:v>
                </c:pt>
                <c:pt idx="481">
                  <c:v>3.4743097041501385</c:v>
                </c:pt>
                <c:pt idx="482">
                  <c:v>3.5163989133109141</c:v>
                </c:pt>
                <c:pt idx="483">
                  <c:v>3.5225508804806243</c:v>
                </c:pt>
                <c:pt idx="484">
                  <c:v>3.51904096064544</c:v>
                </c:pt>
                <c:pt idx="485">
                  <c:v>3.5504583856493803</c:v>
                </c:pt>
                <c:pt idx="486">
                  <c:v>3.5337812602190528</c:v>
                </c:pt>
                <c:pt idx="487">
                  <c:v>3.5634465684712007</c:v>
                </c:pt>
                <c:pt idx="488">
                  <c:v>3.6335075002939528</c:v>
                </c:pt>
                <c:pt idx="489">
                  <c:v>3.6939927218446891</c:v>
                </c:pt>
                <c:pt idx="490">
                  <c:v>3.7024296158074148</c:v>
                </c:pt>
                <c:pt idx="491">
                  <c:v>3.7039256645316376</c:v>
                </c:pt>
                <c:pt idx="492">
                  <c:v>3.7584611559148748</c:v>
                </c:pt>
                <c:pt idx="493">
                  <c:v>3.7230240148408713</c:v>
                </c:pt>
                <c:pt idx="494">
                  <c:v>3.7530213853383008</c:v>
                </c:pt>
                <c:pt idx="495">
                  <c:v>3.8254009453802715</c:v>
                </c:pt>
                <c:pt idx="496">
                  <c:v>3.7931417693819509</c:v>
                </c:pt>
                <c:pt idx="497">
                  <c:v>3.8057011389505981</c:v>
                </c:pt>
                <c:pt idx="498">
                  <c:v>3.6649741231149378</c:v>
                </c:pt>
                <c:pt idx="499">
                  <c:v>3.6473631257045258</c:v>
                </c:pt>
                <c:pt idx="500">
                  <c:v>3.7464117462556512</c:v>
                </c:pt>
                <c:pt idx="501">
                  <c:v>3.7087783536713839</c:v>
                </c:pt>
                <c:pt idx="502">
                  <c:v>3.751832255608794</c:v>
                </c:pt>
                <c:pt idx="503">
                  <c:v>3.7195180062494662</c:v>
                </c:pt>
                <c:pt idx="504">
                  <c:v>3.6828026588266374</c:v>
                </c:pt>
                <c:pt idx="505">
                  <c:v>3.7301746525246395</c:v>
                </c:pt>
                <c:pt idx="506">
                  <c:v>3.6796403880047195</c:v>
                </c:pt>
                <c:pt idx="507">
                  <c:v>3.6354270762399334</c:v>
                </c:pt>
                <c:pt idx="508">
                  <c:v>3.7037684714344583</c:v>
                </c:pt>
                <c:pt idx="509">
                  <c:v>3.7386491082505682</c:v>
                </c:pt>
                <c:pt idx="510">
                  <c:v>3.7301141526207262</c:v>
                </c:pt>
                <c:pt idx="511">
                  <c:v>3.6459044015612898</c:v>
                </c:pt>
                <c:pt idx="512">
                  <c:v>3.5671118859688766</c:v>
                </c:pt>
                <c:pt idx="513">
                  <c:v>3.5963729921597487</c:v>
                </c:pt>
                <c:pt idx="514">
                  <c:v>3.6566482114825658</c:v>
                </c:pt>
                <c:pt idx="515">
                  <c:v>3.6002591980013747</c:v>
                </c:pt>
                <c:pt idx="516">
                  <c:v>3.5631029715835676</c:v>
                </c:pt>
                <c:pt idx="517">
                  <c:v>3.5233219846946224</c:v>
                </c:pt>
                <c:pt idx="518">
                  <c:v>3.5664306830130528</c:v>
                </c:pt>
                <c:pt idx="519">
                  <c:v>3.5891424830893599</c:v>
                </c:pt>
                <c:pt idx="520">
                  <c:v>3.534634203435008</c:v>
                </c:pt>
                <c:pt idx="521">
                  <c:v>3.5250775723108219</c:v>
                </c:pt>
                <c:pt idx="522">
                  <c:v>3.5317475333831156</c:v>
                </c:pt>
                <c:pt idx="523">
                  <c:v>3.5882991833529805</c:v>
                </c:pt>
                <c:pt idx="524">
                  <c:v>3.5983840539147263</c:v>
                </c:pt>
                <c:pt idx="525">
                  <c:v>3.5921233854969583</c:v>
                </c:pt>
                <c:pt idx="526">
                  <c:v>3.5940646927304005</c:v>
                </c:pt>
                <c:pt idx="527">
                  <c:v>3.5582229703850294</c:v>
                </c:pt>
                <c:pt idx="528">
                  <c:v>3.5559655708141884</c:v>
                </c:pt>
                <c:pt idx="529">
                  <c:v>3.5572987383281562</c:v>
                </c:pt>
                <c:pt idx="530">
                  <c:v>3.5531948608922788</c:v>
                </c:pt>
                <c:pt idx="531">
                  <c:v>3.5389197059319253</c:v>
                </c:pt>
                <c:pt idx="532">
                  <c:v>3.4757920204852919</c:v>
                </c:pt>
                <c:pt idx="533">
                  <c:v>3.5059481341979866</c:v>
                </c:pt>
                <c:pt idx="534">
                  <c:v>3.4816785054804318</c:v>
                </c:pt>
                <c:pt idx="535">
                  <c:v>3.4540318774524676</c:v>
                </c:pt>
                <c:pt idx="536">
                  <c:v>3.3997370641310578</c:v>
                </c:pt>
                <c:pt idx="537">
                  <c:v>3.3643688634539481</c:v>
                </c:pt>
                <c:pt idx="538">
                  <c:v>3.3799450032659282</c:v>
                </c:pt>
                <c:pt idx="539">
                  <c:v>3.3792247505749038</c:v>
                </c:pt>
                <c:pt idx="540">
                  <c:v>3.3129852302083158</c:v>
                </c:pt>
                <c:pt idx="541">
                  <c:v>3.2853186604619502</c:v>
                </c:pt>
                <c:pt idx="542">
                  <c:v>3.285825667702102</c:v>
                </c:pt>
                <c:pt idx="543">
                  <c:v>3.3159907687075956</c:v>
                </c:pt>
                <c:pt idx="544">
                  <c:v>3.2951473035621719</c:v>
                </c:pt>
                <c:pt idx="545">
                  <c:v>3.218426098364144</c:v>
                </c:pt>
                <c:pt idx="546">
                  <c:v>3.1872782481306743</c:v>
                </c:pt>
                <c:pt idx="547">
                  <c:v>3.1922746906341071</c:v>
                </c:pt>
                <c:pt idx="548">
                  <c:v>3.1559932454532555</c:v>
                </c:pt>
                <c:pt idx="549">
                  <c:v>3.1643042311212488</c:v>
                </c:pt>
                <c:pt idx="550">
                  <c:v>3.1792353564024243</c:v>
                </c:pt>
                <c:pt idx="551">
                  <c:v>3.2078808662701364</c:v>
                </c:pt>
                <c:pt idx="552">
                  <c:v>3.1643815409266964</c:v>
                </c:pt>
                <c:pt idx="553">
                  <c:v>3.2320270974623426</c:v>
                </c:pt>
                <c:pt idx="554">
                  <c:v>3.2412633009173377</c:v>
                </c:pt>
                <c:pt idx="555">
                  <c:v>3.2550594858593707</c:v>
                </c:pt>
                <c:pt idx="556">
                  <c:v>3.2895235517049493</c:v>
                </c:pt>
                <c:pt idx="557">
                  <c:v>3.2958910527123368</c:v>
                </c:pt>
                <c:pt idx="558">
                  <c:v>3.2696521680462176</c:v>
                </c:pt>
                <c:pt idx="559">
                  <c:v>3.2648707421176293</c:v>
                </c:pt>
                <c:pt idx="560">
                  <c:v>3.3105469441918007</c:v>
                </c:pt>
                <c:pt idx="561">
                  <c:v>3.3995359896647437</c:v>
                </c:pt>
                <c:pt idx="562">
                  <c:v>3.4249646631924402</c:v>
                </c:pt>
                <c:pt idx="563">
                  <c:v>3.4668485538221567</c:v>
                </c:pt>
                <c:pt idx="564">
                  <c:v>3.4891198183217584</c:v>
                </c:pt>
                <c:pt idx="565">
                  <c:v>3.4395901589825182</c:v>
                </c:pt>
                <c:pt idx="566">
                  <c:v>3.4498121195483544</c:v>
                </c:pt>
                <c:pt idx="567">
                  <c:v>3.5056609121720799</c:v>
                </c:pt>
                <c:pt idx="568">
                  <c:v>3.5088745277896534</c:v>
                </c:pt>
                <c:pt idx="569">
                  <c:v>3.5633118495083371</c:v>
                </c:pt>
                <c:pt idx="570">
                  <c:v>3.4941105062406916</c:v>
                </c:pt>
                <c:pt idx="571">
                  <c:v>3.5437011700949634</c:v>
                </c:pt>
                <c:pt idx="572">
                  <c:v>3.5688245776343073</c:v>
                </c:pt>
                <c:pt idx="573">
                  <c:v>3.499609393075569</c:v>
                </c:pt>
                <c:pt idx="574">
                  <c:v>3.5244176214566223</c:v>
                </c:pt>
                <c:pt idx="575">
                  <c:v>3.4396330976277083</c:v>
                </c:pt>
                <c:pt idx="576">
                  <c:v>3.5350988892594861</c:v>
                </c:pt>
                <c:pt idx="577">
                  <c:v>3.5750859800229091</c:v>
                </c:pt>
                <c:pt idx="578">
                  <c:v>3.6479235209867169</c:v>
                </c:pt>
                <c:pt idx="579">
                  <c:v>3.7117637625633062</c:v>
                </c:pt>
                <c:pt idx="580">
                  <c:v>3.7549568896170169</c:v>
                </c:pt>
                <c:pt idx="581">
                  <c:v>3.7611019188891861</c:v>
                </c:pt>
                <c:pt idx="582">
                  <c:v>3.7671790141234029</c:v>
                </c:pt>
                <c:pt idx="583">
                  <c:v>3.673886038771911</c:v>
                </c:pt>
                <c:pt idx="584">
                  <c:v>3.7487000903071936</c:v>
                </c:pt>
                <c:pt idx="585">
                  <c:v>3.7301720228645294</c:v>
                </c:pt>
                <c:pt idx="586">
                  <c:v>3.7298974610425089</c:v>
                </c:pt>
                <c:pt idx="587">
                  <c:v>3.6908900894897374</c:v>
                </c:pt>
                <c:pt idx="588">
                  <c:v>3.664820516175487</c:v>
                </c:pt>
                <c:pt idx="589">
                  <c:v>3.6374463394254941</c:v>
                </c:pt>
                <c:pt idx="590">
                  <c:v>3.6663701224092144</c:v>
                </c:pt>
                <c:pt idx="591">
                  <c:v>3.7056058452826708</c:v>
                </c:pt>
                <c:pt idx="592">
                  <c:v>3.8033890043903131</c:v>
                </c:pt>
                <c:pt idx="593">
                  <c:v>3.7128512711073625</c:v>
                </c:pt>
                <c:pt idx="594">
                  <c:v>3.6113836604929919</c:v>
                </c:pt>
                <c:pt idx="595">
                  <c:v>3.6948492440325453</c:v>
                </c:pt>
                <c:pt idx="596">
                  <c:v>3.7945494809925542</c:v>
                </c:pt>
                <c:pt idx="597">
                  <c:v>3.7336394002719131</c:v>
                </c:pt>
                <c:pt idx="598">
                  <c:v>3.7793130717047174</c:v>
                </c:pt>
                <c:pt idx="599">
                  <c:v>3.8583440670399844</c:v>
                </c:pt>
                <c:pt idx="600">
                  <c:v>3.9261137553453556</c:v>
                </c:pt>
                <c:pt idx="601">
                  <c:v>3.8753687103630665</c:v>
                </c:pt>
                <c:pt idx="602">
                  <c:v>3.9962461853781339</c:v>
                </c:pt>
                <c:pt idx="603">
                  <c:v>3.9365575446197667</c:v>
                </c:pt>
                <c:pt idx="604">
                  <c:v>4.081748234407339</c:v>
                </c:pt>
                <c:pt idx="605">
                  <c:v>4.0043196784439887</c:v>
                </c:pt>
                <c:pt idx="606">
                  <c:v>4.0396520646956802</c:v>
                </c:pt>
                <c:pt idx="607">
                  <c:v>4.0582858569804623</c:v>
                </c:pt>
                <c:pt idx="608">
                  <c:v>4.0487314795783869</c:v>
                </c:pt>
                <c:pt idx="609">
                  <c:v>4.0122115097239259</c:v>
                </c:pt>
                <c:pt idx="610">
                  <c:v>3.9650595597465319</c:v>
                </c:pt>
                <c:pt idx="611">
                  <c:v>4.0068844684623537</c:v>
                </c:pt>
                <c:pt idx="612">
                  <c:v>4.0382767000332098</c:v>
                </c:pt>
                <c:pt idx="613">
                  <c:v>3.9832535608475896</c:v>
                </c:pt>
                <c:pt idx="614">
                  <c:v>3.9313146579089615</c:v>
                </c:pt>
                <c:pt idx="615">
                  <c:v>4.0730842272945704</c:v>
                </c:pt>
                <c:pt idx="616">
                  <c:v>4.0115268695560991</c:v>
                </c:pt>
                <c:pt idx="617">
                  <c:v>3.9894482014795147</c:v>
                </c:pt>
                <c:pt idx="618">
                  <c:v>3.9005126509321593</c:v>
                </c:pt>
                <c:pt idx="619">
                  <c:v>3.8987515237956267</c:v>
                </c:pt>
                <c:pt idx="620">
                  <c:v>3.8285364596274993</c:v>
                </c:pt>
                <c:pt idx="621">
                  <c:v>3.8885486101490514</c:v>
                </c:pt>
                <c:pt idx="622">
                  <c:v>3.9066871076595966</c:v>
                </c:pt>
                <c:pt idx="623">
                  <c:v>3.9038503874763988</c:v>
                </c:pt>
                <c:pt idx="624">
                  <c:v>3.9692583491761333</c:v>
                </c:pt>
                <c:pt idx="625">
                  <c:v>3.9474209392217561</c:v>
                </c:pt>
                <c:pt idx="626">
                  <c:v>3.8856705925337578</c:v>
                </c:pt>
                <c:pt idx="627">
                  <c:v>3.8706028171469127</c:v>
                </c:pt>
                <c:pt idx="628">
                  <c:v>3.8219859998864836</c:v>
                </c:pt>
                <c:pt idx="629">
                  <c:v>3.8455231187966752</c:v>
                </c:pt>
                <c:pt idx="630">
                  <c:v>3.9038715145050533</c:v>
                </c:pt>
                <c:pt idx="631">
                  <c:v>3.8605492045597591</c:v>
                </c:pt>
                <c:pt idx="632">
                  <c:v>3.8450746735487886</c:v>
                </c:pt>
                <c:pt idx="633">
                  <c:v>3.8397855095270148</c:v>
                </c:pt>
                <c:pt idx="634">
                  <c:v>3.790801087534676</c:v>
                </c:pt>
                <c:pt idx="635">
                  <c:v>3.7350948800379227</c:v>
                </c:pt>
                <c:pt idx="636">
                  <c:v>3.6299931884449856</c:v>
                </c:pt>
                <c:pt idx="637">
                  <c:v>3.5703884052015455</c:v>
                </c:pt>
                <c:pt idx="638">
                  <c:v>3.6037101670509508</c:v>
                </c:pt>
                <c:pt idx="639">
                  <c:v>3.6220964422899207</c:v>
                </c:pt>
                <c:pt idx="640">
                  <c:v>3.6434248549216397</c:v>
                </c:pt>
                <c:pt idx="641">
                  <c:v>3.7514611689385622</c:v>
                </c:pt>
                <c:pt idx="642">
                  <c:v>3.7824471730327662</c:v>
                </c:pt>
                <c:pt idx="643">
                  <c:v>3.8673339325703204</c:v>
                </c:pt>
                <c:pt idx="644">
                  <c:v>3.8951794493839014</c:v>
                </c:pt>
                <c:pt idx="645">
                  <c:v>3.9264231066103492</c:v>
                </c:pt>
                <c:pt idx="646">
                  <c:v>3.8959901895583426</c:v>
                </c:pt>
                <c:pt idx="647">
                  <c:v>3.7564264015177202</c:v>
                </c:pt>
                <c:pt idx="648">
                  <c:v>3.6966856199675853</c:v>
                </c:pt>
                <c:pt idx="649">
                  <c:v>3.6813031844201229</c:v>
                </c:pt>
                <c:pt idx="650">
                  <c:v>3.6516272431934036</c:v>
                </c:pt>
                <c:pt idx="651">
                  <c:v>3.6597417669518566</c:v>
                </c:pt>
                <c:pt idx="652">
                  <c:v>3.6866209668645995</c:v>
                </c:pt>
                <c:pt idx="653">
                  <c:v>3.6477255069568471</c:v>
                </c:pt>
                <c:pt idx="654">
                  <c:v>3.6665118204235596</c:v>
                </c:pt>
                <c:pt idx="655">
                  <c:v>3.7032147386526622</c:v>
                </c:pt>
                <c:pt idx="656">
                  <c:v>3.6336109697515955</c:v>
                </c:pt>
                <c:pt idx="657">
                  <c:v>3.5128718462096296</c:v>
                </c:pt>
                <c:pt idx="658">
                  <c:v>3.5069605356981559</c:v>
                </c:pt>
                <c:pt idx="659">
                  <c:v>3.4901152820665335</c:v>
                </c:pt>
                <c:pt idx="660">
                  <c:v>3.5302778282230918</c:v>
                </c:pt>
                <c:pt idx="661">
                  <c:v>3.5873678811496164</c:v>
                </c:pt>
                <c:pt idx="662">
                  <c:v>3.6274009893045274</c:v>
                </c:pt>
                <c:pt idx="663">
                  <c:v>3.6676571990202165</c:v>
                </c:pt>
                <c:pt idx="664">
                  <c:v>3.6461783717064082</c:v>
                </c:pt>
                <c:pt idx="665">
                  <c:v>3.6992020949622271</c:v>
                </c:pt>
                <c:pt idx="666">
                  <c:v>3.6775719380773628</c:v>
                </c:pt>
                <c:pt idx="667">
                  <c:v>3.6000949464118266</c:v>
                </c:pt>
                <c:pt idx="668">
                  <c:v>3.5759352449984458</c:v>
                </c:pt>
                <c:pt idx="669">
                  <c:v>3.5306788044177959</c:v>
                </c:pt>
                <c:pt idx="670">
                  <c:v>3.4640353466847928</c:v>
                </c:pt>
                <c:pt idx="671">
                  <c:v>3.551953623586185</c:v>
                </c:pt>
                <c:pt idx="672">
                  <c:v>3.557985978256228</c:v>
                </c:pt>
                <c:pt idx="673">
                  <c:v>3.6124539226636698</c:v>
                </c:pt>
                <c:pt idx="674">
                  <c:v>3.5832283611304137</c:v>
                </c:pt>
                <c:pt idx="675">
                  <c:v>3.5319132684459178</c:v>
                </c:pt>
                <c:pt idx="676">
                  <c:v>3.3872493190934558</c:v>
                </c:pt>
                <c:pt idx="677">
                  <c:v>3.5060000398742788</c:v>
                </c:pt>
                <c:pt idx="678">
                  <c:v>3.4854251938965497</c:v>
                </c:pt>
                <c:pt idx="679">
                  <c:v>3.4742282712322679</c:v>
                </c:pt>
                <c:pt idx="680">
                  <c:v>3.4781898158416826</c:v>
                </c:pt>
                <c:pt idx="681">
                  <c:v>3.535697915092455</c:v>
                </c:pt>
                <c:pt idx="682">
                  <c:v>3.6323090104296587</c:v>
                </c:pt>
                <c:pt idx="683">
                  <c:v>3.6440634805595171</c:v>
                </c:pt>
                <c:pt idx="684">
                  <c:v>3.5588563471252508</c:v>
                </c:pt>
                <c:pt idx="685">
                  <c:v>3.6121823746580111</c:v>
                </c:pt>
                <c:pt idx="686">
                  <c:v>3.6098936469610066</c:v>
                </c:pt>
                <c:pt idx="687">
                  <c:v>3.5658513759441384</c:v>
                </c:pt>
                <c:pt idx="688">
                  <c:v>3.6238575856782762</c:v>
                </c:pt>
                <c:pt idx="689">
                  <c:v>3.592459418623783</c:v>
                </c:pt>
                <c:pt idx="690">
                  <c:v>3.6452949769001122</c:v>
                </c:pt>
                <c:pt idx="691">
                  <c:v>3.6213720227378552</c:v>
                </c:pt>
                <c:pt idx="692">
                  <c:v>3.6842790677639874</c:v>
                </c:pt>
                <c:pt idx="693">
                  <c:v>3.6883433179171954</c:v>
                </c:pt>
                <c:pt idx="694">
                  <c:v>3.6768234150561252</c:v>
                </c:pt>
                <c:pt idx="695">
                  <c:v>3.7816862182486286</c:v>
                </c:pt>
                <c:pt idx="696">
                  <c:v>3.7993964038339789</c:v>
                </c:pt>
                <c:pt idx="697">
                  <c:v>3.7766194991472606</c:v>
                </c:pt>
                <c:pt idx="698">
                  <c:v>3.7872650682121094</c:v>
                </c:pt>
                <c:pt idx="699">
                  <c:v>3.7951402277735204</c:v>
                </c:pt>
                <c:pt idx="700">
                  <c:v>3.8454574624395446</c:v>
                </c:pt>
                <c:pt idx="701">
                  <c:v>3.9073784081698157</c:v>
                </c:pt>
                <c:pt idx="702">
                  <c:v>3.8771397360072886</c:v>
                </c:pt>
                <c:pt idx="703">
                  <c:v>3.8565272814550897</c:v>
                </c:pt>
                <c:pt idx="704">
                  <c:v>3.8334507915144815</c:v>
                </c:pt>
                <c:pt idx="705">
                  <c:v>3.829346956813636</c:v>
                </c:pt>
                <c:pt idx="706">
                  <c:v>3.7563235660919161</c:v>
                </c:pt>
                <c:pt idx="707">
                  <c:v>3.7228137692987384</c:v>
                </c:pt>
                <c:pt idx="708">
                  <c:v>3.6309778491663844</c:v>
                </c:pt>
                <c:pt idx="709">
                  <c:v>3.5855529378238469</c:v>
                </c:pt>
                <c:pt idx="710">
                  <c:v>3.5980822561575176</c:v>
                </c:pt>
                <c:pt idx="711">
                  <c:v>3.6474951601918257</c:v>
                </c:pt>
                <c:pt idx="712">
                  <c:v>3.6184185832196136</c:v>
                </c:pt>
                <c:pt idx="713">
                  <c:v>3.6049506790826653</c:v>
                </c:pt>
                <c:pt idx="714">
                  <c:v>3.5843974292485052</c:v>
                </c:pt>
                <c:pt idx="715">
                  <c:v>3.6360049552223925</c:v>
                </c:pt>
                <c:pt idx="716">
                  <c:v>3.5530376130517403</c:v>
                </c:pt>
                <c:pt idx="717">
                  <c:v>3.5484792992931311</c:v>
                </c:pt>
                <c:pt idx="718">
                  <c:v>3.5914375851148064</c:v>
                </c:pt>
                <c:pt idx="719">
                  <c:v>3.5693914728485185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Sheet1!$F$6:$F$11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Sheet1!$M$12:$M$1212</c:f>
              <c:numCache>
                <c:formatCode>General</c:formatCode>
                <c:ptCount val="1201"/>
                <c:pt idx="0">
                  <c:v>0.95134259398157872</c:v>
                </c:pt>
                <c:pt idx="1">
                  <c:v>0.93603412850782841</c:v>
                </c:pt>
                <c:pt idx="2">
                  <c:v>0.91174053519659792</c:v>
                </c:pt>
                <c:pt idx="3">
                  <c:v>0.90151600047863623</c:v>
                </c:pt>
                <c:pt idx="4">
                  <c:v>0.87585377471861636</c:v>
                </c:pt>
                <c:pt idx="5">
                  <c:v>0.87040466218501522</c:v>
                </c:pt>
                <c:pt idx="6">
                  <c:v>0.87566541942244047</c:v>
                </c:pt>
                <c:pt idx="7">
                  <c:v>0.86909375072978701</c:v>
                </c:pt>
                <c:pt idx="8">
                  <c:v>0.85755556662859778</c:v>
                </c:pt>
                <c:pt idx="9">
                  <c:v>0.84615175329705261</c:v>
                </c:pt>
                <c:pt idx="10">
                  <c:v>0.83250981974373794</c:v>
                </c:pt>
                <c:pt idx="11">
                  <c:v>0.83651123140263706</c:v>
                </c:pt>
                <c:pt idx="12">
                  <c:v>0.82079953183583843</c:v>
                </c:pt>
                <c:pt idx="13">
                  <c:v>0.82529749010658293</c:v>
                </c:pt>
                <c:pt idx="14">
                  <c:v>0.81913605683231006</c:v>
                </c:pt>
                <c:pt idx="15">
                  <c:v>0.81625823333293623</c:v>
                </c:pt>
                <c:pt idx="16">
                  <c:v>0.80131900575569626</c:v>
                </c:pt>
                <c:pt idx="17">
                  <c:v>0.78668045330615766</c:v>
                </c:pt>
                <c:pt idx="18">
                  <c:v>0.78840600260665017</c:v>
                </c:pt>
                <c:pt idx="19">
                  <c:v>0.7935094757950919</c:v>
                </c:pt>
                <c:pt idx="20">
                  <c:v>0.77503202773537694</c:v>
                </c:pt>
                <c:pt idx="21">
                  <c:v>0.75013419974282158</c:v>
                </c:pt>
                <c:pt idx="22">
                  <c:v>0.72664455635499337</c:v>
                </c:pt>
                <c:pt idx="23">
                  <c:v>0.71428967336743343</c:v>
                </c:pt>
                <c:pt idx="24">
                  <c:v>0.6985006832353392</c:v>
                </c:pt>
                <c:pt idx="25">
                  <c:v>0.70642640048620109</c:v>
                </c:pt>
                <c:pt idx="26">
                  <c:v>0.7042133060596788</c:v>
                </c:pt>
                <c:pt idx="27">
                  <c:v>0.70884324662010867</c:v>
                </c:pt>
                <c:pt idx="28">
                  <c:v>0.69936069358635911</c:v>
                </c:pt>
                <c:pt idx="29">
                  <c:v>0.71826578949891373</c:v>
                </c:pt>
                <c:pt idx="30">
                  <c:v>0.71906462986166042</c:v>
                </c:pt>
                <c:pt idx="31">
                  <c:v>0.71193472425989202</c:v>
                </c:pt>
                <c:pt idx="32">
                  <c:v>0.70562761676981312</c:v>
                </c:pt>
                <c:pt idx="33">
                  <c:v>0.71541835204045445</c:v>
                </c:pt>
                <c:pt idx="34">
                  <c:v>0.70986466050189301</c:v>
                </c:pt>
                <c:pt idx="35">
                  <c:v>0.70920977697733012</c:v>
                </c:pt>
                <c:pt idx="36">
                  <c:v>0.70042125722542337</c:v>
                </c:pt>
                <c:pt idx="37">
                  <c:v>0.68958292955571765</c:v>
                </c:pt>
                <c:pt idx="38">
                  <c:v>0.70346443457510122</c:v>
                </c:pt>
                <c:pt idx="39">
                  <c:v>0.69089565559434085</c:v>
                </c:pt>
                <c:pt idx="40">
                  <c:v>0.69601725544892312</c:v>
                </c:pt>
                <c:pt idx="41">
                  <c:v>0.6991366587229535</c:v>
                </c:pt>
                <c:pt idx="42">
                  <c:v>0.70053894305953024</c:v>
                </c:pt>
                <c:pt idx="43">
                  <c:v>0.70158506374106577</c:v>
                </c:pt>
                <c:pt idx="44">
                  <c:v>0.69433343698817784</c:v>
                </c:pt>
                <c:pt idx="45">
                  <c:v>0.69906841227026839</c:v>
                </c:pt>
                <c:pt idx="46">
                  <c:v>0.69041895205387227</c:v>
                </c:pt>
                <c:pt idx="47">
                  <c:v>0.68905574715940299</c:v>
                </c:pt>
                <c:pt idx="48">
                  <c:v>0.68188944306961241</c:v>
                </c:pt>
                <c:pt idx="49">
                  <c:v>0.67673710046789082</c:v>
                </c:pt>
                <c:pt idx="50">
                  <c:v>0.68299629482848767</c:v>
                </c:pt>
                <c:pt idx="51">
                  <c:v>0.68856334877267023</c:v>
                </c:pt>
                <c:pt idx="52">
                  <c:v>0.69594739002104611</c:v>
                </c:pt>
                <c:pt idx="53">
                  <c:v>0.6891887920486317</c:v>
                </c:pt>
                <c:pt idx="54">
                  <c:v>0.6859954188014723</c:v>
                </c:pt>
                <c:pt idx="55">
                  <c:v>0.6820807854942168</c:v>
                </c:pt>
                <c:pt idx="56">
                  <c:v>0.67218972066029081</c:v>
                </c:pt>
                <c:pt idx="57">
                  <c:v>0.66324613738676053</c:v>
                </c:pt>
                <c:pt idx="58">
                  <c:v>0.66388112989047199</c:v>
                </c:pt>
                <c:pt idx="59">
                  <c:v>0.66990900635932449</c:v>
                </c:pt>
                <c:pt idx="60">
                  <c:v>0.6575688058607787</c:v>
                </c:pt>
                <c:pt idx="61">
                  <c:v>0.67372670815411706</c:v>
                </c:pt>
                <c:pt idx="62">
                  <c:v>0.66146399762649033</c:v>
                </c:pt>
                <c:pt idx="63">
                  <c:v>0.67271480829677455</c:v>
                </c:pt>
                <c:pt idx="64">
                  <c:v>0.65845043825355676</c:v>
                </c:pt>
                <c:pt idx="65">
                  <c:v>0.64832297224218338</c:v>
                </c:pt>
                <c:pt idx="66">
                  <c:v>0.64789976645559288</c:v>
                </c:pt>
                <c:pt idx="67">
                  <c:v>0.65093732626814815</c:v>
                </c:pt>
                <c:pt idx="68">
                  <c:v>0.638433377123094</c:v>
                </c:pt>
                <c:pt idx="69">
                  <c:v>0.63490024254294697</c:v>
                </c:pt>
                <c:pt idx="70">
                  <c:v>0.63288971601507327</c:v>
                </c:pt>
                <c:pt idx="71">
                  <c:v>0.61774950409508589</c:v>
                </c:pt>
                <c:pt idx="72">
                  <c:v>0.61148516089971694</c:v>
                </c:pt>
                <c:pt idx="73">
                  <c:v>0.6148858569206368</c:v>
                </c:pt>
                <c:pt idx="74">
                  <c:v>0.61085481298421151</c:v>
                </c:pt>
                <c:pt idx="75">
                  <c:v>0.60879224080989636</c:v>
                </c:pt>
                <c:pt idx="76">
                  <c:v>0.61715704619862444</c:v>
                </c:pt>
                <c:pt idx="77">
                  <c:v>0.60377602362062088</c:v>
                </c:pt>
                <c:pt idx="78">
                  <c:v>0.60233732677536878</c:v>
                </c:pt>
                <c:pt idx="79">
                  <c:v>0.60260824779171052</c:v>
                </c:pt>
                <c:pt idx="80">
                  <c:v>0.59703204971212354</c:v>
                </c:pt>
                <c:pt idx="81">
                  <c:v>0.5878843044599581</c:v>
                </c:pt>
                <c:pt idx="82">
                  <c:v>0.59331793243840303</c:v>
                </c:pt>
                <c:pt idx="83">
                  <c:v>0.5949083844055425</c:v>
                </c:pt>
                <c:pt idx="84">
                  <c:v>0.58923762989066386</c:v>
                </c:pt>
                <c:pt idx="85">
                  <c:v>0.58821190967581283</c:v>
                </c:pt>
                <c:pt idx="86">
                  <c:v>0.58655198230844374</c:v>
                </c:pt>
                <c:pt idx="87">
                  <c:v>0.59595894763309132</c:v>
                </c:pt>
                <c:pt idx="88">
                  <c:v>0.60886436994975524</c:v>
                </c:pt>
                <c:pt idx="89">
                  <c:v>0.59721584706755482</c:v>
                </c:pt>
                <c:pt idx="90">
                  <c:v>0.60541528161321401</c:v>
                </c:pt>
                <c:pt idx="91">
                  <c:v>0.59511744974343583</c:v>
                </c:pt>
                <c:pt idx="92">
                  <c:v>0.60120363680407296</c:v>
                </c:pt>
                <c:pt idx="93">
                  <c:v>0.60639585479975355</c:v>
                </c:pt>
                <c:pt idx="94">
                  <c:v>0.5924943345600503</c:v>
                </c:pt>
                <c:pt idx="95">
                  <c:v>0.59480892525913109</c:v>
                </c:pt>
                <c:pt idx="96">
                  <c:v>0.58883006320411779</c:v>
                </c:pt>
                <c:pt idx="97">
                  <c:v>0.58419912757080339</c:v>
                </c:pt>
                <c:pt idx="98">
                  <c:v>0.57232139672048887</c:v>
                </c:pt>
                <c:pt idx="99">
                  <c:v>0.57571929053766024</c:v>
                </c:pt>
                <c:pt idx="100">
                  <c:v>0.56497445545078873</c:v>
                </c:pt>
                <c:pt idx="101">
                  <c:v>0.56141432656301682</c:v>
                </c:pt>
                <c:pt idx="102">
                  <c:v>0.56256275570943415</c:v>
                </c:pt>
                <c:pt idx="103">
                  <c:v>0.54812458258415153</c:v>
                </c:pt>
                <c:pt idx="104">
                  <c:v>0.55115617826143071</c:v>
                </c:pt>
                <c:pt idx="105">
                  <c:v>0.54796148383507015</c:v>
                </c:pt>
                <c:pt idx="106">
                  <c:v>0.54297033870918532</c:v>
                </c:pt>
                <c:pt idx="107">
                  <c:v>0.55351872595112073</c:v>
                </c:pt>
                <c:pt idx="108">
                  <c:v>0.56352308174739607</c:v>
                </c:pt>
                <c:pt idx="109">
                  <c:v>0.56288749912159564</c:v>
                </c:pt>
                <c:pt idx="110">
                  <c:v>0.56514206263068101</c:v>
                </c:pt>
                <c:pt idx="111">
                  <c:v>0.55676408319204451</c:v>
                </c:pt>
                <c:pt idx="112">
                  <c:v>0.5450395853880734</c:v>
                </c:pt>
                <c:pt idx="113">
                  <c:v>0.53354443266226459</c:v>
                </c:pt>
                <c:pt idx="114">
                  <c:v>0.53007874844211955</c:v>
                </c:pt>
                <c:pt idx="115">
                  <c:v>0.53670324440160422</c:v>
                </c:pt>
                <c:pt idx="116">
                  <c:v>0.53489921987263267</c:v>
                </c:pt>
                <c:pt idx="117">
                  <c:v>0.53634511729454215</c:v>
                </c:pt>
                <c:pt idx="118">
                  <c:v>0.53488449376376146</c:v>
                </c:pt>
                <c:pt idx="119">
                  <c:v>0.54209808643603263</c:v>
                </c:pt>
                <c:pt idx="120">
                  <c:v>0.53463192860176134</c:v>
                </c:pt>
                <c:pt idx="121">
                  <c:v>0.5332803932034369</c:v>
                </c:pt>
                <c:pt idx="122">
                  <c:v>0.52223815613477365</c:v>
                </c:pt>
                <c:pt idx="123">
                  <c:v>0.51465198471016815</c:v>
                </c:pt>
                <c:pt idx="124">
                  <c:v>0.51425952965097343</c:v>
                </c:pt>
                <c:pt idx="125">
                  <c:v>0.51697519637128775</c:v>
                </c:pt>
                <c:pt idx="126">
                  <c:v>0.51822558649277795</c:v>
                </c:pt>
                <c:pt idx="127">
                  <c:v>0.50888206383404022</c:v>
                </c:pt>
                <c:pt idx="128">
                  <c:v>0.51595664304963107</c:v>
                </c:pt>
                <c:pt idx="129">
                  <c:v>0.52245191606198715</c:v>
                </c:pt>
                <c:pt idx="130">
                  <c:v>0.51368239320801667</c:v>
                </c:pt>
                <c:pt idx="131">
                  <c:v>0.52100190918208855</c:v>
                </c:pt>
                <c:pt idx="132">
                  <c:v>0.52333491019357814</c:v>
                </c:pt>
                <c:pt idx="133">
                  <c:v>0.53174316544032796</c:v>
                </c:pt>
                <c:pt idx="134">
                  <c:v>0.52441472022526114</c:v>
                </c:pt>
                <c:pt idx="135">
                  <c:v>0.53173128715469775</c:v>
                </c:pt>
                <c:pt idx="136">
                  <c:v>0.51528415976902164</c:v>
                </c:pt>
                <c:pt idx="137">
                  <c:v>0.50938947134055357</c:v>
                </c:pt>
                <c:pt idx="138">
                  <c:v>0.51746780963487593</c:v>
                </c:pt>
                <c:pt idx="139">
                  <c:v>0.51641530456112217</c:v>
                </c:pt>
                <c:pt idx="140">
                  <c:v>0.52415452857953049</c:v>
                </c:pt>
                <c:pt idx="141">
                  <c:v>0.51589390398804824</c:v>
                </c:pt>
                <c:pt idx="142">
                  <c:v>0.51943251023614034</c:v>
                </c:pt>
                <c:pt idx="143">
                  <c:v>0.52428670973733937</c:v>
                </c:pt>
                <c:pt idx="144">
                  <c:v>0.52842675970080233</c:v>
                </c:pt>
                <c:pt idx="145">
                  <c:v>0.51969411607005422</c:v>
                </c:pt>
                <c:pt idx="146">
                  <c:v>0.52512713340714601</c:v>
                </c:pt>
                <c:pt idx="147">
                  <c:v>0.53129895031595276</c:v>
                </c:pt>
                <c:pt idx="148">
                  <c:v>0.52913010275106964</c:v>
                </c:pt>
                <c:pt idx="149">
                  <c:v>0.51931751526609116</c:v>
                </c:pt>
                <c:pt idx="150">
                  <c:v>0.52139257982645648</c:v>
                </c:pt>
                <c:pt idx="151">
                  <c:v>0.52896422839820667</c:v>
                </c:pt>
                <c:pt idx="152">
                  <c:v>0.51120516880550992</c:v>
                </c:pt>
                <c:pt idx="153">
                  <c:v>0.51714634396703407</c:v>
                </c:pt>
                <c:pt idx="154">
                  <c:v>0.52478859121601928</c:v>
                </c:pt>
                <c:pt idx="155">
                  <c:v>0.52731788921345613</c:v>
                </c:pt>
                <c:pt idx="156">
                  <c:v>0.52177869450528347</c:v>
                </c:pt>
                <c:pt idx="157">
                  <c:v>0.52482019938499447</c:v>
                </c:pt>
                <c:pt idx="158">
                  <c:v>0.5119746858668035</c:v>
                </c:pt>
                <c:pt idx="159">
                  <c:v>0.50887039874598705</c:v>
                </c:pt>
                <c:pt idx="160">
                  <c:v>0.5035377651298667</c:v>
                </c:pt>
                <c:pt idx="161">
                  <c:v>0.50274384674929651</c:v>
                </c:pt>
                <c:pt idx="162">
                  <c:v>0.49807710971507974</c:v>
                </c:pt>
                <c:pt idx="163">
                  <c:v>0.48765672386490472</c:v>
                </c:pt>
                <c:pt idx="164">
                  <c:v>0.49513152413683265</c:v>
                </c:pt>
                <c:pt idx="165">
                  <c:v>0.48088075979972578</c:v>
                </c:pt>
                <c:pt idx="166">
                  <c:v>0.48612436982225815</c:v>
                </c:pt>
                <c:pt idx="167">
                  <c:v>0.47689502320478466</c:v>
                </c:pt>
                <c:pt idx="168">
                  <c:v>0.47850537660892928</c:v>
                </c:pt>
                <c:pt idx="169">
                  <c:v>0.47499821532169939</c:v>
                </c:pt>
                <c:pt idx="170">
                  <c:v>0.45970593858705217</c:v>
                </c:pt>
                <c:pt idx="171">
                  <c:v>0.47007502472629503</c:v>
                </c:pt>
                <c:pt idx="172">
                  <c:v>0.46819540852622171</c:v>
                </c:pt>
                <c:pt idx="173">
                  <c:v>0.45326854861802307</c:v>
                </c:pt>
                <c:pt idx="174">
                  <c:v>0.43959593702448024</c:v>
                </c:pt>
                <c:pt idx="175">
                  <c:v>0.43637091408151291</c:v>
                </c:pt>
                <c:pt idx="176">
                  <c:v>0.43473798352406096</c:v>
                </c:pt>
                <c:pt idx="177">
                  <c:v>0.42300369939702276</c:v>
                </c:pt>
                <c:pt idx="178">
                  <c:v>0.42314452660799284</c:v>
                </c:pt>
                <c:pt idx="179">
                  <c:v>0.42267660285111269</c:v>
                </c:pt>
                <c:pt idx="180">
                  <c:v>0.42787921592796896</c:v>
                </c:pt>
                <c:pt idx="181">
                  <c:v>0.43823134693543692</c:v>
                </c:pt>
                <c:pt idx="182">
                  <c:v>0.43634124921405915</c:v>
                </c:pt>
                <c:pt idx="183">
                  <c:v>0.45458601357843886</c:v>
                </c:pt>
                <c:pt idx="184">
                  <c:v>0.45758730788832847</c:v>
                </c:pt>
                <c:pt idx="185">
                  <c:v>0.45243853058847722</c:v>
                </c:pt>
                <c:pt idx="186">
                  <c:v>0.46449128211630047</c:v>
                </c:pt>
                <c:pt idx="187">
                  <c:v>0.466218531518029</c:v>
                </c:pt>
                <c:pt idx="188">
                  <c:v>0.45906343276259215</c:v>
                </c:pt>
                <c:pt idx="189">
                  <c:v>0.45717660726079506</c:v>
                </c:pt>
                <c:pt idx="190">
                  <c:v>0.45633888234617276</c:v>
                </c:pt>
                <c:pt idx="191">
                  <c:v>0.46184604625473591</c:v>
                </c:pt>
                <c:pt idx="192">
                  <c:v>0.46077949337874119</c:v>
                </c:pt>
                <c:pt idx="193">
                  <c:v>0.46128490809599343</c:v>
                </c:pt>
                <c:pt idx="194">
                  <c:v>0.47111387890939793</c:v>
                </c:pt>
                <c:pt idx="195">
                  <c:v>0.46784994977139172</c:v>
                </c:pt>
                <c:pt idx="196">
                  <c:v>0.45547877102175521</c:v>
                </c:pt>
                <c:pt idx="197">
                  <c:v>0.45410909919750908</c:v>
                </c:pt>
                <c:pt idx="198">
                  <c:v>0.46067687596280127</c:v>
                </c:pt>
                <c:pt idx="199">
                  <c:v>0.46154751457927651</c:v>
                </c:pt>
                <c:pt idx="200">
                  <c:v>0.45257516594961805</c:v>
                </c:pt>
                <c:pt idx="201">
                  <c:v>0.44357696621223536</c:v>
                </c:pt>
                <c:pt idx="202">
                  <c:v>0.43655517456236631</c:v>
                </c:pt>
                <c:pt idx="203">
                  <c:v>0.43773171847201375</c:v>
                </c:pt>
                <c:pt idx="204">
                  <c:v>0.43659577416390627</c:v>
                </c:pt>
                <c:pt idx="205">
                  <c:v>0.43015097031775285</c:v>
                </c:pt>
                <c:pt idx="206">
                  <c:v>0.4263899101783728</c:v>
                </c:pt>
                <c:pt idx="207">
                  <c:v>0.42352870351317184</c:v>
                </c:pt>
                <c:pt idx="208">
                  <c:v>0.42017561454706459</c:v>
                </c:pt>
                <c:pt idx="209">
                  <c:v>0.41969961406289746</c:v>
                </c:pt>
                <c:pt idx="210">
                  <c:v>0.41627464761068161</c:v>
                </c:pt>
                <c:pt idx="211">
                  <c:v>0.40625140617575095</c:v>
                </c:pt>
                <c:pt idx="212">
                  <c:v>0.40050327635445759</c:v>
                </c:pt>
                <c:pt idx="213">
                  <c:v>0.400363605538886</c:v>
                </c:pt>
                <c:pt idx="214">
                  <c:v>0.40667695831773676</c:v>
                </c:pt>
                <c:pt idx="215">
                  <c:v>0.39733298700303099</c:v>
                </c:pt>
                <c:pt idx="216">
                  <c:v>0.40439611701819</c:v>
                </c:pt>
                <c:pt idx="217">
                  <c:v>0.40835472261789513</c:v>
                </c:pt>
                <c:pt idx="218">
                  <c:v>0.40850083985408769</c:v>
                </c:pt>
                <c:pt idx="219">
                  <c:v>0.40895983911868944</c:v>
                </c:pt>
                <c:pt idx="220">
                  <c:v>0.40662192081405168</c:v>
                </c:pt>
                <c:pt idx="221">
                  <c:v>0.40489378553568572</c:v>
                </c:pt>
                <c:pt idx="222">
                  <c:v>0.41380502965093802</c:v>
                </c:pt>
                <c:pt idx="223">
                  <c:v>0.41535193905059292</c:v>
                </c:pt>
                <c:pt idx="224">
                  <c:v>0.41329224026832362</c:v>
                </c:pt>
                <c:pt idx="225">
                  <c:v>0.4022269802435135</c:v>
                </c:pt>
                <c:pt idx="226">
                  <c:v>0.40822090285755003</c:v>
                </c:pt>
                <c:pt idx="227">
                  <c:v>0.41586150555310331</c:v>
                </c:pt>
                <c:pt idx="228">
                  <c:v>0.41779864930515009</c:v>
                </c:pt>
                <c:pt idx="229">
                  <c:v>0.41506854171979307</c:v>
                </c:pt>
                <c:pt idx="230">
                  <c:v>0.41371504629538819</c:v>
                </c:pt>
                <c:pt idx="231">
                  <c:v>0.42032906250273921</c:v>
                </c:pt>
                <c:pt idx="232">
                  <c:v>0.42570979976754414</c:v>
                </c:pt>
                <c:pt idx="233">
                  <c:v>0.43428240251793915</c:v>
                </c:pt>
                <c:pt idx="234">
                  <c:v>0.42601993504340957</c:v>
                </c:pt>
                <c:pt idx="235">
                  <c:v>0.42996721029932333</c:v>
                </c:pt>
                <c:pt idx="236">
                  <c:v>0.43731990317054409</c:v>
                </c:pt>
                <c:pt idx="237">
                  <c:v>0.42889101754036441</c:v>
                </c:pt>
                <c:pt idx="238">
                  <c:v>0.42075289537000277</c:v>
                </c:pt>
                <c:pt idx="239">
                  <c:v>0.42513860256471814</c:v>
                </c:pt>
                <c:pt idx="240">
                  <c:v>0.42504105381291063</c:v>
                </c:pt>
                <c:pt idx="241">
                  <c:v>0.42447168871647017</c:v>
                </c:pt>
                <c:pt idx="242">
                  <c:v>0.42448695605531372</c:v>
                </c:pt>
                <c:pt idx="243">
                  <c:v>0.41848336910665418</c:v>
                </c:pt>
                <c:pt idx="244">
                  <c:v>0.41361472913634967</c:v>
                </c:pt>
                <c:pt idx="245">
                  <c:v>0.40656276067552327</c:v>
                </c:pt>
                <c:pt idx="246">
                  <c:v>0.41118269168652938</c:v>
                </c:pt>
                <c:pt idx="247">
                  <c:v>0.40305144815416899</c:v>
                </c:pt>
                <c:pt idx="248">
                  <c:v>0.40642608017511894</c:v>
                </c:pt>
                <c:pt idx="249">
                  <c:v>0.41090097868340875</c:v>
                </c:pt>
                <c:pt idx="250">
                  <c:v>0.40138682450427865</c:v>
                </c:pt>
                <c:pt idx="251">
                  <c:v>0.40048069503326095</c:v>
                </c:pt>
                <c:pt idx="252">
                  <c:v>0.40465439518000823</c:v>
                </c:pt>
                <c:pt idx="253">
                  <c:v>0.40549688683984503</c:v>
                </c:pt>
                <c:pt idx="254">
                  <c:v>0.41560207871402105</c:v>
                </c:pt>
                <c:pt idx="255">
                  <c:v>0.41280536299325088</c:v>
                </c:pt>
                <c:pt idx="256">
                  <c:v>0.41558124031240623</c:v>
                </c:pt>
                <c:pt idx="257">
                  <c:v>0.40771133448617081</c:v>
                </c:pt>
                <c:pt idx="258">
                  <c:v>0.42027620331226134</c:v>
                </c:pt>
                <c:pt idx="259">
                  <c:v>0.4190838769293645</c:v>
                </c:pt>
                <c:pt idx="260">
                  <c:v>0.41314596329562436</c:v>
                </c:pt>
                <c:pt idx="261">
                  <c:v>0.42989264141527</c:v>
                </c:pt>
                <c:pt idx="262">
                  <c:v>0.43073225276398558</c:v>
                </c:pt>
                <c:pt idx="263">
                  <c:v>0.42717101962496046</c:v>
                </c:pt>
                <c:pt idx="264">
                  <c:v>0.41420909726763283</c:v>
                </c:pt>
                <c:pt idx="265">
                  <c:v>0.41175776072087616</c:v>
                </c:pt>
                <c:pt idx="266">
                  <c:v>0.41165742651827003</c:v>
                </c:pt>
                <c:pt idx="267">
                  <c:v>0.40506182389500067</c:v>
                </c:pt>
                <c:pt idx="268">
                  <c:v>0.40620063584148702</c:v>
                </c:pt>
                <c:pt idx="269">
                  <c:v>0.39612414982076527</c:v>
                </c:pt>
                <c:pt idx="270">
                  <c:v>0.40691481729345186</c:v>
                </c:pt>
                <c:pt idx="271">
                  <c:v>0.40112234961538762</c:v>
                </c:pt>
                <c:pt idx="272">
                  <c:v>0.39624457376792982</c:v>
                </c:pt>
                <c:pt idx="273">
                  <c:v>0.38986898302508444</c:v>
                </c:pt>
                <c:pt idx="274">
                  <c:v>0.38557633705783201</c:v>
                </c:pt>
                <c:pt idx="275">
                  <c:v>0.3849580210683759</c:v>
                </c:pt>
                <c:pt idx="276">
                  <c:v>0.38118432044808437</c:v>
                </c:pt>
                <c:pt idx="277">
                  <c:v>0.37419100281691231</c:v>
                </c:pt>
                <c:pt idx="278">
                  <c:v>0.36859703284276712</c:v>
                </c:pt>
                <c:pt idx="279">
                  <c:v>0.36754768666058069</c:v>
                </c:pt>
                <c:pt idx="280">
                  <c:v>0.36481848148156643</c:v>
                </c:pt>
                <c:pt idx="281">
                  <c:v>0.36144493298843861</c:v>
                </c:pt>
                <c:pt idx="282">
                  <c:v>0.36787486204561737</c:v>
                </c:pt>
                <c:pt idx="283">
                  <c:v>0.37696753945850542</c:v>
                </c:pt>
                <c:pt idx="284">
                  <c:v>0.37311054570447383</c:v>
                </c:pt>
                <c:pt idx="285">
                  <c:v>0.37197800124194097</c:v>
                </c:pt>
                <c:pt idx="286">
                  <c:v>0.37244803526836862</c:v>
                </c:pt>
                <c:pt idx="287">
                  <c:v>0.36417323512568178</c:v>
                </c:pt>
                <c:pt idx="288">
                  <c:v>0.36830780646778372</c:v>
                </c:pt>
                <c:pt idx="289">
                  <c:v>0.36744049834650805</c:v>
                </c:pt>
                <c:pt idx="290">
                  <c:v>0.36953052612705833</c:v>
                </c:pt>
                <c:pt idx="291">
                  <c:v>0.36606690255826085</c:v>
                </c:pt>
                <c:pt idx="292">
                  <c:v>0.3680206523965518</c:v>
                </c:pt>
                <c:pt idx="293">
                  <c:v>0.37039397225360604</c:v>
                </c:pt>
                <c:pt idx="294">
                  <c:v>0.36205633304712254</c:v>
                </c:pt>
                <c:pt idx="295">
                  <c:v>0.35794900885744174</c:v>
                </c:pt>
                <c:pt idx="296">
                  <c:v>0.3661597014392276</c:v>
                </c:pt>
                <c:pt idx="297">
                  <c:v>0.37788866218959927</c:v>
                </c:pt>
                <c:pt idx="298">
                  <c:v>0.38034096127443912</c:v>
                </c:pt>
                <c:pt idx="299">
                  <c:v>0.37876942074979159</c:v>
                </c:pt>
                <c:pt idx="300">
                  <c:v>0.37957698746401847</c:v>
                </c:pt>
                <c:pt idx="301">
                  <c:v>0.38247866457687957</c:v>
                </c:pt>
                <c:pt idx="302">
                  <c:v>0.37943786401237983</c:v>
                </c:pt>
                <c:pt idx="303">
                  <c:v>0.37989422454263894</c:v>
                </c:pt>
                <c:pt idx="304">
                  <c:v>0.37801795386219178</c:v>
                </c:pt>
                <c:pt idx="305">
                  <c:v>0.37988650164158583</c:v>
                </c:pt>
                <c:pt idx="306">
                  <c:v>0.37493655263310183</c:v>
                </c:pt>
                <c:pt idx="307">
                  <c:v>0.37160463996601434</c:v>
                </c:pt>
                <c:pt idx="308">
                  <c:v>0.37146393532910549</c:v>
                </c:pt>
                <c:pt idx="309">
                  <c:v>0.37649338833191265</c:v>
                </c:pt>
                <c:pt idx="310">
                  <c:v>0.36992598091671891</c:v>
                </c:pt>
                <c:pt idx="311">
                  <c:v>0.3781456404429725</c:v>
                </c:pt>
                <c:pt idx="312">
                  <c:v>0.37264461832067547</c:v>
                </c:pt>
                <c:pt idx="313">
                  <c:v>0.3726402512965844</c:v>
                </c:pt>
                <c:pt idx="314">
                  <c:v>0.36183657032414329</c:v>
                </c:pt>
                <c:pt idx="315">
                  <c:v>0.35684333787544698</c:v>
                </c:pt>
                <c:pt idx="316">
                  <c:v>0.36098281857988568</c:v>
                </c:pt>
                <c:pt idx="317">
                  <c:v>0.36118888366104546</c:v>
                </c:pt>
                <c:pt idx="318">
                  <c:v>0.35547830391822294</c:v>
                </c:pt>
                <c:pt idx="319">
                  <c:v>0.35538679999237949</c:v>
                </c:pt>
                <c:pt idx="320">
                  <c:v>0.35313537451344673</c:v>
                </c:pt>
                <c:pt idx="321">
                  <c:v>0.3559548482579778</c:v>
                </c:pt>
                <c:pt idx="322">
                  <c:v>0.36386778818865018</c:v>
                </c:pt>
                <c:pt idx="323">
                  <c:v>0.35734889421870364</c:v>
                </c:pt>
                <c:pt idx="324">
                  <c:v>0.36272038891925362</c:v>
                </c:pt>
                <c:pt idx="325">
                  <c:v>0.37317503801653967</c:v>
                </c:pt>
                <c:pt idx="326">
                  <c:v>0.37053460796503312</c:v>
                </c:pt>
                <c:pt idx="327">
                  <c:v>0.36764187323690278</c:v>
                </c:pt>
                <c:pt idx="328">
                  <c:v>0.35899008297236917</c:v>
                </c:pt>
                <c:pt idx="329">
                  <c:v>0.35665747406500853</c:v>
                </c:pt>
                <c:pt idx="330">
                  <c:v>0.36031172374931197</c:v>
                </c:pt>
                <c:pt idx="331">
                  <c:v>0.36101793590685011</c:v>
                </c:pt>
                <c:pt idx="332">
                  <c:v>0.35821133363140095</c:v>
                </c:pt>
                <c:pt idx="333">
                  <c:v>0.36371162599932777</c:v>
                </c:pt>
                <c:pt idx="334">
                  <c:v>0.36028363818794717</c:v>
                </c:pt>
                <c:pt idx="335">
                  <c:v>0.35060432958357263</c:v>
                </c:pt>
                <c:pt idx="336">
                  <c:v>0.34554999811769732</c:v>
                </c:pt>
                <c:pt idx="337">
                  <c:v>0.3452786634592257</c:v>
                </c:pt>
                <c:pt idx="338">
                  <c:v>0.34373544046108934</c:v>
                </c:pt>
                <c:pt idx="339">
                  <c:v>0.33347793826770522</c:v>
                </c:pt>
                <c:pt idx="340">
                  <c:v>0.34248745297340816</c:v>
                </c:pt>
                <c:pt idx="341">
                  <c:v>0.34462506639052787</c:v>
                </c:pt>
                <c:pt idx="342">
                  <c:v>0.34196206186934991</c:v>
                </c:pt>
                <c:pt idx="343">
                  <c:v>0.33771746373705508</c:v>
                </c:pt>
                <c:pt idx="344">
                  <c:v>0.33782978614979803</c:v>
                </c:pt>
                <c:pt idx="345">
                  <c:v>0.34066304767720296</c:v>
                </c:pt>
                <c:pt idx="346">
                  <c:v>0.34074282301052566</c:v>
                </c:pt>
                <c:pt idx="347">
                  <c:v>0.33749542220603679</c:v>
                </c:pt>
                <c:pt idx="348">
                  <c:v>0.32783129066472289</c:v>
                </c:pt>
                <c:pt idx="349">
                  <c:v>0.32118513764890899</c:v>
                </c:pt>
                <c:pt idx="350">
                  <c:v>0.31892447151471381</c:v>
                </c:pt>
                <c:pt idx="351">
                  <c:v>0.31343127115153585</c:v>
                </c:pt>
                <c:pt idx="352">
                  <c:v>0.32049919356677764</c:v>
                </c:pt>
                <c:pt idx="353">
                  <c:v>0.3216794561067769</c:v>
                </c:pt>
                <c:pt idx="354">
                  <c:v>0.31772798846903683</c:v>
                </c:pt>
                <c:pt idx="355">
                  <c:v>0.32314802374485807</c:v>
                </c:pt>
                <c:pt idx="356">
                  <c:v>0.32787314880710522</c:v>
                </c:pt>
                <c:pt idx="357">
                  <c:v>0.33120733905172789</c:v>
                </c:pt>
                <c:pt idx="358">
                  <c:v>0.32228813901427644</c:v>
                </c:pt>
                <c:pt idx="359">
                  <c:v>0.31486798181451259</c:v>
                </c:pt>
                <c:pt idx="360">
                  <c:v>0.30994044597000314</c:v>
                </c:pt>
                <c:pt idx="361">
                  <c:v>0.31842263158016032</c:v>
                </c:pt>
                <c:pt idx="362">
                  <c:v>0.32743363261888209</c:v>
                </c:pt>
                <c:pt idx="363">
                  <c:v>0.33128292660321007</c:v>
                </c:pt>
                <c:pt idx="364">
                  <c:v>0.32638114496968129</c:v>
                </c:pt>
                <c:pt idx="365">
                  <c:v>0.32963225345416103</c:v>
                </c:pt>
                <c:pt idx="366">
                  <c:v>0.32958142630018655</c:v>
                </c:pt>
                <c:pt idx="367">
                  <c:v>0.33045818025557455</c:v>
                </c:pt>
                <c:pt idx="368">
                  <c:v>0.32786985449585593</c:v>
                </c:pt>
                <c:pt idx="369">
                  <c:v>0.32751226166408032</c:v>
                </c:pt>
                <c:pt idx="370">
                  <c:v>0.33325026652987688</c:v>
                </c:pt>
                <c:pt idx="371">
                  <c:v>0.33218257718066596</c:v>
                </c:pt>
                <c:pt idx="372">
                  <c:v>0.33448781134595584</c:v>
                </c:pt>
                <c:pt idx="373">
                  <c:v>0.33594807041620056</c:v>
                </c:pt>
                <c:pt idx="374">
                  <c:v>0.33464168854857851</c:v>
                </c:pt>
                <c:pt idx="375">
                  <c:v>0.34073808242236936</c:v>
                </c:pt>
                <c:pt idx="376">
                  <c:v>0.34175001617171413</c:v>
                </c:pt>
                <c:pt idx="377">
                  <c:v>0.35132418939459675</c:v>
                </c:pt>
                <c:pt idx="378">
                  <c:v>0.35295314240330766</c:v>
                </c:pt>
                <c:pt idx="379">
                  <c:v>0.34499530480984236</c:v>
                </c:pt>
                <c:pt idx="380">
                  <c:v>0.34115888523124899</c:v>
                </c:pt>
                <c:pt idx="381">
                  <c:v>0.34085396660212824</c:v>
                </c:pt>
                <c:pt idx="382">
                  <c:v>0.34204708760585506</c:v>
                </c:pt>
                <c:pt idx="383">
                  <c:v>0.34115841933586416</c:v>
                </c:pt>
                <c:pt idx="384">
                  <c:v>0.34473278015128772</c:v>
                </c:pt>
                <c:pt idx="385">
                  <c:v>0.34170140108165714</c:v>
                </c:pt>
                <c:pt idx="386">
                  <c:v>0.34853851364899868</c:v>
                </c:pt>
                <c:pt idx="387">
                  <c:v>0.34224274695864704</c:v>
                </c:pt>
                <c:pt idx="388">
                  <c:v>0.34429912555661968</c:v>
                </c:pt>
                <c:pt idx="389">
                  <c:v>0.34727337611744652</c:v>
                </c:pt>
                <c:pt idx="390">
                  <c:v>0.34085932605947383</c:v>
                </c:pt>
                <c:pt idx="391">
                  <c:v>0.33599437160814055</c:v>
                </c:pt>
                <c:pt idx="392">
                  <c:v>0.33840155009126777</c:v>
                </c:pt>
                <c:pt idx="393">
                  <c:v>0.33454735474235248</c:v>
                </c:pt>
                <c:pt idx="394">
                  <c:v>0.33052545935591537</c:v>
                </c:pt>
                <c:pt idx="395">
                  <c:v>0.3293763011311126</c:v>
                </c:pt>
                <c:pt idx="396">
                  <c:v>0.33903739771585595</c:v>
                </c:pt>
                <c:pt idx="397">
                  <c:v>0.34588958271522596</c:v>
                </c:pt>
                <c:pt idx="398">
                  <c:v>0.3439822353234967</c:v>
                </c:pt>
                <c:pt idx="399">
                  <c:v>0.34187683766657118</c:v>
                </c:pt>
                <c:pt idx="400">
                  <c:v>0.33842380220636042</c:v>
                </c:pt>
                <c:pt idx="401">
                  <c:v>0.34386233115637593</c:v>
                </c:pt>
                <c:pt idx="402">
                  <c:v>0.34358645431898843</c:v>
                </c:pt>
                <c:pt idx="403">
                  <c:v>0.34516429571084351</c:v>
                </c:pt>
                <c:pt idx="404">
                  <c:v>0.34619951694200018</c:v>
                </c:pt>
                <c:pt idx="405">
                  <c:v>0.33790266015318282</c:v>
                </c:pt>
                <c:pt idx="406">
                  <c:v>0.34519305974305758</c:v>
                </c:pt>
                <c:pt idx="407">
                  <c:v>0.34596479904289779</c:v>
                </c:pt>
                <c:pt idx="408">
                  <c:v>0.34358494582098859</c:v>
                </c:pt>
                <c:pt idx="409">
                  <c:v>0.33886437499530558</c:v>
                </c:pt>
                <c:pt idx="410">
                  <c:v>0.33485042523436792</c:v>
                </c:pt>
                <c:pt idx="411">
                  <c:v>0.33325178772610514</c:v>
                </c:pt>
                <c:pt idx="412">
                  <c:v>0.33565689292173406</c:v>
                </c:pt>
                <c:pt idx="413">
                  <c:v>0.33719437317851647</c:v>
                </c:pt>
                <c:pt idx="414">
                  <c:v>0.34203949547908308</c:v>
                </c:pt>
                <c:pt idx="415">
                  <c:v>0.34981744753051208</c:v>
                </c:pt>
                <c:pt idx="416">
                  <c:v>0.34160896033249349</c:v>
                </c:pt>
                <c:pt idx="417">
                  <c:v>0.33825131865778718</c:v>
                </c:pt>
                <c:pt idx="418">
                  <c:v>0.34420732361076017</c:v>
                </c:pt>
                <c:pt idx="419">
                  <c:v>0.34445627728712486</c:v>
                </c:pt>
                <c:pt idx="420">
                  <c:v>0.34151491564792275</c:v>
                </c:pt>
                <c:pt idx="421">
                  <c:v>0.33597780513799469</c:v>
                </c:pt>
                <c:pt idx="422">
                  <c:v>0.34494220375263651</c:v>
                </c:pt>
                <c:pt idx="423">
                  <c:v>0.34016517118019757</c:v>
                </c:pt>
                <c:pt idx="424">
                  <c:v>0.33767561673059387</c:v>
                </c:pt>
                <c:pt idx="425">
                  <c:v>0.33504236932666187</c:v>
                </c:pt>
                <c:pt idx="426">
                  <c:v>0.33389196313327552</c:v>
                </c:pt>
                <c:pt idx="427">
                  <c:v>0.3342660230917916</c:v>
                </c:pt>
                <c:pt idx="428">
                  <c:v>0.33303130631501171</c:v>
                </c:pt>
                <c:pt idx="429">
                  <c:v>0.33216255338975326</c:v>
                </c:pt>
                <c:pt idx="430">
                  <c:v>0.32766515883565006</c:v>
                </c:pt>
                <c:pt idx="431">
                  <c:v>0.33181521616415632</c:v>
                </c:pt>
                <c:pt idx="432">
                  <c:v>0.32669504128239751</c:v>
                </c:pt>
                <c:pt idx="433">
                  <c:v>0.32367146268835556</c:v>
                </c:pt>
                <c:pt idx="434">
                  <c:v>0.32784762059570366</c:v>
                </c:pt>
                <c:pt idx="435">
                  <c:v>0.33093121490807864</c:v>
                </c:pt>
                <c:pt idx="436">
                  <c:v>0.33297654475468946</c:v>
                </c:pt>
                <c:pt idx="437">
                  <c:v>0.32789470390269826</c:v>
                </c:pt>
                <c:pt idx="438">
                  <c:v>0.32994892574679374</c:v>
                </c:pt>
                <c:pt idx="439">
                  <c:v>0.32236376093611063</c:v>
                </c:pt>
                <c:pt idx="440">
                  <c:v>0.32195442481296654</c:v>
                </c:pt>
                <c:pt idx="441">
                  <c:v>0.32055552870123877</c:v>
                </c:pt>
                <c:pt idx="442">
                  <c:v>0.31897916538191706</c:v>
                </c:pt>
                <c:pt idx="443">
                  <c:v>0.31804244337483106</c:v>
                </c:pt>
                <c:pt idx="444">
                  <c:v>0.31412878915721765</c:v>
                </c:pt>
                <c:pt idx="445">
                  <c:v>0.30864206665405325</c:v>
                </c:pt>
                <c:pt idx="446">
                  <c:v>0.31658504828115741</c:v>
                </c:pt>
                <c:pt idx="447">
                  <c:v>0.31597949317173335</c:v>
                </c:pt>
                <c:pt idx="448">
                  <c:v>0.3113028887059604</c:v>
                </c:pt>
                <c:pt idx="449">
                  <c:v>0.30953834873154412</c:v>
                </c:pt>
                <c:pt idx="450">
                  <c:v>0.30123160757373535</c:v>
                </c:pt>
                <c:pt idx="451">
                  <c:v>0.3021575190157722</c:v>
                </c:pt>
                <c:pt idx="452">
                  <c:v>0.30025360301090087</c:v>
                </c:pt>
                <c:pt idx="453">
                  <c:v>0.30474468296527113</c:v>
                </c:pt>
                <c:pt idx="454">
                  <c:v>0.30298179050365043</c:v>
                </c:pt>
                <c:pt idx="455">
                  <c:v>0.30447863442318368</c:v>
                </c:pt>
                <c:pt idx="456">
                  <c:v>0.30788138568914314</c:v>
                </c:pt>
                <c:pt idx="457">
                  <c:v>0.30571996069212271</c:v>
                </c:pt>
                <c:pt idx="458">
                  <c:v>0.30757796543974658</c:v>
                </c:pt>
                <c:pt idx="459">
                  <c:v>0.30548456193881635</c:v>
                </c:pt>
                <c:pt idx="460">
                  <c:v>0.29985833507553999</c:v>
                </c:pt>
                <c:pt idx="461">
                  <c:v>0.30024855573360321</c:v>
                </c:pt>
                <c:pt idx="462">
                  <c:v>0.29852125498985443</c:v>
                </c:pt>
                <c:pt idx="463">
                  <c:v>0.29703230396372493</c:v>
                </c:pt>
                <c:pt idx="464">
                  <c:v>0.29956681535616442</c:v>
                </c:pt>
                <c:pt idx="465">
                  <c:v>0.29070698681795865</c:v>
                </c:pt>
                <c:pt idx="466">
                  <c:v>0.2859076263759075</c:v>
                </c:pt>
                <c:pt idx="467">
                  <c:v>0.27981685205860735</c:v>
                </c:pt>
                <c:pt idx="468">
                  <c:v>0.28605309217241753</c:v>
                </c:pt>
                <c:pt idx="469">
                  <c:v>0.28183080328719312</c:v>
                </c:pt>
                <c:pt idx="470">
                  <c:v>0.27872089975892994</c:v>
                </c:pt>
                <c:pt idx="471">
                  <c:v>0.27712146445774205</c:v>
                </c:pt>
                <c:pt idx="472">
                  <c:v>0.27702858040449485</c:v>
                </c:pt>
                <c:pt idx="473">
                  <c:v>0.2683931904698646</c:v>
                </c:pt>
                <c:pt idx="474">
                  <c:v>0.27031762178662966</c:v>
                </c:pt>
                <c:pt idx="475">
                  <c:v>0.26385745077749667</c:v>
                </c:pt>
                <c:pt idx="476">
                  <c:v>0.26574675974305828</c:v>
                </c:pt>
                <c:pt idx="477">
                  <c:v>0.25727759306362868</c:v>
                </c:pt>
                <c:pt idx="478">
                  <c:v>0.25984137823609438</c:v>
                </c:pt>
                <c:pt idx="479">
                  <c:v>0.26158102617315249</c:v>
                </c:pt>
                <c:pt idx="480">
                  <c:v>0.26062184665505661</c:v>
                </c:pt>
                <c:pt idx="481">
                  <c:v>0.26032727711224668</c:v>
                </c:pt>
                <c:pt idx="482">
                  <c:v>0.25715606376739741</c:v>
                </c:pt>
                <c:pt idx="483">
                  <c:v>0.25665709562610634</c:v>
                </c:pt>
                <c:pt idx="484">
                  <c:v>0.25685595702114006</c:v>
                </c:pt>
                <c:pt idx="485">
                  <c:v>0.25453124292384754</c:v>
                </c:pt>
                <c:pt idx="486">
                  <c:v>0.25567953003115962</c:v>
                </c:pt>
                <c:pt idx="487">
                  <c:v>0.25349983289188638</c:v>
                </c:pt>
                <c:pt idx="488">
                  <c:v>0.24856198335548776</c:v>
                </c:pt>
                <c:pt idx="489">
                  <c:v>0.24444050379322971</c:v>
                </c:pt>
                <c:pt idx="490">
                  <c:v>0.24383289596202889</c:v>
                </c:pt>
                <c:pt idx="491">
                  <c:v>0.24368169097976661</c:v>
                </c:pt>
                <c:pt idx="492">
                  <c:v>0.24009259228061863</c:v>
                </c:pt>
                <c:pt idx="493">
                  <c:v>0.24233124282943733</c:v>
                </c:pt>
                <c:pt idx="494">
                  <c:v>0.24034155068335339</c:v>
                </c:pt>
                <c:pt idx="495">
                  <c:v>0.23574573454091655</c:v>
                </c:pt>
                <c:pt idx="496">
                  <c:v>0.23770335822360453</c:v>
                </c:pt>
                <c:pt idx="497">
                  <c:v>0.23686615850920142</c:v>
                </c:pt>
                <c:pt idx="498">
                  <c:v>0.24591403860992966</c:v>
                </c:pt>
                <c:pt idx="499">
                  <c:v>0.24704585751655841</c:v>
                </c:pt>
                <c:pt idx="500">
                  <c:v>0.24046467899234114</c:v>
                </c:pt>
                <c:pt idx="501">
                  <c:v>0.24285547544247191</c:v>
                </c:pt>
                <c:pt idx="502">
                  <c:v>0.24002135331124547</c:v>
                </c:pt>
                <c:pt idx="503">
                  <c:v>0.24205416447897962</c:v>
                </c:pt>
                <c:pt idx="504">
                  <c:v>0.2444177124548004</c:v>
                </c:pt>
                <c:pt idx="505">
                  <c:v>0.24126296912408096</c:v>
                </c:pt>
                <c:pt idx="506">
                  <c:v>0.24451613552946086</c:v>
                </c:pt>
                <c:pt idx="507">
                  <c:v>0.24744481504636875</c:v>
                </c:pt>
                <c:pt idx="508">
                  <c:v>0.24282726519955472</c:v>
                </c:pt>
                <c:pt idx="509">
                  <c:v>0.24051598239169023</c:v>
                </c:pt>
                <c:pt idx="510">
                  <c:v>0.24100190903428986</c:v>
                </c:pt>
                <c:pt idx="511">
                  <c:v>0.24652236515731474</c:v>
                </c:pt>
                <c:pt idx="512">
                  <c:v>0.25193127983214453</c:v>
                </c:pt>
                <c:pt idx="513">
                  <c:v>0.24981787684857495</c:v>
                </c:pt>
                <c:pt idx="514">
                  <c:v>0.24565314352677942</c:v>
                </c:pt>
                <c:pt idx="515">
                  <c:v>0.2494548103473658</c:v>
                </c:pt>
                <c:pt idx="516">
                  <c:v>0.25198777923070237</c:v>
                </c:pt>
                <c:pt idx="517">
                  <c:v>0.25478531082529959</c:v>
                </c:pt>
                <c:pt idx="518">
                  <c:v>0.25165163440279509</c:v>
                </c:pt>
                <c:pt idx="519">
                  <c:v>0.25000779756829272</c:v>
                </c:pt>
                <c:pt idx="520">
                  <c:v>0.25382303182636329</c:v>
                </c:pt>
                <c:pt idx="521">
                  <c:v>0.25445513688948584</c:v>
                </c:pt>
                <c:pt idx="522">
                  <c:v>0.25391954329344729</c:v>
                </c:pt>
                <c:pt idx="523">
                  <c:v>0.2498706051988383</c:v>
                </c:pt>
                <c:pt idx="524">
                  <c:v>0.24911561468802834</c:v>
                </c:pt>
                <c:pt idx="525">
                  <c:v>0.24948475569145781</c:v>
                </c:pt>
                <c:pt idx="526">
                  <c:v>0.24930390569757185</c:v>
                </c:pt>
                <c:pt idx="527">
                  <c:v>0.25175604279967295</c:v>
                </c:pt>
                <c:pt idx="528">
                  <c:v>0.25187131721687922</c:v>
                </c:pt>
                <c:pt idx="529">
                  <c:v>0.25171572007912452</c:v>
                </c:pt>
                <c:pt idx="530">
                  <c:v>0.25197084285668703</c:v>
                </c:pt>
                <c:pt idx="531">
                  <c:v>0.25292223398093416</c:v>
                </c:pt>
                <c:pt idx="532">
                  <c:v>0.25747754668542711</c:v>
                </c:pt>
                <c:pt idx="533">
                  <c:v>0.25520121930772699</c:v>
                </c:pt>
                <c:pt idx="534">
                  <c:v>0.25692442666119025</c:v>
                </c:pt>
                <c:pt idx="535">
                  <c:v>0.2589214663091895</c:v>
                </c:pt>
                <c:pt idx="536">
                  <c:v>0.26301571484113495</c:v>
                </c:pt>
                <c:pt idx="537">
                  <c:v>0.26570507196148646</c:v>
                </c:pt>
                <c:pt idx="538">
                  <c:v>0.264434216548669</c:v>
                </c:pt>
                <c:pt idx="539">
                  <c:v>0.26443717217740753</c:v>
                </c:pt>
                <c:pt idx="540">
                  <c:v>0.26967562602327938</c:v>
                </c:pt>
                <c:pt idx="541">
                  <c:v>0.2718947451527633</c:v>
                </c:pt>
                <c:pt idx="542">
                  <c:v>0.27179542155623965</c:v>
                </c:pt>
                <c:pt idx="543">
                  <c:v>0.26925308386438634</c:v>
                </c:pt>
                <c:pt idx="544">
                  <c:v>0.27089996828207941</c:v>
                </c:pt>
                <c:pt idx="545">
                  <c:v>0.27729389477526967</c:v>
                </c:pt>
                <c:pt idx="546">
                  <c:v>0.27994752328121975</c:v>
                </c:pt>
                <c:pt idx="547">
                  <c:v>0.27946016345315056</c:v>
                </c:pt>
                <c:pt idx="548">
                  <c:v>0.28262403086148669</c:v>
                </c:pt>
                <c:pt idx="549">
                  <c:v>0.28181977001764275</c:v>
                </c:pt>
                <c:pt idx="550">
                  <c:v>0.28043348214159264</c:v>
                </c:pt>
                <c:pt idx="551">
                  <c:v>0.27786805821134947</c:v>
                </c:pt>
                <c:pt idx="552">
                  <c:v>0.281622107475198</c:v>
                </c:pt>
                <c:pt idx="553">
                  <c:v>0.27567863223098038</c:v>
                </c:pt>
                <c:pt idx="554">
                  <c:v>0.27482835624702234</c:v>
                </c:pt>
                <c:pt idx="555">
                  <c:v>0.27360728448473703</c:v>
                </c:pt>
                <c:pt idx="556">
                  <c:v>0.27068632572412593</c:v>
                </c:pt>
                <c:pt idx="557">
                  <c:v>0.27011427793072679</c:v>
                </c:pt>
                <c:pt idx="558">
                  <c:v>0.27220606524296542</c:v>
                </c:pt>
                <c:pt idx="559">
                  <c:v>0.27256437932977906</c:v>
                </c:pt>
                <c:pt idx="560">
                  <c:v>0.26874886413007509</c:v>
                </c:pt>
                <c:pt idx="561">
                  <c:v>0.26165010679745399</c:v>
                </c:pt>
                <c:pt idx="562">
                  <c:v>0.25964760466389863</c:v>
                </c:pt>
                <c:pt idx="563">
                  <c:v>0.2564615212172725</c:v>
                </c:pt>
                <c:pt idx="564">
                  <c:v>0.25477369175383452</c:v>
                </c:pt>
                <c:pt idx="565">
                  <c:v>0.25838602124544141</c:v>
                </c:pt>
                <c:pt idx="566">
                  <c:v>0.25757036077350792</c:v>
                </c:pt>
                <c:pt idx="567">
                  <c:v>0.25340921986379894</c:v>
                </c:pt>
                <c:pt idx="568">
                  <c:v>0.25312415099737462</c:v>
                </c:pt>
                <c:pt idx="569">
                  <c:v>0.24921087001741632</c:v>
                </c:pt>
                <c:pt idx="570">
                  <c:v>0.25408957784097647</c:v>
                </c:pt>
                <c:pt idx="571">
                  <c:v>0.25048372442085004</c:v>
                </c:pt>
                <c:pt idx="572">
                  <c:v>0.2486667989896168</c:v>
                </c:pt>
                <c:pt idx="573">
                  <c:v>0.25352748310652506</c:v>
                </c:pt>
                <c:pt idx="574">
                  <c:v>0.25169326328150177</c:v>
                </c:pt>
                <c:pt idx="575">
                  <c:v>0.2578550454352192</c:v>
                </c:pt>
                <c:pt idx="576">
                  <c:v>0.25083352744094756</c:v>
                </c:pt>
                <c:pt idx="577">
                  <c:v>0.24797748279176451</c:v>
                </c:pt>
                <c:pt idx="578">
                  <c:v>0.2429770828346729</c:v>
                </c:pt>
                <c:pt idx="579">
                  <c:v>0.23875072749809445</c:v>
                </c:pt>
                <c:pt idx="580">
                  <c:v>0.23594941957660565</c:v>
                </c:pt>
                <c:pt idx="581">
                  <c:v>0.23551721875588708</c:v>
                </c:pt>
                <c:pt idx="582">
                  <c:v>0.23508480040404453</c:v>
                </c:pt>
                <c:pt idx="583">
                  <c:v>0.24100891675408273</c:v>
                </c:pt>
                <c:pt idx="584">
                  <c:v>0.23615431529365921</c:v>
                </c:pt>
                <c:pt idx="585">
                  <c:v>0.2372647526873303</c:v>
                </c:pt>
                <c:pt idx="586">
                  <c:v>0.23723844562501395</c:v>
                </c:pt>
                <c:pt idx="587">
                  <c:v>0.23970128311142122</c:v>
                </c:pt>
                <c:pt idx="588">
                  <c:v>0.24134496812741776</c:v>
                </c:pt>
                <c:pt idx="589">
                  <c:v>0.24311759681515943</c:v>
                </c:pt>
                <c:pt idx="590">
                  <c:v>0.24114678601702394</c:v>
                </c:pt>
                <c:pt idx="591">
                  <c:v>0.23854305926281905</c:v>
                </c:pt>
                <c:pt idx="592">
                  <c:v>0.23236387371320655</c:v>
                </c:pt>
                <c:pt idx="593">
                  <c:v>0.23797663083353349</c:v>
                </c:pt>
                <c:pt idx="594">
                  <c:v>0.24461935009274366</c:v>
                </c:pt>
                <c:pt idx="595">
                  <c:v>0.23904770801312875</c:v>
                </c:pt>
                <c:pt idx="596">
                  <c:v>0.23271529741717498</c:v>
                </c:pt>
                <c:pt idx="597">
                  <c:v>0.23645885737346614</c:v>
                </c:pt>
                <c:pt idx="598">
                  <c:v>0.23355052153528622</c:v>
                </c:pt>
                <c:pt idx="599">
                  <c:v>0.22872284812604854</c:v>
                </c:pt>
                <c:pt idx="600">
                  <c:v>0.22472760032806205</c:v>
                </c:pt>
                <c:pt idx="601">
                  <c:v>0.22762232876847635</c:v>
                </c:pt>
                <c:pt idx="602">
                  <c:v>0.22069242514801252</c:v>
                </c:pt>
                <c:pt idx="603">
                  <c:v>0.22398649502438711</c:v>
                </c:pt>
                <c:pt idx="604">
                  <c:v>0.21597413797015361</c:v>
                </c:pt>
                <c:pt idx="605">
                  <c:v>0.22011178519847444</c:v>
                </c:pt>
                <c:pt idx="606">
                  <c:v>0.21813143889009007</c:v>
                </c:pt>
                <c:pt idx="607">
                  <c:v>0.21708854213629855</c:v>
                </c:pt>
                <c:pt idx="608">
                  <c:v>0.21755530115152444</c:v>
                </c:pt>
                <c:pt idx="609">
                  <c:v>0.2194901482492165</c:v>
                </c:pt>
                <c:pt idx="610">
                  <c:v>0.22205441065568163</c:v>
                </c:pt>
                <c:pt idx="611">
                  <c:v>0.21969353047354023</c:v>
                </c:pt>
                <c:pt idx="612">
                  <c:v>0.21793773491897966</c:v>
                </c:pt>
                <c:pt idx="613">
                  <c:v>0.22090031450713762</c:v>
                </c:pt>
                <c:pt idx="614">
                  <c:v>0.22377512134522315</c:v>
                </c:pt>
                <c:pt idx="615">
                  <c:v>0.21593812318524211</c:v>
                </c:pt>
                <c:pt idx="616">
                  <c:v>0.21920869242323968</c:v>
                </c:pt>
                <c:pt idx="617">
                  <c:v>0.22037526616498349</c:v>
                </c:pt>
                <c:pt idx="618">
                  <c:v>0.22534987894897388</c:v>
                </c:pt>
                <c:pt idx="619">
                  <c:v>0.22541259660396581</c:v>
                </c:pt>
                <c:pt idx="620">
                  <c:v>0.22949760918808129</c:v>
                </c:pt>
                <c:pt idx="621">
                  <c:v>0.22590829113989055</c:v>
                </c:pt>
                <c:pt idx="622">
                  <c:v>0.22481618502554823</c:v>
                </c:pt>
                <c:pt idx="623">
                  <c:v>0.22492243669046572</c:v>
                </c:pt>
                <c:pt idx="624">
                  <c:v>0.22117709246357942</c:v>
                </c:pt>
                <c:pt idx="625">
                  <c:v>0.22235138172090746</c:v>
                </c:pt>
                <c:pt idx="626">
                  <c:v>0.22583667537837429</c:v>
                </c:pt>
                <c:pt idx="627">
                  <c:v>0.22667146781748332</c:v>
                </c:pt>
                <c:pt idx="628">
                  <c:v>0.22950555798846398</c:v>
                </c:pt>
                <c:pt idx="629">
                  <c:v>0.22805267973981824</c:v>
                </c:pt>
                <c:pt idx="630">
                  <c:v>0.22459301401577647</c:v>
                </c:pt>
                <c:pt idx="631">
                  <c:v>0.22706926876063507</c:v>
                </c:pt>
                <c:pt idx="632">
                  <c:v>0.22794101837096903</c:v>
                </c:pt>
                <c:pt idx="633">
                  <c:v>0.22820629821942076</c:v>
                </c:pt>
                <c:pt idx="634">
                  <c:v>0.23109927683321374</c:v>
                </c:pt>
                <c:pt idx="635">
                  <c:v>0.23449698215463177</c:v>
                </c:pt>
                <c:pt idx="636">
                  <c:v>0.24123656229331747</c:v>
                </c:pt>
                <c:pt idx="637">
                  <c:v>0.24521290880869892</c:v>
                </c:pt>
                <c:pt idx="638">
                  <c:v>0.24289533764822724</c:v>
                </c:pt>
                <c:pt idx="639">
                  <c:v>0.24162234476107353</c:v>
                </c:pt>
                <c:pt idx="640">
                  <c:v>0.24015689401530854</c:v>
                </c:pt>
                <c:pt idx="641">
                  <c:v>0.23319093359450127</c:v>
                </c:pt>
                <c:pt idx="642">
                  <c:v>0.2312333748605177</c:v>
                </c:pt>
                <c:pt idx="643">
                  <c:v>0.22610468712523282</c:v>
                </c:pt>
                <c:pt idx="644">
                  <c:v>0.22444533273623699</c:v>
                </c:pt>
                <c:pt idx="645">
                  <c:v>0.22261631832466255</c:v>
                </c:pt>
                <c:pt idx="646">
                  <c:v>0.2243092288795541</c:v>
                </c:pt>
                <c:pt idx="647">
                  <c:v>0.23258638609811128</c:v>
                </c:pt>
                <c:pt idx="648">
                  <c:v>0.23629813159598501</c:v>
                </c:pt>
                <c:pt idx="649">
                  <c:v>0.23723353357716506</c:v>
                </c:pt>
                <c:pt idx="650">
                  <c:v>0.23911601539255506</c:v>
                </c:pt>
                <c:pt idx="651">
                  <c:v>0.23853605419103868</c:v>
                </c:pt>
                <c:pt idx="652">
                  <c:v>0.23674464839667181</c:v>
                </c:pt>
                <c:pt idx="653">
                  <c:v>0.23921374293657724</c:v>
                </c:pt>
                <c:pt idx="654">
                  <c:v>0.23795047070834099</c:v>
                </c:pt>
                <c:pt idx="655">
                  <c:v>0.2355362608096902</c:v>
                </c:pt>
                <c:pt idx="656">
                  <c:v>0.23999611793216355</c:v>
                </c:pt>
                <c:pt idx="657">
                  <c:v>0.24820367758364709</c:v>
                </c:pt>
                <c:pt idx="658">
                  <c:v>0.24856488347811737</c:v>
                </c:pt>
                <c:pt idx="659">
                  <c:v>0.249712863015117</c:v>
                </c:pt>
                <c:pt idx="660">
                  <c:v>0.24682694587972379</c:v>
                </c:pt>
                <c:pt idx="661">
                  <c:v>0.24283641063665587</c:v>
                </c:pt>
                <c:pt idx="662">
                  <c:v>0.2401127367425093</c:v>
                </c:pt>
                <c:pt idx="663">
                  <c:v>0.23742813639861149</c:v>
                </c:pt>
                <c:pt idx="664">
                  <c:v>0.23877969523489223</c:v>
                </c:pt>
                <c:pt idx="665">
                  <c:v>0.23530490439701607</c:v>
                </c:pt>
                <c:pt idx="666">
                  <c:v>0.23663528724847052</c:v>
                </c:pt>
                <c:pt idx="667">
                  <c:v>0.24168156960517323</c:v>
                </c:pt>
                <c:pt idx="668">
                  <c:v>0.24326707652483509</c:v>
                </c:pt>
                <c:pt idx="669">
                  <c:v>0.2463253225567445</c:v>
                </c:pt>
                <c:pt idx="670">
                  <c:v>0.25101992307840798</c:v>
                </c:pt>
                <c:pt idx="671">
                  <c:v>0.24475029582760996</c:v>
                </c:pt>
                <c:pt idx="672">
                  <c:v>0.24428611007573009</c:v>
                </c:pt>
                <c:pt idx="673">
                  <c:v>0.24055547297051416</c:v>
                </c:pt>
                <c:pt idx="674">
                  <c:v>0.24246744002105569</c:v>
                </c:pt>
                <c:pt idx="675">
                  <c:v>0.24593564082330463</c:v>
                </c:pt>
                <c:pt idx="676">
                  <c:v>0.25639068349089467</c:v>
                </c:pt>
                <c:pt idx="677">
                  <c:v>0.24765696165461787</c:v>
                </c:pt>
                <c:pt idx="678">
                  <c:v>0.24906863480227148</c:v>
                </c:pt>
                <c:pt idx="679">
                  <c:v>0.24980949451998649</c:v>
                </c:pt>
                <c:pt idx="680">
                  <c:v>0.24947780224817265</c:v>
                </c:pt>
                <c:pt idx="681">
                  <c:v>0.24537493916410466</c:v>
                </c:pt>
                <c:pt idx="682">
                  <c:v>0.23879557904526003</c:v>
                </c:pt>
                <c:pt idx="683">
                  <c:v>0.23797748975891464</c:v>
                </c:pt>
                <c:pt idx="684">
                  <c:v>0.24361855869281696</c:v>
                </c:pt>
                <c:pt idx="685">
                  <c:v>0.23997863155260155</c:v>
                </c:pt>
                <c:pt idx="686">
                  <c:v>0.24008316526475737</c:v>
                </c:pt>
                <c:pt idx="687">
                  <c:v>0.24299326681859032</c:v>
                </c:pt>
                <c:pt idx="688">
                  <c:v>0.2390523116854065</c:v>
                </c:pt>
                <c:pt idx="689">
                  <c:v>0.24109269839881475</c:v>
                </c:pt>
                <c:pt idx="690">
                  <c:v>0.23755418205814058</c:v>
                </c:pt>
                <c:pt idx="691">
                  <c:v>0.23906705447429449</c:v>
                </c:pt>
                <c:pt idx="692">
                  <c:v>0.23494062589244644</c:v>
                </c:pt>
                <c:pt idx="693">
                  <c:v>0.23462736308449386</c:v>
                </c:pt>
                <c:pt idx="694">
                  <c:v>0.23531755707296495</c:v>
                </c:pt>
                <c:pt idx="695">
                  <c:v>0.22874333511926587</c:v>
                </c:pt>
                <c:pt idx="696">
                  <c:v>0.22762747671330866</c:v>
                </c:pt>
                <c:pt idx="697">
                  <c:v>0.22894855345657333</c:v>
                </c:pt>
                <c:pt idx="698">
                  <c:v>0.2282583296882065</c:v>
                </c:pt>
                <c:pt idx="699">
                  <c:v>0.22774308384891087</c:v>
                </c:pt>
                <c:pt idx="700">
                  <c:v>0.22471208074212307</c:v>
                </c:pt>
                <c:pt idx="701">
                  <c:v>0.22110458488277346</c:v>
                </c:pt>
                <c:pt idx="702">
                  <c:v>0.22278847325455936</c:v>
                </c:pt>
                <c:pt idx="703">
                  <c:v>0.2239297576025224</c:v>
                </c:pt>
                <c:pt idx="704">
                  <c:v>0.22523267614342121</c:v>
                </c:pt>
                <c:pt idx="705">
                  <c:v>0.22542821539716934</c:v>
                </c:pt>
                <c:pt idx="706">
                  <c:v>0.22975988370677125</c:v>
                </c:pt>
                <c:pt idx="707">
                  <c:v>0.23178212815983998</c:v>
                </c:pt>
                <c:pt idx="708">
                  <c:v>0.23759083468602585</c:v>
                </c:pt>
                <c:pt idx="709">
                  <c:v>0.24055379921656309</c:v>
                </c:pt>
                <c:pt idx="710">
                  <c:v>0.23966515548629302</c:v>
                </c:pt>
                <c:pt idx="711">
                  <c:v>0.23636968438054964</c:v>
                </c:pt>
                <c:pt idx="712">
                  <c:v>0.23822285890197742</c:v>
                </c:pt>
                <c:pt idx="713">
                  <c:v>0.23906375166066124</c:v>
                </c:pt>
                <c:pt idx="714">
                  <c:v>0.24037629117366061</c:v>
                </c:pt>
                <c:pt idx="715">
                  <c:v>0.23691280207652415</c:v>
                </c:pt>
                <c:pt idx="716">
                  <c:v>0.24240222071818168</c:v>
                </c:pt>
                <c:pt idx="717">
                  <c:v>0.24265703796402363</c:v>
                </c:pt>
                <c:pt idx="718">
                  <c:v>0.23971042634295528</c:v>
                </c:pt>
                <c:pt idx="719">
                  <c:v>0.24113890183734649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83360"/>
        <c:axId val="233584896"/>
      </c:lineChart>
      <c:catAx>
        <c:axId val="23358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3584896"/>
        <c:crosses val="autoZero"/>
        <c:auto val="1"/>
        <c:lblAlgn val="ctr"/>
        <c:lblOffset val="100"/>
        <c:noMultiLvlLbl val="0"/>
      </c:catAx>
      <c:valAx>
        <c:axId val="23358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583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Sheet1!$B$6:$B$11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Sheet1!$G$12:$G$1212</c:f>
              <c:numCache>
                <c:formatCode>General</c:formatCode>
                <c:ptCount val="1201"/>
                <c:pt idx="0">
                  <c:v>0.9999095916125823</c:v>
                </c:pt>
                <c:pt idx="1">
                  <c:v>0.99981775960591879</c:v>
                </c:pt>
                <c:pt idx="2">
                  <c:v>0.99972528824577822</c:v>
                </c:pt>
                <c:pt idx="3">
                  <c:v>0.99963326004346675</c:v>
                </c:pt>
                <c:pt idx="4">
                  <c:v>0.99954201779431828</c:v>
                </c:pt>
                <c:pt idx="5">
                  <c:v>0.99945010716702565</c:v>
                </c:pt>
                <c:pt idx="6">
                  <c:v>0.99935862568845624</c:v>
                </c:pt>
                <c:pt idx="7">
                  <c:v>0.9992672590438908</c:v>
                </c:pt>
                <c:pt idx="8">
                  <c:v>0.99917567325037304</c:v>
                </c:pt>
                <c:pt idx="9">
                  <c:v>0.99908434652628131</c:v>
                </c:pt>
                <c:pt idx="10">
                  <c:v>0.99899331094361354</c:v>
                </c:pt>
                <c:pt idx="11">
                  <c:v>0.99890116103440485</c:v>
                </c:pt>
                <c:pt idx="12">
                  <c:v>0.99881017494343227</c:v>
                </c:pt>
                <c:pt idx="13">
                  <c:v>0.99871776994382089</c:v>
                </c:pt>
                <c:pt idx="14">
                  <c:v>0.99862689151782358</c:v>
                </c:pt>
                <c:pt idx="15">
                  <c:v>0.99853580043003476</c:v>
                </c:pt>
                <c:pt idx="16">
                  <c:v>0.99844474266494143</c:v>
                </c:pt>
                <c:pt idx="17">
                  <c:v>0.99835382665498051</c:v>
                </c:pt>
                <c:pt idx="18">
                  <c:v>0.99826321484146296</c:v>
                </c:pt>
                <c:pt idx="19">
                  <c:v>0.99817193252201886</c:v>
                </c:pt>
                <c:pt idx="20">
                  <c:v>0.9980803671450007</c:v>
                </c:pt>
                <c:pt idx="21">
                  <c:v>0.99798906984702174</c:v>
                </c:pt>
                <c:pt idx="22">
                  <c:v>0.99789773296140505</c:v>
                </c:pt>
                <c:pt idx="23">
                  <c:v>0.9978068863748043</c:v>
                </c:pt>
                <c:pt idx="24">
                  <c:v>0.99771544634042808</c:v>
                </c:pt>
                <c:pt idx="25">
                  <c:v>0.99762471728853963</c:v>
                </c:pt>
                <c:pt idx="26">
                  <c:v>0.99753299284870478</c:v>
                </c:pt>
                <c:pt idx="27">
                  <c:v>0.99744227160441912</c:v>
                </c:pt>
                <c:pt idx="28">
                  <c:v>0.99735099565088181</c:v>
                </c:pt>
                <c:pt idx="29">
                  <c:v>0.99726051388739057</c:v>
                </c:pt>
                <c:pt idx="30">
                  <c:v>0.99717002488437301</c:v>
                </c:pt>
                <c:pt idx="31">
                  <c:v>0.99707880665962256</c:v>
                </c:pt>
                <c:pt idx="32">
                  <c:v>0.9969888333609559</c:v>
                </c:pt>
                <c:pt idx="33">
                  <c:v>0.99689760848883247</c:v>
                </c:pt>
                <c:pt idx="34">
                  <c:v>0.99680784291677449</c:v>
                </c:pt>
                <c:pt idx="35">
                  <c:v>0.99671762104591743</c:v>
                </c:pt>
                <c:pt idx="36">
                  <c:v>0.99662786993450514</c:v>
                </c:pt>
                <c:pt idx="37">
                  <c:v>0.99653852882790217</c:v>
                </c:pt>
                <c:pt idx="38">
                  <c:v>0.99644973499385336</c:v>
                </c:pt>
                <c:pt idx="39">
                  <c:v>0.99636005484701162</c:v>
                </c:pt>
                <c:pt idx="40">
                  <c:v>0.99627152860459123</c:v>
                </c:pt>
                <c:pt idx="41">
                  <c:v>0.99618239337503434</c:v>
                </c:pt>
                <c:pt idx="42">
                  <c:v>0.99609244329402047</c:v>
                </c:pt>
                <c:pt idx="43">
                  <c:v>0.99600322056502499</c:v>
                </c:pt>
                <c:pt idx="44">
                  <c:v>0.99591163644159064</c:v>
                </c:pt>
                <c:pt idx="45">
                  <c:v>0.99582156701847946</c:v>
                </c:pt>
                <c:pt idx="46">
                  <c:v>0.99572873683516794</c:v>
                </c:pt>
                <c:pt idx="47">
                  <c:v>0.99563538794667161</c:v>
                </c:pt>
                <c:pt idx="48">
                  <c:v>0.995540314803945</c:v>
                </c:pt>
                <c:pt idx="49">
                  <c:v>0.99544478793717117</c:v>
                </c:pt>
                <c:pt idx="50">
                  <c:v>0.99534852980660593</c:v>
                </c:pt>
                <c:pt idx="51">
                  <c:v>0.99525278766802605</c:v>
                </c:pt>
                <c:pt idx="52">
                  <c:v>0.99515734044757087</c:v>
                </c:pt>
                <c:pt idx="53">
                  <c:v>0.99506240451354677</c:v>
                </c:pt>
                <c:pt idx="54">
                  <c:v>0.99496991059406825</c:v>
                </c:pt>
                <c:pt idx="55">
                  <c:v>0.99487961196106611</c:v>
                </c:pt>
                <c:pt idx="56">
                  <c:v>0.99479172510301028</c:v>
                </c:pt>
                <c:pt idx="57">
                  <c:v>0.99470832442247137</c:v>
                </c:pt>
                <c:pt idx="58">
                  <c:v>0.99462917217421076</c:v>
                </c:pt>
                <c:pt idx="59">
                  <c:v>0.99455555737657431</c:v>
                </c:pt>
                <c:pt idx="60">
                  <c:v>0.99448759509545637</c:v>
                </c:pt>
                <c:pt idx="61">
                  <c:v>0.99442471315987491</c:v>
                </c:pt>
                <c:pt idx="62">
                  <c:v>0.99436282746873728</c:v>
                </c:pt>
                <c:pt idx="63">
                  <c:v>0.99430054310228788</c:v>
                </c:pt>
                <c:pt idx="64">
                  <c:v>0.99423592389473092</c:v>
                </c:pt>
                <c:pt idx="65">
                  <c:v>0.99416684644524467</c:v>
                </c:pt>
                <c:pt idx="66">
                  <c:v>0.99408928426665877</c:v>
                </c:pt>
                <c:pt idx="67">
                  <c:v>0.99400289326981861</c:v>
                </c:pt>
                <c:pt idx="68">
                  <c:v>0.99390281146372306</c:v>
                </c:pt>
                <c:pt idx="69">
                  <c:v>0.99378596608718217</c:v>
                </c:pt>
                <c:pt idx="70">
                  <c:v>0.99365000293522776</c:v>
                </c:pt>
                <c:pt idx="71">
                  <c:v>0.99349016794160794</c:v>
                </c:pt>
                <c:pt idx="72">
                  <c:v>0.99330453050029011</c:v>
                </c:pt>
                <c:pt idx="73">
                  <c:v>0.99309131702712561</c:v>
                </c:pt>
                <c:pt idx="74">
                  <c:v>0.99285125189827161</c:v>
                </c:pt>
                <c:pt idx="75">
                  <c:v>0.99258321700248364</c:v>
                </c:pt>
                <c:pt idx="76">
                  <c:v>0.99228611150021739</c:v>
                </c:pt>
                <c:pt idx="77">
                  <c:v>0.99195985363440908</c:v>
                </c:pt>
                <c:pt idx="78">
                  <c:v>0.99160360500988265</c:v>
                </c:pt>
                <c:pt idx="79">
                  <c:v>0.99121730211337722</c:v>
                </c:pt>
                <c:pt idx="80">
                  <c:v>0.99080035289024493</c:v>
                </c:pt>
                <c:pt idx="81">
                  <c:v>0.99035201712734633</c:v>
                </c:pt>
                <c:pt idx="82">
                  <c:v>0.98987177360721712</c:v>
                </c:pt>
                <c:pt idx="83">
                  <c:v>0.98935863923923573</c:v>
                </c:pt>
                <c:pt idx="84">
                  <c:v>0.98881266072741114</c:v>
                </c:pt>
                <c:pt idx="85">
                  <c:v>0.98823393612118193</c:v>
                </c:pt>
                <c:pt idx="86">
                  <c:v>0.98762136992817451</c:v>
                </c:pt>
                <c:pt idx="87">
                  <c:v>0.98697601830631632</c:v>
                </c:pt>
                <c:pt idx="88">
                  <c:v>0.98629945460453305</c:v>
                </c:pt>
                <c:pt idx="89">
                  <c:v>0.98559145349213373</c:v>
                </c:pt>
                <c:pt idx="90">
                  <c:v>0.98485262800183193</c:v>
                </c:pt>
                <c:pt idx="91">
                  <c:v>0.98408255536138056</c:v>
                </c:pt>
                <c:pt idx="92">
                  <c:v>0.98328222376123708</c:v>
                </c:pt>
                <c:pt idx="93">
                  <c:v>0.98245253710489888</c:v>
                </c:pt>
                <c:pt idx="94">
                  <c:v>0.98159267269399386</c:v>
                </c:pt>
                <c:pt idx="95">
                  <c:v>0.98070376692914796</c:v>
                </c:pt>
                <c:pt idx="96">
                  <c:v>0.97978655650016622</c:v>
                </c:pt>
                <c:pt idx="97">
                  <c:v>0.97884742356556309</c:v>
                </c:pt>
                <c:pt idx="98">
                  <c:v>0.9778895462639362</c:v>
                </c:pt>
                <c:pt idx="99">
                  <c:v>0.9769190605891952</c:v>
                </c:pt>
                <c:pt idx="100">
                  <c:v>0.97594120737636969</c:v>
                </c:pt>
                <c:pt idx="101">
                  <c:v>0.9749599722420097</c:v>
                </c:pt>
                <c:pt idx="102">
                  <c:v>0.97398191785154964</c:v>
                </c:pt>
                <c:pt idx="103">
                  <c:v>0.97301094464665772</c:v>
                </c:pt>
                <c:pt idx="104">
                  <c:v>0.97205688024824488</c:v>
                </c:pt>
                <c:pt idx="105">
                  <c:v>0.97112221494534856</c:v>
                </c:pt>
                <c:pt idx="106">
                  <c:v>0.97021608053653907</c:v>
                </c:pt>
                <c:pt idx="107">
                  <c:v>0.96934483155522866</c:v>
                </c:pt>
                <c:pt idx="108">
                  <c:v>0.96851287802454467</c:v>
                </c:pt>
                <c:pt idx="109">
                  <c:v>0.96771669838151941</c:v>
                </c:pt>
                <c:pt idx="110">
                  <c:v>0.96695247193798628</c:v>
                </c:pt>
                <c:pt idx="111">
                  <c:v>0.96621434277694407</c:v>
                </c:pt>
                <c:pt idx="112">
                  <c:v>0.96549793787153104</c:v>
                </c:pt>
                <c:pt idx="113">
                  <c:v>0.96479787189016974</c:v>
                </c:pt>
                <c:pt idx="114">
                  <c:v>0.96410887433950176</c:v>
                </c:pt>
                <c:pt idx="115">
                  <c:v>0.96342278620904276</c:v>
                </c:pt>
                <c:pt idx="116">
                  <c:v>0.9627366338215938</c:v>
                </c:pt>
                <c:pt idx="117">
                  <c:v>0.96204458345517574</c:v>
                </c:pt>
                <c:pt idx="118">
                  <c:v>0.96133917157754534</c:v>
                </c:pt>
                <c:pt idx="119">
                  <c:v>0.96061386456023667</c:v>
                </c:pt>
                <c:pt idx="120">
                  <c:v>0.95986186954902164</c:v>
                </c:pt>
                <c:pt idx="121">
                  <c:v>0.95908422143107674</c:v>
                </c:pt>
                <c:pt idx="122">
                  <c:v>0.95828240568177658</c:v>
                </c:pt>
                <c:pt idx="123">
                  <c:v>0.95745834803384455</c:v>
                </c:pt>
                <c:pt idx="124">
                  <c:v>0.95661458866165316</c:v>
                </c:pt>
                <c:pt idx="125">
                  <c:v>0.9557523267944642</c:v>
                </c:pt>
                <c:pt idx="126">
                  <c:v>0.95487255212684319</c:v>
                </c:pt>
                <c:pt idx="127">
                  <c:v>0.95397935798438482</c:v>
                </c:pt>
                <c:pt idx="128">
                  <c:v>0.95307298013111852</c:v>
                </c:pt>
                <c:pt idx="129">
                  <c:v>0.95215465784220854</c:v>
                </c:pt>
                <c:pt idx="130">
                  <c:v>0.95122783984438231</c:v>
                </c:pt>
                <c:pt idx="131">
                  <c:v>0.95029542666426836</c:v>
                </c:pt>
                <c:pt idx="132">
                  <c:v>0.9493580964545989</c:v>
                </c:pt>
                <c:pt idx="133">
                  <c:v>0.94841563681043295</c:v>
                </c:pt>
                <c:pt idx="134">
                  <c:v>0.94747246473673408</c:v>
                </c:pt>
                <c:pt idx="135">
                  <c:v>0.94652452341235493</c:v>
                </c:pt>
                <c:pt idx="136">
                  <c:v>0.94557510527276767</c:v>
                </c:pt>
                <c:pt idx="137">
                  <c:v>0.94462441457067126</c:v>
                </c:pt>
                <c:pt idx="138">
                  <c:v>0.94367447363090218</c:v>
                </c:pt>
                <c:pt idx="139">
                  <c:v>0.94272571254855542</c:v>
                </c:pt>
                <c:pt idx="140">
                  <c:v>0.94177733211607106</c:v>
                </c:pt>
                <c:pt idx="141">
                  <c:v>0.94083075238095626</c:v>
                </c:pt>
                <c:pt idx="142">
                  <c:v>0.93988541263137071</c:v>
                </c:pt>
                <c:pt idx="143">
                  <c:v>0.93894410871426393</c:v>
                </c:pt>
                <c:pt idx="144">
                  <c:v>0.93800560899750685</c:v>
                </c:pt>
                <c:pt idx="145">
                  <c:v>0.93707116328274753</c:v>
                </c:pt>
                <c:pt idx="146">
                  <c:v>0.93613894263900599</c:v>
                </c:pt>
                <c:pt idx="147">
                  <c:v>0.93520653123186026</c:v>
                </c:pt>
                <c:pt idx="148">
                  <c:v>0.93427535312841758</c:v>
                </c:pt>
                <c:pt idx="149">
                  <c:v>0.93334438743691883</c:v>
                </c:pt>
                <c:pt idx="150">
                  <c:v>0.93241315953925274</c:v>
                </c:pt>
                <c:pt idx="151">
                  <c:v>0.93147974447298842</c:v>
                </c:pt>
                <c:pt idx="152">
                  <c:v>0.93054207624244667</c:v>
                </c:pt>
                <c:pt idx="153">
                  <c:v>0.92959963517158228</c:v>
                </c:pt>
                <c:pt idx="154">
                  <c:v>0.9286509312471033</c:v>
                </c:pt>
                <c:pt idx="155">
                  <c:v>0.92769540451850641</c:v>
                </c:pt>
                <c:pt idx="156">
                  <c:v>0.92673326952546375</c:v>
                </c:pt>
                <c:pt idx="157">
                  <c:v>0.92576328198231439</c:v>
                </c:pt>
                <c:pt idx="158">
                  <c:v>0.92478502023272724</c:v>
                </c:pt>
                <c:pt idx="159">
                  <c:v>0.9237981974960161</c:v>
                </c:pt>
                <c:pt idx="160">
                  <c:v>0.92280282740602015</c:v>
                </c:pt>
                <c:pt idx="161">
                  <c:v>0.92179933244937406</c:v>
                </c:pt>
                <c:pt idx="162">
                  <c:v>0.92078776574763854</c:v>
                </c:pt>
                <c:pt idx="163">
                  <c:v>0.91976516729378854</c:v>
                </c:pt>
                <c:pt idx="164">
                  <c:v>0.91873108252753377</c:v>
                </c:pt>
                <c:pt idx="165">
                  <c:v>0.91768382092013745</c:v>
                </c:pt>
                <c:pt idx="166">
                  <c:v>0.91662359671629567</c:v>
                </c:pt>
                <c:pt idx="167">
                  <c:v>0.91554995589617916</c:v>
                </c:pt>
                <c:pt idx="168">
                  <c:v>0.9144592574031345</c:v>
                </c:pt>
                <c:pt idx="169">
                  <c:v>0.9133577220310406</c:v>
                </c:pt>
                <c:pt idx="170">
                  <c:v>0.91224891385769424</c:v>
                </c:pt>
                <c:pt idx="171">
                  <c:v>0.91113601237071162</c:v>
                </c:pt>
                <c:pt idx="172">
                  <c:v>0.91002413091221102</c:v>
                </c:pt>
                <c:pt idx="173">
                  <c:v>0.90891535567744708</c:v>
                </c:pt>
                <c:pt idx="174">
                  <c:v>0.9078143741646012</c:v>
                </c:pt>
                <c:pt idx="175">
                  <c:v>0.9067233652783887</c:v>
                </c:pt>
                <c:pt idx="176">
                  <c:v>0.9056477794369826</c:v>
                </c:pt>
                <c:pt idx="177">
                  <c:v>0.90459239686433868</c:v>
                </c:pt>
                <c:pt idx="178">
                  <c:v>0.90355911306009806</c:v>
                </c:pt>
                <c:pt idx="179">
                  <c:v>0.90255381126655976</c:v>
                </c:pt>
                <c:pt idx="180">
                  <c:v>0.90157773783029482</c:v>
                </c:pt>
                <c:pt idx="181">
                  <c:v>0.90063126773487079</c:v>
                </c:pt>
                <c:pt idx="182">
                  <c:v>0.89971104930628953</c:v>
                </c:pt>
                <c:pt idx="183">
                  <c:v>0.89881220503368753</c:v>
                </c:pt>
                <c:pt idx="184">
                  <c:v>0.89793376254351664</c:v>
                </c:pt>
                <c:pt idx="185">
                  <c:v>0.89707120229633641</c:v>
                </c:pt>
                <c:pt idx="186">
                  <c:v>0.89622178309284684</c:v>
                </c:pt>
                <c:pt idx="187">
                  <c:v>0.89537946904520327</c:v>
                </c:pt>
                <c:pt idx="188">
                  <c:v>0.89454201467852945</c:v>
                </c:pt>
                <c:pt idx="189">
                  <c:v>0.89370509500587392</c:v>
                </c:pt>
                <c:pt idx="190">
                  <c:v>0.89286396103239163</c:v>
                </c:pt>
                <c:pt idx="191">
                  <c:v>0.89201346382766389</c:v>
                </c:pt>
                <c:pt idx="192">
                  <c:v>0.89115264875195355</c:v>
                </c:pt>
                <c:pt idx="193">
                  <c:v>0.89027930857250159</c:v>
                </c:pt>
                <c:pt idx="194">
                  <c:v>0.88939356475825593</c:v>
                </c:pt>
                <c:pt idx="195">
                  <c:v>0.8884974383473373</c:v>
                </c:pt>
                <c:pt idx="196">
                  <c:v>0.88759075683459521</c:v>
                </c:pt>
                <c:pt idx="197">
                  <c:v>0.886674780903146</c:v>
                </c:pt>
                <c:pt idx="198">
                  <c:v>0.88575343791877781</c:v>
                </c:pt>
                <c:pt idx="199">
                  <c:v>0.88482226933652597</c:v>
                </c:pt>
                <c:pt idx="200">
                  <c:v>0.88388826804714371</c:v>
                </c:pt>
                <c:pt idx="201">
                  <c:v>0.88294982802564914</c:v>
                </c:pt>
                <c:pt idx="202">
                  <c:v>0.88200753238801866</c:v>
                </c:pt>
                <c:pt idx="203">
                  <c:v>0.88106344829869887</c:v>
                </c:pt>
                <c:pt idx="204">
                  <c:v>0.88011810433370452</c:v>
                </c:pt>
                <c:pt idx="205">
                  <c:v>0.87917437847270352</c:v>
                </c:pt>
                <c:pt idx="206">
                  <c:v>0.87823133801782882</c:v>
                </c:pt>
                <c:pt idx="207">
                  <c:v>0.87728817702462403</c:v>
                </c:pt>
                <c:pt idx="208">
                  <c:v>0.87634401663351635</c:v>
                </c:pt>
                <c:pt idx="209">
                  <c:v>0.87540147141765734</c:v>
                </c:pt>
                <c:pt idx="210">
                  <c:v>0.87445641260551077</c:v>
                </c:pt>
                <c:pt idx="211">
                  <c:v>0.87350921059797315</c:v>
                </c:pt>
                <c:pt idx="212">
                  <c:v>0.87255872216557995</c:v>
                </c:pt>
                <c:pt idx="213">
                  <c:v>0.87160661027851716</c:v>
                </c:pt>
                <c:pt idx="214">
                  <c:v>0.87065297297497657</c:v>
                </c:pt>
                <c:pt idx="215">
                  <c:v>0.86969780448924772</c:v>
                </c:pt>
                <c:pt idx="216">
                  <c:v>0.86873942513154523</c:v>
                </c:pt>
                <c:pt idx="217">
                  <c:v>0.86777813501815204</c:v>
                </c:pt>
                <c:pt idx="218">
                  <c:v>0.8668139272330263</c:v>
                </c:pt>
                <c:pt idx="219">
                  <c:v>0.86584819297590454</c:v>
                </c:pt>
                <c:pt idx="220">
                  <c:v>0.86487888040764049</c:v>
                </c:pt>
                <c:pt idx="221">
                  <c:v>0.86390449220318988</c:v>
                </c:pt>
                <c:pt idx="222">
                  <c:v>0.8629264898925163</c:v>
                </c:pt>
                <c:pt idx="223">
                  <c:v>0.86194235354004189</c:v>
                </c:pt>
                <c:pt idx="224">
                  <c:v>0.86095419657363514</c:v>
                </c:pt>
                <c:pt idx="225">
                  <c:v>0.85996150085841561</c:v>
                </c:pt>
                <c:pt idx="226">
                  <c:v>0.85896176439571248</c:v>
                </c:pt>
                <c:pt idx="227">
                  <c:v>0.85795515102644426</c:v>
                </c:pt>
                <c:pt idx="228">
                  <c:v>0.85694201010437987</c:v>
                </c:pt>
                <c:pt idx="229">
                  <c:v>0.85592330296763031</c:v>
                </c:pt>
                <c:pt idx="230">
                  <c:v>0.85490213810480109</c:v>
                </c:pt>
                <c:pt idx="231">
                  <c:v>0.85387761579992927</c:v>
                </c:pt>
                <c:pt idx="232">
                  <c:v>0.85285597553502301</c:v>
                </c:pt>
                <c:pt idx="233">
                  <c:v>0.85183707971339973</c:v>
                </c:pt>
                <c:pt idx="234">
                  <c:v>0.85082342620046714</c:v>
                </c:pt>
                <c:pt idx="235">
                  <c:v>0.84981658311253172</c:v>
                </c:pt>
                <c:pt idx="236">
                  <c:v>0.84882175589713083</c:v>
                </c:pt>
                <c:pt idx="237">
                  <c:v>0.8478412010277967</c:v>
                </c:pt>
                <c:pt idx="238">
                  <c:v>0.8468749022731239</c:v>
                </c:pt>
                <c:pt idx="239">
                  <c:v>0.84592778333291041</c:v>
                </c:pt>
                <c:pt idx="240">
                  <c:v>0.8450001091305569</c:v>
                </c:pt>
                <c:pt idx="241">
                  <c:v>0.84408975179133217</c:v>
                </c:pt>
                <c:pt idx="242">
                  <c:v>0.84319554691710763</c:v>
                </c:pt>
                <c:pt idx="243">
                  <c:v>0.84231427005795756</c:v>
                </c:pt>
                <c:pt idx="244">
                  <c:v>0.8414446377638074</c:v>
                </c:pt>
                <c:pt idx="245">
                  <c:v>0.84058491849721617</c:v>
                </c:pt>
                <c:pt idx="246">
                  <c:v>0.83973271882109746</c:v>
                </c:pt>
                <c:pt idx="247">
                  <c:v>0.8388853412334123</c:v>
                </c:pt>
                <c:pt idx="248">
                  <c:v>0.83804118954291318</c:v>
                </c:pt>
                <c:pt idx="249">
                  <c:v>0.83719917988600323</c:v>
                </c:pt>
                <c:pt idx="250">
                  <c:v>0.83635482638574721</c:v>
                </c:pt>
                <c:pt idx="251">
                  <c:v>0.83550389957403481</c:v>
                </c:pt>
                <c:pt idx="252">
                  <c:v>0.83464724608499341</c:v>
                </c:pt>
                <c:pt idx="253">
                  <c:v>0.8337835867882204</c:v>
                </c:pt>
                <c:pt idx="254">
                  <c:v>0.83291414685237397</c:v>
                </c:pt>
                <c:pt idx="255">
                  <c:v>0.83203866275077776</c:v>
                </c:pt>
                <c:pt idx="256">
                  <c:v>0.83115888427637852</c:v>
                </c:pt>
                <c:pt idx="257">
                  <c:v>0.83027777949241865</c:v>
                </c:pt>
                <c:pt idx="258">
                  <c:v>0.82939180057783102</c:v>
                </c:pt>
                <c:pt idx="259">
                  <c:v>0.82850149636079184</c:v>
                </c:pt>
                <c:pt idx="260">
                  <c:v>0.8276099053542908</c:v>
                </c:pt>
                <c:pt idx="261">
                  <c:v>0.82671657738772175</c:v>
                </c:pt>
                <c:pt idx="262">
                  <c:v>0.82581929212415361</c:v>
                </c:pt>
                <c:pt idx="263">
                  <c:v>0.82491912443053805</c:v>
                </c:pt>
                <c:pt idx="264">
                  <c:v>0.82401830862356618</c:v>
                </c:pt>
                <c:pt idx="265">
                  <c:v>0.8231146427010666</c:v>
                </c:pt>
                <c:pt idx="266">
                  <c:v>0.82221040023969294</c:v>
                </c:pt>
                <c:pt idx="267">
                  <c:v>0.82130415939702339</c:v>
                </c:pt>
                <c:pt idx="268">
                  <c:v>0.82039714135521846</c:v>
                </c:pt>
                <c:pt idx="269">
                  <c:v>0.81948871119056077</c:v>
                </c:pt>
                <c:pt idx="270">
                  <c:v>0.81858074433792749</c:v>
                </c:pt>
                <c:pt idx="271">
                  <c:v>0.81767436130759941</c:v>
                </c:pt>
                <c:pt idx="272">
                  <c:v>0.81677128049768732</c:v>
                </c:pt>
                <c:pt idx="273">
                  <c:v>0.81586759413066312</c:v>
                </c:pt>
                <c:pt idx="274">
                  <c:v>0.81496249867158232</c:v>
                </c:pt>
                <c:pt idx="275">
                  <c:v>0.81405921356014743</c:v>
                </c:pt>
                <c:pt idx="276">
                  <c:v>0.81315794503195593</c:v>
                </c:pt>
                <c:pt idx="277">
                  <c:v>0.8122568859546162</c:v>
                </c:pt>
                <c:pt idx="278">
                  <c:v>0.81135465094516535</c:v>
                </c:pt>
                <c:pt idx="279">
                  <c:v>0.81044898281635402</c:v>
                </c:pt>
                <c:pt idx="280">
                  <c:v>0.80953676209553393</c:v>
                </c:pt>
                <c:pt idx="281">
                  <c:v>0.80861887560184709</c:v>
                </c:pt>
                <c:pt idx="282">
                  <c:v>0.80769464961873882</c:v>
                </c:pt>
                <c:pt idx="283">
                  <c:v>0.80676029260895887</c:v>
                </c:pt>
                <c:pt idx="284">
                  <c:v>0.80581773364179654</c:v>
                </c:pt>
                <c:pt idx="285">
                  <c:v>0.80486679424316743</c:v>
                </c:pt>
                <c:pt idx="286">
                  <c:v>0.80390546316033107</c:v>
                </c:pt>
                <c:pt idx="287">
                  <c:v>0.80292761516837585</c:v>
                </c:pt>
                <c:pt idx="288">
                  <c:v>0.80193600196137738</c:v>
                </c:pt>
                <c:pt idx="289">
                  <c:v>0.80093623892848786</c:v>
                </c:pt>
                <c:pt idx="290">
                  <c:v>0.79993133910474479</c:v>
                </c:pt>
                <c:pt idx="291">
                  <c:v>0.79892685932760765</c:v>
                </c:pt>
                <c:pt idx="292">
                  <c:v>0.7979288083845838</c:v>
                </c:pt>
                <c:pt idx="293">
                  <c:v>0.79694323131669065</c:v>
                </c:pt>
                <c:pt idx="294">
                  <c:v>0.79597426416775774</c:v>
                </c:pt>
                <c:pt idx="295">
                  <c:v>0.79502785833332434</c:v>
                </c:pt>
                <c:pt idx="296">
                  <c:v>0.79411304861538246</c:v>
                </c:pt>
                <c:pt idx="297">
                  <c:v>0.79323577284685132</c:v>
                </c:pt>
                <c:pt idx="298">
                  <c:v>0.79239720726940588</c:v>
                </c:pt>
                <c:pt idx="299">
                  <c:v>0.79160571982081029</c:v>
                </c:pt>
                <c:pt idx="300">
                  <c:v>0.79087064528388018</c:v>
                </c:pt>
                <c:pt idx="301">
                  <c:v>0.79018569028411922</c:v>
                </c:pt>
                <c:pt idx="302">
                  <c:v>0.78954313175516511</c:v>
                </c:pt>
                <c:pt idx="303">
                  <c:v>0.78893859510855402</c:v>
                </c:pt>
                <c:pt idx="304">
                  <c:v>0.78836793716400178</c:v>
                </c:pt>
                <c:pt idx="305">
                  <c:v>0.78782254089732129</c:v>
                </c:pt>
                <c:pt idx="306">
                  <c:v>0.7872989145852991</c:v>
                </c:pt>
                <c:pt idx="307">
                  <c:v>0.78679295297851937</c:v>
                </c:pt>
                <c:pt idx="308">
                  <c:v>0.78629506523071013</c:v>
                </c:pt>
                <c:pt idx="309">
                  <c:v>0.78579797053644129</c:v>
                </c:pt>
                <c:pt idx="310">
                  <c:v>0.78529744108929911</c:v>
                </c:pt>
                <c:pt idx="311">
                  <c:v>0.78479063727479814</c:v>
                </c:pt>
                <c:pt idx="312">
                  <c:v>0.78427361447135446</c:v>
                </c:pt>
                <c:pt idx="313">
                  <c:v>0.78374172434747269</c:v>
                </c:pt>
                <c:pt idx="314">
                  <c:v>0.78319815307102314</c:v>
                </c:pt>
                <c:pt idx="315">
                  <c:v>0.78264625424208811</c:v>
                </c:pt>
                <c:pt idx="316">
                  <c:v>0.78208804468233817</c:v>
                </c:pt>
                <c:pt idx="317">
                  <c:v>0.78152538013938178</c:v>
                </c:pt>
                <c:pt idx="318">
                  <c:v>0.78095815608524499</c:v>
                </c:pt>
                <c:pt idx="319">
                  <c:v>0.78038906718051659</c:v>
                </c:pt>
                <c:pt idx="320">
                  <c:v>0.77981885415348828</c:v>
                </c:pt>
                <c:pt idx="321">
                  <c:v>0.77924967398330192</c:v>
                </c:pt>
                <c:pt idx="322">
                  <c:v>0.77868448221330921</c:v>
                </c:pt>
                <c:pt idx="323">
                  <c:v>0.77812301427636354</c:v>
                </c:pt>
                <c:pt idx="324">
                  <c:v>0.7775653622749219</c:v>
                </c:pt>
                <c:pt idx="325">
                  <c:v>0.77700903301673663</c:v>
                </c:pt>
                <c:pt idx="326">
                  <c:v>0.7764557313290199</c:v>
                </c:pt>
                <c:pt idx="327">
                  <c:v>0.77590585574768978</c:v>
                </c:pt>
                <c:pt idx="328">
                  <c:v>0.77535845514671431</c:v>
                </c:pt>
                <c:pt idx="329">
                  <c:v>0.77481137322367422</c:v>
                </c:pt>
                <c:pt idx="330">
                  <c:v>0.7742663814573697</c:v>
                </c:pt>
                <c:pt idx="331">
                  <c:v>0.77372252896655813</c:v>
                </c:pt>
                <c:pt idx="332">
                  <c:v>0.7731798027483574</c:v>
                </c:pt>
                <c:pt idx="333">
                  <c:v>0.77263484512865133</c:v>
                </c:pt>
                <c:pt idx="334">
                  <c:v>0.77208950368239693</c:v>
                </c:pt>
                <c:pt idx="335">
                  <c:v>0.77154260707537148</c:v>
                </c:pt>
                <c:pt idx="336">
                  <c:v>0.77099744804661363</c:v>
                </c:pt>
                <c:pt idx="337">
                  <c:v>0.77045223630859838</c:v>
                </c:pt>
                <c:pt idx="338">
                  <c:v>0.76990409923848169</c:v>
                </c:pt>
                <c:pt idx="339">
                  <c:v>0.76935654105407314</c:v>
                </c:pt>
                <c:pt idx="340">
                  <c:v>0.76880719205000325</c:v>
                </c:pt>
                <c:pt idx="341">
                  <c:v>0.76825711729747037</c:v>
                </c:pt>
                <c:pt idx="342">
                  <c:v>0.76770759140661005</c:v>
                </c:pt>
                <c:pt idx="343">
                  <c:v>0.76716185258981995</c:v>
                </c:pt>
                <c:pt idx="344">
                  <c:v>0.7666165280099152</c:v>
                </c:pt>
                <c:pt idx="345">
                  <c:v>0.76607313515216202</c:v>
                </c:pt>
                <c:pt idx="346">
                  <c:v>0.76553221360586221</c:v>
                </c:pt>
                <c:pt idx="347">
                  <c:v>0.76499140302647606</c:v>
                </c:pt>
                <c:pt idx="348">
                  <c:v>0.76445506280339348</c:v>
                </c:pt>
                <c:pt idx="349">
                  <c:v>0.76391795963606057</c:v>
                </c:pt>
                <c:pt idx="350">
                  <c:v>0.76337919392338283</c:v>
                </c:pt>
                <c:pt idx="351">
                  <c:v>0.76284076423701197</c:v>
                </c:pt>
                <c:pt idx="352">
                  <c:v>0.76230100313970983</c:v>
                </c:pt>
                <c:pt idx="353">
                  <c:v>0.76176247524331131</c:v>
                </c:pt>
                <c:pt idx="354">
                  <c:v>0.76122533608572374</c:v>
                </c:pt>
                <c:pt idx="355">
                  <c:v>0.76068900981804266</c:v>
                </c:pt>
                <c:pt idx="356">
                  <c:v>0.7601556425813355</c:v>
                </c:pt>
                <c:pt idx="357">
                  <c:v>0.75962558167553895</c:v>
                </c:pt>
                <c:pt idx="358">
                  <c:v>0.75909627261197965</c:v>
                </c:pt>
                <c:pt idx="359">
                  <c:v>0.75856889897845026</c:v>
                </c:pt>
                <c:pt idx="360">
                  <c:v>0.7580437610552031</c:v>
                </c:pt>
                <c:pt idx="361">
                  <c:v>0.75751625869087003</c:v>
                </c:pt>
                <c:pt idx="362">
                  <c:v>0.75698783140091896</c:v>
                </c:pt>
                <c:pt idx="363">
                  <c:v>0.75645897128860484</c:v>
                </c:pt>
                <c:pt idx="364">
                  <c:v>0.75592770422633393</c:v>
                </c:pt>
                <c:pt idx="365">
                  <c:v>0.75539677017627371</c:v>
                </c:pt>
                <c:pt idx="366">
                  <c:v>0.75486736570779944</c:v>
                </c:pt>
                <c:pt idx="367">
                  <c:v>0.75433433523129945</c:v>
                </c:pt>
                <c:pt idx="368">
                  <c:v>0.7538017698983962</c:v>
                </c:pt>
                <c:pt idx="369">
                  <c:v>0.75326535192372079</c:v>
                </c:pt>
                <c:pt idx="370">
                  <c:v>0.7527269402736223</c:v>
                </c:pt>
                <c:pt idx="371">
                  <c:v>0.75219164813734229</c:v>
                </c:pt>
                <c:pt idx="372">
                  <c:v>0.75165655485325489</c:v>
                </c:pt>
                <c:pt idx="373">
                  <c:v>0.75112185993063862</c:v>
                </c:pt>
                <c:pt idx="374">
                  <c:v>0.75058937706758089</c:v>
                </c:pt>
                <c:pt idx="375">
                  <c:v>0.75005599552661595</c:v>
                </c:pt>
                <c:pt idx="376">
                  <c:v>0.74952277734884543</c:v>
                </c:pt>
                <c:pt idx="377">
                  <c:v>0.74899300752438158</c:v>
                </c:pt>
                <c:pt idx="378">
                  <c:v>0.74846388224150018</c:v>
                </c:pt>
                <c:pt idx="379">
                  <c:v>0.74793334459696692</c:v>
                </c:pt>
                <c:pt idx="380">
                  <c:v>0.74740320376141256</c:v>
                </c:pt>
                <c:pt idx="381">
                  <c:v>0.74687016753885527</c:v>
                </c:pt>
                <c:pt idx="382">
                  <c:v>0.7463356804018515</c:v>
                </c:pt>
                <c:pt idx="383">
                  <c:v>0.74580019747947368</c:v>
                </c:pt>
                <c:pt idx="384">
                  <c:v>0.7452659785884469</c:v>
                </c:pt>
                <c:pt idx="385">
                  <c:v>0.74473335411950981</c:v>
                </c:pt>
                <c:pt idx="386">
                  <c:v>0.74420156729658216</c:v>
                </c:pt>
                <c:pt idx="387">
                  <c:v>0.74367247117914759</c:v>
                </c:pt>
                <c:pt idx="388">
                  <c:v>0.74314215908255221</c:v>
                </c:pt>
                <c:pt idx="389">
                  <c:v>0.74260803483126825</c:v>
                </c:pt>
                <c:pt idx="390">
                  <c:v>0.74207683548849046</c:v>
                </c:pt>
                <c:pt idx="391">
                  <c:v>0.74154940987521378</c:v>
                </c:pt>
                <c:pt idx="392">
                  <c:v>0.74102581107388554</c:v>
                </c:pt>
                <c:pt idx="393">
                  <c:v>0.74050672423643571</c:v>
                </c:pt>
                <c:pt idx="394">
                  <c:v>0.73998699384583799</c:v>
                </c:pt>
                <c:pt idx="395">
                  <c:v>0.73946617568497108</c:v>
                </c:pt>
                <c:pt idx="396">
                  <c:v>0.73894205954651337</c:v>
                </c:pt>
                <c:pt idx="397">
                  <c:v>0.73841885804649643</c:v>
                </c:pt>
                <c:pt idx="398">
                  <c:v>0.73789657123321262</c:v>
                </c:pt>
                <c:pt idx="399">
                  <c:v>0.73737489005747381</c:v>
                </c:pt>
                <c:pt idx="400">
                  <c:v>0.73685248249218049</c:v>
                </c:pt>
                <c:pt idx="401">
                  <c:v>0.73633324836931302</c:v>
                </c:pt>
                <c:pt idx="402">
                  <c:v>0.73581580336715091</c:v>
                </c:pt>
                <c:pt idx="403">
                  <c:v>0.7353034254623011</c:v>
                </c:pt>
                <c:pt idx="404">
                  <c:v>0.73478858180765605</c:v>
                </c:pt>
                <c:pt idx="405">
                  <c:v>0.73427521388523942</c:v>
                </c:pt>
                <c:pt idx="406">
                  <c:v>0.73376355073753197</c:v>
                </c:pt>
                <c:pt idx="407">
                  <c:v>0.73325328795696765</c:v>
                </c:pt>
                <c:pt idx="408">
                  <c:v>0.73274094832210801</c:v>
                </c:pt>
                <c:pt idx="409">
                  <c:v>0.73223030671400768</c:v>
                </c:pt>
                <c:pt idx="410">
                  <c:v>0.73172087352235249</c:v>
                </c:pt>
                <c:pt idx="411">
                  <c:v>0.73120980913214673</c:v>
                </c:pt>
                <c:pt idx="412">
                  <c:v>0.73069639931935648</c:v>
                </c:pt>
                <c:pt idx="413">
                  <c:v>0.73018218120453682</c:v>
                </c:pt>
                <c:pt idx="414">
                  <c:v>0.7296661402174619</c:v>
                </c:pt>
                <c:pt idx="415">
                  <c:v>0.72914989531440755</c:v>
                </c:pt>
                <c:pt idx="416">
                  <c:v>0.72863272809912483</c:v>
                </c:pt>
                <c:pt idx="417">
                  <c:v>0.72811682348282292</c:v>
                </c:pt>
                <c:pt idx="418">
                  <c:v>0.72760326726351809</c:v>
                </c:pt>
                <c:pt idx="419">
                  <c:v>0.72708978899355592</c:v>
                </c:pt>
                <c:pt idx="420">
                  <c:v>0.72657910374533308</c:v>
                </c:pt>
                <c:pt idx="421">
                  <c:v>0.7260686935010261</c:v>
                </c:pt>
                <c:pt idx="422">
                  <c:v>0.72555908753171239</c:v>
                </c:pt>
                <c:pt idx="423">
                  <c:v>0.72505231895508027</c:v>
                </c:pt>
                <c:pt idx="424">
                  <c:v>0.72455000093435107</c:v>
                </c:pt>
                <c:pt idx="425">
                  <c:v>0.72405035227039516</c:v>
                </c:pt>
                <c:pt idx="426">
                  <c:v>0.72355005574843823</c:v>
                </c:pt>
                <c:pt idx="427">
                  <c:v>0.72305115073385851</c:v>
                </c:pt>
                <c:pt idx="428">
                  <c:v>0.72255754701797237</c:v>
                </c:pt>
                <c:pt idx="429">
                  <c:v>0.72206528741746967</c:v>
                </c:pt>
                <c:pt idx="430">
                  <c:v>0.72157184659088569</c:v>
                </c:pt>
                <c:pt idx="431">
                  <c:v>0.72107805164857031</c:v>
                </c:pt>
                <c:pt idx="432">
                  <c:v>0.72058496755675783</c:v>
                </c:pt>
                <c:pt idx="433">
                  <c:v>0.72009127512854543</c:v>
                </c:pt>
                <c:pt idx="434">
                  <c:v>0.71960170572758619</c:v>
                </c:pt>
                <c:pt idx="435">
                  <c:v>0.71911153802562056</c:v>
                </c:pt>
                <c:pt idx="436">
                  <c:v>0.71862044639472822</c:v>
                </c:pt>
                <c:pt idx="437">
                  <c:v>0.71812798905135</c:v>
                </c:pt>
                <c:pt idx="438">
                  <c:v>0.71763355175273513</c:v>
                </c:pt>
                <c:pt idx="439">
                  <c:v>0.71714272224171394</c:v>
                </c:pt>
                <c:pt idx="440">
                  <c:v>0.71665371159048152</c:v>
                </c:pt>
                <c:pt idx="441">
                  <c:v>0.71616205413813705</c:v>
                </c:pt>
                <c:pt idx="442">
                  <c:v>0.71567258080413532</c:v>
                </c:pt>
                <c:pt idx="443">
                  <c:v>0.71518434871421099</c:v>
                </c:pt>
                <c:pt idx="444">
                  <c:v>0.71469692551784725</c:v>
                </c:pt>
                <c:pt idx="445">
                  <c:v>0.71421048322429981</c:v>
                </c:pt>
                <c:pt idx="446">
                  <c:v>0.71372585673538291</c:v>
                </c:pt>
                <c:pt idx="447">
                  <c:v>0.71323996823196401</c:v>
                </c:pt>
                <c:pt idx="448">
                  <c:v>0.71275254639903052</c:v>
                </c:pt>
                <c:pt idx="449">
                  <c:v>0.71226377113893169</c:v>
                </c:pt>
                <c:pt idx="450">
                  <c:v>0.71178110120996307</c:v>
                </c:pt>
                <c:pt idx="451">
                  <c:v>0.71130284425025891</c:v>
                </c:pt>
                <c:pt idx="452">
                  <c:v>0.71082495976420101</c:v>
                </c:pt>
                <c:pt idx="453">
                  <c:v>0.71035106902781853</c:v>
                </c:pt>
                <c:pt idx="454">
                  <c:v>0.7098792099725445</c:v>
                </c:pt>
                <c:pt idx="455">
                  <c:v>0.7094069454608446</c:v>
                </c:pt>
                <c:pt idx="456">
                  <c:v>0.70893141655988634</c:v>
                </c:pt>
                <c:pt idx="457">
                  <c:v>0.70845629663677989</c:v>
                </c:pt>
                <c:pt idx="458">
                  <c:v>0.70798297111286912</c:v>
                </c:pt>
                <c:pt idx="459">
                  <c:v>0.70750756490812428</c:v>
                </c:pt>
                <c:pt idx="460">
                  <c:v>0.70703273612692596</c:v>
                </c:pt>
                <c:pt idx="461">
                  <c:v>0.70655757755641457</c:v>
                </c:pt>
                <c:pt idx="462">
                  <c:v>0.70608141923979717</c:v>
                </c:pt>
                <c:pt idx="463">
                  <c:v>0.70560468680124</c:v>
                </c:pt>
                <c:pt idx="464">
                  <c:v>0.7051315044504004</c:v>
                </c:pt>
                <c:pt idx="465">
                  <c:v>0.70466158924489208</c:v>
                </c:pt>
                <c:pt idx="466">
                  <c:v>0.70419657522399559</c:v>
                </c:pt>
                <c:pt idx="467">
                  <c:v>0.70372842741024866</c:v>
                </c:pt>
                <c:pt idx="468">
                  <c:v>0.70325997106549776</c:v>
                </c:pt>
                <c:pt idx="469">
                  <c:v>0.70279262854949509</c:v>
                </c:pt>
                <c:pt idx="470">
                  <c:v>0.70232188222107061</c:v>
                </c:pt>
                <c:pt idx="471">
                  <c:v>0.70184872119837161</c:v>
                </c:pt>
                <c:pt idx="472">
                  <c:v>0.70137524445922361</c:v>
                </c:pt>
                <c:pt idx="473">
                  <c:v>0.70090483325594899</c:v>
                </c:pt>
                <c:pt idx="474">
                  <c:v>0.70043395822147569</c:v>
                </c:pt>
                <c:pt idx="475">
                  <c:v>0.69996403755053316</c:v>
                </c:pt>
                <c:pt idx="476">
                  <c:v>0.6994920969473627</c:v>
                </c:pt>
                <c:pt idx="477">
                  <c:v>0.69901989061238257</c:v>
                </c:pt>
                <c:pt idx="478">
                  <c:v>0.69854902691572196</c:v>
                </c:pt>
                <c:pt idx="479">
                  <c:v>0.69807779959349969</c:v>
                </c:pt>
                <c:pt idx="480">
                  <c:v>0.69760873205015417</c:v>
                </c:pt>
                <c:pt idx="481">
                  <c:v>0.69713894512707564</c:v>
                </c:pt>
                <c:pt idx="482">
                  <c:v>0.6966693071945077</c:v>
                </c:pt>
                <c:pt idx="483">
                  <c:v>0.69619954890378322</c:v>
                </c:pt>
                <c:pt idx="484">
                  <c:v>0.69572985749667493</c:v>
                </c:pt>
                <c:pt idx="485">
                  <c:v>0.6952615740738689</c:v>
                </c:pt>
                <c:pt idx="486">
                  <c:v>0.69479352649974035</c:v>
                </c:pt>
                <c:pt idx="487">
                  <c:v>0.69432986816775488</c:v>
                </c:pt>
                <c:pt idx="488">
                  <c:v>0.69386694288611817</c:v>
                </c:pt>
                <c:pt idx="489">
                  <c:v>0.69339957408691466</c:v>
                </c:pt>
                <c:pt idx="490">
                  <c:v>0.69292845157947014</c:v>
                </c:pt>
                <c:pt idx="491">
                  <c:v>0.69245282636586547</c:v>
                </c:pt>
                <c:pt idx="492">
                  <c:v>0.69197811289040556</c:v>
                </c:pt>
                <c:pt idx="493">
                  <c:v>0.69150464514305654</c:v>
                </c:pt>
                <c:pt idx="494">
                  <c:v>0.69103254209948595</c:v>
                </c:pt>
                <c:pt idx="495">
                  <c:v>0.69055918470736355</c:v>
                </c:pt>
                <c:pt idx="496">
                  <c:v>0.69008218808085364</c:v>
                </c:pt>
                <c:pt idx="497">
                  <c:v>0.689608292411518</c:v>
                </c:pt>
                <c:pt idx="498">
                  <c:v>0.6891391508916398</c:v>
                </c:pt>
                <c:pt idx="499">
                  <c:v>0.68866822352089907</c:v>
                </c:pt>
                <c:pt idx="500">
                  <c:v>0.68819202254982215</c:v>
                </c:pt>
                <c:pt idx="501">
                  <c:v>0.68771534085862285</c:v>
                </c:pt>
                <c:pt idx="502">
                  <c:v>0.68723981015964541</c:v>
                </c:pt>
                <c:pt idx="503">
                  <c:v>0.68676773891218801</c:v>
                </c:pt>
                <c:pt idx="504">
                  <c:v>0.68629587850485063</c:v>
                </c:pt>
                <c:pt idx="505">
                  <c:v>0.68582362412660636</c:v>
                </c:pt>
                <c:pt idx="506">
                  <c:v>0.68535331237365349</c:v>
                </c:pt>
                <c:pt idx="507">
                  <c:v>0.68488685837071273</c:v>
                </c:pt>
                <c:pt idx="508">
                  <c:v>0.68442640683383393</c:v>
                </c:pt>
                <c:pt idx="509">
                  <c:v>0.68396885252213313</c:v>
                </c:pt>
                <c:pt idx="510">
                  <c:v>0.68351035446058228</c:v>
                </c:pt>
                <c:pt idx="511">
                  <c:v>0.68304745830215785</c:v>
                </c:pt>
                <c:pt idx="512">
                  <c:v>0.68259016409914286</c:v>
                </c:pt>
                <c:pt idx="513">
                  <c:v>0.68213491703851192</c:v>
                </c:pt>
                <c:pt idx="514">
                  <c:v>0.68168200936775358</c:v>
                </c:pt>
                <c:pt idx="515">
                  <c:v>0.68122634491400946</c:v>
                </c:pt>
                <c:pt idx="516">
                  <c:v>0.68077245703851397</c:v>
                </c:pt>
                <c:pt idx="517">
                  <c:v>0.68032161385948065</c:v>
                </c:pt>
                <c:pt idx="518">
                  <c:v>0.67987494310737784</c:v>
                </c:pt>
                <c:pt idx="519">
                  <c:v>0.67943133821119339</c:v>
                </c:pt>
                <c:pt idx="520">
                  <c:v>0.67898871233774782</c:v>
                </c:pt>
                <c:pt idx="521">
                  <c:v>0.67854755845997261</c:v>
                </c:pt>
                <c:pt idx="522">
                  <c:v>0.67810378462318355</c:v>
                </c:pt>
                <c:pt idx="523">
                  <c:v>0.67765600252421876</c:v>
                </c:pt>
                <c:pt idx="524">
                  <c:v>0.67720565062924276</c:v>
                </c:pt>
                <c:pt idx="525">
                  <c:v>0.67675217948445565</c:v>
                </c:pt>
                <c:pt idx="526">
                  <c:v>0.67629419172131777</c:v>
                </c:pt>
                <c:pt idx="527">
                  <c:v>0.67583359852052771</c:v>
                </c:pt>
                <c:pt idx="528">
                  <c:v>0.67537035645493038</c:v>
                </c:pt>
                <c:pt idx="529">
                  <c:v>0.67490754312000933</c:v>
                </c:pt>
                <c:pt idx="530">
                  <c:v>0.67444645422587024</c:v>
                </c:pt>
                <c:pt idx="531">
                  <c:v>0.67398507303428234</c:v>
                </c:pt>
                <c:pt idx="532">
                  <c:v>0.67352339333787159</c:v>
                </c:pt>
                <c:pt idx="533">
                  <c:v>0.67305804757498167</c:v>
                </c:pt>
                <c:pt idx="534">
                  <c:v>0.67259603842301596</c:v>
                </c:pt>
                <c:pt idx="535">
                  <c:v>0.67213672836821481</c:v>
                </c:pt>
                <c:pt idx="536">
                  <c:v>0.67167948973321523</c:v>
                </c:pt>
                <c:pt idx="537">
                  <c:v>0.67122511443888333</c:v>
                </c:pt>
                <c:pt idx="538">
                  <c:v>0.67077070357000212</c:v>
                </c:pt>
                <c:pt idx="539">
                  <c:v>0.67032095898844224</c:v>
                </c:pt>
                <c:pt idx="540">
                  <c:v>0.66987413400095364</c:v>
                </c:pt>
                <c:pt idx="541">
                  <c:v>0.66943162200829542</c:v>
                </c:pt>
                <c:pt idx="542">
                  <c:v>0.66898919281050762</c:v>
                </c:pt>
                <c:pt idx="543">
                  <c:v>0.6685443810187407</c:v>
                </c:pt>
                <c:pt idx="544">
                  <c:v>0.66809576028375062</c:v>
                </c:pt>
                <c:pt idx="545">
                  <c:v>0.66764359546406971</c:v>
                </c:pt>
                <c:pt idx="546">
                  <c:v>0.66718934018149501</c:v>
                </c:pt>
                <c:pt idx="547">
                  <c:v>0.66673091062309775</c:v>
                </c:pt>
                <c:pt idx="548">
                  <c:v>0.6662682896659049</c:v>
                </c:pt>
                <c:pt idx="549">
                  <c:v>0.66580797831375249</c:v>
                </c:pt>
                <c:pt idx="550">
                  <c:v>0.66534999120810312</c:v>
                </c:pt>
                <c:pt idx="551">
                  <c:v>0.66489195587166527</c:v>
                </c:pt>
                <c:pt idx="552">
                  <c:v>0.66442715816558251</c:v>
                </c:pt>
                <c:pt idx="553">
                  <c:v>0.66395961091582667</c:v>
                </c:pt>
                <c:pt idx="554">
                  <c:v>0.6634935198513815</c:v>
                </c:pt>
                <c:pt idx="555">
                  <c:v>0.66303044717907123</c:v>
                </c:pt>
                <c:pt idx="556">
                  <c:v>0.66256158376612573</c:v>
                </c:pt>
                <c:pt idx="557">
                  <c:v>0.6620948019216355</c:v>
                </c:pt>
                <c:pt idx="558">
                  <c:v>0.66162702068584167</c:v>
                </c:pt>
                <c:pt idx="559">
                  <c:v>0.66116718968604715</c:v>
                </c:pt>
                <c:pt idx="560">
                  <c:v>0.66071329065545492</c:v>
                </c:pt>
                <c:pt idx="561">
                  <c:v>0.66025982739333611</c:v>
                </c:pt>
                <c:pt idx="562">
                  <c:v>0.65980755053800544</c:v>
                </c:pt>
                <c:pt idx="563">
                  <c:v>0.65935371717106761</c:v>
                </c:pt>
                <c:pt idx="564">
                  <c:v>0.65889947374216673</c:v>
                </c:pt>
                <c:pt idx="565">
                  <c:v>0.65844241636656364</c:v>
                </c:pt>
                <c:pt idx="566">
                  <c:v>0.65798772091183666</c:v>
                </c:pt>
                <c:pt idx="567">
                  <c:v>0.65753092686692005</c:v>
                </c:pt>
                <c:pt idx="568">
                  <c:v>0.65707503186038752</c:v>
                </c:pt>
                <c:pt idx="569">
                  <c:v>0.65661403389097117</c:v>
                </c:pt>
                <c:pt idx="570">
                  <c:v>0.65615056361116308</c:v>
                </c:pt>
                <c:pt idx="571">
                  <c:v>0.65568268001717112</c:v>
                </c:pt>
                <c:pt idx="572">
                  <c:v>0.65521701828124268</c:v>
                </c:pt>
                <c:pt idx="573">
                  <c:v>0.65475090720167251</c:v>
                </c:pt>
                <c:pt idx="574">
                  <c:v>0.6542791420376507</c:v>
                </c:pt>
                <c:pt idx="575">
                  <c:v>0.65381100182843743</c:v>
                </c:pt>
                <c:pt idx="576">
                  <c:v>0.65334613143107156</c:v>
                </c:pt>
                <c:pt idx="577">
                  <c:v>0.6528842767823827</c:v>
                </c:pt>
                <c:pt idx="578">
                  <c:v>0.65242520724145514</c:v>
                </c:pt>
                <c:pt idx="579">
                  <c:v>0.65196905868170418</c:v>
                </c:pt>
                <c:pt idx="580">
                  <c:v>0.65151194597001327</c:v>
                </c:pt>
                <c:pt idx="581">
                  <c:v>0.65105139558124969</c:v>
                </c:pt>
                <c:pt idx="582">
                  <c:v>0.65059295947351159</c:v>
                </c:pt>
                <c:pt idx="583">
                  <c:v>0.65013747047207116</c:v>
                </c:pt>
                <c:pt idx="584">
                  <c:v>0.64968146516325409</c:v>
                </c:pt>
                <c:pt idx="585">
                  <c:v>0.64922184721463261</c:v>
                </c:pt>
                <c:pt idx="586">
                  <c:v>0.64876224911373881</c:v>
                </c:pt>
                <c:pt idx="587">
                  <c:v>0.64830220083056544</c:v>
                </c:pt>
                <c:pt idx="588">
                  <c:v>0.64784112363907254</c:v>
                </c:pt>
                <c:pt idx="589">
                  <c:v>0.64738033953464991</c:v>
                </c:pt>
                <c:pt idx="590">
                  <c:v>0.64692259967296684</c:v>
                </c:pt>
                <c:pt idx="591">
                  <c:v>0.64646394049003075</c:v>
                </c:pt>
                <c:pt idx="592">
                  <c:v>0.64600114017740329</c:v>
                </c:pt>
                <c:pt idx="593">
                  <c:v>0.6455383298119215</c:v>
                </c:pt>
                <c:pt idx="594">
                  <c:v>0.64507330338067959</c:v>
                </c:pt>
                <c:pt idx="595">
                  <c:v>0.64460611181107574</c:v>
                </c:pt>
                <c:pt idx="596">
                  <c:v>0.64413208784184206</c:v>
                </c:pt>
                <c:pt idx="597">
                  <c:v>0.64366085646918592</c:v>
                </c:pt>
                <c:pt idx="598">
                  <c:v>0.64319597827990027</c:v>
                </c:pt>
                <c:pt idx="599">
                  <c:v>0.64272273205476571</c:v>
                </c:pt>
                <c:pt idx="600">
                  <c:v>0.64224719033639133</c:v>
                </c:pt>
                <c:pt idx="601">
                  <c:v>0.64176924477321884</c:v>
                </c:pt>
                <c:pt idx="602">
                  <c:v>0.6412910768599368</c:v>
                </c:pt>
                <c:pt idx="603">
                  <c:v>0.64081023919874325</c:v>
                </c:pt>
                <c:pt idx="604">
                  <c:v>0.64032556066284729</c:v>
                </c:pt>
                <c:pt idx="605">
                  <c:v>0.63983650230672107</c:v>
                </c:pt>
                <c:pt idx="606">
                  <c:v>0.63934575742590916</c:v>
                </c:pt>
                <c:pt idx="607">
                  <c:v>0.63885729536454383</c:v>
                </c:pt>
                <c:pt idx="608">
                  <c:v>0.63836462298124497</c:v>
                </c:pt>
                <c:pt idx="609">
                  <c:v>0.63786778558756607</c:v>
                </c:pt>
                <c:pt idx="610">
                  <c:v>0.63736531421649201</c:v>
                </c:pt>
                <c:pt idx="611">
                  <c:v>0.63686057482929415</c:v>
                </c:pt>
                <c:pt idx="612">
                  <c:v>0.63635391686621201</c:v>
                </c:pt>
                <c:pt idx="613">
                  <c:v>0.63584698355716207</c:v>
                </c:pt>
                <c:pt idx="614">
                  <c:v>0.63533907986291771</c:v>
                </c:pt>
                <c:pt idx="615">
                  <c:v>0.63483394276903937</c:v>
                </c:pt>
                <c:pt idx="616">
                  <c:v>0.63432736926206412</c:v>
                </c:pt>
                <c:pt idx="617">
                  <c:v>0.63382344638936161</c:v>
                </c:pt>
                <c:pt idx="618">
                  <c:v>0.63332211283300244</c:v>
                </c:pt>
                <c:pt idx="619">
                  <c:v>0.63282466670602988</c:v>
                </c:pt>
                <c:pt idx="620">
                  <c:v>0.63232255665585668</c:v>
                </c:pt>
                <c:pt idx="621">
                  <c:v>0.63181044099481132</c:v>
                </c:pt>
                <c:pt idx="622">
                  <c:v>0.6312955557701172</c:v>
                </c:pt>
                <c:pt idx="623">
                  <c:v>0.63078315599195289</c:v>
                </c:pt>
                <c:pt idx="624">
                  <c:v>0.63026808368361176</c:v>
                </c:pt>
                <c:pt idx="625">
                  <c:v>0.62975008895711793</c:v>
                </c:pt>
                <c:pt idx="626">
                  <c:v>0.62922887664857852</c:v>
                </c:pt>
                <c:pt idx="627">
                  <c:v>0.62871117285567912</c:v>
                </c:pt>
                <c:pt idx="628">
                  <c:v>0.62819054796997997</c:v>
                </c:pt>
                <c:pt idx="629">
                  <c:v>0.6276703608910611</c:v>
                </c:pt>
                <c:pt idx="630">
                  <c:v>0.62715113101404263</c:v>
                </c:pt>
                <c:pt idx="631">
                  <c:v>0.62663066489319508</c:v>
                </c:pt>
                <c:pt idx="632">
                  <c:v>0.62610318878551663</c:v>
                </c:pt>
                <c:pt idx="633">
                  <c:v>0.62557297595861405</c:v>
                </c:pt>
                <c:pt idx="634">
                  <c:v>0.62504496174966051</c:v>
                </c:pt>
                <c:pt idx="635">
                  <c:v>0.62452013830666753</c:v>
                </c:pt>
                <c:pt idx="636">
                  <c:v>0.62399941906420775</c:v>
                </c:pt>
                <c:pt idx="637">
                  <c:v>0.62347920901962739</c:v>
                </c:pt>
                <c:pt idx="638">
                  <c:v>0.62295672816809788</c:v>
                </c:pt>
                <c:pt idx="639">
                  <c:v>0.62243794416477016</c:v>
                </c:pt>
                <c:pt idx="640">
                  <c:v>0.62192037878050566</c:v>
                </c:pt>
                <c:pt idx="641">
                  <c:v>0.621399657306689</c:v>
                </c:pt>
                <c:pt idx="642">
                  <c:v>0.6208791447917964</c:v>
                </c:pt>
                <c:pt idx="643">
                  <c:v>0.6203638807292231</c:v>
                </c:pt>
                <c:pt idx="644">
                  <c:v>0.61985034417553408</c:v>
                </c:pt>
                <c:pt idx="645">
                  <c:v>0.61933668924467244</c:v>
                </c:pt>
                <c:pt idx="646">
                  <c:v>0.61882041219345041</c:v>
                </c:pt>
                <c:pt idx="647">
                  <c:v>0.61830490442487751</c:v>
                </c:pt>
                <c:pt idx="648">
                  <c:v>0.61778666805348303</c:v>
                </c:pt>
                <c:pt idx="649">
                  <c:v>0.61727502663360645</c:v>
                </c:pt>
                <c:pt idx="650">
                  <c:v>0.61676389607315962</c:v>
                </c:pt>
                <c:pt idx="651">
                  <c:v>0.61625372734433304</c:v>
                </c:pt>
                <c:pt idx="652">
                  <c:v>0.61574014508453534</c:v>
                </c:pt>
                <c:pt idx="653">
                  <c:v>0.61522300008637298</c:v>
                </c:pt>
                <c:pt idx="654">
                  <c:v>0.61470632333460562</c:v>
                </c:pt>
                <c:pt idx="655">
                  <c:v>0.61418715728857765</c:v>
                </c:pt>
                <c:pt idx="656">
                  <c:v>0.61367059605822394</c:v>
                </c:pt>
                <c:pt idx="657">
                  <c:v>0.61315469924010435</c:v>
                </c:pt>
                <c:pt idx="658">
                  <c:v>0.61263998372385498</c:v>
                </c:pt>
                <c:pt idx="659">
                  <c:v>0.61213348167858184</c:v>
                </c:pt>
                <c:pt idx="660">
                  <c:v>0.61162468566451944</c:v>
                </c:pt>
                <c:pt idx="661">
                  <c:v>0.61111531762756788</c:v>
                </c:pt>
                <c:pt idx="662">
                  <c:v>0.61060933322957112</c:v>
                </c:pt>
                <c:pt idx="663">
                  <c:v>0.6101002318723685</c:v>
                </c:pt>
                <c:pt idx="664">
                  <c:v>0.60959270197454984</c:v>
                </c:pt>
                <c:pt idx="665">
                  <c:v>0.60908536693341697</c:v>
                </c:pt>
                <c:pt idx="666">
                  <c:v>0.60857657724256919</c:v>
                </c:pt>
                <c:pt idx="667">
                  <c:v>0.60806675959970558</c:v>
                </c:pt>
                <c:pt idx="668">
                  <c:v>0.6075507100093801</c:v>
                </c:pt>
                <c:pt idx="669">
                  <c:v>0.60703511648879915</c:v>
                </c:pt>
                <c:pt idx="670">
                  <c:v>0.60651907849343123</c:v>
                </c:pt>
                <c:pt idx="671">
                  <c:v>0.60599536122945252</c:v>
                </c:pt>
                <c:pt idx="672">
                  <c:v>0.60546945415193654</c:v>
                </c:pt>
                <c:pt idx="673">
                  <c:v>0.60493931017361824</c:v>
                </c:pt>
                <c:pt idx="674">
                  <c:v>0.60441547964380038</c:v>
                </c:pt>
                <c:pt idx="675">
                  <c:v>0.60389255648607376</c:v>
                </c:pt>
                <c:pt idx="676">
                  <c:v>0.60336921801112031</c:v>
                </c:pt>
                <c:pt idx="677">
                  <c:v>0.60284566416527818</c:v>
                </c:pt>
                <c:pt idx="678">
                  <c:v>0.60232713852706676</c:v>
                </c:pt>
                <c:pt idx="679">
                  <c:v>0.60180672702920524</c:v>
                </c:pt>
                <c:pt idx="680">
                  <c:v>0.60129004524630714</c:v>
                </c:pt>
                <c:pt idx="681">
                  <c:v>0.60077858603098799</c:v>
                </c:pt>
                <c:pt idx="682">
                  <c:v>0.60027303678345889</c:v>
                </c:pt>
                <c:pt idx="683">
                  <c:v>0.59976334659693897</c:v>
                </c:pt>
                <c:pt idx="684">
                  <c:v>0.59925227947078896</c:v>
                </c:pt>
                <c:pt idx="685">
                  <c:v>0.59873240820677343</c:v>
                </c:pt>
                <c:pt idx="686">
                  <c:v>0.59821122698953499</c:v>
                </c:pt>
                <c:pt idx="687">
                  <c:v>0.59769079520037272</c:v>
                </c:pt>
                <c:pt idx="688">
                  <c:v>0.59716775693102297</c:v>
                </c:pt>
                <c:pt idx="689">
                  <c:v>0.59664529337697103</c:v>
                </c:pt>
                <c:pt idx="690">
                  <c:v>0.59612792400790493</c:v>
                </c:pt>
                <c:pt idx="691">
                  <c:v>0.59561298843144472</c:v>
                </c:pt>
                <c:pt idx="692">
                  <c:v>0.5951017632613036</c:v>
                </c:pt>
                <c:pt idx="693">
                  <c:v>0.59458571564461227</c:v>
                </c:pt>
                <c:pt idx="694">
                  <c:v>0.59407710639365818</c:v>
                </c:pt>
                <c:pt idx="695">
                  <c:v>0.59356598650594838</c:v>
                </c:pt>
                <c:pt idx="696">
                  <c:v>0.593051402296637</c:v>
                </c:pt>
                <c:pt idx="697">
                  <c:v>0.59253506256370014</c:v>
                </c:pt>
                <c:pt idx="698">
                  <c:v>0.59202258600012125</c:v>
                </c:pt>
                <c:pt idx="699">
                  <c:v>0.59151030276856431</c:v>
                </c:pt>
                <c:pt idx="700">
                  <c:v>0.59099912186585202</c:v>
                </c:pt>
                <c:pt idx="701">
                  <c:v>0.59048510371759699</c:v>
                </c:pt>
                <c:pt idx="702">
                  <c:v>0.58997331729157354</c:v>
                </c:pt>
                <c:pt idx="703">
                  <c:v>0.5894627194777482</c:v>
                </c:pt>
                <c:pt idx="704">
                  <c:v>0.58895843325578767</c:v>
                </c:pt>
                <c:pt idx="705">
                  <c:v>0.58845594046146033</c:v>
                </c:pt>
                <c:pt idx="706">
                  <c:v>0.58794817525372023</c:v>
                </c:pt>
                <c:pt idx="707">
                  <c:v>0.58743550910553632</c:v>
                </c:pt>
                <c:pt idx="708">
                  <c:v>0.5869243439214511</c:v>
                </c:pt>
                <c:pt idx="709">
                  <c:v>0.58641683314897652</c:v>
                </c:pt>
                <c:pt idx="710">
                  <c:v>0.58591349764177381</c:v>
                </c:pt>
                <c:pt idx="711">
                  <c:v>0.58540948514416236</c:v>
                </c:pt>
                <c:pt idx="712">
                  <c:v>0.58490422809750275</c:v>
                </c:pt>
                <c:pt idx="713">
                  <c:v>0.58440501423216407</c:v>
                </c:pt>
                <c:pt idx="714">
                  <c:v>0.58390416708206794</c:v>
                </c:pt>
                <c:pt idx="715">
                  <c:v>0.58340113786703796</c:v>
                </c:pt>
                <c:pt idx="716">
                  <c:v>0.5829016709674617</c:v>
                </c:pt>
                <c:pt idx="717">
                  <c:v>0.58240107524703044</c:v>
                </c:pt>
                <c:pt idx="718">
                  <c:v>0.5818948326219644</c:v>
                </c:pt>
                <c:pt idx="719">
                  <c:v>0.58138730692349916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Sheet1!$C$6:$C$11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Sheet1!$A$12:$A$1212</c:f>
              <c:numCache>
                <c:formatCode>General</c:formatCode>
                <c:ptCount val="1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</c:numCache>
            </c:numRef>
          </c:cat>
          <c:val>
            <c:numRef>
              <c:f>Sheet1!$P$12:$P$1212</c:f>
              <c:numCache>
                <c:formatCode>General</c:formatCode>
                <c:ptCount val="1201"/>
                <c:pt idx="0">
                  <c:v>0.99990941033436886</c:v>
                </c:pt>
                <c:pt idx="1">
                  <c:v>0.99981752542418412</c:v>
                </c:pt>
                <c:pt idx="2">
                  <c:v>0.99972456744322313</c:v>
                </c:pt>
                <c:pt idx="3">
                  <c:v>0.99963453176003059</c:v>
                </c:pt>
                <c:pt idx="4">
                  <c:v>0.99954221150971678</c:v>
                </c:pt>
                <c:pt idx="5">
                  <c:v>0.99945004988823871</c:v>
                </c:pt>
                <c:pt idx="6">
                  <c:v>0.99935915585031543</c:v>
                </c:pt>
                <c:pt idx="7">
                  <c:v>0.99926764374034915</c:v>
                </c:pt>
                <c:pt idx="8">
                  <c:v>0.99917559197137906</c:v>
                </c:pt>
                <c:pt idx="9">
                  <c:v>0.99908429740634386</c:v>
                </c:pt>
                <c:pt idx="10">
                  <c:v>0.99899249138139401</c:v>
                </c:pt>
                <c:pt idx="11">
                  <c:v>0.99890086769341835</c:v>
                </c:pt>
                <c:pt idx="12">
                  <c:v>0.9988081145776021</c:v>
                </c:pt>
                <c:pt idx="13">
                  <c:v>0.99871685111157837</c:v>
                </c:pt>
                <c:pt idx="14">
                  <c:v>0.9986255743453466</c:v>
                </c:pt>
                <c:pt idx="15">
                  <c:v>0.99853377555384482</c:v>
                </c:pt>
                <c:pt idx="16">
                  <c:v>0.99844223014354172</c:v>
                </c:pt>
                <c:pt idx="17">
                  <c:v>0.99835008210443799</c:v>
                </c:pt>
                <c:pt idx="18">
                  <c:v>0.99825860208425243</c:v>
                </c:pt>
                <c:pt idx="19">
                  <c:v>0.9981667160536204</c:v>
                </c:pt>
                <c:pt idx="20">
                  <c:v>0.99807540386170535</c:v>
                </c:pt>
                <c:pt idx="21">
                  <c:v>0.99798346558293893</c:v>
                </c:pt>
                <c:pt idx="22">
                  <c:v>0.99789150766645562</c:v>
                </c:pt>
                <c:pt idx="23">
                  <c:v>0.99779900632401874</c:v>
                </c:pt>
                <c:pt idx="24">
                  <c:v>0.99770691294280278</c:v>
                </c:pt>
                <c:pt idx="25">
                  <c:v>0.99761481803045449</c:v>
                </c:pt>
                <c:pt idx="26">
                  <c:v>0.99752194404452244</c:v>
                </c:pt>
                <c:pt idx="27">
                  <c:v>0.99743007751073642</c:v>
                </c:pt>
                <c:pt idx="28">
                  <c:v>0.99733814192638148</c:v>
                </c:pt>
                <c:pt idx="29">
                  <c:v>0.99724603978419313</c:v>
                </c:pt>
                <c:pt idx="30">
                  <c:v>0.99715297336379916</c:v>
                </c:pt>
                <c:pt idx="31">
                  <c:v>0.99706166358114623</c:v>
                </c:pt>
                <c:pt idx="32">
                  <c:v>0.99696977984404289</c:v>
                </c:pt>
                <c:pt idx="33">
                  <c:v>0.99687854648605667</c:v>
                </c:pt>
                <c:pt idx="34">
                  <c:v>0.99678717357789248</c:v>
                </c:pt>
                <c:pt idx="35">
                  <c:v>0.99669683173044976</c:v>
                </c:pt>
                <c:pt idx="36">
                  <c:v>0.99660655499778894</c:v>
                </c:pt>
                <c:pt idx="37">
                  <c:v>0.99651742502858665</c:v>
                </c:pt>
                <c:pt idx="38">
                  <c:v>0.99642762984057431</c:v>
                </c:pt>
                <c:pt idx="39">
                  <c:v>0.9963394194652514</c:v>
                </c:pt>
                <c:pt idx="40">
                  <c:v>0.99625050937136161</c:v>
                </c:pt>
                <c:pt idx="41">
                  <c:v>0.99616215016691601</c:v>
                </c:pt>
                <c:pt idx="42">
                  <c:v>0.99607429718589158</c:v>
                </c:pt>
                <c:pt idx="43">
                  <c:v>0.99598614831877641</c:v>
                </c:pt>
                <c:pt idx="44">
                  <c:v>0.99589798469768753</c:v>
                </c:pt>
                <c:pt idx="45">
                  <c:v>0.99580959526859192</c:v>
                </c:pt>
                <c:pt idx="46">
                  <c:v>0.99572075945872218</c:v>
                </c:pt>
                <c:pt idx="47">
                  <c:v>0.99563193700745578</c:v>
                </c:pt>
                <c:pt idx="48">
                  <c:v>0.99554254296243216</c:v>
                </c:pt>
                <c:pt idx="49">
                  <c:v>0.99545224081672512</c:v>
                </c:pt>
                <c:pt idx="50">
                  <c:v>0.99536129297572684</c:v>
                </c:pt>
                <c:pt idx="51">
                  <c:v>0.99526912725696581</c:v>
                </c:pt>
                <c:pt idx="52">
                  <c:v>0.99517589754411784</c:v>
                </c:pt>
                <c:pt idx="53">
                  <c:v>0.99508169660426016</c:v>
                </c:pt>
                <c:pt idx="54">
                  <c:v>0.99498557910990093</c:v>
                </c:pt>
                <c:pt idx="55">
                  <c:v>0.99488799831951236</c:v>
                </c:pt>
                <c:pt idx="56">
                  <c:v>0.99478873604763451</c:v>
                </c:pt>
                <c:pt idx="57">
                  <c:v>0.99468612233675158</c:v>
                </c:pt>
                <c:pt idx="58">
                  <c:v>0.99458170593803641</c:v>
                </c:pt>
                <c:pt idx="59">
                  <c:v>0.99447482326747483</c:v>
                </c:pt>
                <c:pt idx="60">
                  <c:v>0.99436542268633499</c:v>
                </c:pt>
                <c:pt idx="61">
                  <c:v>0.99425321819365176</c:v>
                </c:pt>
                <c:pt idx="62">
                  <c:v>0.99413694877697867</c:v>
                </c:pt>
                <c:pt idx="63">
                  <c:v>0.99401603231758906</c:v>
                </c:pt>
                <c:pt idx="64">
                  <c:v>0.9938897149068654</c:v>
                </c:pt>
                <c:pt idx="65">
                  <c:v>0.99375776041509323</c:v>
                </c:pt>
                <c:pt idx="66">
                  <c:v>0.99361887265432303</c:v>
                </c:pt>
                <c:pt idx="67">
                  <c:v>0.99347214496628389</c:v>
                </c:pt>
                <c:pt idx="68">
                  <c:v>0.99331642348207383</c:v>
                </c:pt>
                <c:pt idx="69">
                  <c:v>0.99315127083997234</c:v>
                </c:pt>
                <c:pt idx="70">
                  <c:v>0.99297489677244688</c:v>
                </c:pt>
                <c:pt idx="71">
                  <c:v>0.9927868540895417</c:v>
                </c:pt>
                <c:pt idx="72">
                  <c:v>0.99258590497933696</c:v>
                </c:pt>
                <c:pt idx="73">
                  <c:v>0.99237073082317495</c:v>
                </c:pt>
                <c:pt idx="74">
                  <c:v>0.99214035286592028</c:v>
                </c:pt>
                <c:pt idx="75">
                  <c:v>0.99189491880166081</c:v>
                </c:pt>
                <c:pt idx="76">
                  <c:v>0.99163211915092919</c:v>
                </c:pt>
                <c:pt idx="77">
                  <c:v>0.99135100646316276</c:v>
                </c:pt>
                <c:pt idx="78">
                  <c:v>0.99105070062847922</c:v>
                </c:pt>
                <c:pt idx="79">
                  <c:v>0.99073005576220496</c:v>
                </c:pt>
                <c:pt idx="80">
                  <c:v>0.99038620588900517</c:v>
                </c:pt>
                <c:pt idx="81">
                  <c:v>0.99001983850908259</c:v>
                </c:pt>
                <c:pt idx="82">
                  <c:v>0.98962891944040399</c:v>
                </c:pt>
                <c:pt idx="83">
                  <c:v>0.98921282777959074</c:v>
                </c:pt>
                <c:pt idx="84">
                  <c:v>0.9887692916133809</c:v>
                </c:pt>
                <c:pt idx="85">
                  <c:v>0.98829789898048526</c:v>
                </c:pt>
                <c:pt idx="86">
                  <c:v>0.98780084576273852</c:v>
                </c:pt>
                <c:pt idx="87">
                  <c:v>0.98727659076422769</c:v>
                </c:pt>
                <c:pt idx="88">
                  <c:v>0.98672546782867865</c:v>
                </c:pt>
                <c:pt idx="89">
                  <c:v>0.98614958254855301</c:v>
                </c:pt>
                <c:pt idx="90">
                  <c:v>0.98554880593523775</c:v>
                </c:pt>
                <c:pt idx="91">
                  <c:v>0.98492355803344567</c:v>
                </c:pt>
                <c:pt idx="92">
                  <c:v>0.98427309662189777</c:v>
                </c:pt>
                <c:pt idx="93">
                  <c:v>0.98359878697794279</c:v>
                </c:pt>
                <c:pt idx="94">
                  <c:v>0.98290126642890541</c:v>
                </c:pt>
                <c:pt idx="95">
                  <c:v>0.98218076835616652</c:v>
                </c:pt>
                <c:pt idx="96">
                  <c:v>0.98143859565725233</c:v>
                </c:pt>
                <c:pt idx="97">
                  <c:v>0.98067518042063129</c:v>
                </c:pt>
                <c:pt idx="98">
                  <c:v>0.97989144941506912</c:v>
                </c:pt>
                <c:pt idx="99">
                  <c:v>0.97908760179409149</c:v>
                </c:pt>
                <c:pt idx="100">
                  <c:v>0.97826480390503368</c:v>
                </c:pt>
                <c:pt idx="101">
                  <c:v>0.97742459330181042</c:v>
                </c:pt>
                <c:pt idx="102">
                  <c:v>0.97656674637606189</c:v>
                </c:pt>
                <c:pt idx="103">
                  <c:v>0.97569305433826958</c:v>
                </c:pt>
                <c:pt idx="104">
                  <c:v>0.97480494011008889</c:v>
                </c:pt>
                <c:pt idx="105">
                  <c:v>0.97390267155764343</c:v>
                </c:pt>
                <c:pt idx="106">
                  <c:v>0.97298917771437721</c:v>
                </c:pt>
                <c:pt idx="107">
                  <c:v>0.97206544443030052</c:v>
                </c:pt>
                <c:pt idx="108">
                  <c:v>0.97113222453243564</c:v>
                </c:pt>
                <c:pt idx="109">
                  <c:v>0.97019037554902843</c:v>
                </c:pt>
                <c:pt idx="110">
                  <c:v>0.96924206538673718</c:v>
                </c:pt>
                <c:pt idx="111">
                  <c:v>0.96828787823615659</c:v>
                </c:pt>
                <c:pt idx="112">
                  <c:v>0.96732891449674385</c:v>
                </c:pt>
                <c:pt idx="113">
                  <c:v>0.96636583671334153</c:v>
                </c:pt>
                <c:pt idx="114">
                  <c:v>0.96539971247927936</c:v>
                </c:pt>
                <c:pt idx="115">
                  <c:v>0.96443485310004817</c:v>
                </c:pt>
                <c:pt idx="116">
                  <c:v>0.96347250181373112</c:v>
                </c:pt>
                <c:pt idx="117">
                  <c:v>0.96251168617581229</c:v>
                </c:pt>
                <c:pt idx="118">
                  <c:v>0.96155591181997535</c:v>
                </c:pt>
                <c:pt idx="119">
                  <c:v>0.96060730648724346</c:v>
                </c:pt>
                <c:pt idx="120">
                  <c:v>0.95966729564931863</c:v>
                </c:pt>
                <c:pt idx="121">
                  <c:v>0.95873443247523427</c:v>
                </c:pt>
                <c:pt idx="122">
                  <c:v>0.9578087903328445</c:v>
                </c:pt>
                <c:pt idx="123">
                  <c:v>0.9568898523441316</c:v>
                </c:pt>
                <c:pt idx="124">
                  <c:v>0.95597581137990184</c:v>
                </c:pt>
                <c:pt idx="125">
                  <c:v>0.95506735595535153</c:v>
                </c:pt>
                <c:pt idx="126">
                  <c:v>0.95416312520652313</c:v>
                </c:pt>
                <c:pt idx="127">
                  <c:v>0.95326303934107603</c:v>
                </c:pt>
                <c:pt idx="128">
                  <c:v>0.95236751499353645</c:v>
                </c:pt>
                <c:pt idx="129">
                  <c:v>0.9514745437656591</c:v>
                </c:pt>
                <c:pt idx="130">
                  <c:v>0.95058557181873349</c:v>
                </c:pt>
                <c:pt idx="131">
                  <c:v>0.94969815328503249</c:v>
                </c:pt>
                <c:pt idx="132">
                  <c:v>0.94881149579347834</c:v>
                </c:pt>
                <c:pt idx="133">
                  <c:v>0.94792550743264348</c:v>
                </c:pt>
                <c:pt idx="134">
                  <c:v>0.94704141890326121</c:v>
                </c:pt>
                <c:pt idx="135">
                  <c:v>0.94615794674897002</c:v>
                </c:pt>
                <c:pt idx="136">
                  <c:v>0.94527311185977247</c:v>
                </c:pt>
                <c:pt idx="137">
                  <c:v>0.94438465849178888</c:v>
                </c:pt>
                <c:pt idx="138">
                  <c:v>0.94349425584102486</c:v>
                </c:pt>
                <c:pt idx="139">
                  <c:v>0.9426000499999011</c:v>
                </c:pt>
                <c:pt idx="140">
                  <c:v>0.94170194523588457</c:v>
                </c:pt>
                <c:pt idx="141">
                  <c:v>0.94079722051351944</c:v>
                </c:pt>
                <c:pt idx="142">
                  <c:v>0.93988606246684681</c:v>
                </c:pt>
                <c:pt idx="143">
                  <c:v>0.93896918860850331</c:v>
                </c:pt>
                <c:pt idx="144">
                  <c:v>0.93804387792331856</c:v>
                </c:pt>
                <c:pt idx="145">
                  <c:v>0.93711109332618014</c:v>
                </c:pt>
                <c:pt idx="146">
                  <c:v>0.93617193628226392</c:v>
                </c:pt>
                <c:pt idx="147">
                  <c:v>0.93522600793415822</c:v>
                </c:pt>
                <c:pt idx="148">
                  <c:v>0.93427200482365447</c:v>
                </c:pt>
                <c:pt idx="149">
                  <c:v>0.93331125160215944</c:v>
                </c:pt>
                <c:pt idx="150">
                  <c:v>0.93234482764962523</c:v>
                </c:pt>
                <c:pt idx="151">
                  <c:v>0.93137123333938676</c:v>
                </c:pt>
                <c:pt idx="152">
                  <c:v>0.93038903725772526</c:v>
                </c:pt>
                <c:pt idx="153">
                  <c:v>0.92940133687221638</c:v>
                </c:pt>
                <c:pt idx="154">
                  <c:v>0.92840768312300948</c:v>
                </c:pt>
                <c:pt idx="155">
                  <c:v>0.92740835918291109</c:v>
                </c:pt>
                <c:pt idx="156">
                  <c:v>0.92640495301082426</c:v>
                </c:pt>
                <c:pt idx="157">
                  <c:v>0.92539748719166559</c:v>
                </c:pt>
                <c:pt idx="158">
                  <c:v>0.92438572321802148</c:v>
                </c:pt>
                <c:pt idx="159">
                  <c:v>0.92337129156328823</c:v>
                </c:pt>
                <c:pt idx="160">
                  <c:v>0.92235257471942134</c:v>
                </c:pt>
                <c:pt idx="161">
                  <c:v>0.92133138161176698</c:v>
                </c:pt>
                <c:pt idx="162">
                  <c:v>0.92030676795184774</c:v>
                </c:pt>
                <c:pt idx="163">
                  <c:v>0.91927971235058448</c:v>
                </c:pt>
                <c:pt idx="164">
                  <c:v>0.91825145072414949</c:v>
                </c:pt>
                <c:pt idx="165">
                  <c:v>0.91722297549667309</c:v>
                </c:pt>
                <c:pt idx="166">
                  <c:v>0.91619379284664082</c:v>
                </c:pt>
                <c:pt idx="167">
                  <c:v>0.91516399293897943</c:v>
                </c:pt>
                <c:pt idx="168">
                  <c:v>0.91413371826081946</c:v>
                </c:pt>
                <c:pt idx="169">
                  <c:v>0.9131021985208696</c:v>
                </c:pt>
                <c:pt idx="170">
                  <c:v>0.91206924280592516</c:v>
                </c:pt>
                <c:pt idx="171">
                  <c:v>0.91103656161607161</c:v>
                </c:pt>
                <c:pt idx="172">
                  <c:v>0.91000344688605495</c:v>
                </c:pt>
                <c:pt idx="173">
                  <c:v>0.90897193567613011</c:v>
                </c:pt>
                <c:pt idx="174">
                  <c:v>0.90794349791610729</c:v>
                </c:pt>
                <c:pt idx="175">
                  <c:v>0.90691792761277079</c:v>
                </c:pt>
                <c:pt idx="176">
                  <c:v>0.90589618730766253</c:v>
                </c:pt>
                <c:pt idx="177">
                  <c:v>0.90487694416503528</c:v>
                </c:pt>
                <c:pt idx="178">
                  <c:v>0.903860418390248</c:v>
                </c:pt>
                <c:pt idx="179">
                  <c:v>0.90284567047659625</c:v>
                </c:pt>
                <c:pt idx="180">
                  <c:v>0.90183457909774078</c:v>
                </c:pt>
                <c:pt idx="181">
                  <c:v>0.9008267159787543</c:v>
                </c:pt>
                <c:pt idx="182">
                  <c:v>0.89982078971897994</c:v>
                </c:pt>
                <c:pt idx="183">
                  <c:v>0.89882013611927758</c:v>
                </c:pt>
                <c:pt idx="184">
                  <c:v>0.89782431229701254</c:v>
                </c:pt>
                <c:pt idx="185">
                  <c:v>0.89683415107260644</c:v>
                </c:pt>
                <c:pt idx="186">
                  <c:v>0.89584763978411464</c:v>
                </c:pt>
                <c:pt idx="187">
                  <c:v>0.89486665782597452</c:v>
                </c:pt>
                <c:pt idx="188">
                  <c:v>0.89388955434067974</c:v>
                </c:pt>
                <c:pt idx="189">
                  <c:v>0.89291604001402758</c:v>
                </c:pt>
                <c:pt idx="190">
                  <c:v>0.89194491967274303</c:v>
                </c:pt>
                <c:pt idx="191">
                  <c:v>0.89097648721889</c:v>
                </c:pt>
                <c:pt idx="192">
                  <c:v>0.89001349133120455</c:v>
                </c:pt>
                <c:pt idx="193">
                  <c:v>0.88905544464917707</c:v>
                </c:pt>
                <c:pt idx="194">
                  <c:v>0.88809961827794048</c:v>
                </c:pt>
                <c:pt idx="195">
                  <c:v>0.88714735604177586</c:v>
                </c:pt>
                <c:pt idx="196">
                  <c:v>0.88619971166717348</c:v>
                </c:pt>
                <c:pt idx="197">
                  <c:v>0.88525631624550782</c:v>
                </c:pt>
                <c:pt idx="198">
                  <c:v>0.88431713160135883</c:v>
                </c:pt>
                <c:pt idx="199">
                  <c:v>0.88338053900611357</c:v>
                </c:pt>
                <c:pt idx="200">
                  <c:v>0.88244662621171233</c:v>
                </c:pt>
                <c:pt idx="201">
                  <c:v>0.88151577450166152</c:v>
                </c:pt>
                <c:pt idx="202">
                  <c:v>0.88058819429470225</c:v>
                </c:pt>
                <c:pt idx="203">
                  <c:v>0.87966454648541581</c:v>
                </c:pt>
                <c:pt idx="204">
                  <c:v>0.8787435510631938</c:v>
                </c:pt>
                <c:pt idx="205">
                  <c:v>0.87782355199601092</c:v>
                </c:pt>
                <c:pt idx="206">
                  <c:v>0.87690510045666292</c:v>
                </c:pt>
                <c:pt idx="207">
                  <c:v>0.87598593868963448</c:v>
                </c:pt>
                <c:pt idx="208">
                  <c:v>0.87506825142359812</c:v>
                </c:pt>
                <c:pt idx="209">
                  <c:v>0.87415319836223804</c:v>
                </c:pt>
                <c:pt idx="210">
                  <c:v>0.87323959978593613</c:v>
                </c:pt>
                <c:pt idx="211">
                  <c:v>0.87233062622051893</c:v>
                </c:pt>
                <c:pt idx="212">
                  <c:v>0.87142314278249811</c:v>
                </c:pt>
                <c:pt idx="213">
                  <c:v>0.87051559042704063</c:v>
                </c:pt>
                <c:pt idx="214">
                  <c:v>0.86961209638989534</c:v>
                </c:pt>
                <c:pt idx="215">
                  <c:v>0.86870983675987168</c:v>
                </c:pt>
                <c:pt idx="216">
                  <c:v>0.8678103976729693</c:v>
                </c:pt>
                <c:pt idx="217">
                  <c:v>0.86691080148970268</c:v>
                </c:pt>
                <c:pt idx="218">
                  <c:v>0.86601352097530726</c:v>
                </c:pt>
                <c:pt idx="219">
                  <c:v>0.86511747739245948</c:v>
                </c:pt>
                <c:pt idx="220">
                  <c:v>0.86422383593958407</c:v>
                </c:pt>
                <c:pt idx="221">
                  <c:v>0.8633308486000234</c:v>
                </c:pt>
                <c:pt idx="222">
                  <c:v>0.86244036028588833</c:v>
                </c:pt>
                <c:pt idx="223">
                  <c:v>0.86155040478983969</c:v>
                </c:pt>
                <c:pt idx="224">
                  <c:v>0.86066156986313813</c:v>
                </c:pt>
                <c:pt idx="225">
                  <c:v>0.8597716093797495</c:v>
                </c:pt>
                <c:pt idx="226">
                  <c:v>0.85888240886008094</c:v>
                </c:pt>
                <c:pt idx="227">
                  <c:v>0.85799420031037366</c:v>
                </c:pt>
                <c:pt idx="228">
                  <c:v>0.85710436210863683</c:v>
                </c:pt>
                <c:pt idx="229">
                  <c:v>0.85621260106535424</c:v>
                </c:pt>
                <c:pt idx="230">
                  <c:v>0.85532176450007136</c:v>
                </c:pt>
                <c:pt idx="231">
                  <c:v>0.85442836665589383</c:v>
                </c:pt>
                <c:pt idx="232">
                  <c:v>0.85353629090240357</c:v>
                </c:pt>
                <c:pt idx="233">
                  <c:v>0.85264631644900879</c:v>
                </c:pt>
                <c:pt idx="234">
                  <c:v>0.85175817721754687</c:v>
                </c:pt>
                <c:pt idx="235">
                  <c:v>0.85087189182933232</c:v>
                </c:pt>
                <c:pt idx="236">
                  <c:v>0.84998589486351861</c:v>
                </c:pt>
                <c:pt idx="237">
                  <c:v>0.8491003078932956</c:v>
                </c:pt>
                <c:pt idx="238">
                  <c:v>0.84821323543293492</c:v>
                </c:pt>
                <c:pt idx="239">
                  <c:v>0.84732530311182197</c:v>
                </c:pt>
                <c:pt idx="240">
                  <c:v>0.84643708438552345</c:v>
                </c:pt>
                <c:pt idx="241">
                  <c:v>0.84554910760734781</c:v>
                </c:pt>
                <c:pt idx="242">
                  <c:v>0.84466140979617754</c:v>
                </c:pt>
                <c:pt idx="243">
                  <c:v>0.84377247157629864</c:v>
                </c:pt>
                <c:pt idx="244">
                  <c:v>0.84288265293661135</c:v>
                </c:pt>
                <c:pt idx="245">
                  <c:v>0.84199513121326741</c:v>
                </c:pt>
                <c:pt idx="246">
                  <c:v>0.84110730403961698</c:v>
                </c:pt>
                <c:pt idx="247">
                  <c:v>0.84021808517736551</c:v>
                </c:pt>
                <c:pt idx="248">
                  <c:v>0.839328320554247</c:v>
                </c:pt>
                <c:pt idx="249">
                  <c:v>0.83843972646029763</c:v>
                </c:pt>
                <c:pt idx="250">
                  <c:v>0.83755198372156847</c:v>
                </c:pt>
                <c:pt idx="251">
                  <c:v>0.83666529498999676</c:v>
                </c:pt>
                <c:pt idx="252">
                  <c:v>0.83577882887308019</c:v>
                </c:pt>
                <c:pt idx="253">
                  <c:v>0.83489250335940046</c:v>
                </c:pt>
                <c:pt idx="254">
                  <c:v>0.83400585808169903</c:v>
                </c:pt>
                <c:pt idx="255">
                  <c:v>0.83311976771910889</c:v>
                </c:pt>
                <c:pt idx="256">
                  <c:v>0.83223239710544006</c:v>
                </c:pt>
                <c:pt idx="257">
                  <c:v>0.83134249936302673</c:v>
                </c:pt>
                <c:pt idx="258">
                  <c:v>0.8304491731151955</c:v>
                </c:pt>
                <c:pt idx="259">
                  <c:v>0.82955486347353757</c:v>
                </c:pt>
                <c:pt idx="260">
                  <c:v>0.82865905701698617</c:v>
                </c:pt>
                <c:pt idx="261">
                  <c:v>0.8277624605650109</c:v>
                </c:pt>
                <c:pt idx="262">
                  <c:v>0.82686553919363937</c:v>
                </c:pt>
                <c:pt idx="263">
                  <c:v>0.82597080246376986</c:v>
                </c:pt>
                <c:pt idx="264">
                  <c:v>0.82507533442012559</c:v>
                </c:pt>
                <c:pt idx="265">
                  <c:v>0.82417952174566456</c:v>
                </c:pt>
                <c:pt idx="266">
                  <c:v>0.82328214813657852</c:v>
                </c:pt>
                <c:pt idx="267">
                  <c:v>0.82238146838091974</c:v>
                </c:pt>
                <c:pt idx="268">
                  <c:v>0.8214815946361208</c:v>
                </c:pt>
                <c:pt idx="269">
                  <c:v>0.8205813674551613</c:v>
                </c:pt>
                <c:pt idx="270">
                  <c:v>0.8196814508956739</c:v>
                </c:pt>
                <c:pt idx="271">
                  <c:v>0.81878080997176972</c:v>
                </c:pt>
                <c:pt idx="272">
                  <c:v>0.81787949347188516</c:v>
                </c:pt>
                <c:pt idx="273">
                  <c:v>0.81697891607978079</c:v>
                </c:pt>
                <c:pt idx="274">
                  <c:v>0.81607603464439649</c:v>
                </c:pt>
                <c:pt idx="275">
                  <c:v>0.81517398382331097</c:v>
                </c:pt>
                <c:pt idx="276">
                  <c:v>0.81427105165007296</c:v>
                </c:pt>
                <c:pt idx="277">
                  <c:v>0.81336799601360588</c:v>
                </c:pt>
                <c:pt idx="278">
                  <c:v>0.81246331450275489</c:v>
                </c:pt>
                <c:pt idx="279">
                  <c:v>0.811555689273327</c:v>
                </c:pt>
                <c:pt idx="280">
                  <c:v>0.81064429640160374</c:v>
                </c:pt>
                <c:pt idx="281">
                  <c:v>0.80972943042449674</c:v>
                </c:pt>
                <c:pt idx="282">
                  <c:v>0.8088113362954531</c:v>
                </c:pt>
                <c:pt idx="283">
                  <c:v>0.80789006477007774</c:v>
                </c:pt>
                <c:pt idx="284">
                  <c:v>0.8069668490496027</c:v>
                </c:pt>
                <c:pt idx="285">
                  <c:v>0.80604171461400453</c:v>
                </c:pt>
                <c:pt idx="286">
                  <c:v>0.80511979943664158</c:v>
                </c:pt>
                <c:pt idx="287">
                  <c:v>0.80420367005473603</c:v>
                </c:pt>
                <c:pt idx="288">
                  <c:v>0.80329387858214829</c:v>
                </c:pt>
                <c:pt idx="289">
                  <c:v>0.80238358129534582</c:v>
                </c:pt>
                <c:pt idx="290">
                  <c:v>0.80146991819081848</c:v>
                </c:pt>
                <c:pt idx="291">
                  <c:v>0.80054674865757469</c:v>
                </c:pt>
                <c:pt idx="292">
                  <c:v>0.7996079629326307</c:v>
                </c:pt>
                <c:pt idx="293">
                  <c:v>0.79864620960626476</c:v>
                </c:pt>
                <c:pt idx="294">
                  <c:v>0.79765834675021174</c:v>
                </c:pt>
                <c:pt idx="295">
                  <c:v>0.79666395768447196</c:v>
                </c:pt>
                <c:pt idx="296">
                  <c:v>0.79568234193422394</c:v>
                </c:pt>
                <c:pt idx="297">
                  <c:v>0.79473608536796514</c:v>
                </c:pt>
                <c:pt idx="298">
                  <c:v>0.79384893783047406</c:v>
                </c:pt>
                <c:pt idx="299">
                  <c:v>0.79304421822835158</c:v>
                </c:pt>
                <c:pt idx="300">
                  <c:v>0.79233815870486024</c:v>
                </c:pt>
                <c:pt idx="301">
                  <c:v>0.79171580758660376</c:v>
                </c:pt>
                <c:pt idx="302">
                  <c:v>0.79115489993620203</c:v>
                </c:pt>
                <c:pt idx="303">
                  <c:v>0.79063337847386261</c:v>
                </c:pt>
                <c:pt idx="304">
                  <c:v>0.79012547599046568</c:v>
                </c:pt>
                <c:pt idx="305">
                  <c:v>0.78960826443633225</c:v>
                </c:pt>
                <c:pt idx="306">
                  <c:v>0.78907023285792877</c:v>
                </c:pt>
                <c:pt idx="307">
                  <c:v>0.78851077677721837</c:v>
                </c:pt>
                <c:pt idx="308">
                  <c:v>0.78793356227281464</c:v>
                </c:pt>
                <c:pt idx="309">
                  <c:v>0.78734676304384954</c:v>
                </c:pt>
                <c:pt idx="310">
                  <c:v>0.78675581963806118</c:v>
                </c:pt>
                <c:pt idx="311">
                  <c:v>0.78616761963623949</c:v>
                </c:pt>
                <c:pt idx="312">
                  <c:v>0.78558517865770605</c:v>
                </c:pt>
                <c:pt idx="313">
                  <c:v>0.78500743844219967</c:v>
                </c:pt>
                <c:pt idx="314">
                  <c:v>0.78443494702383765</c:v>
                </c:pt>
                <c:pt idx="315">
                  <c:v>0.78386169137640227</c:v>
                </c:pt>
                <c:pt idx="316">
                  <c:v>0.78329194584001138</c:v>
                </c:pt>
                <c:pt idx="317">
                  <c:v>0.7827192198713131</c:v>
                </c:pt>
                <c:pt idx="318">
                  <c:v>0.78214257915818841</c:v>
                </c:pt>
                <c:pt idx="319">
                  <c:v>0.78156365415621354</c:v>
                </c:pt>
                <c:pt idx="320">
                  <c:v>0.78098260793872543</c:v>
                </c:pt>
                <c:pt idx="321">
                  <c:v>0.78040166764830754</c:v>
                </c:pt>
                <c:pt idx="322">
                  <c:v>0.77982348261129086</c:v>
                </c:pt>
                <c:pt idx="323">
                  <c:v>0.7792441450277996</c:v>
                </c:pt>
                <c:pt idx="324">
                  <c:v>0.77866297001311724</c:v>
                </c:pt>
                <c:pt idx="325">
                  <c:v>0.77808320064936543</c:v>
                </c:pt>
                <c:pt idx="326">
                  <c:v>0.77750270002052124</c:v>
                </c:pt>
                <c:pt idx="327">
                  <c:v>0.77692372033581258</c:v>
                </c:pt>
                <c:pt idx="328">
                  <c:v>0.77634611198800552</c:v>
                </c:pt>
                <c:pt idx="329">
                  <c:v>0.77576779515554717</c:v>
                </c:pt>
                <c:pt idx="330">
                  <c:v>0.77519163152647019</c:v>
                </c:pt>
                <c:pt idx="331">
                  <c:v>0.77461974930803867</c:v>
                </c:pt>
                <c:pt idx="332">
                  <c:v>0.77404998865143748</c:v>
                </c:pt>
                <c:pt idx="333">
                  <c:v>0.77348026331061914</c:v>
                </c:pt>
                <c:pt idx="334">
                  <c:v>0.77291083513789927</c:v>
                </c:pt>
                <c:pt idx="335">
                  <c:v>0.77234246136405049</c:v>
                </c:pt>
                <c:pt idx="336">
                  <c:v>0.77177579454406431</c:v>
                </c:pt>
                <c:pt idx="337">
                  <c:v>0.77121058093276829</c:v>
                </c:pt>
                <c:pt idx="338">
                  <c:v>0.77064796101909938</c:v>
                </c:pt>
                <c:pt idx="339">
                  <c:v>0.77008432999390219</c:v>
                </c:pt>
                <c:pt idx="340">
                  <c:v>0.76952179678497246</c:v>
                </c:pt>
                <c:pt idx="341">
                  <c:v>0.76895880104208447</c:v>
                </c:pt>
                <c:pt idx="342">
                  <c:v>0.768395330599705</c:v>
                </c:pt>
                <c:pt idx="343">
                  <c:v>0.76783213815028972</c:v>
                </c:pt>
                <c:pt idx="344">
                  <c:v>0.76726577110766525</c:v>
                </c:pt>
                <c:pt idx="345">
                  <c:v>0.76669929100678724</c:v>
                </c:pt>
                <c:pt idx="346">
                  <c:v>0.7661332240218498</c:v>
                </c:pt>
                <c:pt idx="347">
                  <c:v>0.76557149411425007</c:v>
                </c:pt>
                <c:pt idx="348">
                  <c:v>0.76500851088783206</c:v>
                </c:pt>
                <c:pt idx="349">
                  <c:v>0.7644431324169505</c:v>
                </c:pt>
                <c:pt idx="350">
                  <c:v>0.76388029177941041</c:v>
                </c:pt>
                <c:pt idx="351">
                  <c:v>0.76331641489727564</c:v>
                </c:pt>
                <c:pt idx="352">
                  <c:v>0.76275360992030328</c:v>
                </c:pt>
                <c:pt idx="353">
                  <c:v>0.76219157263374193</c:v>
                </c:pt>
                <c:pt idx="354">
                  <c:v>0.76163000913570478</c:v>
                </c:pt>
                <c:pt idx="355">
                  <c:v>0.76107091078164446</c:v>
                </c:pt>
                <c:pt idx="356">
                  <c:v>0.76051339092695969</c:v>
                </c:pt>
                <c:pt idx="357">
                  <c:v>0.75995890606095018</c:v>
                </c:pt>
                <c:pt idx="358">
                  <c:v>0.7594084787812948</c:v>
                </c:pt>
                <c:pt idx="359">
                  <c:v>0.7588602854890879</c:v>
                </c:pt>
                <c:pt idx="360">
                  <c:v>0.75831613983107682</c:v>
                </c:pt>
                <c:pt idx="361">
                  <c:v>0.75776832817226536</c:v>
                </c:pt>
                <c:pt idx="362">
                  <c:v>0.75721996722173701</c:v>
                </c:pt>
                <c:pt idx="363">
                  <c:v>0.75667067171998714</c:v>
                </c:pt>
                <c:pt idx="364">
                  <c:v>0.7561190282972321</c:v>
                </c:pt>
                <c:pt idx="365">
                  <c:v>0.75556822314736294</c:v>
                </c:pt>
                <c:pt idx="366">
                  <c:v>0.75502104194562825</c:v>
                </c:pt>
                <c:pt idx="367">
                  <c:v>0.75447479545545926</c:v>
                </c:pt>
                <c:pt idx="368">
                  <c:v>0.7539255191766584</c:v>
                </c:pt>
                <c:pt idx="369">
                  <c:v>0.75337664862688269</c:v>
                </c:pt>
                <c:pt idx="370">
                  <c:v>0.75283057428785882</c:v>
                </c:pt>
                <c:pt idx="371">
                  <c:v>0.75228186737335256</c:v>
                </c:pt>
                <c:pt idx="372">
                  <c:v>0.75173574324907666</c:v>
                </c:pt>
                <c:pt idx="373">
                  <c:v>0.75119015658441091</c:v>
                </c:pt>
                <c:pt idx="374">
                  <c:v>0.75064724990763199</c:v>
                </c:pt>
                <c:pt idx="375">
                  <c:v>0.75010819617525148</c:v>
                </c:pt>
                <c:pt idx="376">
                  <c:v>0.7495714920295905</c:v>
                </c:pt>
                <c:pt idx="377">
                  <c:v>0.74903460470369132</c:v>
                </c:pt>
                <c:pt idx="378">
                  <c:v>0.74849691568790511</c:v>
                </c:pt>
                <c:pt idx="379">
                  <c:v>0.74795906636498033</c:v>
                </c:pt>
                <c:pt idx="380">
                  <c:v>0.74741993869471812</c:v>
                </c:pt>
                <c:pt idx="381">
                  <c:v>0.74688351217096249</c:v>
                </c:pt>
                <c:pt idx="382">
                  <c:v>0.7463535033627553</c:v>
                </c:pt>
                <c:pt idx="383">
                  <c:v>0.74582219484492196</c:v>
                </c:pt>
                <c:pt idx="384">
                  <c:v>0.74529158947505425</c:v>
                </c:pt>
                <c:pt idx="385">
                  <c:v>0.74476309577823063</c:v>
                </c:pt>
                <c:pt idx="386">
                  <c:v>0.74423790683703461</c:v>
                </c:pt>
                <c:pt idx="387">
                  <c:v>0.74371205461037793</c:v>
                </c:pt>
                <c:pt idx="388">
                  <c:v>0.74318837110927494</c:v>
                </c:pt>
                <c:pt idx="389">
                  <c:v>0.74266813329208792</c:v>
                </c:pt>
                <c:pt idx="390">
                  <c:v>0.74214592078148256</c:v>
                </c:pt>
                <c:pt idx="391">
                  <c:v>0.74162458708946677</c:v>
                </c:pt>
                <c:pt idx="392">
                  <c:v>0.74110589457930409</c:v>
                </c:pt>
                <c:pt idx="393">
                  <c:v>0.74058719770553072</c:v>
                </c:pt>
                <c:pt idx="394">
                  <c:v>0.7400707707691655</c:v>
                </c:pt>
                <c:pt idx="395">
                  <c:v>0.73955323288610153</c:v>
                </c:pt>
                <c:pt idx="396">
                  <c:v>0.73903389526953234</c:v>
                </c:pt>
                <c:pt idx="397">
                  <c:v>0.73851322204743453</c:v>
                </c:pt>
                <c:pt idx="398">
                  <c:v>0.73799367430277119</c:v>
                </c:pt>
                <c:pt idx="399">
                  <c:v>0.73747616164192586</c:v>
                </c:pt>
                <c:pt idx="400">
                  <c:v>0.73696439857365015</c:v>
                </c:pt>
                <c:pt idx="401">
                  <c:v>0.73645225453721563</c:v>
                </c:pt>
                <c:pt idx="402">
                  <c:v>0.73593752790997047</c:v>
                </c:pt>
                <c:pt idx="403">
                  <c:v>0.73542242636282018</c:v>
                </c:pt>
                <c:pt idx="404">
                  <c:v>0.73490568458082606</c:v>
                </c:pt>
                <c:pt idx="405">
                  <c:v>0.73439091553957758</c:v>
                </c:pt>
                <c:pt idx="406">
                  <c:v>0.73387949510174999</c:v>
                </c:pt>
                <c:pt idx="407">
                  <c:v>0.73336877974210057</c:v>
                </c:pt>
                <c:pt idx="408">
                  <c:v>0.73286079278382199</c:v>
                </c:pt>
                <c:pt idx="409">
                  <c:v>0.73235643228974867</c:v>
                </c:pt>
                <c:pt idx="410">
                  <c:v>0.73184957697951036</c:v>
                </c:pt>
                <c:pt idx="411">
                  <c:v>0.73134496729773957</c:v>
                </c:pt>
                <c:pt idx="412">
                  <c:v>0.73084431904670055</c:v>
                </c:pt>
                <c:pt idx="413">
                  <c:v>0.73034618869009493</c:v>
                </c:pt>
                <c:pt idx="414">
                  <c:v>0.72985052033203113</c:v>
                </c:pt>
                <c:pt idx="415">
                  <c:v>0.72935286443688707</c:v>
                </c:pt>
                <c:pt idx="416">
                  <c:v>0.72885527161031882</c:v>
                </c:pt>
                <c:pt idx="417">
                  <c:v>0.72836215114942815</c:v>
                </c:pt>
                <c:pt idx="418">
                  <c:v>0.72787034443548204</c:v>
                </c:pt>
                <c:pt idx="419">
                  <c:v>0.72738014898789904</c:v>
                </c:pt>
                <c:pt idx="420">
                  <c:v>0.72689057855117822</c:v>
                </c:pt>
                <c:pt idx="421">
                  <c:v>0.72640114247650522</c:v>
                </c:pt>
                <c:pt idx="422">
                  <c:v>0.72591000714306742</c:v>
                </c:pt>
                <c:pt idx="423">
                  <c:v>0.72541919458930915</c:v>
                </c:pt>
                <c:pt idx="424">
                  <c:v>0.72492930374116171</c:v>
                </c:pt>
                <c:pt idx="425">
                  <c:v>0.72443915058500974</c:v>
                </c:pt>
                <c:pt idx="426">
                  <c:v>0.72395079031073273</c:v>
                </c:pt>
                <c:pt idx="427">
                  <c:v>0.7234618489435326</c:v>
                </c:pt>
                <c:pt idx="428">
                  <c:v>0.72297560801670191</c:v>
                </c:pt>
                <c:pt idx="429">
                  <c:v>0.72248741060920452</c:v>
                </c:pt>
                <c:pt idx="430">
                  <c:v>0.72199613555392084</c:v>
                </c:pt>
                <c:pt idx="431">
                  <c:v>0.7215055447368075</c:v>
                </c:pt>
                <c:pt idx="432">
                  <c:v>0.72101562193306579</c:v>
                </c:pt>
                <c:pt idx="433">
                  <c:v>0.72052661234185866</c:v>
                </c:pt>
                <c:pt idx="434">
                  <c:v>0.72003986046267698</c:v>
                </c:pt>
                <c:pt idx="435">
                  <c:v>0.71955273928138053</c:v>
                </c:pt>
                <c:pt idx="436">
                  <c:v>0.71906530934739299</c:v>
                </c:pt>
                <c:pt idx="437">
                  <c:v>0.71857820137436157</c:v>
                </c:pt>
                <c:pt idx="438">
                  <c:v>0.71809116207494694</c:v>
                </c:pt>
                <c:pt idx="439">
                  <c:v>0.7176025641712066</c:v>
                </c:pt>
                <c:pt idx="440">
                  <c:v>0.71711872350324102</c:v>
                </c:pt>
                <c:pt idx="441">
                  <c:v>0.71663441343872025</c:v>
                </c:pt>
                <c:pt idx="442">
                  <c:v>0.71614935242365452</c:v>
                </c:pt>
                <c:pt idx="443">
                  <c:v>0.71566704470898335</c:v>
                </c:pt>
                <c:pt idx="444">
                  <c:v>0.71518630310171061</c:v>
                </c:pt>
                <c:pt idx="445">
                  <c:v>0.71470556985136224</c:v>
                </c:pt>
                <c:pt idx="446">
                  <c:v>0.71422778194800562</c:v>
                </c:pt>
                <c:pt idx="447">
                  <c:v>0.71375232466921845</c:v>
                </c:pt>
                <c:pt idx="448">
                  <c:v>0.71327267006678363</c:v>
                </c:pt>
                <c:pt idx="449">
                  <c:v>0.71279149708846201</c:v>
                </c:pt>
                <c:pt idx="450">
                  <c:v>0.71231295205494671</c:v>
                </c:pt>
                <c:pt idx="451">
                  <c:v>0.71183698154487185</c:v>
                </c:pt>
                <c:pt idx="452">
                  <c:v>0.71136696461972404</c:v>
                </c:pt>
                <c:pt idx="453">
                  <c:v>0.7108992321606119</c:v>
                </c:pt>
                <c:pt idx="454">
                  <c:v>0.71043251600923429</c:v>
                </c:pt>
                <c:pt idx="455">
                  <c:v>0.70996446692227888</c:v>
                </c:pt>
                <c:pt idx="456">
                  <c:v>0.70950031955302861</c:v>
                </c:pt>
                <c:pt idx="457">
                  <c:v>0.70903416430544997</c:v>
                </c:pt>
                <c:pt idx="458">
                  <c:v>0.70856557205443804</c:v>
                </c:pt>
                <c:pt idx="459">
                  <c:v>0.70809407378532396</c:v>
                </c:pt>
                <c:pt idx="460">
                  <c:v>0.70761767444432067</c:v>
                </c:pt>
                <c:pt idx="461">
                  <c:v>0.70714317599424481</c:v>
                </c:pt>
                <c:pt idx="462">
                  <c:v>0.70666586098341766</c:v>
                </c:pt>
                <c:pt idx="463">
                  <c:v>0.70618856547745579</c:v>
                </c:pt>
                <c:pt idx="464">
                  <c:v>0.70570933432708793</c:v>
                </c:pt>
                <c:pt idx="465">
                  <c:v>0.70522892014741434</c:v>
                </c:pt>
                <c:pt idx="466">
                  <c:v>0.70475019628353619</c:v>
                </c:pt>
                <c:pt idx="467">
                  <c:v>0.70427139380289561</c:v>
                </c:pt>
                <c:pt idx="468">
                  <c:v>0.70379291490699003</c:v>
                </c:pt>
                <c:pt idx="469">
                  <c:v>0.70331409760708397</c:v>
                </c:pt>
                <c:pt idx="470">
                  <c:v>0.70283534017647253</c:v>
                </c:pt>
                <c:pt idx="471">
                  <c:v>0.7023594521434271</c:v>
                </c:pt>
                <c:pt idx="472">
                  <c:v>0.70188427362941708</c:v>
                </c:pt>
                <c:pt idx="473">
                  <c:v>0.70141281335118666</c:v>
                </c:pt>
                <c:pt idx="474">
                  <c:v>0.70094022999436734</c:v>
                </c:pt>
                <c:pt idx="475">
                  <c:v>0.70046718077444103</c:v>
                </c:pt>
                <c:pt idx="476">
                  <c:v>0.69999355139528852</c:v>
                </c:pt>
                <c:pt idx="477">
                  <c:v>0.69951865064493945</c:v>
                </c:pt>
                <c:pt idx="478">
                  <c:v>0.69904634602551319</c:v>
                </c:pt>
                <c:pt idx="479">
                  <c:v>0.69857529358407622</c:v>
                </c:pt>
                <c:pt idx="480">
                  <c:v>0.6981037530966866</c:v>
                </c:pt>
                <c:pt idx="481">
                  <c:v>0.6976349620370017</c:v>
                </c:pt>
                <c:pt idx="482">
                  <c:v>0.69716866395383714</c:v>
                </c:pt>
                <c:pt idx="483">
                  <c:v>0.69670315124104532</c:v>
                </c:pt>
                <c:pt idx="484">
                  <c:v>0.69623922442827235</c:v>
                </c:pt>
                <c:pt idx="485">
                  <c:v>0.69577583078767202</c:v>
                </c:pt>
                <c:pt idx="486">
                  <c:v>0.69531709318056067</c:v>
                </c:pt>
                <c:pt idx="487">
                  <c:v>0.69485541962172859</c:v>
                </c:pt>
                <c:pt idx="488">
                  <c:v>0.6943891761513713</c:v>
                </c:pt>
                <c:pt idx="489">
                  <c:v>0.69392261160924551</c:v>
                </c:pt>
                <c:pt idx="490">
                  <c:v>0.69345660355532868</c:v>
                </c:pt>
                <c:pt idx="491">
                  <c:v>0.6929916269496913</c:v>
                </c:pt>
                <c:pt idx="492">
                  <c:v>0.69252499419475977</c:v>
                </c:pt>
                <c:pt idx="493">
                  <c:v>0.69205763967989242</c:v>
                </c:pt>
                <c:pt idx="494">
                  <c:v>0.69158603256734918</c:v>
                </c:pt>
                <c:pt idx="495">
                  <c:v>0.69111384569041545</c:v>
                </c:pt>
                <c:pt idx="496">
                  <c:v>0.69064191372010075</c:v>
                </c:pt>
                <c:pt idx="497">
                  <c:v>0.69016747408647483</c:v>
                </c:pt>
                <c:pt idx="498">
                  <c:v>0.68969228631513824</c:v>
                </c:pt>
                <c:pt idx="499">
                  <c:v>0.68921868575098921</c:v>
                </c:pt>
                <c:pt idx="500">
                  <c:v>0.68874782829683756</c:v>
                </c:pt>
                <c:pt idx="501">
                  <c:v>0.68828160886944612</c:v>
                </c:pt>
                <c:pt idx="502">
                  <c:v>0.68781370376909889</c:v>
                </c:pt>
                <c:pt idx="503">
                  <c:v>0.68734589444153515</c:v>
                </c:pt>
                <c:pt idx="504">
                  <c:v>0.68687860510596688</c:v>
                </c:pt>
                <c:pt idx="505">
                  <c:v>0.68641778480297855</c:v>
                </c:pt>
                <c:pt idx="506">
                  <c:v>0.68595900735949766</c:v>
                </c:pt>
                <c:pt idx="507">
                  <c:v>0.68550232151237556</c:v>
                </c:pt>
                <c:pt idx="508">
                  <c:v>0.68504334143882484</c:v>
                </c:pt>
                <c:pt idx="509">
                  <c:v>0.68458601001363861</c:v>
                </c:pt>
                <c:pt idx="510">
                  <c:v>0.68412763247927588</c:v>
                </c:pt>
                <c:pt idx="511">
                  <c:v>0.68366882928256978</c:v>
                </c:pt>
                <c:pt idx="512">
                  <c:v>0.68320763647855498</c:v>
                </c:pt>
                <c:pt idx="513">
                  <c:v>0.6827440976670609</c:v>
                </c:pt>
                <c:pt idx="514">
                  <c:v>0.68227611162036472</c:v>
                </c:pt>
                <c:pt idx="515">
                  <c:v>0.68180986836179691</c:v>
                </c:pt>
                <c:pt idx="516">
                  <c:v>0.68134180594735605</c:v>
                </c:pt>
                <c:pt idx="517">
                  <c:v>0.68087356147683997</c:v>
                </c:pt>
                <c:pt idx="518">
                  <c:v>0.68040317020494312</c:v>
                </c:pt>
                <c:pt idx="519">
                  <c:v>0.67993123606769357</c:v>
                </c:pt>
                <c:pt idx="520">
                  <c:v>0.67945664587658716</c:v>
                </c:pt>
                <c:pt idx="521">
                  <c:v>0.67898729738901498</c:v>
                </c:pt>
                <c:pt idx="522">
                  <c:v>0.67851752753739425</c:v>
                </c:pt>
                <c:pt idx="523">
                  <c:v>0.67804597784206266</c:v>
                </c:pt>
                <c:pt idx="524">
                  <c:v>0.67756756371066185</c:v>
                </c:pt>
                <c:pt idx="525">
                  <c:v>0.67708174682609201</c:v>
                </c:pt>
                <c:pt idx="526">
                  <c:v>0.67659610093784328</c:v>
                </c:pt>
                <c:pt idx="527">
                  <c:v>0.67611064478881744</c:v>
                </c:pt>
                <c:pt idx="528">
                  <c:v>0.67562498029556506</c:v>
                </c:pt>
                <c:pt idx="529">
                  <c:v>0.67514225086325308</c:v>
                </c:pt>
                <c:pt idx="530">
                  <c:v>0.67465851853906011</c:v>
                </c:pt>
                <c:pt idx="531">
                  <c:v>0.67417043022445644</c:v>
                </c:pt>
                <c:pt idx="532">
                  <c:v>0.67368078788832431</c:v>
                </c:pt>
                <c:pt idx="533">
                  <c:v>0.67318752284541328</c:v>
                </c:pt>
                <c:pt idx="534">
                  <c:v>0.67269903365039119</c:v>
                </c:pt>
                <c:pt idx="535">
                  <c:v>0.672215829375851</c:v>
                </c:pt>
                <c:pt idx="536">
                  <c:v>0.67173126790100679</c:v>
                </c:pt>
                <c:pt idx="537">
                  <c:v>0.67124654991264654</c:v>
                </c:pt>
                <c:pt idx="538">
                  <c:v>0.67076541350894536</c:v>
                </c:pt>
                <c:pt idx="539">
                  <c:v>0.67028630538972189</c:v>
                </c:pt>
                <c:pt idx="540">
                  <c:v>0.66981142025735108</c:v>
                </c:pt>
                <c:pt idx="541">
                  <c:v>0.66933343189811123</c:v>
                </c:pt>
                <c:pt idx="542">
                  <c:v>0.66885295148024215</c:v>
                </c:pt>
                <c:pt idx="543">
                  <c:v>0.66837448852493742</c:v>
                </c:pt>
                <c:pt idx="544">
                  <c:v>0.6678984407258638</c:v>
                </c:pt>
                <c:pt idx="545">
                  <c:v>0.66741966072935643</c:v>
                </c:pt>
                <c:pt idx="546">
                  <c:v>0.66693921150012969</c:v>
                </c:pt>
                <c:pt idx="547">
                  <c:v>0.66645799229899605</c:v>
                </c:pt>
                <c:pt idx="548">
                  <c:v>0.66597183185881781</c:v>
                </c:pt>
                <c:pt idx="549">
                  <c:v>0.66548644678439273</c:v>
                </c:pt>
                <c:pt idx="550">
                  <c:v>0.66500578836434621</c:v>
                </c:pt>
                <c:pt idx="551">
                  <c:v>0.66452576722550138</c:v>
                </c:pt>
                <c:pt idx="552">
                  <c:v>0.66404269399034743</c:v>
                </c:pt>
                <c:pt idx="553">
                  <c:v>0.66356032120676089</c:v>
                </c:pt>
                <c:pt idx="554">
                  <c:v>0.66307309607830667</c:v>
                </c:pt>
                <c:pt idx="555">
                  <c:v>0.66258840340601877</c:v>
                </c:pt>
                <c:pt idx="556">
                  <c:v>0.66210560299784738</c:v>
                </c:pt>
                <c:pt idx="557">
                  <c:v>0.66162227549259967</c:v>
                </c:pt>
                <c:pt idx="558">
                  <c:v>0.66113426355507809</c:v>
                </c:pt>
                <c:pt idx="559">
                  <c:v>0.66064736969734938</c:v>
                </c:pt>
                <c:pt idx="560">
                  <c:v>0.66015829054652297</c:v>
                </c:pt>
                <c:pt idx="561">
                  <c:v>0.65966866345600728</c:v>
                </c:pt>
                <c:pt idx="562">
                  <c:v>0.65918132598585633</c:v>
                </c:pt>
                <c:pt idx="563">
                  <c:v>0.65869305179050253</c:v>
                </c:pt>
                <c:pt idx="564">
                  <c:v>0.65820540250283344</c:v>
                </c:pt>
                <c:pt idx="565">
                  <c:v>0.6577178867754111</c:v>
                </c:pt>
                <c:pt idx="566">
                  <c:v>0.65722475643505529</c:v>
                </c:pt>
                <c:pt idx="567">
                  <c:v>0.65672898014402425</c:v>
                </c:pt>
                <c:pt idx="568">
                  <c:v>0.65623002265946362</c:v>
                </c:pt>
                <c:pt idx="569">
                  <c:v>0.65572854066621589</c:v>
                </c:pt>
                <c:pt idx="570">
                  <c:v>0.65523168467112325</c:v>
                </c:pt>
                <c:pt idx="571">
                  <c:v>0.65474038520508815</c:v>
                </c:pt>
                <c:pt idx="572">
                  <c:v>0.65424913938703</c:v>
                </c:pt>
                <c:pt idx="573">
                  <c:v>0.65375631966243208</c:v>
                </c:pt>
                <c:pt idx="574">
                  <c:v>0.65326433042452514</c:v>
                </c:pt>
                <c:pt idx="575">
                  <c:v>0.65277261032203471</c:v>
                </c:pt>
                <c:pt idx="576">
                  <c:v>0.65228025174095694</c:v>
                </c:pt>
                <c:pt idx="577">
                  <c:v>0.65178644670208363</c:v>
                </c:pt>
                <c:pt idx="578">
                  <c:v>0.65129264888318239</c:v>
                </c:pt>
                <c:pt idx="579">
                  <c:v>0.65079940794870261</c:v>
                </c:pt>
                <c:pt idx="580">
                  <c:v>0.65030636504163941</c:v>
                </c:pt>
                <c:pt idx="581">
                  <c:v>0.64981199858870264</c:v>
                </c:pt>
                <c:pt idx="582">
                  <c:v>0.64931586709224998</c:v>
                </c:pt>
                <c:pt idx="583">
                  <c:v>0.64881939019825674</c:v>
                </c:pt>
                <c:pt idx="584">
                  <c:v>0.64832982151895335</c:v>
                </c:pt>
                <c:pt idx="585">
                  <c:v>0.64783967640500206</c:v>
                </c:pt>
                <c:pt idx="586">
                  <c:v>0.64734918449057266</c:v>
                </c:pt>
                <c:pt idx="587">
                  <c:v>0.64685399415167244</c:v>
                </c:pt>
                <c:pt idx="588">
                  <c:v>0.64635543357531555</c:v>
                </c:pt>
                <c:pt idx="589">
                  <c:v>0.6458556727631003</c:v>
                </c:pt>
                <c:pt idx="590">
                  <c:v>0.64535715768431323</c:v>
                </c:pt>
                <c:pt idx="591">
                  <c:v>0.64486430076392576</c:v>
                </c:pt>
                <c:pt idx="592">
                  <c:v>0.64437029589077788</c:v>
                </c:pt>
                <c:pt idx="593">
                  <c:v>0.64388311755156569</c:v>
                </c:pt>
                <c:pt idx="594">
                  <c:v>0.64339789709840778</c:v>
                </c:pt>
                <c:pt idx="595">
                  <c:v>0.64291783070499875</c:v>
                </c:pt>
                <c:pt idx="596">
                  <c:v>0.64244448287951106</c:v>
                </c:pt>
                <c:pt idx="597">
                  <c:v>0.6419680113580728</c:v>
                </c:pt>
                <c:pt idx="598">
                  <c:v>0.64148784553899263</c:v>
                </c:pt>
                <c:pt idx="599">
                  <c:v>0.64100880749490219</c:v>
                </c:pt>
                <c:pt idx="600">
                  <c:v>0.64052956523205007</c:v>
                </c:pt>
                <c:pt idx="601">
                  <c:v>0.64005061021030851</c:v>
                </c:pt>
                <c:pt idx="602">
                  <c:v>0.63957110817998952</c:v>
                </c:pt>
                <c:pt idx="603">
                  <c:v>0.63909087879387405</c:v>
                </c:pt>
                <c:pt idx="604">
                  <c:v>0.63861033327352057</c:v>
                </c:pt>
                <c:pt idx="605">
                  <c:v>0.63812302198535575</c:v>
                </c:pt>
                <c:pt idx="606">
                  <c:v>0.63763333090368346</c:v>
                </c:pt>
                <c:pt idx="607">
                  <c:v>0.63714800993072906</c:v>
                </c:pt>
                <c:pt idx="608">
                  <c:v>0.63666450878369407</c:v>
                </c:pt>
                <c:pt idx="609">
                  <c:v>0.63617705643855738</c:v>
                </c:pt>
                <c:pt idx="610">
                  <c:v>0.63568108561855075</c:v>
                </c:pt>
                <c:pt idx="611">
                  <c:v>0.63518327615657466</c:v>
                </c:pt>
                <c:pt idx="612">
                  <c:v>0.63468407638486657</c:v>
                </c:pt>
                <c:pt idx="613">
                  <c:v>0.63418931068268825</c:v>
                </c:pt>
                <c:pt idx="614">
                  <c:v>0.63369535676245425</c:v>
                </c:pt>
                <c:pt idx="615">
                  <c:v>0.63320034671327874</c:v>
                </c:pt>
                <c:pt idx="616">
                  <c:v>0.63270942758881343</c:v>
                </c:pt>
                <c:pt idx="617">
                  <c:v>0.63221819023676062</c:v>
                </c:pt>
                <c:pt idx="618">
                  <c:v>0.63173088243725695</c:v>
                </c:pt>
                <c:pt idx="619">
                  <c:v>0.63124418824077122</c:v>
                </c:pt>
                <c:pt idx="620">
                  <c:v>0.63075824454197726</c:v>
                </c:pt>
                <c:pt idx="621">
                  <c:v>0.63027125841764808</c:v>
                </c:pt>
                <c:pt idx="622">
                  <c:v>0.62978376390830215</c:v>
                </c:pt>
                <c:pt idx="623">
                  <c:v>0.62929429171316553</c:v>
                </c:pt>
                <c:pt idx="624">
                  <c:v>0.62880447987083898</c:v>
                </c:pt>
                <c:pt idx="625">
                  <c:v>0.62830934429118812</c:v>
                </c:pt>
                <c:pt idx="626">
                  <c:v>0.62780801179862078</c:v>
                </c:pt>
                <c:pt idx="627">
                  <c:v>0.62730677941005808</c:v>
                </c:pt>
                <c:pt idx="628">
                  <c:v>0.62680233194719259</c:v>
                </c:pt>
                <c:pt idx="629">
                  <c:v>0.62629207652793817</c:v>
                </c:pt>
                <c:pt idx="630">
                  <c:v>0.62578298650068898</c:v>
                </c:pt>
                <c:pt idx="631">
                  <c:v>0.62527180085217515</c:v>
                </c:pt>
                <c:pt idx="632">
                  <c:v>0.62475723879871914</c:v>
                </c:pt>
                <c:pt idx="633">
                  <c:v>0.62424554830573753</c:v>
                </c:pt>
                <c:pt idx="634">
                  <c:v>0.6237326124992234</c:v>
                </c:pt>
                <c:pt idx="635">
                  <c:v>0.62321723489016267</c:v>
                </c:pt>
                <c:pt idx="636">
                  <c:v>0.62269609184390085</c:v>
                </c:pt>
                <c:pt idx="637">
                  <c:v>0.62216865612644379</c:v>
                </c:pt>
                <c:pt idx="638">
                  <c:v>0.62163417798601084</c:v>
                </c:pt>
                <c:pt idx="639">
                  <c:v>0.62110115806375965</c:v>
                </c:pt>
                <c:pt idx="640">
                  <c:v>0.6205679488173379</c:v>
                </c:pt>
                <c:pt idx="641">
                  <c:v>0.62004602106124029</c:v>
                </c:pt>
                <c:pt idx="642">
                  <c:v>0.61952749337093482</c:v>
                </c:pt>
                <c:pt idx="643">
                  <c:v>0.61900930972897117</c:v>
                </c:pt>
                <c:pt idx="644">
                  <c:v>0.61849378582735071</c:v>
                </c:pt>
                <c:pt idx="645">
                  <c:v>0.61797270717621944</c:v>
                </c:pt>
                <c:pt idx="646">
                  <c:v>0.61744920295377315</c:v>
                </c:pt>
                <c:pt idx="647">
                  <c:v>0.61692609022243206</c:v>
                </c:pt>
                <c:pt idx="648">
                  <c:v>0.61640189703212578</c:v>
                </c:pt>
                <c:pt idx="649">
                  <c:v>0.61588156351429302</c:v>
                </c:pt>
                <c:pt idx="650">
                  <c:v>0.6153622220143794</c:v>
                </c:pt>
                <c:pt idx="651">
                  <c:v>0.61484450384111744</c:v>
                </c:pt>
                <c:pt idx="652">
                  <c:v>0.61432532637602977</c:v>
                </c:pt>
                <c:pt idx="653">
                  <c:v>0.6138046193260247</c:v>
                </c:pt>
                <c:pt idx="654">
                  <c:v>0.61328911353180537</c:v>
                </c:pt>
                <c:pt idx="655">
                  <c:v>0.61277864218417699</c:v>
                </c:pt>
                <c:pt idx="656">
                  <c:v>0.61226852665327003</c:v>
                </c:pt>
                <c:pt idx="657">
                  <c:v>0.61175668604561884</c:v>
                </c:pt>
                <c:pt idx="658">
                  <c:v>0.611245620184654</c:v>
                </c:pt>
                <c:pt idx="659">
                  <c:v>0.61073321723792229</c:v>
                </c:pt>
                <c:pt idx="660">
                  <c:v>0.61022440068688577</c:v>
                </c:pt>
                <c:pt idx="661">
                  <c:v>0.60972217237177806</c:v>
                </c:pt>
                <c:pt idx="662">
                  <c:v>0.60922099738046442</c:v>
                </c:pt>
                <c:pt idx="663">
                  <c:v>0.60871937926864783</c:v>
                </c:pt>
                <c:pt idx="664">
                  <c:v>0.60821882273052619</c:v>
                </c:pt>
                <c:pt idx="665">
                  <c:v>0.60772425619453774</c:v>
                </c:pt>
                <c:pt idx="666">
                  <c:v>0.60723338242341773</c:v>
                </c:pt>
                <c:pt idx="667">
                  <c:v>0.60673987487443459</c:v>
                </c:pt>
                <c:pt idx="668">
                  <c:v>0.6062479131704025</c:v>
                </c:pt>
                <c:pt idx="669">
                  <c:v>0.60575293986210987</c:v>
                </c:pt>
                <c:pt idx="670">
                  <c:v>0.60525581187557287</c:v>
                </c:pt>
                <c:pt idx="671">
                  <c:v>0.60475606394119208</c:v>
                </c:pt>
                <c:pt idx="672">
                  <c:v>0.60425443768662535</c:v>
                </c:pt>
                <c:pt idx="673">
                  <c:v>0.60374908671699612</c:v>
                </c:pt>
                <c:pt idx="674">
                  <c:v>0.60324333245277573</c:v>
                </c:pt>
                <c:pt idx="675">
                  <c:v>0.60273921967541921</c:v>
                </c:pt>
                <c:pt idx="676">
                  <c:v>0.60224230584650462</c:v>
                </c:pt>
                <c:pt idx="677">
                  <c:v>0.60174408566234261</c:v>
                </c:pt>
                <c:pt idx="678">
                  <c:v>0.60124481183989897</c:v>
                </c:pt>
                <c:pt idx="679">
                  <c:v>0.60074568810394235</c:v>
                </c:pt>
                <c:pt idx="680">
                  <c:v>0.60024973278035154</c:v>
                </c:pt>
                <c:pt idx="681">
                  <c:v>0.59975502812784176</c:v>
                </c:pt>
                <c:pt idx="682">
                  <c:v>0.59926603348399543</c:v>
                </c:pt>
                <c:pt idx="683">
                  <c:v>0.59877600712957968</c:v>
                </c:pt>
                <c:pt idx="684">
                  <c:v>0.59828293409147515</c:v>
                </c:pt>
                <c:pt idx="685">
                  <c:v>0.59778497396638441</c:v>
                </c:pt>
                <c:pt idx="686">
                  <c:v>0.59729007358404262</c:v>
                </c:pt>
                <c:pt idx="687">
                  <c:v>0.596799432433052</c:v>
                </c:pt>
                <c:pt idx="688">
                  <c:v>0.59631251822314546</c:v>
                </c:pt>
                <c:pt idx="689">
                  <c:v>0.5958309687838641</c:v>
                </c:pt>
                <c:pt idx="690">
                  <c:v>0.59535184346004721</c:v>
                </c:pt>
                <c:pt idx="691">
                  <c:v>0.59487101350621707</c:v>
                </c:pt>
                <c:pt idx="692">
                  <c:v>0.59439587613998379</c:v>
                </c:pt>
                <c:pt idx="693">
                  <c:v>0.59392458756237521</c:v>
                </c:pt>
                <c:pt idx="694">
                  <c:v>0.59344940362058451</c:v>
                </c:pt>
                <c:pt idx="695">
                  <c:v>0.5929737210949303</c:v>
                </c:pt>
                <c:pt idx="696">
                  <c:v>0.59249127939904644</c:v>
                </c:pt>
                <c:pt idx="697">
                  <c:v>0.59201049091220737</c:v>
                </c:pt>
                <c:pt idx="698">
                  <c:v>0.59153659642095502</c:v>
                </c:pt>
                <c:pt idx="699">
                  <c:v>0.59106326098158213</c:v>
                </c:pt>
                <c:pt idx="700">
                  <c:v>0.59058926108805976</c:v>
                </c:pt>
                <c:pt idx="701">
                  <c:v>0.59012154421906049</c:v>
                </c:pt>
                <c:pt idx="702">
                  <c:v>0.58965864426396319</c:v>
                </c:pt>
                <c:pt idx="703">
                  <c:v>0.58919508266982623</c:v>
                </c:pt>
                <c:pt idx="704">
                  <c:v>0.58873257967049875</c:v>
                </c:pt>
                <c:pt idx="705">
                  <c:v>0.58826315824872899</c:v>
                </c:pt>
                <c:pt idx="706">
                  <c:v>0.5877954663082009</c:v>
                </c:pt>
                <c:pt idx="707">
                  <c:v>0.58732885813054236</c:v>
                </c:pt>
                <c:pt idx="708">
                  <c:v>0.58686097528774284</c:v>
                </c:pt>
                <c:pt idx="709">
                  <c:v>0.58639324115415348</c:v>
                </c:pt>
                <c:pt idx="710">
                  <c:v>0.58591929111953311</c:v>
                </c:pt>
                <c:pt idx="711">
                  <c:v>0.5854466741635701</c:v>
                </c:pt>
                <c:pt idx="712">
                  <c:v>0.58497472623015134</c:v>
                </c:pt>
                <c:pt idx="713">
                  <c:v>0.58450367623402621</c:v>
                </c:pt>
                <c:pt idx="714">
                  <c:v>0.58403378678945184</c:v>
                </c:pt>
                <c:pt idx="715">
                  <c:v>0.58356093614714122</c:v>
                </c:pt>
                <c:pt idx="716">
                  <c:v>0.58308863711945924</c:v>
                </c:pt>
                <c:pt idx="717">
                  <c:v>0.58261827947793521</c:v>
                </c:pt>
                <c:pt idx="718">
                  <c:v>0.58214972471025406</c:v>
                </c:pt>
                <c:pt idx="719">
                  <c:v>0.58168197946053857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725312"/>
        <c:axId val="233902464"/>
      </c:lineChart>
      <c:catAx>
        <c:axId val="23372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3902464"/>
        <c:crosses val="autoZero"/>
        <c:auto val="1"/>
        <c:lblAlgn val="ctr"/>
        <c:lblOffset val="100"/>
        <c:noMultiLvlLbl val="0"/>
      </c:catAx>
      <c:valAx>
        <c:axId val="23390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725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775605</xdr:colOff>
      <xdr:row>46</xdr:row>
      <xdr:rowOff>54429</xdr:rowOff>
    </xdr:from>
    <xdr:to>
      <xdr:col>11</xdr:col>
      <xdr:colOff>680356</xdr:colOff>
      <xdr:row>65</xdr:row>
      <xdr:rowOff>136071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258533</xdr:colOff>
      <xdr:row>20</xdr:row>
      <xdr:rowOff>13608</xdr:rowOff>
    </xdr:from>
    <xdr:to>
      <xdr:col>12</xdr:col>
      <xdr:colOff>81641</xdr:colOff>
      <xdr:row>45</xdr:row>
      <xdr:rowOff>108857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598713</xdr:colOff>
      <xdr:row>17</xdr:row>
      <xdr:rowOff>163286</xdr:rowOff>
    </xdr:from>
    <xdr:to>
      <xdr:col>20</xdr:col>
      <xdr:colOff>204106</xdr:colOff>
      <xdr:row>36</xdr:row>
      <xdr:rowOff>27214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244927</xdr:colOff>
      <xdr:row>43</xdr:row>
      <xdr:rowOff>176893</xdr:rowOff>
    </xdr:from>
    <xdr:to>
      <xdr:col>25</xdr:col>
      <xdr:colOff>589188</xdr:colOff>
      <xdr:row>63</xdr:row>
      <xdr:rowOff>40822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204107</xdr:colOff>
      <xdr:row>21</xdr:row>
      <xdr:rowOff>40821</xdr:rowOff>
    </xdr:from>
    <xdr:to>
      <xdr:col>32</xdr:col>
      <xdr:colOff>421821</xdr:colOff>
      <xdr:row>43</xdr:row>
      <xdr:rowOff>40821</xdr:rowOff>
    </xdr:to>
    <xdr:graphicFrame macro="">
      <xdr:nvGraphicFramePr>
        <xdr:cNvPr id="10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18</xdr:col>
      <xdr:colOff>735576</xdr:colOff>
      <xdr:row>4</xdr:row>
      <xdr:rowOff>171450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361950"/>
          <a:ext cx="6469626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285749</xdr:colOff>
      <xdr:row>10</xdr:row>
      <xdr:rowOff>4762</xdr:rowOff>
    </xdr:from>
    <xdr:to>
      <xdr:col>27</xdr:col>
      <xdr:colOff>581024</xdr:colOff>
      <xdr:row>32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371474</xdr:colOff>
      <xdr:row>23</xdr:row>
      <xdr:rowOff>100011</xdr:rowOff>
    </xdr:from>
    <xdr:to>
      <xdr:col>14</xdr:col>
      <xdr:colOff>666749</xdr:colOff>
      <xdr:row>41</xdr:row>
      <xdr:rowOff>161924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E5:F31"/>
  <sheetViews>
    <sheetView zoomScale="70" zoomScaleNormal="70" workbookViewId="0">
      <selection activeCell="F7" sqref="F7"/>
    </sheetView>
  </sheetViews>
  <sheetFormatPr defaultColWidth="11" defaultRowHeight="14.25" x14ac:dyDescent="0.2"/>
  <cols>
    <col min="1" max="11" width="11" style="1"/>
    <col min="12" max="12" width="12.25" style="1" bestFit="1" customWidth="1"/>
    <col min="13" max="16384" width="11" style="1"/>
  </cols>
  <sheetData>
    <row r="5" spans="5:6" x14ac:dyDescent="0.2">
      <c r="E5" s="1" t="s">
        <v>1</v>
      </c>
      <c r="F5" s="1" t="s">
        <v>8</v>
      </c>
    </row>
    <row r="6" spans="5:6" x14ac:dyDescent="0.2">
      <c r="E6" s="1" t="s">
        <v>0</v>
      </c>
      <c r="F6" s="1" t="s">
        <v>13</v>
      </c>
    </row>
    <row r="7" spans="5:6" x14ac:dyDescent="0.2">
      <c r="E7" s="1" t="s">
        <v>2</v>
      </c>
      <c r="F7" s="1">
        <v>5000</v>
      </c>
    </row>
    <row r="8" spans="5:6" x14ac:dyDescent="0.2">
      <c r="E8" s="1" t="s">
        <v>3</v>
      </c>
      <c r="F8" s="1">
        <v>0.04</v>
      </c>
    </row>
    <row r="9" spans="5:6" x14ac:dyDescent="0.2">
      <c r="E9" s="1" t="s">
        <v>4</v>
      </c>
      <c r="F9" s="1">
        <v>0.01</v>
      </c>
    </row>
    <row r="10" spans="5:6" x14ac:dyDescent="0.2">
      <c r="E10" s="1" t="s">
        <v>5</v>
      </c>
      <c r="F10" s="1">
        <v>0.25</v>
      </c>
    </row>
    <row r="30" spans="6:6" x14ac:dyDescent="0.2">
      <c r="F30" s="1" t="s">
        <v>7</v>
      </c>
    </row>
    <row r="31" spans="6:6" x14ac:dyDescent="0.2">
      <c r="F31" s="1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6:AG1212"/>
  <sheetViews>
    <sheetView zoomScale="70" zoomScaleNormal="70" workbookViewId="0">
      <selection activeCell="P1" sqref="P1:P1048576"/>
    </sheetView>
  </sheetViews>
  <sheetFormatPr defaultColWidth="11" defaultRowHeight="14.25" x14ac:dyDescent="0.2"/>
  <cols>
    <col min="1" max="19" width="11" style="1"/>
    <col min="20" max="20" width="12.5" style="1" customWidth="1"/>
    <col min="21" max="22" width="12.375" style="1" bestFit="1" customWidth="1"/>
    <col min="23" max="23" width="16.5" style="1" bestFit="1" customWidth="1"/>
    <col min="24" max="24" width="13.875" style="1" bestFit="1" customWidth="1"/>
    <col min="25" max="25" width="11.125" style="1" bestFit="1" customWidth="1"/>
    <col min="26" max="29" width="11" style="1"/>
    <col min="30" max="30" width="12.25" style="1" bestFit="1" customWidth="1"/>
    <col min="31" max="16384" width="11" style="1"/>
  </cols>
  <sheetData>
    <row r="6" spans="2:33" ht="15" x14ac:dyDescent="0.25">
      <c r="S6" s="1">
        <v>18</v>
      </c>
      <c r="T6" s="7">
        <f>8%*S6*8%</f>
        <v>0.1152</v>
      </c>
      <c r="U6" s="1">
        <f>sigma*sigma/alpha/alpha*(S6+2/alpha*EXP(-alpha*S6)-1/2/alpha*EXP(-2*alpha*S6)-3/2/alpha)</f>
        <v>0.11725098840450432</v>
      </c>
      <c r="V6" s="1">
        <f>2*sigma/alpha*corel*(S6-1/alpha*(1-EXP(-alpha*S6)))</f>
        <v>0.64610079987491176</v>
      </c>
      <c r="W6" s="5">
        <f>U6-T6</f>
        <v>2.0509884045043225E-3</v>
      </c>
      <c r="X6" s="1">
        <f>V6*V6-4*W6*S6</f>
        <v>0.26977507847468957</v>
      </c>
      <c r="Y6" s="3">
        <f>(-V6+SQRT(X6))/2/S6</f>
        <v>-3.5195009315473697E-3</v>
      </c>
    </row>
    <row r="11" spans="2:33" x14ac:dyDescent="0.2">
      <c r="C11" s="1">
        <v>0</v>
      </c>
      <c r="D11" s="1">
        <v>0</v>
      </c>
      <c r="E11" s="1">
        <v>1</v>
      </c>
      <c r="G11" s="1">
        <v>0</v>
      </c>
      <c r="H11" s="1">
        <v>0</v>
      </c>
      <c r="I11" s="1">
        <v>1</v>
      </c>
      <c r="K11" s="1">
        <v>0</v>
      </c>
      <c r="L11" s="1">
        <v>0</v>
      </c>
      <c r="M11" s="1">
        <v>1</v>
      </c>
      <c r="O11" s="1">
        <v>0</v>
      </c>
      <c r="P11" s="1">
        <v>0</v>
      </c>
      <c r="R11" s="1">
        <v>0</v>
      </c>
      <c r="V11" s="1">
        <v>2</v>
      </c>
      <c r="W11" s="1">
        <v>1</v>
      </c>
      <c r="X11" s="1" t="s">
        <v>6</v>
      </c>
    </row>
    <row r="12" spans="2:33" ht="15" x14ac:dyDescent="0.25">
      <c r="B12" s="1">
        <v>1</v>
      </c>
      <c r="C12" s="1">
        <v>0.9999095916125823</v>
      </c>
      <c r="D12" s="1">
        <v>1.000380144454893</v>
      </c>
      <c r="E12" s="1">
        <v>0.99940035978412955</v>
      </c>
      <c r="G12" s="1">
        <v>0.9999095916125823</v>
      </c>
      <c r="H12" s="1">
        <v>1.000380144454893</v>
      </c>
      <c r="I12" s="1">
        <v>0.99940035978412955</v>
      </c>
      <c r="K12" s="1">
        <v>1.0000008170269756</v>
      </c>
      <c r="L12" s="1">
        <v>1.0618288171182881</v>
      </c>
      <c r="M12" s="1">
        <v>0.94165299999999996</v>
      </c>
      <c r="O12" s="1">
        <v>1.0849496940275125E-3</v>
      </c>
      <c r="P12" s="1">
        <v>0.9999095916125823</v>
      </c>
      <c r="R12" s="1">
        <v>5.7716661793399847E-3</v>
      </c>
      <c r="S12" s="2">
        <f>optim_vol_implied(P12,R12)</f>
        <v>1.4581156329226488E-2</v>
      </c>
      <c r="T12" s="4">
        <f>S12*S12</f>
        <v>2.1261011989734166E-4</v>
      </c>
      <c r="U12" s="1">
        <f>sigma*sigma/alpha/alpha*(B12/12+2/alpha*EXP(-alpha*B12/12)-1/2/alpha*EXP(-2*alpha*B12/12)-3/2/alpha)</f>
        <v>1.9241972903927262E-8</v>
      </c>
      <c r="V12" s="6">
        <f>2*sigma/alpha*corel*(B12/12-1/alpha*(1-EXP(-alpha*Output!B12/12)))</f>
        <v>1.7341837051898859E-5</v>
      </c>
      <c r="W12" s="5">
        <f>U12-T12</f>
        <v>-2.1259087792443773E-4</v>
      </c>
      <c r="X12" s="1">
        <f>V12*V12-4*W12*B12/12</f>
        <v>7.0863926714124915E-5</v>
      </c>
      <c r="Y12" s="3">
        <f>(-V12+SQRT(X12))/2/B12*12</f>
        <v>5.0404377598152514E-2</v>
      </c>
      <c r="Z12" s="1">
        <f>S12/SQRT(B12/12)</f>
        <v>5.0510607190649572E-2</v>
      </c>
      <c r="AA12" s="8">
        <v>0</v>
      </c>
      <c r="AB12" s="1">
        <v>8.3330000000000001E-2</v>
      </c>
      <c r="AC12">
        <v>1.0999996019999999E-3</v>
      </c>
      <c r="AD12" s="8">
        <f>(AC12-O12)*10000</f>
        <v>0.15049907972487395</v>
      </c>
      <c r="AE12" s="3">
        <f>AD12/AC12/10000</f>
        <v>1.3681739470745186E-2</v>
      </c>
      <c r="AF12" s="11">
        <f>AA12</f>
        <v>0</v>
      </c>
      <c r="AG12" s="1">
        <f>Z12</f>
        <v>5.0510607190649572E-2</v>
      </c>
    </row>
    <row r="13" spans="2:33" ht="15" x14ac:dyDescent="0.25">
      <c r="B13" s="1">
        <v>2</v>
      </c>
      <c r="C13" s="1">
        <v>0.99981775960591879</v>
      </c>
      <c r="D13" s="1">
        <v>1.0011312783445292</v>
      </c>
      <c r="E13" s="1">
        <v>0.99850224663005482</v>
      </c>
      <c r="G13" s="1">
        <v>0.99981775960591879</v>
      </c>
      <c r="H13" s="1">
        <v>1.0011312783445292</v>
      </c>
      <c r="I13" s="1">
        <v>0.99850224663005482</v>
      </c>
      <c r="K13" s="1">
        <v>0.99999798122145445</v>
      </c>
      <c r="L13" s="1">
        <v>1.0810524714685317</v>
      </c>
      <c r="M13" s="1">
        <v>0.92461705778524905</v>
      </c>
      <c r="O13" s="1">
        <v>1.0935420112776091E-3</v>
      </c>
      <c r="P13" s="1">
        <v>0.99981775960591879</v>
      </c>
      <c r="R13" s="1">
        <v>8.0531737249794483E-3</v>
      </c>
      <c r="S13" s="2">
        <f>optim_vol_implied(P13,R13)</f>
        <v>2.0416010349427326E-2</v>
      </c>
      <c r="T13" s="4">
        <f t="shared" ref="T13:T56" si="0">S13*S13</f>
        <v>4.1681347858792367E-4</v>
      </c>
      <c r="U13" s="1">
        <f t="shared" ref="U13:U56" si="1">sigma*sigma/alpha/alpha*(B13/12+2/alpha*EXP(-alpha*B13/12)-1/2/alpha*EXP(-2*alpha*B13/12)-3/2/alpha)</f>
        <v>1.5355177751530391E-7</v>
      </c>
      <c r="V13" s="6">
        <f>2*sigma/alpha*corel*(B13/12-1/alpha*(1-EXP(-alpha*Output!B13/12)))</f>
        <v>6.9290380315948502E-5</v>
      </c>
      <c r="W13" s="5">
        <f>U13-T13</f>
        <v>-4.1665992681040836E-4</v>
      </c>
      <c r="X13" s="1">
        <f>V13*V13-4*W13*B13/12</f>
        <v>2.7777808569707656E-4</v>
      </c>
      <c r="Y13" s="3">
        <f>(-V13+SQRT(X13))/2/B13*12</f>
        <v>4.9792156571781369E-2</v>
      </c>
      <c r="Z13" s="1">
        <f t="shared" ref="Z13:Z76" si="2">S13/SQRT(B13/12)</f>
        <v>5.0008807939477443E-2</v>
      </c>
      <c r="AA13" s="8">
        <f>AA12+1/12</f>
        <v>8.3333333333333329E-2</v>
      </c>
      <c r="AB13" s="1">
        <v>0.16669999999999999</v>
      </c>
      <c r="AC13">
        <v>1.1000000000000001E-3</v>
      </c>
      <c r="AD13" s="8">
        <f t="shared" ref="AD13:AD76" si="3">(AC13-O13)*10000</f>
        <v>6.4579887223909296E-2</v>
      </c>
      <c r="AE13" s="3">
        <f t="shared" ref="AE13:AE76" si="4">AD13/AC13/10000</f>
        <v>5.8708988385372078E-3</v>
      </c>
      <c r="AF13" s="11">
        <f t="shared" ref="AF13:AF76" si="5">AA13</f>
        <v>8.3333333333333329E-2</v>
      </c>
      <c r="AG13" s="1">
        <f t="shared" ref="AG13:AG76" si="6">Z13</f>
        <v>5.0008807939477443E-2</v>
      </c>
    </row>
    <row r="14" spans="2:33" ht="15" x14ac:dyDescent="0.25">
      <c r="B14" s="1">
        <v>3</v>
      </c>
      <c r="C14" s="1">
        <v>0.99972528824577822</v>
      </c>
      <c r="D14" s="1">
        <v>1.0022249393653913</v>
      </c>
      <c r="E14" s="1">
        <v>0.99720781810929404</v>
      </c>
      <c r="G14" s="1">
        <v>0.99972528824577822</v>
      </c>
      <c r="H14" s="1">
        <v>1.0022249393653913</v>
      </c>
      <c r="I14" s="1">
        <v>0.99720781810929404</v>
      </c>
      <c r="K14" s="1">
        <v>0.99999037921102973</v>
      </c>
      <c r="L14" s="1">
        <v>1.0905328759056194</v>
      </c>
      <c r="M14" s="1">
        <v>0.91639299655493967</v>
      </c>
      <c r="O14" s="1">
        <v>1.0989979776306921E-3</v>
      </c>
      <c r="P14" s="1">
        <v>0.99972528824577822</v>
      </c>
      <c r="R14" s="1">
        <v>9.783818470842703E-3</v>
      </c>
      <c r="S14" s="2">
        <f t="shared" ref="S14:S77" si="7">optim_vol_implied(P14,R14)</f>
        <v>2.487111097088722E-2</v>
      </c>
      <c r="T14" s="4">
        <f>S14*S14</f>
        <v>6.1857216092618661E-4</v>
      </c>
      <c r="U14" s="1">
        <f>sigma*sigma/alpha/alpha*(B14/12+2/alpha*EXP(-alpha*B14/12)-1/2/alpha*EXP(-2*alpha*B14/12)-3/2/alpha)</f>
        <v>5.1694524749734683E-7</v>
      </c>
      <c r="V14" s="6">
        <f>2*sigma/alpha*corel*(B14/12-1/alpha*(1-EXP(-alpha*Output!B14/12)))</f>
        <v>1.5573046615033337E-4</v>
      </c>
      <c r="W14" s="5">
        <f>U14-T14</f>
        <v>-6.1805521567868927E-4</v>
      </c>
      <c r="X14" s="1">
        <f t="shared" ref="X14:X77" si="8">V14*V14-4*W14*B14/12</f>
        <v>6.180794676567767E-4</v>
      </c>
      <c r="Y14" s="3">
        <f>(-V14+SQRT(X14))/2/B14*12</f>
        <v>4.9410947201528763E-2</v>
      </c>
      <c r="Z14" s="1">
        <f t="shared" si="2"/>
        <v>4.9742221941774439E-2</v>
      </c>
      <c r="AA14" s="8">
        <f t="shared" ref="AA14:AA77" si="9">AA13+1/12</f>
        <v>0.16666666666666666</v>
      </c>
      <c r="AB14" s="1">
        <v>0.25</v>
      </c>
      <c r="AC14">
        <v>1.100000398E-3</v>
      </c>
      <c r="AD14" s="8">
        <f t="shared" si="3"/>
        <v>1.0024203693078867E-2</v>
      </c>
      <c r="AE14" s="3">
        <f t="shared" si="4"/>
        <v>9.112909151037297E-4</v>
      </c>
      <c r="AF14" s="11">
        <f t="shared" si="5"/>
        <v>0.16666666666666666</v>
      </c>
      <c r="AG14" s="1">
        <f t="shared" si="6"/>
        <v>4.9742221941774439E-2</v>
      </c>
    </row>
    <row r="15" spans="2:33" ht="15" x14ac:dyDescent="0.25">
      <c r="B15" s="1">
        <v>4</v>
      </c>
      <c r="C15" s="1">
        <v>0.99963326004346675</v>
      </c>
      <c r="D15" s="1">
        <v>1.0035827905623074</v>
      </c>
      <c r="E15" s="1">
        <v>0.99571841083341639</v>
      </c>
      <c r="G15" s="1">
        <v>0.99963326004346675</v>
      </c>
      <c r="H15" s="1">
        <v>1.0035827905623074</v>
      </c>
      <c r="I15" s="1">
        <v>0.99571841083341639</v>
      </c>
      <c r="K15" s="1">
        <v>0.99998443339241261</v>
      </c>
      <c r="L15" s="1">
        <v>1.097404336900389</v>
      </c>
      <c r="M15" s="1">
        <v>0.91051341966949062</v>
      </c>
      <c r="O15" s="1">
        <v>1.1004216662327498E-3</v>
      </c>
      <c r="P15" s="1">
        <v>0.99963326004346675</v>
      </c>
      <c r="R15" s="1">
        <v>1.1397219281554476E-2</v>
      </c>
      <c r="S15" s="2">
        <f t="shared" si="7"/>
        <v>2.9032119081501905E-2</v>
      </c>
      <c r="T15" s="4">
        <f t="shared" si="0"/>
        <v>8.4286393836250696E-4</v>
      </c>
      <c r="U15" s="1">
        <f t="shared" si="1"/>
        <v>1.2222986756071919E-6</v>
      </c>
      <c r="V15" s="6">
        <f>2*sigma/alpha*corel*(B15/12-1/alpha*(1-EXP(-alpha*Output!B15/12)))</f>
        <v>2.765473141531985E-4</v>
      </c>
      <c r="W15" s="5">
        <f t="shared" ref="W15:W56" si="10">U15-T15</f>
        <v>-8.4164163968689976E-4</v>
      </c>
      <c r="X15" s="1">
        <f t="shared" si="8"/>
        <v>1.1222653313328317E-3</v>
      </c>
      <c r="Y15" s="3">
        <f t="shared" ref="Y15:Y56" si="11">(-V15+SQRT(X15))/2/B15*12</f>
        <v>4.9835522266392686E-2</v>
      </c>
      <c r="Z15" s="1">
        <f t="shared" si="2"/>
        <v>5.0285105300551192E-2</v>
      </c>
      <c r="AA15" s="8">
        <f t="shared" si="9"/>
        <v>0.25</v>
      </c>
      <c r="AB15" s="1">
        <v>0.33329999999999999</v>
      </c>
      <c r="AC15">
        <v>1.1000000000000001E-3</v>
      </c>
      <c r="AD15" s="8">
        <f t="shared" si="3"/>
        <v>-4.2166623274975633E-3</v>
      </c>
      <c r="AE15" s="3">
        <f t="shared" si="4"/>
        <v>-3.8333293886341486E-4</v>
      </c>
      <c r="AF15" s="11">
        <f t="shared" si="5"/>
        <v>0.25</v>
      </c>
      <c r="AG15" s="1">
        <f t="shared" si="6"/>
        <v>5.0285105300551192E-2</v>
      </c>
    </row>
    <row r="16" spans="2:33" ht="15" x14ac:dyDescent="0.25">
      <c r="B16" s="1">
        <v>5</v>
      </c>
      <c r="C16" s="1">
        <v>0.99954201779431828</v>
      </c>
      <c r="D16" s="1">
        <v>1.0049342270548391</v>
      </c>
      <c r="E16" s="1">
        <v>0.99413460582562874</v>
      </c>
      <c r="G16" s="1">
        <v>0.99954201779431828</v>
      </c>
      <c r="H16" s="1">
        <v>1.0049342270548391</v>
      </c>
      <c r="I16" s="1">
        <v>0.99413460582562874</v>
      </c>
      <c r="K16" s="1">
        <v>0.99997642849198431</v>
      </c>
      <c r="L16" s="1">
        <v>1.118685040297418</v>
      </c>
      <c r="M16" s="1">
        <v>0.89296983548641706</v>
      </c>
      <c r="O16" s="1">
        <v>1.0994090677519646E-3</v>
      </c>
      <c r="P16" s="1">
        <v>0.99954201779431828</v>
      </c>
      <c r="R16" s="1">
        <v>1.2667719345618705E-2</v>
      </c>
      <c r="S16" s="2">
        <f t="shared" si="7"/>
        <v>3.2332677439339569E-2</v>
      </c>
      <c r="T16" s="4">
        <f t="shared" si="0"/>
        <v>1.0454020303963779E-3</v>
      </c>
      <c r="U16" s="1">
        <f t="shared" si="1"/>
        <v>2.3813576541797943E-6</v>
      </c>
      <c r="V16" s="6">
        <f>2*sigma/alpha*corel*(B16/12-1/alpha*(1-EXP(-alpha*Output!B16/12)))</f>
        <v>4.3162652588799727E-4</v>
      </c>
      <c r="W16" s="5">
        <f t="shared" si="10"/>
        <v>-1.0430206727421981E-3</v>
      </c>
      <c r="X16" s="1">
        <f t="shared" si="8"/>
        <v>1.7385540893615136E-3</v>
      </c>
      <c r="Y16" s="3">
        <f t="shared" si="11"/>
        <v>4.9517214688898935E-2</v>
      </c>
      <c r="Z16" s="1">
        <f t="shared" si="2"/>
        <v>5.0089568504343367E-2</v>
      </c>
      <c r="AA16" s="8">
        <f t="shared" si="9"/>
        <v>0.33333333333333331</v>
      </c>
      <c r="AB16" s="1">
        <v>0.41670000000000001</v>
      </c>
      <c r="AC16">
        <v>1.0999985250000001E-3</v>
      </c>
      <c r="AD16" s="8">
        <f t="shared" si="3"/>
        <v>5.8945724803549995E-3</v>
      </c>
      <c r="AE16" s="3">
        <f t="shared" si="4"/>
        <v>5.3587094404103852E-4</v>
      </c>
      <c r="AF16" s="11">
        <f t="shared" si="5"/>
        <v>0.33333333333333331</v>
      </c>
      <c r="AG16" s="1">
        <f t="shared" si="6"/>
        <v>5.0089568504343367E-2</v>
      </c>
    </row>
    <row r="17" spans="2:33" ht="15" x14ac:dyDescent="0.25">
      <c r="B17" s="1">
        <v>6</v>
      </c>
      <c r="C17" s="1">
        <v>0.99945010716702565</v>
      </c>
      <c r="D17" s="1">
        <v>1.0069276623167391</v>
      </c>
      <c r="E17" s="1">
        <v>0.99206349206349209</v>
      </c>
      <c r="G17" s="1">
        <v>0.99945010716702565</v>
      </c>
      <c r="H17" s="1">
        <v>1.0069276623167391</v>
      </c>
      <c r="I17" s="1">
        <v>0.99206349206349209</v>
      </c>
      <c r="K17" s="1">
        <v>0.99996952121722915</v>
      </c>
      <c r="L17" s="1">
        <v>1.1305202143248396</v>
      </c>
      <c r="M17" s="1">
        <v>0.88341087319600642</v>
      </c>
      <c r="O17" s="1">
        <v>1.1000881589740422E-3</v>
      </c>
      <c r="P17" s="1">
        <v>0.99945010716702565</v>
      </c>
      <c r="R17" s="1">
        <v>1.3780840550515759E-2</v>
      </c>
      <c r="S17" s="2">
        <f t="shared" si="7"/>
        <v>3.5239697015918531E-2</v>
      </c>
      <c r="T17" s="4">
        <f t="shared" si="0"/>
        <v>1.2418362457737374E-3</v>
      </c>
      <c r="U17" s="1">
        <f t="shared" si="1"/>
        <v>4.1047458578802321E-6</v>
      </c>
      <c r="V17" s="6">
        <f>2*sigma/alpha*corel*(B17/12-1/alpha*(1-EXP(-alpha*Output!B17/12)))</f>
        <v>6.2085408361016448E-4</v>
      </c>
      <c r="W17" s="5">
        <f t="shared" si="10"/>
        <v>-1.2377314999158571E-3</v>
      </c>
      <c r="X17" s="1">
        <f t="shared" si="8"/>
        <v>2.4758484596248496E-3</v>
      </c>
      <c r="Y17" s="3">
        <f t="shared" si="11"/>
        <v>4.9137044381104458E-2</v>
      </c>
      <c r="Z17" s="1">
        <f t="shared" si="2"/>
        <v>4.9836457453830668E-2</v>
      </c>
      <c r="AA17" s="8">
        <f t="shared" si="9"/>
        <v>0.41666666666666663</v>
      </c>
      <c r="AB17" s="1">
        <v>0.5</v>
      </c>
      <c r="AC17">
        <v>1.0999977579999999E-3</v>
      </c>
      <c r="AD17" s="8">
        <f t="shared" si="3"/>
        <v>-9.0400974042280022E-4</v>
      </c>
      <c r="AE17" s="3">
        <f t="shared" si="4"/>
        <v>-8.2182871178433829E-5</v>
      </c>
      <c r="AF17" s="11">
        <f t="shared" si="5"/>
        <v>0.41666666666666663</v>
      </c>
      <c r="AG17" s="1">
        <f t="shared" si="6"/>
        <v>4.9836457453830668E-2</v>
      </c>
    </row>
    <row r="18" spans="2:33" ht="15" x14ac:dyDescent="0.25">
      <c r="B18" s="1">
        <v>7</v>
      </c>
      <c r="C18" s="1">
        <v>0.99935862568845624</v>
      </c>
      <c r="D18" s="1">
        <v>1.0092344956350607</v>
      </c>
      <c r="E18" s="1">
        <v>0.9896091044037606</v>
      </c>
      <c r="G18" s="1">
        <v>0.99935862568845624</v>
      </c>
      <c r="H18" s="1">
        <v>1.0092344956350607</v>
      </c>
      <c r="I18" s="1">
        <v>0.9896091044037606</v>
      </c>
      <c r="K18" s="1">
        <v>0.99997800022820316</v>
      </c>
      <c r="L18" s="1">
        <v>1.1490275367664089</v>
      </c>
      <c r="M18" s="1">
        <v>0.86901623427161123</v>
      </c>
      <c r="O18" s="1">
        <v>1.0998515657748076E-3</v>
      </c>
      <c r="P18" s="1">
        <v>0.99935862568845624</v>
      </c>
      <c r="R18" s="1">
        <v>1.5119412095103427E-2</v>
      </c>
      <c r="S18" s="2">
        <f t="shared" si="7"/>
        <v>3.8711938518306899E-2</v>
      </c>
      <c r="T18" s="4">
        <f t="shared" si="0"/>
        <v>1.4986141838451734E-3</v>
      </c>
      <c r="U18" s="1">
        <f t="shared" si="1"/>
        <v>6.5019737585103599E-6</v>
      </c>
      <c r="V18" s="6">
        <f>2*sigma/alpha*corel*(B18/12-1/alpha*(1-EXP(-alpha*Output!B18/12)))</f>
        <v>8.4411634900290189E-4</v>
      </c>
      <c r="W18" s="5">
        <f t="shared" si="10"/>
        <v>-1.492112210086663E-3</v>
      </c>
      <c r="X18" s="1">
        <f t="shared" si="8"/>
        <v>3.4823076892795341E-3</v>
      </c>
      <c r="Y18" s="3">
        <f t="shared" si="11"/>
        <v>4.9857398333949414E-2</v>
      </c>
      <c r="Z18" s="1">
        <f t="shared" si="2"/>
        <v>5.0685825302462281E-2</v>
      </c>
      <c r="AA18" s="8">
        <f t="shared" si="9"/>
        <v>0.49999999999999994</v>
      </c>
      <c r="AB18" s="1">
        <v>0.58330000000000004</v>
      </c>
      <c r="AC18">
        <v>1.1000000000000001E-3</v>
      </c>
      <c r="AD18" s="8">
        <f t="shared" si="3"/>
        <v>1.4843422519242311E-3</v>
      </c>
      <c r="AE18" s="3">
        <f t="shared" si="4"/>
        <v>1.3494020472038464E-4</v>
      </c>
      <c r="AF18" s="11">
        <f t="shared" si="5"/>
        <v>0.49999999999999994</v>
      </c>
      <c r="AG18" s="1">
        <f t="shared" si="6"/>
        <v>5.0685825302462281E-2</v>
      </c>
    </row>
    <row r="19" spans="2:33" ht="15" x14ac:dyDescent="0.25">
      <c r="B19" s="1">
        <v>8</v>
      </c>
      <c r="C19" s="1">
        <v>0.9992672590438908</v>
      </c>
      <c r="D19" s="1">
        <v>1.0113677737772564</v>
      </c>
      <c r="E19" s="1">
        <v>0.98726429065060728</v>
      </c>
      <c r="G19" s="1">
        <v>0.9992672590438908</v>
      </c>
      <c r="H19" s="1">
        <v>1.0113677737772564</v>
      </c>
      <c r="I19" s="1">
        <v>0.98726429065060728</v>
      </c>
      <c r="K19" s="1">
        <v>0.99998560144307447</v>
      </c>
      <c r="L19" s="1">
        <v>1.1824049537497143</v>
      </c>
      <c r="M19" s="1">
        <v>0.8442924552433424</v>
      </c>
      <c r="O19" s="1">
        <v>1.0995143129612572E-3</v>
      </c>
      <c r="P19" s="1">
        <v>0.9992672590438908</v>
      </c>
      <c r="R19" s="1">
        <v>1.6126781578730685E-2</v>
      </c>
      <c r="S19" s="2">
        <f t="shared" si="7"/>
        <v>4.1353630967774765E-2</v>
      </c>
      <c r="T19" s="4">
        <f t="shared" si="0"/>
        <v>1.7101227942189002E-3</v>
      </c>
      <c r="U19" s="1">
        <f t="shared" si="1"/>
        <v>9.6814472794193307E-6</v>
      </c>
      <c r="V19" s="6">
        <f>2*sigma/alpha*corel*(B19/12-1/alpha*(1-EXP(-alpha*Output!B19/12)))</f>
        <v>1.1013000619114616E-3</v>
      </c>
      <c r="W19" s="5">
        <f t="shared" si="10"/>
        <v>-1.7004413469394809E-3</v>
      </c>
      <c r="X19" s="1">
        <f t="shared" si="8"/>
        <v>4.5357231203316485E-3</v>
      </c>
      <c r="Y19" s="3">
        <f t="shared" si="11"/>
        <v>4.9684858001404292E-2</v>
      </c>
      <c r="Z19" s="1">
        <f t="shared" si="2"/>
        <v>5.0647647441202537E-2</v>
      </c>
      <c r="AA19" s="8">
        <f t="shared" si="9"/>
        <v>0.58333333333333326</v>
      </c>
      <c r="AB19" s="1">
        <v>0.66669999999999996</v>
      </c>
      <c r="AC19">
        <v>1.1000066009999999E-3</v>
      </c>
      <c r="AD19" s="8">
        <f t="shared" si="3"/>
        <v>4.9228803874275424E-3</v>
      </c>
      <c r="AE19" s="3">
        <f t="shared" si="4"/>
        <v>4.4753189507701352E-4</v>
      </c>
      <c r="AF19" s="11">
        <f t="shared" si="5"/>
        <v>0.58333333333333326</v>
      </c>
      <c r="AG19" s="1">
        <f t="shared" si="6"/>
        <v>5.0647647441202537E-2</v>
      </c>
    </row>
    <row r="20" spans="2:33" ht="15" x14ac:dyDescent="0.25">
      <c r="B20" s="1">
        <v>9</v>
      </c>
      <c r="C20" s="1">
        <v>0.99917567325037304</v>
      </c>
      <c r="D20" s="1">
        <v>1.0132636207962227</v>
      </c>
      <c r="E20" s="1">
        <v>0.98522167487684742</v>
      </c>
      <c r="G20" s="1">
        <v>0.99917567325037304</v>
      </c>
      <c r="H20" s="1">
        <v>1.0132636207962227</v>
      </c>
      <c r="I20" s="1">
        <v>0.98522167487684742</v>
      </c>
      <c r="K20" s="1">
        <v>0.99997004303593384</v>
      </c>
      <c r="L20" s="1">
        <v>1.1960089043454754</v>
      </c>
      <c r="M20" s="1">
        <v>0.83455020990086282</v>
      </c>
      <c r="O20" s="1">
        <v>1.0995555916687497E-3</v>
      </c>
      <c r="P20" s="1">
        <v>0.99917567325037304</v>
      </c>
      <c r="R20" s="1">
        <v>1.7075498502623424E-2</v>
      </c>
      <c r="S20" s="2">
        <f t="shared" si="7"/>
        <v>4.3848723026010908E-2</v>
      </c>
      <c r="T20" s="4">
        <f t="shared" si="0"/>
        <v>1.9227105110118192E-3</v>
      </c>
      <c r="U20" s="1">
        <f t="shared" si="1"/>
        <v>1.3750476393958877E-5</v>
      </c>
      <c r="V20" s="6">
        <f>2*sigma/alpha*corel*(B20/12-1/alpha*(1-EXP(-alpha*Output!B20/12)))</f>
        <v>1.3922923390879832E-3</v>
      </c>
      <c r="W20" s="5">
        <f t="shared" si="10"/>
        <v>-1.9089600346178604E-3</v>
      </c>
      <c r="X20" s="1">
        <f t="shared" si="8"/>
        <v>5.7288185818110647E-3</v>
      </c>
      <c r="Y20" s="3">
        <f t="shared" si="11"/>
        <v>4.9531111403695649E-2</v>
      </c>
      <c r="Z20" s="1">
        <f t="shared" si="2"/>
        <v>5.063214408537748E-2</v>
      </c>
      <c r="AA20" s="8">
        <f t="shared" si="9"/>
        <v>0.66666666666666663</v>
      </c>
      <c r="AB20" s="1">
        <v>0.75</v>
      </c>
      <c r="AC20">
        <v>1.100015105E-3</v>
      </c>
      <c r="AD20" s="8">
        <f t="shared" si="3"/>
        <v>4.5951333125029969E-3</v>
      </c>
      <c r="AE20" s="3">
        <f t="shared" si="4"/>
        <v>4.177336558031171E-4</v>
      </c>
      <c r="AF20" s="11">
        <f t="shared" si="5"/>
        <v>0.66666666666666663</v>
      </c>
      <c r="AG20" s="1">
        <f t="shared" si="6"/>
        <v>5.063214408537748E-2</v>
      </c>
    </row>
    <row r="21" spans="2:33" ht="15" x14ac:dyDescent="0.25">
      <c r="B21" s="1">
        <v>10</v>
      </c>
      <c r="C21" s="1">
        <v>0.99908434652628131</v>
      </c>
      <c r="D21" s="1">
        <v>1.015517101307986</v>
      </c>
      <c r="E21" s="1">
        <v>0.98289758207194799</v>
      </c>
      <c r="G21" s="1">
        <v>0.99908434652628131</v>
      </c>
      <c r="H21" s="1">
        <v>1.015517101307986</v>
      </c>
      <c r="I21" s="1">
        <v>0.98289758207194799</v>
      </c>
      <c r="K21" s="1">
        <v>0.99996385776886632</v>
      </c>
      <c r="L21" s="1">
        <v>1.168082451434826</v>
      </c>
      <c r="M21" s="1">
        <v>0.85433068975504611</v>
      </c>
      <c r="O21" s="1">
        <v>1.0992875285251739E-3</v>
      </c>
      <c r="P21" s="1">
        <v>0.99908434652628131</v>
      </c>
      <c r="R21" s="1">
        <v>1.8101814432531949E-2</v>
      </c>
      <c r="S21" s="2">
        <f t="shared" si="7"/>
        <v>4.6538430558018401E-2</v>
      </c>
      <c r="T21" s="4">
        <f t="shared" si="0"/>
        <v>2.1658255188035007E-3</v>
      </c>
      <c r="U21" s="1">
        <f t="shared" si="1"/>
        <v>1.8815283650219783E-5</v>
      </c>
      <c r="V21" s="6">
        <f>2*sigma/alpha*corel*(B21/12-1/alpha*(1-EXP(-alpha*Output!B21/12)))</f>
        <v>1.7169806729351172E-3</v>
      </c>
      <c r="W21" s="5">
        <f t="shared" si="10"/>
        <v>-2.1470102351532809E-3</v>
      </c>
      <c r="X21" s="1">
        <f t="shared" si="8"/>
        <v>7.1596488064755021E-3</v>
      </c>
      <c r="Y21" s="3">
        <f t="shared" si="11"/>
        <v>4.9738636384007856E-2</v>
      </c>
      <c r="Z21" s="1">
        <f t="shared" si="2"/>
        <v>5.0980296415028825E-2</v>
      </c>
      <c r="AA21" s="8">
        <f t="shared" si="9"/>
        <v>0.75</v>
      </c>
      <c r="AB21" s="1">
        <v>0.83330000000000004</v>
      </c>
      <c r="AC21">
        <v>1.100022105E-3</v>
      </c>
      <c r="AD21" s="8">
        <f t="shared" si="3"/>
        <v>7.3457647482605588E-3</v>
      </c>
      <c r="AE21" s="3">
        <f t="shared" si="4"/>
        <v>6.6778337588593807E-4</v>
      </c>
      <c r="AF21" s="11">
        <f t="shared" si="5"/>
        <v>0.75</v>
      </c>
      <c r="AG21" s="1">
        <f t="shared" si="6"/>
        <v>5.0980296415028825E-2</v>
      </c>
    </row>
    <row r="22" spans="2:33" ht="15" x14ac:dyDescent="0.25">
      <c r="B22" s="1">
        <v>11</v>
      </c>
      <c r="C22" s="1">
        <v>0.99899331094361354</v>
      </c>
      <c r="D22" s="1">
        <v>1.0181847801739059</v>
      </c>
      <c r="E22" s="1">
        <v>0.98010389101244733</v>
      </c>
      <c r="G22" s="1">
        <v>0.99899331094361354</v>
      </c>
      <c r="H22" s="1">
        <v>1.0181847801739059</v>
      </c>
      <c r="I22" s="1">
        <v>0.98010389101244733</v>
      </c>
      <c r="K22" s="1">
        <v>0.99996990387760631</v>
      </c>
      <c r="L22" s="1">
        <v>1.1806371623898413</v>
      </c>
      <c r="M22" s="1">
        <v>0.84503097917155789</v>
      </c>
      <c r="O22" s="1">
        <v>1.0987593906968474E-3</v>
      </c>
      <c r="P22" s="1">
        <v>0.99899331094361354</v>
      </c>
      <c r="R22" s="1">
        <v>1.8906778316827393E-2</v>
      </c>
      <c r="S22" s="2">
        <f t="shared" si="7"/>
        <v>4.8672662183001522E-2</v>
      </c>
      <c r="T22" s="4">
        <f t="shared" si="0"/>
        <v>2.3690280439805866E-3</v>
      </c>
      <c r="U22" s="1">
        <f t="shared" si="1"/>
        <v>2.4981012649138989E-5</v>
      </c>
      <c r="V22" s="6">
        <f>2*sigma/alpha*corel*(B22/12-1/alpha*(1-EXP(-alpha*Output!B22/12)))</f>
        <v>2.0752529302563716E-3</v>
      </c>
      <c r="W22" s="5">
        <f t="shared" si="10"/>
        <v>-2.3440470313314476E-3</v>
      </c>
      <c r="X22" s="1">
        <f t="shared" si="8"/>
        <v>8.5991457896065111E-3</v>
      </c>
      <c r="Y22" s="3">
        <f t="shared" si="11"/>
        <v>4.9448905263572082E-2</v>
      </c>
      <c r="Z22" s="1">
        <f t="shared" si="2"/>
        <v>5.0836937651642662E-2</v>
      </c>
      <c r="AA22" s="8">
        <f t="shared" si="9"/>
        <v>0.83333333333333337</v>
      </c>
      <c r="AB22" s="1">
        <v>0.91669999999999996</v>
      </c>
      <c r="AC22">
        <v>1.1000241919999999E-3</v>
      </c>
      <c r="AD22" s="8">
        <f t="shared" si="3"/>
        <v>1.264801303152473E-2</v>
      </c>
      <c r="AE22" s="3">
        <f t="shared" si="4"/>
        <v>1.1497940793946404E-3</v>
      </c>
      <c r="AF22" s="11">
        <f t="shared" si="5"/>
        <v>0.83333333333333337</v>
      </c>
      <c r="AG22" s="1">
        <f t="shared" si="6"/>
        <v>5.0836937651642662E-2</v>
      </c>
    </row>
    <row r="23" spans="2:33" ht="15" x14ac:dyDescent="0.25">
      <c r="B23" s="1">
        <v>12</v>
      </c>
      <c r="C23" s="1">
        <v>0.99890116103440485</v>
      </c>
      <c r="D23" s="1">
        <v>1.0207935649173667</v>
      </c>
      <c r="E23" s="1">
        <v>0.97742156191965601</v>
      </c>
      <c r="G23" s="1">
        <v>0.99890116103440485</v>
      </c>
      <c r="H23" s="1">
        <v>1.0207935649173667</v>
      </c>
      <c r="I23" s="1">
        <v>0.97742156191965601</v>
      </c>
      <c r="K23" s="1">
        <v>0.99996877266654971</v>
      </c>
      <c r="L23" s="1">
        <v>1.200551338496793</v>
      </c>
      <c r="M23" s="1">
        <v>0.83083941817934848</v>
      </c>
      <c r="O23" s="1">
        <v>1.0994431317594055E-3</v>
      </c>
      <c r="P23" s="1">
        <v>0.99890116103440485</v>
      </c>
      <c r="R23" s="1">
        <v>1.9763412438685124E-2</v>
      </c>
      <c r="S23" s="2">
        <f t="shared" si="7"/>
        <v>5.0938161531685788E-2</v>
      </c>
      <c r="T23" s="4">
        <f t="shared" si="0"/>
        <v>2.5946963002281137E-3</v>
      </c>
      <c r="U23" s="1">
        <f t="shared" si="1"/>
        <v>3.2351736450664248E-5</v>
      </c>
      <c r="V23" s="6">
        <f>2*sigma/alpha*corel*(B23/12-1/alpha*(1-EXP(-alpha*Output!B23/12)))</f>
        <v>2.466997351009928E-3</v>
      </c>
      <c r="W23" s="5">
        <f t="shared" si="10"/>
        <v>-2.5623445637774495E-3</v>
      </c>
      <c r="X23" s="1">
        <f t="shared" si="8"/>
        <v>1.0255464331039688E-2</v>
      </c>
      <c r="Y23" s="3">
        <f t="shared" si="11"/>
        <v>4.9401134558674994E-2</v>
      </c>
      <c r="Z23" s="1">
        <f t="shared" si="2"/>
        <v>5.0938161531685788E-2</v>
      </c>
      <c r="AA23" s="8">
        <f t="shared" si="9"/>
        <v>0.91666666666666674</v>
      </c>
      <c r="AB23" s="1">
        <v>1</v>
      </c>
      <c r="AC23">
        <v>1.1000179600000001E-3</v>
      </c>
      <c r="AD23" s="8">
        <f t="shared" si="3"/>
        <v>5.7482824059452813E-3</v>
      </c>
      <c r="AE23" s="3">
        <f t="shared" si="4"/>
        <v>5.2256259579118881E-4</v>
      </c>
      <c r="AF23" s="11">
        <f t="shared" si="5"/>
        <v>0.91666666666666674</v>
      </c>
      <c r="AG23" s="1">
        <f t="shared" si="6"/>
        <v>5.0938161531685788E-2</v>
      </c>
    </row>
    <row r="24" spans="2:33" ht="15" x14ac:dyDescent="0.25">
      <c r="B24" s="1">
        <v>13</v>
      </c>
      <c r="C24" s="1">
        <v>0.99881017494343227</v>
      </c>
      <c r="D24" s="1">
        <v>1.0232272587741738</v>
      </c>
      <c r="E24" s="1">
        <v>0.9749439407234084</v>
      </c>
      <c r="G24" s="1">
        <v>0.99881017494343227</v>
      </c>
      <c r="H24" s="1">
        <v>1.0232272587741738</v>
      </c>
      <c r="I24" s="1">
        <v>0.9749439407234084</v>
      </c>
      <c r="K24" s="1">
        <v>0.99996726418043058</v>
      </c>
      <c r="L24" s="1">
        <v>1.1960616351699036</v>
      </c>
      <c r="M24" s="1">
        <v>0.83380737212207934</v>
      </c>
      <c r="O24" s="1">
        <v>1.0989539634219964E-3</v>
      </c>
      <c r="P24" s="1">
        <v>0.99881017494343227</v>
      </c>
      <c r="R24" s="1">
        <v>2.0734524040420466E-2</v>
      </c>
      <c r="S24" s="2">
        <f t="shared" si="7"/>
        <v>5.3489728357985863E-2</v>
      </c>
      <c r="T24" s="4">
        <f t="shared" si="0"/>
        <v>2.8611510398111172E-3</v>
      </c>
      <c r="U24" s="1">
        <f t="shared" si="1"/>
        <v>4.1030465927072157E-5</v>
      </c>
      <c r="V24" s="6">
        <f>2*sigma/alpha*corel*(B24/12-1/alpha*(1-EXP(-alpha*Output!B24/12)))</f>
        <v>2.8921025470685646E-3</v>
      </c>
      <c r="W24" s="5">
        <f t="shared" si="10"/>
        <v>-2.8201205738840451E-3</v>
      </c>
      <c r="X24" s="1">
        <f t="shared" si="8"/>
        <v>1.2228886743973624E-2</v>
      </c>
      <c r="Y24" s="3">
        <f t="shared" si="11"/>
        <v>4.9704089749571544E-2</v>
      </c>
      <c r="Z24" s="1">
        <f t="shared" si="2"/>
        <v>5.1391268696999351E-2</v>
      </c>
      <c r="AA24" s="8">
        <f t="shared" si="9"/>
        <v>1</v>
      </c>
      <c r="AB24" s="1">
        <v>1.083</v>
      </c>
      <c r="AC24">
        <v>1.1003025E-3</v>
      </c>
      <c r="AD24" s="8">
        <f t="shared" si="3"/>
        <v>1.3485365780035747E-2</v>
      </c>
      <c r="AE24" s="3">
        <f t="shared" si="4"/>
        <v>1.2256053021815134E-3</v>
      </c>
      <c r="AF24" s="11">
        <f t="shared" si="5"/>
        <v>1</v>
      </c>
      <c r="AG24" s="1">
        <f t="shared" si="6"/>
        <v>5.1391268696999351E-2</v>
      </c>
    </row>
    <row r="25" spans="2:33" ht="15" x14ac:dyDescent="0.25">
      <c r="B25" s="1">
        <v>14</v>
      </c>
      <c r="C25" s="1">
        <v>0.99871776994382089</v>
      </c>
      <c r="D25" s="1">
        <v>1.0264832683227263</v>
      </c>
      <c r="E25" s="1">
        <v>0.97162844928099501</v>
      </c>
      <c r="G25" s="1">
        <v>0.99871776994382089</v>
      </c>
      <c r="H25" s="1">
        <v>1.0264832683227263</v>
      </c>
      <c r="I25" s="1">
        <v>0.97162844928099501</v>
      </c>
      <c r="K25" s="1">
        <v>0.99995666138189077</v>
      </c>
      <c r="L25" s="1">
        <v>1.1955767303726925</v>
      </c>
      <c r="M25" s="1">
        <v>0.83401545044436398</v>
      </c>
      <c r="O25" s="1">
        <v>1.0997595570212816E-3</v>
      </c>
      <c r="P25" s="1">
        <v>0.99871776994382089</v>
      </c>
      <c r="R25" s="1">
        <v>2.1623508054963769E-2</v>
      </c>
      <c r="S25" s="2">
        <f t="shared" si="7"/>
        <v>5.5837251600800317E-2</v>
      </c>
      <c r="T25" s="4">
        <f t="shared" si="0"/>
        <v>3.1177986663310777E-3</v>
      </c>
      <c r="U25" s="1">
        <f t="shared" si="1"/>
        <v>5.1119158052781444E-5</v>
      </c>
      <c r="V25" s="6">
        <f>2*sigma/alpha*corel*(B25/12-1/alpha*(1-EXP(-alpha*Output!B25/12)))</f>
        <v>3.3504575009790927E-3</v>
      </c>
      <c r="W25" s="5">
        <f t="shared" si="10"/>
        <v>-3.0666795082782963E-3</v>
      </c>
      <c r="X25" s="1">
        <f t="shared" si="8"/>
        <v>1.4322396604097915E-2</v>
      </c>
      <c r="Y25" s="3">
        <f t="shared" si="11"/>
        <v>4.9853896370695594E-2</v>
      </c>
      <c r="Z25" s="1">
        <f t="shared" si="2"/>
        <v>5.1695249848078002E-2</v>
      </c>
      <c r="AA25" s="8">
        <f t="shared" si="9"/>
        <v>1.0833333333333333</v>
      </c>
      <c r="AB25" s="1">
        <v>1.167</v>
      </c>
      <c r="AC25">
        <v>1.1005112990000001E-3</v>
      </c>
      <c r="AD25" s="8">
        <f t="shared" si="3"/>
        <v>7.5174197871849015E-3</v>
      </c>
      <c r="AE25" s="3">
        <f t="shared" si="4"/>
        <v>6.8308428945852207E-4</v>
      </c>
      <c r="AF25" s="11">
        <f t="shared" si="5"/>
        <v>1.0833333333333333</v>
      </c>
      <c r="AG25" s="1">
        <f t="shared" si="6"/>
        <v>5.1695249848078002E-2</v>
      </c>
    </row>
    <row r="26" spans="2:33" ht="15" x14ac:dyDescent="0.25">
      <c r="B26" s="1">
        <v>15</v>
      </c>
      <c r="C26" s="1">
        <v>0.99862689151782358</v>
      </c>
      <c r="D26" s="1">
        <v>1.0301737903184267</v>
      </c>
      <c r="E26" s="1">
        <v>0.96796050721130589</v>
      </c>
      <c r="G26" s="1">
        <v>0.99862689151782358</v>
      </c>
      <c r="H26" s="1">
        <v>1.0301737903184267</v>
      </c>
      <c r="I26" s="1">
        <v>0.96796050721130589</v>
      </c>
      <c r="K26" s="1">
        <v>0.99997534145745304</v>
      </c>
      <c r="L26" s="1">
        <v>1.2078128216687074</v>
      </c>
      <c r="M26" s="1">
        <v>0.82532653797949995</v>
      </c>
      <c r="O26" s="1">
        <v>1.0992416475865958E-3</v>
      </c>
      <c r="P26" s="1">
        <v>0.99862689151782358</v>
      </c>
      <c r="R26" s="1">
        <v>2.2577366684588294E-2</v>
      </c>
      <c r="S26" s="2">
        <f t="shared" si="7"/>
        <v>5.8345959704786954E-2</v>
      </c>
      <c r="T26" s="4">
        <f t="shared" si="0"/>
        <v>3.4042510138726227E-3</v>
      </c>
      <c r="U26" s="1">
        <f t="shared" si="1"/>
        <v>6.2718724137766912E-5</v>
      </c>
      <c r="V26" s="6">
        <f>2*sigma/alpha*corel*(B26/12-1/alpha*(1-EXP(-alpha*Output!B26/12)))</f>
        <v>3.8419515647312996E-3</v>
      </c>
      <c r="W26" s="5">
        <f t="shared" si="10"/>
        <v>-3.3415322897348558E-3</v>
      </c>
      <c r="X26" s="1">
        <f t="shared" si="8"/>
        <v>1.6722422040500021E-2</v>
      </c>
      <c r="Y26" s="3">
        <f t="shared" si="11"/>
        <v>5.0189301059075694E-2</v>
      </c>
      <c r="Z26" s="1">
        <f t="shared" si="2"/>
        <v>5.2186212844946872E-2</v>
      </c>
      <c r="AA26" s="8">
        <f t="shared" si="9"/>
        <v>1.1666666666666665</v>
      </c>
      <c r="AB26" s="1">
        <v>1.25</v>
      </c>
      <c r="AC26">
        <v>1.1005600679999999E-3</v>
      </c>
      <c r="AD26" s="8">
        <f t="shared" si="3"/>
        <v>1.318420413404112E-2</v>
      </c>
      <c r="AE26" s="3">
        <f t="shared" si="4"/>
        <v>1.1979540706033613E-3</v>
      </c>
      <c r="AF26" s="11">
        <f t="shared" si="5"/>
        <v>1.1666666666666665</v>
      </c>
      <c r="AG26" s="1">
        <f t="shared" si="6"/>
        <v>5.2186212844946872E-2</v>
      </c>
    </row>
    <row r="27" spans="2:33" ht="15" x14ac:dyDescent="0.25">
      <c r="B27" s="1">
        <v>16</v>
      </c>
      <c r="C27" s="1">
        <v>0.99853580043003476</v>
      </c>
      <c r="D27" s="1">
        <v>1.0341903323887729</v>
      </c>
      <c r="E27" s="1">
        <v>0.9640412609659692</v>
      </c>
      <c r="G27" s="1">
        <v>0.99853580043003476</v>
      </c>
      <c r="H27" s="1">
        <v>1.0341903323887729</v>
      </c>
      <c r="I27" s="1">
        <v>0.9640412609659692</v>
      </c>
      <c r="K27" s="1">
        <v>0.99996801883145714</v>
      </c>
      <c r="L27" s="1">
        <v>1.2238402044284133</v>
      </c>
      <c r="M27" s="1">
        <v>0.81440160340900725</v>
      </c>
      <c r="O27" s="1">
        <v>1.0989544182466735E-3</v>
      </c>
      <c r="P27" s="1">
        <v>0.99853580043003476</v>
      </c>
      <c r="R27" s="1">
        <v>2.33008961132544E-2</v>
      </c>
      <c r="S27" s="2">
        <f t="shared" si="7"/>
        <v>6.0277034727697423E-2</v>
      </c>
      <c r="T27" s="4">
        <f t="shared" si="0"/>
        <v>3.633320915564041E-3</v>
      </c>
      <c r="U27" s="1">
        <f t="shared" si="1"/>
        <v>7.5929038000133176E-5</v>
      </c>
      <c r="V27" s="6">
        <f>2*sigma/alpha*corel*(B27/12-1/alpha*(1-EXP(-alpha*Output!B27/12)))</f>
        <v>4.3664744585277249E-3</v>
      </c>
      <c r="W27" s="5">
        <f t="shared" si="10"/>
        <v>-3.5573918775639079E-3</v>
      </c>
      <c r="X27" s="1">
        <f t="shared" si="8"/>
        <v>1.8991822779537818E-2</v>
      </c>
      <c r="Y27" s="3">
        <f t="shared" si="11"/>
        <v>5.0041630490261071E-2</v>
      </c>
      <c r="Z27" s="1">
        <f t="shared" si="2"/>
        <v>5.2201443338982793E-2</v>
      </c>
      <c r="AA27" s="8">
        <f t="shared" si="9"/>
        <v>1.2499999999999998</v>
      </c>
      <c r="AB27" s="1">
        <v>1.333</v>
      </c>
      <c r="AC27">
        <v>1.10049375E-3</v>
      </c>
      <c r="AD27" s="8">
        <f t="shared" si="3"/>
        <v>1.5393317533264703E-2</v>
      </c>
      <c r="AE27" s="3">
        <f t="shared" si="4"/>
        <v>1.3987646484375494E-3</v>
      </c>
      <c r="AF27" s="11">
        <f t="shared" si="5"/>
        <v>1.2499999999999998</v>
      </c>
      <c r="AG27" s="1">
        <f t="shared" si="6"/>
        <v>5.2201443338982793E-2</v>
      </c>
    </row>
    <row r="28" spans="2:33" ht="15" x14ac:dyDescent="0.25">
      <c r="B28" s="1">
        <v>17</v>
      </c>
      <c r="C28" s="1">
        <v>0.99844474266494143</v>
      </c>
      <c r="D28" s="1">
        <v>1.0377750103777501</v>
      </c>
      <c r="E28" s="1">
        <v>0.96052252425319384</v>
      </c>
      <c r="G28" s="1">
        <v>0.99844474266494143</v>
      </c>
      <c r="H28" s="1">
        <v>1.0377750103777501</v>
      </c>
      <c r="I28" s="1">
        <v>0.96052252425319384</v>
      </c>
      <c r="K28" s="1">
        <v>0.99996557522808527</v>
      </c>
      <c r="L28" s="1">
        <v>1.2453835978271066</v>
      </c>
      <c r="M28" s="1">
        <v>0.80009336111846363</v>
      </c>
      <c r="O28" s="1">
        <v>1.0986832963605885E-3</v>
      </c>
      <c r="P28" s="1">
        <v>0.99844474266494143</v>
      </c>
      <c r="R28" s="1">
        <v>2.4070533685940188E-2</v>
      </c>
      <c r="S28" s="2">
        <f t="shared" si="7"/>
        <v>6.2324025103843203E-2</v>
      </c>
      <c r="T28" s="4">
        <f t="shared" si="0"/>
        <v>3.8842841051444778E-3</v>
      </c>
      <c r="U28" s="1">
        <f t="shared" si="1"/>
        <v>9.0848944079624516E-5</v>
      </c>
      <c r="V28" s="6">
        <f>2*sigma/alpha*corel*(B28/12-1/alpha*(1-EXP(-alpha*Output!B28/12)))</f>
        <v>4.9239162695575989E-3</v>
      </c>
      <c r="W28" s="5">
        <f t="shared" si="10"/>
        <v>-3.7934351610648532E-3</v>
      </c>
      <c r="X28" s="1">
        <f t="shared" si="8"/>
        <v>2.1520377530797115E-2</v>
      </c>
      <c r="Y28" s="3">
        <f t="shared" si="11"/>
        <v>5.0038001316321502E-2</v>
      </c>
      <c r="Z28" s="1">
        <f t="shared" si="2"/>
        <v>5.2362654665624009E-2</v>
      </c>
      <c r="AA28" s="8">
        <f t="shared" si="9"/>
        <v>1.333333333333333</v>
      </c>
      <c r="AB28" s="1">
        <v>1.417</v>
      </c>
      <c r="AC28">
        <v>1.1003572870000001E-3</v>
      </c>
      <c r="AD28" s="8">
        <f t="shared" si="3"/>
        <v>1.6739906394116436E-2</v>
      </c>
      <c r="AE28" s="3">
        <f t="shared" si="4"/>
        <v>1.5213155392241643E-3</v>
      </c>
      <c r="AF28" s="11">
        <f t="shared" si="5"/>
        <v>1.333333333333333</v>
      </c>
      <c r="AG28" s="1">
        <f t="shared" si="6"/>
        <v>5.2362654665624009E-2</v>
      </c>
    </row>
    <row r="29" spans="2:33" ht="15" x14ac:dyDescent="0.25">
      <c r="B29" s="1">
        <v>18</v>
      </c>
      <c r="C29" s="1">
        <v>0.99835382665498051</v>
      </c>
      <c r="D29" s="1">
        <v>1.0414388519178097</v>
      </c>
      <c r="E29" s="1">
        <v>0.95693779904306231</v>
      </c>
      <c r="G29" s="1">
        <v>0.99835382665498051</v>
      </c>
      <c r="H29" s="1">
        <v>1.0414388519178097</v>
      </c>
      <c r="I29" s="1">
        <v>0.95693779904306231</v>
      </c>
      <c r="K29" s="1">
        <v>0.99993738344054439</v>
      </c>
      <c r="L29" s="1">
        <v>1.2635586284052276</v>
      </c>
      <c r="M29" s="1">
        <v>0.78844977655514381</v>
      </c>
      <c r="O29" s="1">
        <v>1.0983531847865195E-3</v>
      </c>
      <c r="P29" s="1">
        <v>0.99835382665498051</v>
      </c>
      <c r="R29" s="1">
        <v>2.4523839624450643E-2</v>
      </c>
      <c r="S29" s="2">
        <f t="shared" si="7"/>
        <v>6.3576818051152173E-2</v>
      </c>
      <c r="T29" s="4">
        <f t="shared" si="0"/>
        <v>4.0420117935093085E-3</v>
      </c>
      <c r="U29" s="1">
        <f t="shared" si="1"/>
        <v>1.0757626549784405E-4</v>
      </c>
      <c r="V29" s="6">
        <f>2*sigma/alpha*corel*(B29/12-1/alpha*(1-EXP(-alpha*Output!B29/12)))</f>
        <v>5.5141674507772631E-3</v>
      </c>
      <c r="W29" s="5">
        <f t="shared" si="10"/>
        <v>-3.9344355280114644E-3</v>
      </c>
      <c r="X29" s="1">
        <f t="shared" si="8"/>
        <v>2.3637019210744001E-2</v>
      </c>
      <c r="Y29" s="3">
        <f t="shared" si="11"/>
        <v>4.9409729187505844E-2</v>
      </c>
      <c r="Z29" s="1">
        <f t="shared" si="2"/>
        <v>5.1910254565029887E-2</v>
      </c>
      <c r="AA29" s="8">
        <f t="shared" si="9"/>
        <v>1.4166666666666663</v>
      </c>
      <c r="AB29" s="1">
        <v>1.5</v>
      </c>
      <c r="AC29">
        <v>1.1001956219999999E-3</v>
      </c>
      <c r="AD29" s="8">
        <f t="shared" si="3"/>
        <v>1.8424372134804266E-2</v>
      </c>
      <c r="AE29" s="3">
        <f t="shared" si="4"/>
        <v>1.6746451055050886E-3</v>
      </c>
      <c r="AF29" s="11">
        <f t="shared" si="5"/>
        <v>1.4166666666666663</v>
      </c>
      <c r="AG29" s="1">
        <f t="shared" si="6"/>
        <v>5.1910254565029887E-2</v>
      </c>
    </row>
    <row r="30" spans="2:33" ht="15" x14ac:dyDescent="0.25">
      <c r="B30" s="1">
        <v>19</v>
      </c>
      <c r="C30" s="1">
        <v>0.99826321484146296</v>
      </c>
      <c r="D30" s="1">
        <v>1.0452160461567406</v>
      </c>
      <c r="E30" s="1">
        <v>0.95328884652049573</v>
      </c>
      <c r="G30" s="1">
        <v>0.99826321484146296</v>
      </c>
      <c r="H30" s="1">
        <v>1.0452160461567406</v>
      </c>
      <c r="I30" s="1">
        <v>0.95328884652049573</v>
      </c>
      <c r="K30" s="1">
        <v>0.99995258268271792</v>
      </c>
      <c r="L30" s="1">
        <v>1.2463793988220351</v>
      </c>
      <c r="M30" s="1">
        <v>0.79918588190744888</v>
      </c>
      <c r="O30" s="1">
        <v>1.0978706011269962E-3</v>
      </c>
      <c r="P30" s="1">
        <v>0.99826321484146296</v>
      </c>
      <c r="R30" s="1">
        <v>2.5469501820706029E-2</v>
      </c>
      <c r="S30" s="2">
        <f t="shared" si="7"/>
        <v>6.6065630937100439E-2</v>
      </c>
      <c r="T30" s="4">
        <f t="shared" si="0"/>
        <v>4.3646675911171631E-3</v>
      </c>
      <c r="U30" s="1">
        <f t="shared" si="1"/>
        <v>1.2620781205407994E-4</v>
      </c>
      <c r="V30" s="6">
        <f>2*sigma/alpha*corel*(B30/12-1/alpha*(1-EXP(-alpha*Output!B30/12)))</f>
        <v>6.1371188196906179E-3</v>
      </c>
      <c r="W30" s="5">
        <f t="shared" si="10"/>
        <v>-4.2384597790630831E-3</v>
      </c>
      <c r="X30" s="1">
        <f t="shared" si="8"/>
        <v>2.6881242828139858E-2</v>
      </c>
      <c r="Y30" s="3">
        <f t="shared" si="11"/>
        <v>4.9837226409340601E-2</v>
      </c>
      <c r="Z30" s="1">
        <f t="shared" si="2"/>
        <v>5.2503639519664157E-2</v>
      </c>
      <c r="AA30" s="8">
        <f t="shared" si="9"/>
        <v>1.4999999999999996</v>
      </c>
      <c r="AB30" s="1">
        <v>1.583</v>
      </c>
      <c r="AC30">
        <v>1.100053697E-3</v>
      </c>
      <c r="AD30" s="8">
        <f t="shared" si="3"/>
        <v>2.183095873003766E-2</v>
      </c>
      <c r="AE30" s="3">
        <f t="shared" si="4"/>
        <v>1.9845357358076006E-3</v>
      </c>
      <c r="AF30" s="11">
        <f t="shared" si="5"/>
        <v>1.4999999999999996</v>
      </c>
      <c r="AG30" s="1">
        <f t="shared" si="6"/>
        <v>5.2503639519664157E-2</v>
      </c>
    </row>
    <row r="31" spans="2:33" ht="15" x14ac:dyDescent="0.25">
      <c r="B31" s="1">
        <v>20</v>
      </c>
      <c r="C31" s="1">
        <v>0.99817193252201886</v>
      </c>
      <c r="D31" s="1">
        <v>1.0486577181208054</v>
      </c>
      <c r="E31" s="1">
        <v>0.94993825401348919</v>
      </c>
      <c r="G31" s="1">
        <v>0.99817193252201886</v>
      </c>
      <c r="H31" s="1">
        <v>1.0486577181208054</v>
      </c>
      <c r="I31" s="1">
        <v>0.94993825401348919</v>
      </c>
      <c r="K31" s="1">
        <v>0.99994854570263469</v>
      </c>
      <c r="L31" s="1">
        <v>1.2537375403357085</v>
      </c>
      <c r="M31" s="1">
        <v>0.79429177069687773</v>
      </c>
      <c r="O31" s="1">
        <v>1.0978442594959358E-3</v>
      </c>
      <c r="P31" s="1">
        <v>0.99817193252201886</v>
      </c>
      <c r="R31" s="1">
        <v>2.6148127602834779E-2</v>
      </c>
      <c r="S31" s="2">
        <f t="shared" si="7"/>
        <v>6.788500808118339E-2</v>
      </c>
      <c r="T31" s="4">
        <f t="shared" si="0"/>
        <v>4.6083743221823339E-3</v>
      </c>
      <c r="U31" s="1">
        <f t="shared" si="1"/>
        <v>1.4683938816961728E-4</v>
      </c>
      <c r="V31" s="6">
        <f>2*sigma/alpha*corel*(B31/12-1/alpha*(1-EXP(-alpha*Output!B31/12)))</f>
        <v>6.792661557138896E-3</v>
      </c>
      <c r="W31" s="5">
        <f t="shared" si="10"/>
        <v>-4.4615349340127166E-3</v>
      </c>
      <c r="X31" s="1">
        <f t="shared" si="8"/>
        <v>2.9789706477781279E-2</v>
      </c>
      <c r="Y31" s="3">
        <f t="shared" si="11"/>
        <v>4.9741285949254838E-2</v>
      </c>
      <c r="Z31" s="1">
        <f t="shared" si="2"/>
        <v>5.258350115111584E-2</v>
      </c>
      <c r="AA31" s="8">
        <f t="shared" si="9"/>
        <v>1.5833333333333328</v>
      </c>
      <c r="AB31" s="1">
        <v>1.667</v>
      </c>
      <c r="AC31">
        <v>1.0999679780000001E-3</v>
      </c>
      <c r="AD31" s="8">
        <f t="shared" si="3"/>
        <v>2.1237185040643303E-2</v>
      </c>
      <c r="AE31" s="3">
        <f t="shared" si="4"/>
        <v>1.9307093902185669E-3</v>
      </c>
      <c r="AF31" s="11">
        <f t="shared" si="5"/>
        <v>1.5833333333333328</v>
      </c>
      <c r="AG31" s="1">
        <f t="shared" si="6"/>
        <v>5.258350115111584E-2</v>
      </c>
    </row>
    <row r="32" spans="2:33" ht="15" x14ac:dyDescent="0.25">
      <c r="B32" s="1">
        <v>21</v>
      </c>
      <c r="C32" s="1">
        <v>0.9980803671450007</v>
      </c>
      <c r="D32" s="1">
        <v>1.0520889225557344</v>
      </c>
      <c r="E32" s="1">
        <v>0.94670074789359082</v>
      </c>
      <c r="G32" s="1">
        <v>0.9980803671450007</v>
      </c>
      <c r="H32" s="1">
        <v>1.0520889225557344</v>
      </c>
      <c r="I32" s="1">
        <v>0.94670074789359082</v>
      </c>
      <c r="K32" s="1">
        <v>0.99996062880779968</v>
      </c>
      <c r="L32" s="1">
        <v>1.270165897632703</v>
      </c>
      <c r="M32" s="1">
        <v>0.78382978942831993</v>
      </c>
      <c r="O32" s="1">
        <v>1.0979872637092115E-3</v>
      </c>
      <c r="P32" s="1">
        <v>0.9980803671450007</v>
      </c>
      <c r="R32" s="1">
        <v>2.689865208343125E-2</v>
      </c>
      <c r="S32" s="2">
        <f t="shared" si="7"/>
        <v>6.9885512778172842E-2</v>
      </c>
      <c r="T32" s="4">
        <f t="shared" si="0"/>
        <v>4.8839848962681596E-3</v>
      </c>
      <c r="U32" s="1">
        <f t="shared" si="1"/>
        <v>1.6956580077120975E-4</v>
      </c>
      <c r="V32" s="6">
        <f>2*sigma/alpha*corel*(B32/12-1/alpha*(1-EXP(-alpha*Output!B32/12)))</f>
        <v>7.4806872060883545E-3</v>
      </c>
      <c r="W32" s="5">
        <f t="shared" si="10"/>
        <v>-4.7144190954969498E-3</v>
      </c>
      <c r="X32" s="1">
        <f t="shared" si="8"/>
        <v>3.3056894349553986E-2</v>
      </c>
      <c r="Y32" s="3">
        <f t="shared" si="11"/>
        <v>4.9809960898638081E-2</v>
      </c>
      <c r="Z32" s="1">
        <f t="shared" si="2"/>
        <v>5.2828482016363427E-2</v>
      </c>
      <c r="AA32" s="8">
        <f t="shared" si="9"/>
        <v>1.6666666666666661</v>
      </c>
      <c r="AB32" s="1">
        <v>1.75</v>
      </c>
      <c r="AC32">
        <v>1.099941026E-3</v>
      </c>
      <c r="AD32" s="8">
        <f t="shared" si="3"/>
        <v>1.9537622907885022E-2</v>
      </c>
      <c r="AE32" s="3">
        <f t="shared" si="4"/>
        <v>1.7762427662994561E-3</v>
      </c>
      <c r="AF32" s="11">
        <f t="shared" si="5"/>
        <v>1.6666666666666661</v>
      </c>
      <c r="AG32" s="1">
        <f t="shared" si="6"/>
        <v>5.2828482016363427E-2</v>
      </c>
    </row>
    <row r="33" spans="2:33" ht="15" x14ac:dyDescent="0.25">
      <c r="B33" s="1">
        <v>22</v>
      </c>
      <c r="C33" s="1">
        <v>0.99798906984702174</v>
      </c>
      <c r="D33" s="1">
        <v>1.055353279510316</v>
      </c>
      <c r="E33" s="1">
        <v>0.94357425929420635</v>
      </c>
      <c r="G33" s="1">
        <v>0.99798906984702174</v>
      </c>
      <c r="H33" s="1">
        <v>1.055353279510316</v>
      </c>
      <c r="I33" s="1">
        <v>0.94357425929420635</v>
      </c>
      <c r="K33" s="1">
        <v>0.99996568786671758</v>
      </c>
      <c r="L33" s="1">
        <v>1.3051891618303266</v>
      </c>
      <c r="M33" s="1">
        <v>0.76269602589340801</v>
      </c>
      <c r="O33" s="1">
        <v>1.0979753387671313E-3</v>
      </c>
      <c r="P33" s="1">
        <v>0.99798906984702174</v>
      </c>
      <c r="R33" s="1">
        <v>2.7593031105302413E-2</v>
      </c>
      <c r="S33" s="2">
        <f t="shared" si="7"/>
        <v>7.1744889724963984E-2</v>
      </c>
      <c r="T33" s="4">
        <f t="shared" si="0"/>
        <v>5.1473292016472423E-3</v>
      </c>
      <c r="U33" s="1">
        <f t="shared" si="1"/>
        <v>1.9448086712259283E-4</v>
      </c>
      <c r="V33" s="6">
        <f>2*sigma/alpha*corel*(B33/12-1/alpha*(1-EXP(-alpha*Output!B33/12)))</f>
        <v>8.2010876704277924E-3</v>
      </c>
      <c r="W33" s="5">
        <f t="shared" si="10"/>
        <v>-4.9528483345246494E-3</v>
      </c>
      <c r="X33" s="1">
        <f t="shared" si="8"/>
        <v>3.6388145625492134E-2</v>
      </c>
      <c r="Y33" s="3">
        <f t="shared" si="11"/>
        <v>4.9787913594695234E-2</v>
      </c>
      <c r="Z33" s="1">
        <f t="shared" si="2"/>
        <v>5.2987112678361759E-2</v>
      </c>
      <c r="AA33" s="8">
        <f t="shared" si="9"/>
        <v>1.7499999999999993</v>
      </c>
      <c r="AB33" s="1">
        <v>1.833</v>
      </c>
      <c r="AC33">
        <v>1.0999669279999999E-3</v>
      </c>
      <c r="AD33" s="8">
        <f t="shared" si="3"/>
        <v>1.9915892328686759E-2</v>
      </c>
      <c r="AE33" s="3">
        <f t="shared" si="4"/>
        <v>1.8105901024586767E-3</v>
      </c>
      <c r="AF33" s="11">
        <f t="shared" si="5"/>
        <v>1.7499999999999993</v>
      </c>
      <c r="AG33" s="1">
        <f t="shared" si="6"/>
        <v>5.2987112678361759E-2</v>
      </c>
    </row>
    <row r="34" spans="2:33" ht="15" x14ac:dyDescent="0.25">
      <c r="B34" s="1">
        <v>23</v>
      </c>
      <c r="C34" s="1">
        <v>0.99789773296140505</v>
      </c>
      <c r="D34" s="1">
        <v>1.0588173010746995</v>
      </c>
      <c r="E34" s="1">
        <v>0.94029149036201232</v>
      </c>
      <c r="G34" s="1">
        <v>0.99789773296140505</v>
      </c>
      <c r="H34" s="1">
        <v>1.0588173010746995</v>
      </c>
      <c r="I34" s="1">
        <v>0.94029149036201232</v>
      </c>
      <c r="K34" s="1">
        <v>0.99995980274176777</v>
      </c>
      <c r="L34" s="1">
        <v>1.2935125329059358</v>
      </c>
      <c r="M34" s="1">
        <v>0.76939578165104616</v>
      </c>
      <c r="O34" s="1">
        <v>1.0979895150498005E-3</v>
      </c>
      <c r="P34" s="1">
        <v>0.99789773296140505</v>
      </c>
      <c r="R34" s="1">
        <v>2.8270999425304047E-2</v>
      </c>
      <c r="S34" s="2">
        <f t="shared" si="7"/>
        <v>7.356330391524149E-2</v>
      </c>
      <c r="T34" s="4">
        <f t="shared" si="0"/>
        <v>5.4115596829261842E-3</v>
      </c>
      <c r="U34" s="1">
        <f t="shared" si="1"/>
        <v>2.2167742259426859E-4</v>
      </c>
      <c r="V34" s="6">
        <f>2*sigma/alpha*corel*(B34/12-1/alpha*(1-EXP(-alpha*Output!B34/12)))</f>
        <v>8.9537552137662901E-3</v>
      </c>
      <c r="W34" s="5">
        <f t="shared" si="10"/>
        <v>-5.1898822603319156E-3</v>
      </c>
      <c r="X34" s="1">
        <f t="shared" si="8"/>
        <v>3.9869267061639402E-2</v>
      </c>
      <c r="Y34" s="3">
        <f t="shared" si="11"/>
        <v>4.9752820422934579E-2</v>
      </c>
      <c r="Z34" s="1">
        <f t="shared" si="2"/>
        <v>5.3135886585864309E-2</v>
      </c>
      <c r="AA34" s="8">
        <f t="shared" si="9"/>
        <v>1.8333333333333326</v>
      </c>
      <c r="AB34" s="1">
        <v>1.917</v>
      </c>
      <c r="AC34">
        <v>1.1000397680000001E-3</v>
      </c>
      <c r="AD34" s="8">
        <f t="shared" si="3"/>
        <v>2.0502529501996002E-2</v>
      </c>
      <c r="AE34" s="3">
        <f t="shared" si="4"/>
        <v>1.8637989369486142E-3</v>
      </c>
      <c r="AF34" s="11">
        <f t="shared" si="5"/>
        <v>1.8333333333333326</v>
      </c>
      <c r="AG34" s="1">
        <f t="shared" si="6"/>
        <v>5.3135886585864309E-2</v>
      </c>
    </row>
    <row r="35" spans="2:33" ht="15" x14ac:dyDescent="0.25">
      <c r="B35" s="1">
        <v>24</v>
      </c>
      <c r="C35" s="1">
        <v>0.9978068863748043</v>
      </c>
      <c r="D35" s="1">
        <v>1.0622928528936857</v>
      </c>
      <c r="E35" s="1">
        <v>0.93703148425787108</v>
      </c>
      <c r="G35" s="1">
        <v>0.9978068863748043</v>
      </c>
      <c r="H35" s="1">
        <v>1.0622928528936857</v>
      </c>
      <c r="I35" s="1">
        <v>0.93703148425787108</v>
      </c>
      <c r="K35" s="1">
        <v>0.9999627242753808</v>
      </c>
      <c r="L35" s="1">
        <v>1.290132543236332</v>
      </c>
      <c r="M35" s="1">
        <v>0.77124024248822864</v>
      </c>
      <c r="O35" s="1">
        <v>1.0977610103916444E-3</v>
      </c>
      <c r="P35" s="1">
        <v>0.9978068863748043</v>
      </c>
      <c r="R35" s="1">
        <v>2.8993880608295764E-2</v>
      </c>
      <c r="S35" s="2">
        <f t="shared" si="7"/>
        <v>7.5494134994213258E-2</v>
      </c>
      <c r="T35" s="4">
        <f t="shared" si="0"/>
        <v>5.6993644185244947E-3</v>
      </c>
      <c r="U35" s="1">
        <f t="shared" si="1"/>
        <v>2.5124732838399666E-4</v>
      </c>
      <c r="V35" s="6">
        <f>2*sigma/alpha*corel*(B35/12-1/alpha*(1-EXP(-alpha*Output!B35/12)))</f>
        <v>9.738582458236722E-3</v>
      </c>
      <c r="W35" s="5">
        <f t="shared" si="10"/>
        <v>-5.4481170901404981E-3</v>
      </c>
      <c r="X35" s="1">
        <f t="shared" si="8"/>
        <v>4.367977670941986E-2</v>
      </c>
      <c r="Y35" s="3">
        <f t="shared" si="11"/>
        <v>4.9814622747196294E-2</v>
      </c>
      <c r="Z35" s="1">
        <f t="shared" si="2"/>
        <v>5.3382414794220831E-2</v>
      </c>
      <c r="AA35" s="8">
        <f t="shared" si="9"/>
        <v>1.9166666666666659</v>
      </c>
      <c r="AB35" s="1">
        <v>2</v>
      </c>
      <c r="AC35">
        <v>1.1001536310000001E-3</v>
      </c>
      <c r="AD35" s="8">
        <f t="shared" si="3"/>
        <v>2.3926206083556539E-2</v>
      </c>
      <c r="AE35" s="3">
        <f t="shared" si="4"/>
        <v>2.1748059006821145E-3</v>
      </c>
      <c r="AF35" s="11">
        <f t="shared" si="5"/>
        <v>1.9166666666666659</v>
      </c>
      <c r="AG35" s="1">
        <f t="shared" si="6"/>
        <v>5.3382414794220831E-2</v>
      </c>
    </row>
    <row r="36" spans="2:33" ht="15" x14ac:dyDescent="0.25">
      <c r="B36" s="1">
        <v>25</v>
      </c>
      <c r="C36" s="1">
        <v>0.99771544634042808</v>
      </c>
      <c r="D36" s="1">
        <v>1.0657912967482708</v>
      </c>
      <c r="E36" s="1">
        <v>0.93370681605975725</v>
      </c>
      <c r="G36" s="1">
        <v>0.99771544634042808</v>
      </c>
      <c r="H36" s="1">
        <v>1.0657912967482708</v>
      </c>
      <c r="I36" s="1">
        <v>0.93370681605975725</v>
      </c>
      <c r="K36" s="1">
        <v>0.99999359849789871</v>
      </c>
      <c r="L36" s="1">
        <v>1.3222943504557261</v>
      </c>
      <c r="M36" s="1">
        <v>0.75231694495349521</v>
      </c>
      <c r="O36" s="1">
        <v>1.0978402721323914E-3</v>
      </c>
      <c r="P36" s="1">
        <v>0.99771544634042808</v>
      </c>
      <c r="R36" s="1">
        <v>2.9774041924690863E-2</v>
      </c>
      <c r="S36" s="2">
        <f t="shared" si="7"/>
        <v>7.756986140564906E-2</v>
      </c>
      <c r="T36" s="4">
        <f t="shared" si="0"/>
        <v>6.0170833984916038E-3</v>
      </c>
      <c r="U36" s="1">
        <f t="shared" si="1"/>
        <v>2.8328147917644486E-4</v>
      </c>
      <c r="V36" s="6">
        <f>2*sigma/alpha*corel*(B36/12-1/alpha*(1-EXP(-alpha*Output!B36/12)))</f>
        <v>1.0555462383301961E-2</v>
      </c>
      <c r="W36" s="5">
        <f t="shared" si="10"/>
        <v>-5.7338019193151589E-3</v>
      </c>
      <c r="X36" s="1">
        <f t="shared" si="8"/>
        <v>4.789310044708496E-2</v>
      </c>
      <c r="Y36" s="3">
        <f t="shared" si="11"/>
        <v>4.99894706161155E-2</v>
      </c>
      <c r="Z36" s="1">
        <f t="shared" si="2"/>
        <v>5.3741976436264133E-2</v>
      </c>
      <c r="AA36" s="8">
        <f t="shared" si="9"/>
        <v>1.9999999999999991</v>
      </c>
      <c r="AB36" s="1">
        <v>2.0830000000000002</v>
      </c>
      <c r="AC36">
        <v>1.100302603E-3</v>
      </c>
      <c r="AD36" s="8">
        <f t="shared" si="3"/>
        <v>2.462330867608652E-2</v>
      </c>
      <c r="AE36" s="3">
        <f t="shared" si="4"/>
        <v>2.2378669839506434E-3</v>
      </c>
      <c r="AF36" s="11">
        <f t="shared" si="5"/>
        <v>1.9999999999999991</v>
      </c>
      <c r="AG36" s="1">
        <f t="shared" si="6"/>
        <v>5.3741976436264133E-2</v>
      </c>
    </row>
    <row r="37" spans="2:33" ht="15" x14ac:dyDescent="0.25">
      <c r="B37" s="1">
        <v>26</v>
      </c>
      <c r="C37" s="1">
        <v>0.99762471728853963</v>
      </c>
      <c r="D37" s="1">
        <v>1.069141372563694</v>
      </c>
      <c r="E37" s="1">
        <v>0.93057882002605619</v>
      </c>
      <c r="G37" s="1">
        <v>0.99762471728853963</v>
      </c>
      <c r="H37" s="1">
        <v>1.069141372563694</v>
      </c>
      <c r="I37" s="1">
        <v>0.93057882002605619</v>
      </c>
      <c r="K37" s="1">
        <v>0.9999668570017004</v>
      </c>
      <c r="L37" s="1">
        <v>1.316897416226162</v>
      </c>
      <c r="M37" s="1">
        <v>0.75528293844866456</v>
      </c>
      <c r="O37" s="1">
        <v>1.0975883863859094E-3</v>
      </c>
      <c r="P37" s="1">
        <v>0.99762471728853963</v>
      </c>
      <c r="R37" s="1">
        <v>3.0243115022978516E-2</v>
      </c>
      <c r="S37" s="2">
        <f t="shared" si="7"/>
        <v>7.8863277475607202E-2</v>
      </c>
      <c r="T37" s="4">
        <f t="shared" si="0"/>
        <v>6.2194165341946141E-3</v>
      </c>
      <c r="U37" s="1">
        <f t="shared" si="1"/>
        <v>3.1786981074954923E-4</v>
      </c>
      <c r="V37" s="6">
        <f>2*sigma/alpha*corel*(B37/12-1/alpha*(1-EXP(-alpha*Output!B37/12)))</f>
        <v>1.1404288324565526E-2</v>
      </c>
      <c r="W37" s="5">
        <f t="shared" si="10"/>
        <v>-5.9015467234450648E-3</v>
      </c>
      <c r="X37" s="1">
        <f t="shared" si="8"/>
        <v>5.1276796062047048E-2</v>
      </c>
      <c r="Y37" s="3">
        <f t="shared" si="11"/>
        <v>4.962450346049517E-2</v>
      </c>
      <c r="Z37" s="1">
        <f t="shared" si="2"/>
        <v>5.3577046753801698E-2</v>
      </c>
      <c r="AA37" s="8">
        <f t="shared" si="9"/>
        <v>2.0833333333333326</v>
      </c>
      <c r="AB37" s="1">
        <v>2.1669999999999998</v>
      </c>
      <c r="AC37">
        <v>1.100479471E-3</v>
      </c>
      <c r="AD37" s="8">
        <f t="shared" si="3"/>
        <v>2.8910846140905652E-2</v>
      </c>
      <c r="AE37" s="3">
        <f t="shared" si="4"/>
        <v>2.6271136266299015E-3</v>
      </c>
      <c r="AF37" s="11">
        <f t="shared" si="5"/>
        <v>2.0833333333333326</v>
      </c>
      <c r="AG37" s="1">
        <f t="shared" si="6"/>
        <v>5.3577046753801698E-2</v>
      </c>
    </row>
    <row r="38" spans="2:33" ht="15" x14ac:dyDescent="0.25">
      <c r="B38" s="1">
        <v>27</v>
      </c>
      <c r="C38" s="1">
        <v>0.99753299284870478</v>
      </c>
      <c r="D38" s="1">
        <v>1.0725700924555421</v>
      </c>
      <c r="E38" s="1">
        <v>0.92738569971251039</v>
      </c>
      <c r="G38" s="1">
        <v>0.99753299284870478</v>
      </c>
      <c r="H38" s="1">
        <v>1.0725700924555421</v>
      </c>
      <c r="I38" s="1">
        <v>0.92738569971251039</v>
      </c>
      <c r="K38" s="1">
        <v>0.99995663093432852</v>
      </c>
      <c r="L38" s="1">
        <v>1.3553070771111886</v>
      </c>
      <c r="M38" s="1">
        <v>0.73370961950903024</v>
      </c>
      <c r="O38" s="1">
        <v>1.0978023233570709E-3</v>
      </c>
      <c r="P38" s="1">
        <v>0.99753299284870478</v>
      </c>
      <c r="R38" s="1">
        <v>3.0818434784541233E-2</v>
      </c>
      <c r="S38" s="2">
        <f t="shared" si="7"/>
        <v>8.0425059997413784E-2</v>
      </c>
      <c r="T38" s="4">
        <f t="shared" si="0"/>
        <v>6.468190275587607E-3</v>
      </c>
      <c r="U38" s="1">
        <f t="shared" si="1"/>
        <v>3.5510130753202418E-4</v>
      </c>
      <c r="V38" s="6">
        <f>2*sigma/alpha*corel*(B38/12-1/alpha*(1-EXP(-alpha*Output!B38/12)))</f>
        <v>1.2284953972588109E-2</v>
      </c>
      <c r="W38" s="5">
        <f t="shared" si="10"/>
        <v>-6.1130889680555828E-3</v>
      </c>
      <c r="X38" s="1">
        <f t="shared" si="8"/>
        <v>5.5168720806608861E-2</v>
      </c>
      <c r="Y38" s="3">
        <f t="shared" si="11"/>
        <v>4.9465616120001971E-2</v>
      </c>
      <c r="Z38" s="1">
        <f t="shared" si="2"/>
        <v>5.3616706664942525E-2</v>
      </c>
      <c r="AA38" s="8">
        <f t="shared" si="9"/>
        <v>2.1666666666666661</v>
      </c>
      <c r="AB38" s="1">
        <v>2.25</v>
      </c>
      <c r="AC38">
        <v>1.100671835E-3</v>
      </c>
      <c r="AD38" s="8">
        <f t="shared" si="3"/>
        <v>2.8695116429291578E-2</v>
      </c>
      <c r="AE38" s="3">
        <f t="shared" si="4"/>
        <v>2.6070546657797943E-3</v>
      </c>
      <c r="AF38" s="11">
        <f t="shared" si="5"/>
        <v>2.1666666666666661</v>
      </c>
      <c r="AG38" s="1">
        <f t="shared" si="6"/>
        <v>5.3616706664942525E-2</v>
      </c>
    </row>
    <row r="39" spans="2:33" ht="15" x14ac:dyDescent="0.25">
      <c r="B39" s="1">
        <v>28</v>
      </c>
      <c r="C39" s="1">
        <v>0.99744227160441912</v>
      </c>
      <c r="D39" s="1">
        <v>1.0759398334445138</v>
      </c>
      <c r="E39" s="1">
        <v>0.92429984286902667</v>
      </c>
      <c r="G39" s="1">
        <v>0.99744227160441912</v>
      </c>
      <c r="H39" s="1">
        <v>1.0759398334445138</v>
      </c>
      <c r="I39" s="1">
        <v>0.92429984286902667</v>
      </c>
      <c r="K39" s="1">
        <v>0.99995106265978395</v>
      </c>
      <c r="L39" s="1">
        <v>1.3411205059547469</v>
      </c>
      <c r="M39" s="1">
        <v>0.74130842225114568</v>
      </c>
      <c r="O39" s="1">
        <v>1.097573559045563E-3</v>
      </c>
      <c r="P39" s="1">
        <v>0.99744227160441912</v>
      </c>
      <c r="R39" s="1">
        <v>3.1523180501861432E-2</v>
      </c>
      <c r="S39" s="2">
        <f t="shared" si="7"/>
        <v>8.2311009817506525E-2</v>
      </c>
      <c r="T39" s="4">
        <f t="shared" si="0"/>
        <v>6.7751023371776554E-3</v>
      </c>
      <c r="U39" s="1">
        <f t="shared" si="1"/>
        <v>3.9506401009470338E-4</v>
      </c>
      <c r="V39" s="6">
        <f>2*sigma/alpha*corel*(B39/12-1/alpha*(1-EXP(-alpha*Output!B39/12)))</f>
        <v>1.3197353371704523E-2</v>
      </c>
      <c r="W39" s="5">
        <f t="shared" si="10"/>
        <v>-6.3800383270829521E-3</v>
      </c>
      <c r="X39" s="1">
        <f t="shared" si="8"/>
        <v>5.9721194522125202E-2</v>
      </c>
      <c r="Y39" s="3">
        <f t="shared" si="11"/>
        <v>4.953896762983348E-2</v>
      </c>
      <c r="Z39" s="1">
        <f t="shared" si="2"/>
        <v>5.3885204716710988E-2</v>
      </c>
      <c r="AA39" s="8">
        <f t="shared" si="9"/>
        <v>2.2499999999999996</v>
      </c>
      <c r="AB39" s="1">
        <v>2.3330000000000002</v>
      </c>
      <c r="AC39">
        <v>1.1008659970000001E-3</v>
      </c>
      <c r="AD39" s="8">
        <f t="shared" si="3"/>
        <v>3.2924379544370469E-2</v>
      </c>
      <c r="AE39" s="3">
        <f t="shared" si="4"/>
        <v>2.9907708689425956E-3</v>
      </c>
      <c r="AF39" s="11">
        <f t="shared" si="5"/>
        <v>2.2499999999999996</v>
      </c>
      <c r="AG39" s="1">
        <f t="shared" si="6"/>
        <v>5.3885204716710988E-2</v>
      </c>
    </row>
    <row r="40" spans="2:33" ht="15" x14ac:dyDescent="0.25">
      <c r="B40" s="1">
        <v>29</v>
      </c>
      <c r="C40" s="1">
        <v>0.99735099565088181</v>
      </c>
      <c r="D40" s="1">
        <v>1.0795055864414098</v>
      </c>
      <c r="E40" s="1">
        <v>0.9210647508519848</v>
      </c>
      <c r="G40" s="1">
        <v>0.99735099565088181</v>
      </c>
      <c r="H40" s="1">
        <v>1.0795055864414098</v>
      </c>
      <c r="I40" s="1">
        <v>0.9210647508519848</v>
      </c>
      <c r="K40" s="1">
        <v>0.99994479584998042</v>
      </c>
      <c r="L40" s="1">
        <v>1.3455857909013698</v>
      </c>
      <c r="M40" s="1">
        <v>0.73871783914196776</v>
      </c>
      <c r="O40" s="1">
        <v>1.0975941391839388E-3</v>
      </c>
      <c r="P40" s="1">
        <v>0.99735099565088181</v>
      </c>
      <c r="R40" s="1">
        <v>3.2188599175591942E-2</v>
      </c>
      <c r="S40" s="2">
        <f t="shared" si="7"/>
        <v>8.4099049607583881E-2</v>
      </c>
      <c r="T40" s="4">
        <f t="shared" si="0"/>
        <v>7.0726501448988548E-3</v>
      </c>
      <c r="U40" s="1">
        <f t="shared" si="1"/>
        <v>4.3784502260280078E-4</v>
      </c>
      <c r="V40" s="6">
        <f>2*sigma/alpha*corel*(B40/12-1/alpha*(1-EXP(-alpha*Output!B40/12)))</f>
        <v>1.414138091884759E-2</v>
      </c>
      <c r="W40" s="5">
        <f t="shared" si="10"/>
        <v>-6.6348051222960541E-3</v>
      </c>
      <c r="X40" s="1">
        <f t="shared" si="8"/>
        <v>6.4336428169820464E-2</v>
      </c>
      <c r="Y40" s="3">
        <f t="shared" si="11"/>
        <v>4.9552734809333421E-2</v>
      </c>
      <c r="Z40" s="1">
        <f t="shared" si="2"/>
        <v>5.409818715134173E-2</v>
      </c>
      <c r="AA40" s="8">
        <f t="shared" si="9"/>
        <v>2.333333333333333</v>
      </c>
      <c r="AB40" s="1">
        <v>2.4169999999999998</v>
      </c>
      <c r="AC40">
        <v>1.1010482569999999E-3</v>
      </c>
      <c r="AD40" s="8">
        <f t="shared" si="3"/>
        <v>3.4541178160611176E-2</v>
      </c>
      <c r="AE40" s="3">
        <f t="shared" si="4"/>
        <v>3.1371175551128615E-3</v>
      </c>
      <c r="AF40" s="11">
        <f t="shared" si="5"/>
        <v>2.333333333333333</v>
      </c>
      <c r="AG40" s="1">
        <f t="shared" si="6"/>
        <v>5.409818715134173E-2</v>
      </c>
    </row>
    <row r="41" spans="2:33" ht="15" x14ac:dyDescent="0.25">
      <c r="B41" s="1">
        <v>30</v>
      </c>
      <c r="C41" s="1">
        <v>0.99726051388739057</v>
      </c>
      <c r="D41" s="1">
        <v>1.0830833215999307</v>
      </c>
      <c r="E41" s="1">
        <v>0.91776798825256978</v>
      </c>
      <c r="G41" s="1">
        <v>0.99726051388739057</v>
      </c>
      <c r="H41" s="1">
        <v>1.0830833215999307</v>
      </c>
      <c r="I41" s="1">
        <v>0.91776798825256978</v>
      </c>
      <c r="K41" s="1">
        <v>0.99999012048034241</v>
      </c>
      <c r="L41" s="1">
        <v>1.3419398498883033</v>
      </c>
      <c r="M41" s="1">
        <v>0.74054099301831744</v>
      </c>
      <c r="O41" s="1">
        <v>1.0972981487541583E-3</v>
      </c>
      <c r="P41" s="1">
        <v>0.99726051388739057</v>
      </c>
      <c r="R41" s="1">
        <v>3.2812320556083394E-2</v>
      </c>
      <c r="S41" s="2">
        <f t="shared" si="7"/>
        <v>8.5781486067221663E-2</v>
      </c>
      <c r="T41" s="4">
        <f t="shared" si="0"/>
        <v>7.3584633519009441E-3</v>
      </c>
      <c r="U41" s="1">
        <f t="shared" si="1"/>
        <v>4.8353052020022602E-4</v>
      </c>
      <c r="V41" s="6">
        <f>2*sigma/alpha*corel*(B41/12-1/alpha*(1-EXP(-alpha*Output!B41/12)))</f>
        <v>1.5116931362373853E-2</v>
      </c>
      <c r="W41" s="5">
        <f t="shared" si="10"/>
        <v>-6.8749328317007181E-3</v>
      </c>
      <c r="X41" s="1">
        <f t="shared" si="8"/>
        <v>6.89778499308219E-2</v>
      </c>
      <c r="Y41" s="3">
        <f t="shared" si="11"/>
        <v>4.9503882809716016E-2</v>
      </c>
      <c r="Z41" s="1">
        <f t="shared" si="2"/>
        <v>5.4252975409284025E-2</v>
      </c>
      <c r="AA41" s="8">
        <f t="shared" si="9"/>
        <v>2.4166666666666665</v>
      </c>
      <c r="AB41" s="1">
        <v>2.5</v>
      </c>
      <c r="AC41">
        <v>1.101204918E-3</v>
      </c>
      <c r="AD41" s="8">
        <f t="shared" si="3"/>
        <v>3.9067692458416396E-2</v>
      </c>
      <c r="AE41" s="3">
        <f t="shared" si="4"/>
        <v>3.5477223012562314E-3</v>
      </c>
      <c r="AF41" s="11">
        <f t="shared" si="5"/>
        <v>2.4166666666666665</v>
      </c>
      <c r="AG41" s="1">
        <f t="shared" si="6"/>
        <v>5.4252975409284025E-2</v>
      </c>
    </row>
    <row r="42" spans="2:33" ht="15" x14ac:dyDescent="0.25">
      <c r="B42" s="1">
        <v>31</v>
      </c>
      <c r="C42" s="1">
        <v>0.99717002488437301</v>
      </c>
      <c r="D42" s="1">
        <v>1.0868147632917444</v>
      </c>
      <c r="E42" s="1">
        <v>0.91441111923921004</v>
      </c>
      <c r="G42" s="1">
        <v>0.99717002488437301</v>
      </c>
      <c r="H42" s="1">
        <v>1.0868147632917444</v>
      </c>
      <c r="I42" s="1">
        <v>0.91441111923921004</v>
      </c>
      <c r="K42" s="1">
        <v>0.99998464025141043</v>
      </c>
      <c r="L42" s="1">
        <v>1.3640536697036076</v>
      </c>
      <c r="M42" s="1">
        <v>0.7284017405547607</v>
      </c>
      <c r="O42" s="1">
        <v>1.0970272514086491E-3</v>
      </c>
      <c r="P42" s="1">
        <v>0.99717002488437301</v>
      </c>
      <c r="R42" s="1">
        <v>3.3449281501081798E-2</v>
      </c>
      <c r="S42" s="2">
        <f t="shared" si="7"/>
        <v>8.7497412040479228E-2</v>
      </c>
      <c r="T42" s="4">
        <f t="shared" si="0"/>
        <v>7.655797113781399E-3</v>
      </c>
      <c r="U42" s="1">
        <f t="shared" si="1"/>
        <v>5.3220575635526401E-4</v>
      </c>
      <c r="V42" s="6">
        <f>2*sigma/alpha*corel*(B42/12-1/alpha*(1-EXP(-alpha*Output!B42/12)))</f>
        <v>1.612389980089457E-2</v>
      </c>
      <c r="W42" s="5">
        <f t="shared" si="10"/>
        <v>-7.123591357426135E-3</v>
      </c>
      <c r="X42" s="1">
        <f t="shared" si="8"/>
        <v>7.387042417152602E-2</v>
      </c>
      <c r="Y42" s="3">
        <f t="shared" si="11"/>
        <v>4.9483982112537489E-2</v>
      </c>
      <c r="Z42" s="1">
        <f t="shared" si="2"/>
        <v>5.4438353819940749E-2</v>
      </c>
      <c r="AA42" s="8">
        <f t="shared" si="9"/>
        <v>2.5</v>
      </c>
      <c r="AB42" s="1">
        <v>2.5830000000000002</v>
      </c>
      <c r="AC42">
        <v>1.101322281E-3</v>
      </c>
      <c r="AD42" s="8">
        <f t="shared" si="3"/>
        <v>4.2950295913509337E-2</v>
      </c>
      <c r="AE42" s="3">
        <f t="shared" si="4"/>
        <v>3.8998844075424041E-3</v>
      </c>
      <c r="AF42" s="11">
        <f t="shared" si="5"/>
        <v>2.5</v>
      </c>
      <c r="AG42" s="1">
        <f t="shared" si="6"/>
        <v>5.4438353819940749E-2</v>
      </c>
    </row>
    <row r="43" spans="2:33" ht="15" x14ac:dyDescent="0.25">
      <c r="B43" s="1">
        <v>32</v>
      </c>
      <c r="C43" s="1">
        <v>0.99707880665962256</v>
      </c>
      <c r="D43" s="1">
        <v>1.091119379371297</v>
      </c>
      <c r="E43" s="1">
        <v>0.91058095064651245</v>
      </c>
      <c r="G43" s="1">
        <v>0.99707880665962256</v>
      </c>
      <c r="H43" s="1">
        <v>1.091119379371297</v>
      </c>
      <c r="I43" s="1">
        <v>0.91058095064651245</v>
      </c>
      <c r="K43" s="1">
        <v>0.99999685986330678</v>
      </c>
      <c r="L43" s="1">
        <v>1.3694550490787949</v>
      </c>
      <c r="M43" s="1">
        <v>0.72535966268070418</v>
      </c>
      <c r="O43" s="1">
        <v>1.0970506324121288E-3</v>
      </c>
      <c r="P43" s="1">
        <v>0.99707880665962256</v>
      </c>
      <c r="R43" s="1">
        <v>3.4095715460046659E-2</v>
      </c>
      <c r="S43" s="2">
        <f t="shared" si="7"/>
        <v>8.9238285861752947E-2</v>
      </c>
      <c r="T43" s="4">
        <f t="shared" si="0"/>
        <v>7.9634716635439366E-3</v>
      </c>
      <c r="U43" s="1">
        <f t="shared" si="1"/>
        <v>5.8395507013830894E-4</v>
      </c>
      <c r="V43" s="6">
        <f>2*sigma/alpha*corel*(B43/12-1/alpha*(1-EXP(-alpha*Output!B43/12)))</f>
        <v>1.7162181682111033E-2</v>
      </c>
      <c r="W43" s="5">
        <f t="shared" si="10"/>
        <v>-7.3795165934056276E-3</v>
      </c>
      <c r="X43" s="1">
        <f t="shared" si="8"/>
        <v>7.9009384143083145E-2</v>
      </c>
      <c r="Y43" s="3">
        <f t="shared" si="11"/>
        <v>4.948573085899903E-2</v>
      </c>
      <c r="Z43" s="1">
        <f t="shared" si="2"/>
        <v>5.4647066470479233E-2</v>
      </c>
      <c r="AA43" s="8">
        <f t="shared" si="9"/>
        <v>2.5833333333333335</v>
      </c>
      <c r="AB43" s="1">
        <v>2.6669999999999998</v>
      </c>
      <c r="AC43">
        <v>1.1013860360000001E-3</v>
      </c>
      <c r="AD43" s="8">
        <f t="shared" si="3"/>
        <v>4.3354035878712983E-2</v>
      </c>
      <c r="AE43" s="3">
        <f t="shared" si="4"/>
        <v>3.9363161018606723E-3</v>
      </c>
      <c r="AF43" s="11">
        <f t="shared" si="5"/>
        <v>2.5833333333333335</v>
      </c>
      <c r="AG43" s="1">
        <f t="shared" si="6"/>
        <v>5.4647066470479233E-2</v>
      </c>
    </row>
    <row r="44" spans="2:33" ht="15" x14ac:dyDescent="0.25">
      <c r="B44" s="1">
        <v>33</v>
      </c>
      <c r="C44" s="1">
        <v>0.9969888333609559</v>
      </c>
      <c r="D44" s="1">
        <v>1.0951343182241302</v>
      </c>
      <c r="E44" s="1">
        <v>0.90702947845804982</v>
      </c>
      <c r="G44" s="1">
        <v>0.9969888333609559</v>
      </c>
      <c r="H44" s="1">
        <v>1.0951343182241302</v>
      </c>
      <c r="I44" s="1">
        <v>0.90702947845804982</v>
      </c>
      <c r="K44" s="1">
        <v>1.0000049854826221</v>
      </c>
      <c r="L44" s="1">
        <v>1.4070276902266714</v>
      </c>
      <c r="M44" s="1">
        <v>0.70586145728332383</v>
      </c>
      <c r="O44" s="1">
        <v>1.0966215719219166E-3</v>
      </c>
      <c r="P44" s="1">
        <v>0.9969888333609559</v>
      </c>
      <c r="R44" s="1">
        <v>3.4886900535333623E-2</v>
      </c>
      <c r="S44" s="2">
        <f t="shared" si="7"/>
        <v>9.1341752827103079E-2</v>
      </c>
      <c r="T44" s="4">
        <f t="shared" si="0"/>
        <v>8.343315809527593E-3</v>
      </c>
      <c r="U44" s="1">
        <f t="shared" si="1"/>
        <v>6.3886189346407107E-4</v>
      </c>
      <c r="V44" s="6">
        <f>2*sigma/alpha*corel*(B44/12-1/alpha*(1-EXP(-alpha*Output!B44/12)))</f>
        <v>1.8231672801650722E-2</v>
      </c>
      <c r="W44" s="5">
        <f t="shared" si="10"/>
        <v>-7.7044539160635219E-3</v>
      </c>
      <c r="X44" s="1">
        <f t="shared" si="8"/>
        <v>8.5081386969845185E-2</v>
      </c>
      <c r="Y44" s="3">
        <f t="shared" si="11"/>
        <v>4.9719175644950583E-2</v>
      </c>
      <c r="Z44" s="1">
        <f t="shared" si="2"/>
        <v>5.5081149421979184E-2</v>
      </c>
      <c r="AA44" s="8">
        <f t="shared" si="9"/>
        <v>2.666666666666667</v>
      </c>
      <c r="AB44" s="1">
        <v>2.75</v>
      </c>
      <c r="AC44">
        <v>1.10137943E-3</v>
      </c>
      <c r="AD44" s="8">
        <f t="shared" si="3"/>
        <v>4.7578580780833962E-2</v>
      </c>
      <c r="AE44" s="3">
        <f t="shared" si="4"/>
        <v>4.3199082427782375E-3</v>
      </c>
      <c r="AF44" s="11">
        <f t="shared" si="5"/>
        <v>2.666666666666667</v>
      </c>
      <c r="AG44" s="1">
        <f t="shared" si="6"/>
        <v>5.5081149421979184E-2</v>
      </c>
    </row>
    <row r="45" spans="2:33" ht="15" x14ac:dyDescent="0.25">
      <c r="B45" s="1">
        <v>34</v>
      </c>
      <c r="C45" s="1">
        <v>0.99689760848883247</v>
      </c>
      <c r="D45" s="1">
        <v>1.0993118307939229</v>
      </c>
      <c r="E45" s="1">
        <v>0.90334236675700097</v>
      </c>
      <c r="G45" s="1">
        <v>0.99689760848883247</v>
      </c>
      <c r="H45" s="1">
        <v>1.0993118307939229</v>
      </c>
      <c r="I45" s="1">
        <v>0.90334236675700097</v>
      </c>
      <c r="K45" s="1">
        <v>0.99995913803976255</v>
      </c>
      <c r="L45" s="1">
        <v>1.449110599969534</v>
      </c>
      <c r="M45" s="1">
        <v>0.68520132016334701</v>
      </c>
      <c r="O45" s="1">
        <v>1.0966637309161018E-3</v>
      </c>
      <c r="P45" s="1">
        <v>0.99689760848883247</v>
      </c>
      <c r="R45" s="1">
        <v>3.5212554754097215E-2</v>
      </c>
      <c r="S45" s="2">
        <f t="shared" si="7"/>
        <v>9.2276458429339875E-2</v>
      </c>
      <c r="T45" s="4">
        <f t="shared" si="0"/>
        <v>8.5149447802616903E-3</v>
      </c>
      <c r="U45" s="1">
        <f t="shared" si="1"/>
        <v>6.9700875826672615E-4</v>
      </c>
      <c r="V45" s="6">
        <f>2*sigma/alpha*corel*(B45/12-1/alpha*(1-EXP(-alpha*Output!B45/12)))</f>
        <v>1.9332269301911842E-2</v>
      </c>
      <c r="W45" s="5">
        <f t="shared" si="10"/>
        <v>-7.8179360219949642E-3</v>
      </c>
      <c r="X45" s="1">
        <f t="shared" si="8"/>
        <v>8.8977011552304572E-2</v>
      </c>
      <c r="Y45" s="3">
        <f t="shared" si="11"/>
        <v>4.9227860697785772E-2</v>
      </c>
      <c r="Z45" s="1">
        <f t="shared" si="2"/>
        <v>5.4820385153040059E-2</v>
      </c>
      <c r="AA45" s="8">
        <f t="shared" si="9"/>
        <v>2.7500000000000004</v>
      </c>
      <c r="AB45" s="1">
        <v>2.8330000000000002</v>
      </c>
      <c r="AC45">
        <v>1.1012850990000001E-3</v>
      </c>
      <c r="AD45" s="8">
        <f t="shared" si="3"/>
        <v>4.6213680838982224E-2</v>
      </c>
      <c r="AE45" s="3">
        <f t="shared" si="4"/>
        <v>4.196341245418251E-3</v>
      </c>
      <c r="AF45" s="11">
        <f t="shared" si="5"/>
        <v>2.7500000000000004</v>
      </c>
      <c r="AG45" s="1">
        <f t="shared" si="6"/>
        <v>5.4820385153040059E-2</v>
      </c>
    </row>
    <row r="46" spans="2:33" ht="15" x14ac:dyDescent="0.25">
      <c r="B46" s="1">
        <v>35</v>
      </c>
      <c r="C46" s="1">
        <v>0.99680784291677449</v>
      </c>
      <c r="D46" s="1">
        <v>1.1037405768148254</v>
      </c>
      <c r="E46" s="1">
        <v>0.8995232526760818</v>
      </c>
      <c r="G46" s="1">
        <v>0.99680784291677449</v>
      </c>
      <c r="H46" s="1">
        <v>1.1037405768148254</v>
      </c>
      <c r="I46" s="1">
        <v>0.8995232526760818</v>
      </c>
      <c r="K46" s="1">
        <v>0.99997145968836743</v>
      </c>
      <c r="L46" s="1">
        <v>1.4575565142073774</v>
      </c>
      <c r="M46" s="1">
        <v>0.68111726479396284</v>
      </c>
      <c r="O46" s="1">
        <v>1.0962044177911516E-3</v>
      </c>
      <c r="P46" s="1">
        <v>0.99680784291677449</v>
      </c>
      <c r="R46" s="1">
        <v>3.5896145207634372E-2</v>
      </c>
      <c r="S46" s="2">
        <f t="shared" si="7"/>
        <v>9.4109532900170489E-2</v>
      </c>
      <c r="T46" s="4">
        <f t="shared" si="0"/>
        <v>8.8566041826882713E-3</v>
      </c>
      <c r="U46" s="1">
        <f t="shared" si="1"/>
        <v>7.5847730363021171E-4</v>
      </c>
      <c r="V46" s="6">
        <f>2*sigma/alpha*corel*(B46/12-1/alpha*(1-EXP(-alpha*Output!B46/12)))</f>
        <v>2.0463867670907632E-2</v>
      </c>
      <c r="W46" s="5">
        <f t="shared" si="10"/>
        <v>-8.0981268790580596E-3</v>
      </c>
      <c r="X46" s="1">
        <f t="shared" si="8"/>
        <v>9.4896916802396439E-2</v>
      </c>
      <c r="Y46" s="3">
        <f t="shared" si="11"/>
        <v>4.93010681249074E-2</v>
      </c>
      <c r="Z46" s="1">
        <f t="shared" si="2"/>
        <v>5.5104900013457261E-2</v>
      </c>
      <c r="AA46" s="8">
        <f t="shared" si="9"/>
        <v>2.8333333333333339</v>
      </c>
      <c r="AB46" s="1">
        <v>2.9169999999999998</v>
      </c>
      <c r="AC46">
        <v>1.101085677E-3</v>
      </c>
      <c r="AD46" s="8">
        <f t="shared" si="3"/>
        <v>4.8812592088483785E-2</v>
      </c>
      <c r="AE46" s="3">
        <f t="shared" si="4"/>
        <v>4.4331329621394924E-3</v>
      </c>
      <c r="AF46" s="11">
        <f t="shared" si="5"/>
        <v>2.8333333333333339</v>
      </c>
      <c r="AG46" s="1">
        <f t="shared" si="6"/>
        <v>5.5104900013457261E-2</v>
      </c>
    </row>
    <row r="47" spans="2:33" ht="15" x14ac:dyDescent="0.25">
      <c r="B47" s="1">
        <v>36</v>
      </c>
      <c r="C47" s="1">
        <v>0.99671762104591743</v>
      </c>
      <c r="D47" s="1">
        <v>1.1080209637566343</v>
      </c>
      <c r="E47" s="1">
        <v>0.89581653677326878</v>
      </c>
      <c r="G47" s="1">
        <v>0.99671762104591743</v>
      </c>
      <c r="H47" s="1">
        <v>1.1080209637566343</v>
      </c>
      <c r="I47" s="1">
        <v>0.89581653677326878</v>
      </c>
      <c r="K47" s="1">
        <v>0.99998995791655065</v>
      </c>
      <c r="L47" s="1">
        <v>1.4851821905740901</v>
      </c>
      <c r="M47" s="1">
        <v>0.66827256032564597</v>
      </c>
      <c r="O47" s="1">
        <v>1.0959259257025172E-3</v>
      </c>
      <c r="P47" s="1">
        <v>0.99671762104591743</v>
      </c>
      <c r="R47" s="1">
        <v>3.6672484230509138E-2</v>
      </c>
      <c r="S47" s="2">
        <f t="shared" si="7"/>
        <v>9.6176696647698012E-2</v>
      </c>
      <c r="T47" s="4">
        <f t="shared" si="0"/>
        <v>9.2499569780633267E-3</v>
      </c>
      <c r="U47" s="1">
        <f t="shared" si="1"/>
        <v>8.2334828287233819E-4</v>
      </c>
      <c r="V47" s="6">
        <f>2*sigma/alpha*corel*(B47/12-1/alpha*(1-EXP(-alpha*Output!B47/12)))</f>
        <v>2.1626364741117121E-2</v>
      </c>
      <c r="W47" s="5">
        <f t="shared" si="10"/>
        <v>-8.4266086951909885E-3</v>
      </c>
      <c r="X47" s="1">
        <f t="shared" si="8"/>
        <v>0.1015870039942077</v>
      </c>
      <c r="Y47" s="3">
        <f t="shared" si="11"/>
        <v>4.9516799594819721E-2</v>
      </c>
      <c r="Z47" s="1">
        <f t="shared" si="2"/>
        <v>5.5527641699317426E-2</v>
      </c>
      <c r="AA47" s="8">
        <f t="shared" si="9"/>
        <v>2.9166666666666674</v>
      </c>
      <c r="AB47" s="1">
        <v>3</v>
      </c>
      <c r="AC47">
        <v>1.1007637990000001E-3</v>
      </c>
      <c r="AD47" s="8">
        <f t="shared" si="3"/>
        <v>4.8378732974828795E-2</v>
      </c>
      <c r="AE47" s="3">
        <f t="shared" si="4"/>
        <v>4.3950148995432932E-3</v>
      </c>
      <c r="AF47" s="11">
        <f t="shared" si="5"/>
        <v>2.9166666666666674</v>
      </c>
      <c r="AG47" s="1">
        <f t="shared" si="6"/>
        <v>5.5527641699317426E-2</v>
      </c>
    </row>
    <row r="48" spans="2:33" ht="15" x14ac:dyDescent="0.25">
      <c r="B48" s="1">
        <v>37</v>
      </c>
      <c r="C48" s="1">
        <v>0.99662786993450514</v>
      </c>
      <c r="D48" s="1">
        <v>1.1120625423973844</v>
      </c>
      <c r="E48" s="1">
        <v>0.89237908263430299</v>
      </c>
      <c r="G48" s="1">
        <v>0.99662786993450514</v>
      </c>
      <c r="H48" s="1">
        <v>1.1120625423973844</v>
      </c>
      <c r="I48" s="1">
        <v>0.89237908263430299</v>
      </c>
      <c r="K48" s="1">
        <v>1.0000297004506578</v>
      </c>
      <c r="L48" s="1">
        <v>1.466478466275444</v>
      </c>
      <c r="M48" s="1">
        <v>0.67665922299558579</v>
      </c>
      <c r="O48" s="1">
        <v>1.0955119492827839E-3</v>
      </c>
      <c r="P48" s="1">
        <v>0.99662786993450514</v>
      </c>
      <c r="R48" s="1">
        <v>3.7483231769986927E-2</v>
      </c>
      <c r="S48" s="2">
        <f t="shared" si="7"/>
        <v>9.8330097557697921E-2</v>
      </c>
      <c r="T48" s="4">
        <f t="shared" si="0"/>
        <v>9.6688080857063909E-3</v>
      </c>
      <c r="U48" s="1">
        <f t="shared" si="1"/>
        <v>8.9170157056717159E-4</v>
      </c>
      <c r="V48" s="6">
        <f>2*sigma/alpha*corel*(B48/12-1/alpha*(1-EXP(-alpha*Output!B48/12)))</f>
        <v>2.2819657688338602E-2</v>
      </c>
      <c r="W48" s="5">
        <f t="shared" si="10"/>
        <v>-8.7771065151392193E-3</v>
      </c>
      <c r="X48" s="1">
        <f t="shared" si="8"/>
        <v>0.10877171713039666</v>
      </c>
      <c r="Y48" s="3">
        <f t="shared" si="11"/>
        <v>4.9781500062631927E-2</v>
      </c>
      <c r="Z48" s="1">
        <f t="shared" si="2"/>
        <v>5.5998478992007349E-2</v>
      </c>
      <c r="AA48" s="8">
        <f t="shared" si="9"/>
        <v>3.0000000000000009</v>
      </c>
      <c r="AB48" s="1">
        <v>3.0830000000000002</v>
      </c>
      <c r="AC48">
        <v>1.1003021010000001E-3</v>
      </c>
      <c r="AD48" s="8">
        <f t="shared" si="3"/>
        <v>4.7901517172162233E-2</v>
      </c>
      <c r="AE48" s="3">
        <f t="shared" si="4"/>
        <v>4.3534877492851596E-3</v>
      </c>
      <c r="AF48" s="11">
        <f t="shared" si="5"/>
        <v>3.0000000000000009</v>
      </c>
      <c r="AG48" s="1">
        <f t="shared" si="6"/>
        <v>5.5998478992007349E-2</v>
      </c>
    </row>
    <row r="49" spans="2:33" ht="15" x14ac:dyDescent="0.25">
      <c r="B49" s="1">
        <v>38</v>
      </c>
      <c r="C49" s="1">
        <v>0.99653852882790217</v>
      </c>
      <c r="D49" s="1">
        <v>1.1164577029999219</v>
      </c>
      <c r="E49" s="1">
        <v>0.88865191504487695</v>
      </c>
      <c r="G49" s="1">
        <v>0.99653852882790217</v>
      </c>
      <c r="H49" s="1">
        <v>1.1164577029999219</v>
      </c>
      <c r="I49" s="1">
        <v>0.88865191504487695</v>
      </c>
      <c r="K49" s="1">
        <v>0.99999048941397273</v>
      </c>
      <c r="L49" s="1">
        <v>1.4743758286397639</v>
      </c>
      <c r="M49" s="1">
        <v>0.67292180720173922</v>
      </c>
      <c r="O49" s="1">
        <v>1.0949923971445338E-3</v>
      </c>
      <c r="P49" s="1">
        <v>0.99653852882790217</v>
      </c>
      <c r="R49" s="1">
        <v>3.7940304903723437E-2</v>
      </c>
      <c r="S49" s="2">
        <f t="shared" si="7"/>
        <v>9.9593570286331728E-2</v>
      </c>
      <c r="T49" s="4">
        <f t="shared" si="0"/>
        <v>9.9188792423784977E-3</v>
      </c>
      <c r="U49" s="1">
        <f t="shared" si="1"/>
        <v>9.6361616952389539E-4</v>
      </c>
      <c r="V49" s="6">
        <f>2*sigma/alpha*corel*(B49/12-1/alpha*(1-EXP(-alpha*Output!B49/12)))</f>
        <v>2.4043644030546429E-2</v>
      </c>
      <c r="W49" s="5">
        <f t="shared" si="10"/>
        <v>-8.9552630728546023E-3</v>
      </c>
      <c r="X49" s="1">
        <f t="shared" si="8"/>
        <v>0.11401142907442594</v>
      </c>
      <c r="Y49" s="3">
        <f t="shared" si="11"/>
        <v>4.951770645260186E-2</v>
      </c>
      <c r="Z49" s="1">
        <f t="shared" si="2"/>
        <v>5.5966754912965488E-2</v>
      </c>
      <c r="AA49" s="8">
        <f t="shared" si="9"/>
        <v>3.0833333333333344</v>
      </c>
      <c r="AB49" s="1">
        <v>3.1669999999999998</v>
      </c>
      <c r="AC49">
        <v>1.0996903359999999E-3</v>
      </c>
      <c r="AD49" s="8">
        <f t="shared" si="3"/>
        <v>4.697938855466148E-2</v>
      </c>
      <c r="AE49" s="3">
        <f t="shared" si="4"/>
        <v>4.2720561431451448E-3</v>
      </c>
      <c r="AF49" s="11">
        <f t="shared" si="5"/>
        <v>3.0833333333333344</v>
      </c>
      <c r="AG49" s="1">
        <f t="shared" si="6"/>
        <v>5.5966754912965488E-2</v>
      </c>
    </row>
    <row r="50" spans="2:33" ht="15" x14ac:dyDescent="0.25">
      <c r="B50" s="1">
        <v>39</v>
      </c>
      <c r="C50" s="1">
        <v>0.99644973499385336</v>
      </c>
      <c r="D50" s="1">
        <v>1.1207998027392347</v>
      </c>
      <c r="E50" s="1">
        <v>0.88495575221238942</v>
      </c>
      <c r="G50" s="1">
        <v>0.99644973499385336</v>
      </c>
      <c r="H50" s="1">
        <v>1.1207998027392347</v>
      </c>
      <c r="I50" s="1">
        <v>0.88495575221238942</v>
      </c>
      <c r="K50" s="1">
        <v>0.99999358030225316</v>
      </c>
      <c r="L50" s="1">
        <v>1.4984624502013304</v>
      </c>
      <c r="M50" s="1">
        <v>0.6619596497810003</v>
      </c>
      <c r="O50" s="1">
        <v>1.094332970179275E-3</v>
      </c>
      <c r="P50" s="1">
        <v>0.99644973499385336</v>
      </c>
      <c r="R50" s="1">
        <v>3.8554662624105736E-2</v>
      </c>
      <c r="S50" s="2">
        <f t="shared" si="7"/>
        <v>0.10125218211124462</v>
      </c>
      <c r="T50" s="4">
        <f t="shared" si="0"/>
        <v>1.0252004382288646E-2</v>
      </c>
      <c r="U50" s="1">
        <f t="shared" si="1"/>
        <v>1.0391702177177109E-3</v>
      </c>
      <c r="V50" s="6">
        <f>2*sigma/alpha*corel*(B50/12-1/alpha*(1-EXP(-alpha*Output!B50/12)))</f>
        <v>2.5298221626754103E-2</v>
      </c>
      <c r="W50" s="5">
        <f t="shared" si="10"/>
        <v>-9.2128341645709346E-3</v>
      </c>
      <c r="X50" s="1">
        <f t="shared" si="8"/>
        <v>0.12040684415689851</v>
      </c>
      <c r="Y50" s="3">
        <f t="shared" si="11"/>
        <v>4.9492103378027341E-2</v>
      </c>
      <c r="Z50" s="1">
        <f t="shared" si="2"/>
        <v>5.6164605285340029E-2</v>
      </c>
      <c r="AA50" s="8">
        <f t="shared" si="9"/>
        <v>3.1666666666666679</v>
      </c>
      <c r="AB50" s="1">
        <v>3.25</v>
      </c>
      <c r="AC50">
        <v>1.0989467310000001E-3</v>
      </c>
      <c r="AD50" s="8">
        <f t="shared" si="3"/>
        <v>4.613760820725097E-2</v>
      </c>
      <c r="AE50" s="3">
        <f t="shared" si="4"/>
        <v>4.1983480095770876E-3</v>
      </c>
      <c r="AF50" s="11">
        <f t="shared" si="5"/>
        <v>3.1666666666666679</v>
      </c>
      <c r="AG50" s="1">
        <f t="shared" si="6"/>
        <v>5.6164605285340029E-2</v>
      </c>
    </row>
    <row r="51" spans="2:33" ht="15" x14ac:dyDescent="0.25">
      <c r="B51" s="1">
        <v>40</v>
      </c>
      <c r="C51" s="1">
        <v>0.99636005484701162</v>
      </c>
      <c r="D51" s="1">
        <v>1.1250618784033122</v>
      </c>
      <c r="E51" s="1">
        <v>0.88136788295434509</v>
      </c>
      <c r="G51" s="1">
        <v>0.99636005484701162</v>
      </c>
      <c r="H51" s="1">
        <v>1.1250618784033122</v>
      </c>
      <c r="I51" s="1">
        <v>0.88136788295434509</v>
      </c>
      <c r="K51" s="1">
        <v>1.0000264127375411</v>
      </c>
      <c r="L51" s="1">
        <v>1.5240335184983467</v>
      </c>
      <c r="M51" s="1">
        <v>0.65071644394535233</v>
      </c>
      <c r="O51" s="1">
        <v>1.0939757618444741E-3</v>
      </c>
      <c r="P51" s="1">
        <v>0.99636005484701162</v>
      </c>
      <c r="R51" s="1">
        <v>3.9349029133107519E-2</v>
      </c>
      <c r="S51" s="2">
        <f t="shared" si="7"/>
        <v>0.10336505285086037</v>
      </c>
      <c r="T51" s="4">
        <f t="shared" si="0"/>
        <v>1.0684334150861157E-2</v>
      </c>
      <c r="U51" s="1">
        <f t="shared" si="1"/>
        <v>1.1184409951625618E-3</v>
      </c>
      <c r="V51" s="6">
        <f>2*sigma/alpha*corel*(B51/12-1/alpha*(1-EXP(-alpha*Output!B51/12)))</f>
        <v>2.6583288675877559E-2</v>
      </c>
      <c r="W51" s="5">
        <f t="shared" si="10"/>
        <v>-9.5658931556985953E-3</v>
      </c>
      <c r="X51" s="1">
        <f t="shared" si="8"/>
        <v>0.12825191331280633</v>
      </c>
      <c r="Y51" s="3">
        <f t="shared" si="11"/>
        <v>4.9730921134807211E-2</v>
      </c>
      <c r="Z51" s="1">
        <f t="shared" si="2"/>
        <v>5.6615371104129897E-2</v>
      </c>
      <c r="AA51" s="8">
        <f t="shared" si="9"/>
        <v>3.2500000000000013</v>
      </c>
      <c r="AB51" s="1">
        <v>3.3330000000000002</v>
      </c>
      <c r="AC51">
        <v>1.0980966300000001E-3</v>
      </c>
      <c r="AD51" s="8">
        <f t="shared" si="3"/>
        <v>4.1208681555260189E-2</v>
      </c>
      <c r="AE51" s="3">
        <f t="shared" si="4"/>
        <v>3.7527372755219355E-3</v>
      </c>
      <c r="AF51" s="11">
        <f t="shared" si="5"/>
        <v>3.2500000000000013</v>
      </c>
      <c r="AG51" s="1">
        <f t="shared" si="6"/>
        <v>5.6615371104129897E-2</v>
      </c>
    </row>
    <row r="52" spans="2:33" ht="15" x14ac:dyDescent="0.25">
      <c r="B52" s="1">
        <v>41</v>
      </c>
      <c r="C52" s="1">
        <v>0.99627152860459123</v>
      </c>
      <c r="D52" s="1">
        <v>1.1296371605440332</v>
      </c>
      <c r="E52" s="1">
        <v>0.87757788503729706</v>
      </c>
      <c r="G52" s="1">
        <v>0.99627152860459123</v>
      </c>
      <c r="H52" s="1">
        <v>1.1296371605440332</v>
      </c>
      <c r="I52" s="1">
        <v>0.87757788503729706</v>
      </c>
      <c r="K52" s="1">
        <v>1.0000295784952622</v>
      </c>
      <c r="L52" s="1">
        <v>1.5092578395511724</v>
      </c>
      <c r="M52" s="1">
        <v>0.65693321898277468</v>
      </c>
      <c r="O52" s="1">
        <v>1.0932993572058034E-3</v>
      </c>
      <c r="P52" s="1">
        <v>0.99627152860459123</v>
      </c>
      <c r="R52" s="1">
        <v>4.0025498444158168E-2</v>
      </c>
      <c r="S52" s="2">
        <f t="shared" si="7"/>
        <v>0.10518008167877516</v>
      </c>
      <c r="T52" s="4">
        <f t="shared" si="0"/>
        <v>1.1062849581953813E-2</v>
      </c>
      <c r="U52" s="1">
        <f t="shared" si="1"/>
        <v>1.201504930739894E-3</v>
      </c>
      <c r="V52" s="6">
        <f>2*sigma/alpha*corel*(B52/12-1/alpha*(1-EXP(-alpha*Output!B52/12)))</f>
        <v>2.7898743715604357E-2</v>
      </c>
      <c r="W52" s="5">
        <f t="shared" si="10"/>
        <v>-9.8613446512139189E-3</v>
      </c>
      <c r="X52" s="1">
        <f t="shared" si="8"/>
        <v>0.13555005013416585</v>
      </c>
      <c r="Y52" s="3">
        <f t="shared" si="11"/>
        <v>4.9795972715107037E-2</v>
      </c>
      <c r="Z52" s="1">
        <f t="shared" si="2"/>
        <v>5.6902611492955134E-2</v>
      </c>
      <c r="AA52" s="8">
        <f t="shared" si="9"/>
        <v>3.3333333333333348</v>
      </c>
      <c r="AB52" s="1">
        <v>3.4169999999999998</v>
      </c>
      <c r="AC52">
        <v>1.097165378E-3</v>
      </c>
      <c r="AD52" s="8">
        <f t="shared" si="3"/>
        <v>3.8660207941965986E-2</v>
      </c>
      <c r="AE52" s="3">
        <f t="shared" si="4"/>
        <v>3.5236445404829373E-3</v>
      </c>
      <c r="AF52" s="11">
        <f t="shared" si="5"/>
        <v>3.3333333333333348</v>
      </c>
      <c r="AG52" s="1">
        <f t="shared" si="6"/>
        <v>5.6902611492955134E-2</v>
      </c>
    </row>
    <row r="53" spans="2:33" ht="15" x14ac:dyDescent="0.25">
      <c r="B53" s="1">
        <v>42</v>
      </c>
      <c r="C53" s="1">
        <v>0.99618239337503434</v>
      </c>
      <c r="D53" s="1">
        <v>1.1347131445170662</v>
      </c>
      <c r="E53" s="1">
        <v>0.87343872827321156</v>
      </c>
      <c r="G53" s="1">
        <v>0.99618239337503434</v>
      </c>
      <c r="H53" s="1">
        <v>1.1347131445170662</v>
      </c>
      <c r="I53" s="1">
        <v>0.87343872827321156</v>
      </c>
      <c r="K53" s="1">
        <v>1.0000539262889487</v>
      </c>
      <c r="L53" s="1">
        <v>1.4951948903989865</v>
      </c>
      <c r="M53" s="1">
        <v>0.66300513645718007</v>
      </c>
      <c r="O53" s="1">
        <v>1.0928320812820624E-3</v>
      </c>
      <c r="P53" s="1">
        <v>0.99618239337503434</v>
      </c>
      <c r="R53" s="1">
        <v>4.0923334061734908E-2</v>
      </c>
      <c r="S53" s="2">
        <f t="shared" si="7"/>
        <v>0.10755322780571405</v>
      </c>
      <c r="T53" s="4">
        <f t="shared" si="0"/>
        <v>1.1567696811427823E-2</v>
      </c>
      <c r="U53" s="1">
        <f t="shared" si="1"/>
        <v>1.2884376089825622E-3</v>
      </c>
      <c r="V53" s="6">
        <f>2*sigma/alpha*corel*(B53/12-1/alpha*(1-EXP(-alpha*Output!B53/12)))</f>
        <v>2.9244485621268301E-2</v>
      </c>
      <c r="W53" s="5">
        <f t="shared" si="10"/>
        <v>-1.0279259202445261E-2</v>
      </c>
      <c r="X53" s="1">
        <f t="shared" si="8"/>
        <v>0.14476486877348624</v>
      </c>
      <c r="Y53" s="3">
        <f t="shared" si="11"/>
        <v>5.0176471711499908E-2</v>
      </c>
      <c r="Z53" s="1">
        <f t="shared" si="2"/>
        <v>5.7489618470090063E-2</v>
      </c>
      <c r="AA53" s="8">
        <f t="shared" si="9"/>
        <v>3.4166666666666683</v>
      </c>
      <c r="AB53" s="1">
        <v>3.5</v>
      </c>
      <c r="AC53">
        <v>1.096178319E-3</v>
      </c>
      <c r="AD53" s="8">
        <f t="shared" si="3"/>
        <v>3.3462377179375571E-2</v>
      </c>
      <c r="AE53" s="3">
        <f t="shared" si="4"/>
        <v>3.052639939996439E-3</v>
      </c>
      <c r="AF53" s="11">
        <f t="shared" si="5"/>
        <v>3.4166666666666683</v>
      </c>
      <c r="AG53" s="1">
        <f t="shared" si="6"/>
        <v>5.7489618470090063E-2</v>
      </c>
    </row>
    <row r="54" spans="2:33" ht="15" x14ac:dyDescent="0.25">
      <c r="B54" s="1">
        <v>43</v>
      </c>
      <c r="C54" s="1">
        <v>0.99609244329402047</v>
      </c>
      <c r="D54" s="1">
        <v>1.1402898616828396</v>
      </c>
      <c r="E54" s="1">
        <v>0.86888522026240333</v>
      </c>
      <c r="G54" s="1">
        <v>0.99609244329402047</v>
      </c>
      <c r="H54" s="1">
        <v>1.1402898616828396</v>
      </c>
      <c r="I54" s="1">
        <v>0.86888522026240333</v>
      </c>
      <c r="K54" s="1">
        <v>1.0001019109619249</v>
      </c>
      <c r="L54" s="1">
        <v>1.4971766163868745</v>
      </c>
      <c r="M54" s="1">
        <v>0.66194489266795875</v>
      </c>
      <c r="O54" s="1">
        <v>1.0926170657619028E-3</v>
      </c>
      <c r="P54" s="1">
        <v>0.99609244329402047</v>
      </c>
      <c r="R54" s="1">
        <v>4.1964279615509512E-2</v>
      </c>
      <c r="S54" s="2">
        <f t="shared" si="7"/>
        <v>0.11028797705948346</v>
      </c>
      <c r="T54" s="4">
        <f t="shared" si="0"/>
        <v>1.2163437883873149E-2</v>
      </c>
      <c r="U54" s="1">
        <f t="shared" si="1"/>
        <v>1.3793137767978969E-3</v>
      </c>
      <c r="V54" s="6">
        <f>2*sigma/alpha*corel*(B54/12-1/alpha*(1-EXP(-alpha*Output!B54/12)))</f>
        <v>3.0620413604722063E-2</v>
      </c>
      <c r="W54" s="5">
        <f t="shared" si="10"/>
        <v>-1.0784124107075252E-2</v>
      </c>
      <c r="X54" s="1">
        <f t="shared" si="8"/>
        <v>0.15551005526406952</v>
      </c>
      <c r="Y54" s="3">
        <f t="shared" si="11"/>
        <v>5.0752635195700946E-2</v>
      </c>
      <c r="Z54" s="1">
        <f t="shared" si="2"/>
        <v>5.8261889615305089E-2</v>
      </c>
      <c r="AA54" s="8">
        <f t="shared" si="9"/>
        <v>3.5000000000000018</v>
      </c>
      <c r="AB54" s="1">
        <v>3.5830000000000002</v>
      </c>
      <c r="AC54">
        <v>1.095160799E-3</v>
      </c>
      <c r="AD54" s="8">
        <f t="shared" si="3"/>
        <v>2.5437332380972254E-2</v>
      </c>
      <c r="AE54" s="3">
        <f t="shared" si="4"/>
        <v>2.3227029678380821E-3</v>
      </c>
      <c r="AF54" s="11">
        <f t="shared" si="5"/>
        <v>3.5000000000000018</v>
      </c>
      <c r="AG54" s="1">
        <f t="shared" si="6"/>
        <v>5.8261889615305089E-2</v>
      </c>
    </row>
    <row r="55" spans="2:33" ht="15" x14ac:dyDescent="0.25">
      <c r="B55" s="1">
        <v>44</v>
      </c>
      <c r="C55" s="1">
        <v>0.99600322056502499</v>
      </c>
      <c r="D55" s="1">
        <v>1.1458954026676444</v>
      </c>
      <c r="E55" s="1">
        <v>0.86437894372893076</v>
      </c>
      <c r="G55" s="1">
        <v>0.99600322056502499</v>
      </c>
      <c r="H55" s="1">
        <v>1.1458954026676444</v>
      </c>
      <c r="I55" s="1">
        <v>0.86437894372893076</v>
      </c>
      <c r="K55" s="1">
        <v>1.0000929073945906</v>
      </c>
      <c r="L55" s="1">
        <v>1.498884869652068</v>
      </c>
      <c r="M55" s="1">
        <v>0.66107435039195273</v>
      </c>
      <c r="O55" s="1">
        <v>1.0922148828396783E-3</v>
      </c>
      <c r="P55" s="1">
        <v>0.99600322056502499</v>
      </c>
      <c r="R55" s="1">
        <v>4.2552122643877872E-2</v>
      </c>
      <c r="S55" s="2">
        <f t="shared" si="7"/>
        <v>0.11188169224209793</v>
      </c>
      <c r="T55" s="4">
        <f t="shared" si="0"/>
        <v>1.2517513058955517E-2</v>
      </c>
      <c r="U55" s="1">
        <f t="shared" si="1"/>
        <v>1.4742073501543551E-3</v>
      </c>
      <c r="V55" s="6">
        <f>2*sigma/alpha*corel*(B55/12-1/alpha*(1-EXP(-alpha*Output!B55/12)))</f>
        <v>3.2026427213221131E-2</v>
      </c>
      <c r="W55" s="5">
        <f t="shared" si="10"/>
        <v>-1.1043305708801162E-2</v>
      </c>
      <c r="X55" s="1">
        <f t="shared" si="8"/>
        <v>0.16299417576912745</v>
      </c>
      <c r="Y55" s="3">
        <f t="shared" si="11"/>
        <v>5.068621970524613E-2</v>
      </c>
      <c r="Z55" s="1">
        <f t="shared" si="2"/>
        <v>5.8428308189583576E-2</v>
      </c>
      <c r="AA55" s="8">
        <f t="shared" si="9"/>
        <v>3.5833333333333353</v>
      </c>
      <c r="AB55" s="1">
        <v>3.6669999999999998</v>
      </c>
      <c r="AC55">
        <v>1.0941381210000001E-3</v>
      </c>
      <c r="AD55" s="8">
        <f t="shared" si="3"/>
        <v>1.9232381603217878E-2</v>
      </c>
      <c r="AE55" s="3">
        <f t="shared" si="4"/>
        <v>1.7577654259628777E-3</v>
      </c>
      <c r="AF55" s="11">
        <f t="shared" si="5"/>
        <v>3.5833333333333353</v>
      </c>
      <c r="AG55" s="1">
        <f t="shared" si="6"/>
        <v>5.8428308189583576E-2</v>
      </c>
    </row>
    <row r="56" spans="2:33" ht="15" x14ac:dyDescent="0.25">
      <c r="B56" s="1">
        <v>45</v>
      </c>
      <c r="C56" s="1">
        <v>0.99591163644159064</v>
      </c>
      <c r="D56" s="1">
        <v>1.1514767689561862</v>
      </c>
      <c r="E56" s="1">
        <v>0.85999312005503947</v>
      </c>
      <c r="G56" s="1">
        <v>0.99591163644159064</v>
      </c>
      <c r="H56" s="1">
        <v>1.1514767689561862</v>
      </c>
      <c r="I56" s="1">
        <v>0.85999312005503947</v>
      </c>
      <c r="K56" s="1">
        <v>1.0001052876743393</v>
      </c>
      <c r="L56" s="1">
        <v>1.5201903074641807</v>
      </c>
      <c r="M56" s="1">
        <v>0.65167512600223598</v>
      </c>
      <c r="O56" s="1">
        <v>1.092465004103896E-3</v>
      </c>
      <c r="P56" s="1">
        <v>0.99591163644159064</v>
      </c>
      <c r="R56" s="1">
        <v>4.3242132090755475E-2</v>
      </c>
      <c r="S56" s="2">
        <f t="shared" si="7"/>
        <v>0.11373583237030077</v>
      </c>
      <c r="T56" s="4">
        <f t="shared" si="0"/>
        <v>1.2935839564965157E-2</v>
      </c>
      <c r="U56" s="1">
        <f t="shared" si="1"/>
        <v>1.5731914207135489E-3</v>
      </c>
      <c r="V56" s="6">
        <f>2*sigma/alpha*corel*(B56/12-1/alpha*(1-EXP(-alpha*Output!B56/12)))</f>
        <v>3.346242632830565E-2</v>
      </c>
      <c r="W56" s="5">
        <f t="shared" si="10"/>
        <v>-1.1362648144251608E-2</v>
      </c>
      <c r="X56" s="1">
        <f t="shared" si="8"/>
        <v>0.1715594561395514</v>
      </c>
      <c r="Y56" s="3">
        <f t="shared" si="11"/>
        <v>5.0764658323230849E-2</v>
      </c>
      <c r="Z56" s="1">
        <f t="shared" si="2"/>
        <v>5.8732931284961772E-2</v>
      </c>
      <c r="AA56" s="8">
        <f t="shared" si="9"/>
        <v>3.6666666666666687</v>
      </c>
      <c r="AB56" s="1">
        <v>3.75</v>
      </c>
      <c r="AC56">
        <v>1.0931354229999999E-3</v>
      </c>
      <c r="AD56" s="8">
        <f t="shared" si="3"/>
        <v>6.7041889610392619E-3</v>
      </c>
      <c r="AE56" s="3">
        <f t="shared" si="4"/>
        <v>6.1329903138993447E-4</v>
      </c>
      <c r="AF56" s="11">
        <f t="shared" si="5"/>
        <v>3.6666666666666687</v>
      </c>
      <c r="AG56" s="1">
        <f t="shared" si="6"/>
        <v>5.8732931284961772E-2</v>
      </c>
    </row>
    <row r="57" spans="2:33" ht="15" x14ac:dyDescent="0.25">
      <c r="B57" s="1">
        <v>46</v>
      </c>
      <c r="C57" s="1">
        <v>0.99582156701847946</v>
      </c>
      <c r="D57" s="1">
        <v>1.1575949806681638</v>
      </c>
      <c r="E57" s="1">
        <v>0.85521252031129735</v>
      </c>
      <c r="G57" s="1">
        <v>0.99582156701847946</v>
      </c>
      <c r="H57" s="1">
        <v>1.1575949806681638</v>
      </c>
      <c r="I57" s="1">
        <v>0.85521252031129735</v>
      </c>
      <c r="K57" s="1">
        <v>1.0000670153838416</v>
      </c>
      <c r="L57" s="1">
        <v>1.5049464489807722</v>
      </c>
      <c r="M57" s="1">
        <v>0.6581603045692358</v>
      </c>
      <c r="O57" s="1">
        <v>1.0923096591082255E-3</v>
      </c>
      <c r="P57" s="1">
        <v>0.99582156701847946</v>
      </c>
      <c r="R57" s="1">
        <v>4.3579966334258653E-2</v>
      </c>
      <c r="S57" s="2">
        <f t="shared" si="7"/>
        <v>0.11470162223410363</v>
      </c>
      <c r="T57" s="4">
        <f t="shared" ref="T57:T86" si="12">S57*S57</f>
        <v>1.3156462143135017E-2</v>
      </c>
      <c r="U57" s="1">
        <f t="shared" ref="U57:U120" si="13">sigma*sigma/alpha/alpha*(B57/12+2/alpha*EXP(-alpha*B57/12)-1/2/alpha*EXP(-2*alpha*B57/12)-3/2/alpha)</f>
        <v>1.6763382624160883E-3</v>
      </c>
      <c r="V57" s="6">
        <f>2*sigma/alpha*corel*(B57/12-1/alpha*(1-EXP(-alpha*Output!B57/12)))</f>
        <v>3.4928311164687864E-2</v>
      </c>
      <c r="W57" s="5">
        <f t="shared" ref="W57:W86" si="14">U57-T57</f>
        <v>-1.1480123880718928E-2</v>
      </c>
      <c r="X57" s="1">
        <f t="shared" si="8"/>
        <v>0.17724855309184084</v>
      </c>
      <c r="Y57" s="3">
        <f t="shared" ref="Y57:Y86" si="15">(-V57+SQRT(X57))/2/B57*12</f>
        <v>5.0358346846644683E-2</v>
      </c>
      <c r="Z57" s="1">
        <f t="shared" si="2"/>
        <v>5.858430300924216E-2</v>
      </c>
      <c r="AA57" s="8">
        <f t="shared" si="9"/>
        <v>3.7500000000000022</v>
      </c>
      <c r="AB57" s="1">
        <v>3.8330000000000002</v>
      </c>
      <c r="AC57">
        <v>1.092177803E-3</v>
      </c>
      <c r="AD57" s="8">
        <f t="shared" si="3"/>
        <v>-1.3185610822554622E-3</v>
      </c>
      <c r="AE57" s="3">
        <f t="shared" si="4"/>
        <v>-1.2072769457808348E-4</v>
      </c>
      <c r="AF57" s="11">
        <f t="shared" si="5"/>
        <v>3.7500000000000022</v>
      </c>
      <c r="AG57" s="1">
        <f t="shared" si="6"/>
        <v>5.858430300924216E-2</v>
      </c>
    </row>
    <row r="58" spans="2:33" ht="15" x14ac:dyDescent="0.25">
      <c r="B58" s="1">
        <v>47</v>
      </c>
      <c r="C58" s="1">
        <v>0.99572873683516794</v>
      </c>
      <c r="D58" s="1">
        <v>1.1638462791834454</v>
      </c>
      <c r="E58" s="1">
        <v>0.85034013605442182</v>
      </c>
      <c r="G58" s="1">
        <v>0.99572873683516794</v>
      </c>
      <c r="H58" s="1">
        <v>1.1638462791834454</v>
      </c>
      <c r="I58" s="1">
        <v>0.85034013605442182</v>
      </c>
      <c r="K58" s="1">
        <v>1.0000781108750674</v>
      </c>
      <c r="L58" s="1">
        <v>1.503893789282909</v>
      </c>
      <c r="M58" s="1">
        <v>0.65845548943600352</v>
      </c>
      <c r="O58" s="1">
        <v>1.0928709108177139E-3</v>
      </c>
      <c r="P58" s="1">
        <v>0.99572873683516794</v>
      </c>
      <c r="R58" s="1">
        <v>4.416570497493303E-2</v>
      </c>
      <c r="S58" s="2">
        <f t="shared" si="7"/>
        <v>0.11629524000904232</v>
      </c>
      <c r="T58" s="4">
        <f t="shared" si="12"/>
        <v>1.3524582848760756E-2</v>
      </c>
      <c r="U58" s="1">
        <f t="shared" si="13"/>
        <v>1.7837193380185745E-3</v>
      </c>
      <c r="V58" s="6">
        <f>2*sigma/alpha*corel*(B58/12-1/alpha*(1-EXP(-alpha*Output!B58/12)))</f>
        <v>3.6423982269144284E-2</v>
      </c>
      <c r="W58" s="5">
        <f t="shared" si="14"/>
        <v>-1.1740863510742182E-2</v>
      </c>
      <c r="X58" s="1">
        <f t="shared" si="8"/>
        <v>0.18526690148597044</v>
      </c>
      <c r="Y58" s="3">
        <f t="shared" si="15"/>
        <v>5.0298183310542838E-2</v>
      </c>
      <c r="Z58" s="1">
        <f t="shared" si="2"/>
        <v>5.8762955870704126E-2</v>
      </c>
      <c r="AA58" s="8">
        <f t="shared" si="9"/>
        <v>3.8333333333333357</v>
      </c>
      <c r="AB58" s="1">
        <v>3.9169999999999998</v>
      </c>
      <c r="AC58">
        <v>1.0912903580000001E-3</v>
      </c>
      <c r="AD58" s="8">
        <f t="shared" si="3"/>
        <v>-1.5805528177138557E-2</v>
      </c>
      <c r="AE58" s="3">
        <f t="shared" si="4"/>
        <v>-1.4483338976901835E-3</v>
      </c>
      <c r="AF58" s="11">
        <f t="shared" si="5"/>
        <v>3.8333333333333357</v>
      </c>
      <c r="AG58" s="1">
        <f t="shared" si="6"/>
        <v>5.8762955870704126E-2</v>
      </c>
    </row>
    <row r="59" spans="2:33" ht="15" x14ac:dyDescent="0.25">
      <c r="B59" s="1">
        <v>48</v>
      </c>
      <c r="C59" s="1">
        <v>0.99563538794667161</v>
      </c>
      <c r="D59" s="1">
        <v>1.1702887102248125</v>
      </c>
      <c r="E59" s="1">
        <v>0.84537999830923993</v>
      </c>
      <c r="G59" s="1">
        <v>0.99563538794667161</v>
      </c>
      <c r="H59" s="1">
        <v>1.1702887102248125</v>
      </c>
      <c r="I59" s="1">
        <v>0.84537999830923993</v>
      </c>
      <c r="K59" s="1">
        <v>1.0000745888534854</v>
      </c>
      <c r="L59" s="1">
        <v>1.4933063621044649</v>
      </c>
      <c r="M59" s="1">
        <v>0.6630079992744462</v>
      </c>
      <c r="O59" s="1">
        <v>1.093541194652459E-3</v>
      </c>
      <c r="P59" s="1">
        <v>0.99563538794667161</v>
      </c>
      <c r="R59" s="1">
        <v>4.4926610242528191E-2</v>
      </c>
      <c r="S59" s="2">
        <f t="shared" si="7"/>
        <v>0.11833084266301158</v>
      </c>
      <c r="T59" s="4">
        <f t="shared" si="12"/>
        <v>1.4002188325338403E-2</v>
      </c>
      <c r="U59" s="1">
        <f t="shared" si="13"/>
        <v>1.8954053055892928E-3</v>
      </c>
      <c r="V59" s="6">
        <f>2*sigma/alpha*corel*(B59/12-1/alpha*(1-EXP(-alpha*Output!B59/12)))</f>
        <v>3.7949340519410457E-2</v>
      </c>
      <c r="W59" s="5">
        <f t="shared" si="14"/>
        <v>-1.210678301974911E-2</v>
      </c>
      <c r="X59" s="1">
        <f t="shared" si="8"/>
        <v>0.19514868076184391</v>
      </c>
      <c r="Y59" s="3">
        <f t="shared" si="15"/>
        <v>5.0475877316427172E-2</v>
      </c>
      <c r="Z59" s="1">
        <f t="shared" si="2"/>
        <v>5.9165421331505791E-2</v>
      </c>
      <c r="AA59" s="8">
        <f t="shared" si="9"/>
        <v>3.9166666666666692</v>
      </c>
      <c r="AB59" s="1">
        <v>4</v>
      </c>
      <c r="AC59">
        <v>1.090498186E-3</v>
      </c>
      <c r="AD59" s="8">
        <f t="shared" si="3"/>
        <v>-3.0430086524590571E-2</v>
      </c>
      <c r="AE59" s="3">
        <f t="shared" si="4"/>
        <v>-2.7904756665583824E-3</v>
      </c>
      <c r="AF59" s="11">
        <f t="shared" si="5"/>
        <v>3.9166666666666692</v>
      </c>
      <c r="AG59" s="1">
        <f t="shared" si="6"/>
        <v>5.9165421331505791E-2</v>
      </c>
    </row>
    <row r="60" spans="2:33" ht="15" x14ac:dyDescent="0.25">
      <c r="B60" s="1">
        <v>49</v>
      </c>
      <c r="C60" s="1">
        <v>0.995540314803945</v>
      </c>
      <c r="D60" s="1">
        <v>1.1764567475676757</v>
      </c>
      <c r="E60" s="1">
        <v>0.8406893652795292</v>
      </c>
      <c r="G60" s="1">
        <v>0.995540314803945</v>
      </c>
      <c r="H60" s="1">
        <v>1.1764567475676757</v>
      </c>
      <c r="I60" s="1">
        <v>0.8406893652795292</v>
      </c>
      <c r="K60" s="1">
        <v>1.0000519340188798</v>
      </c>
      <c r="L60" s="1">
        <v>1.5101970027096063</v>
      </c>
      <c r="M60" s="1">
        <v>0.65542459559136579</v>
      </c>
      <c r="O60" s="1">
        <v>1.0946104303447969E-3</v>
      </c>
      <c r="P60" s="1">
        <v>0.995540314803945</v>
      </c>
      <c r="R60" s="1">
        <v>4.535503587417021E-2</v>
      </c>
      <c r="S60" s="2">
        <f t="shared" si="7"/>
        <v>0.11953161724461411</v>
      </c>
      <c r="T60" s="4">
        <f t="shared" si="12"/>
        <v>1.428780752111293E-2</v>
      </c>
      <c r="U60" s="1">
        <f t="shared" si="13"/>
        <v>2.0114660249475058E-3</v>
      </c>
      <c r="V60" s="6">
        <f>2*sigma/alpha*corel*(B60/12-1/alpha*(1-EXP(-alpha*Output!B60/12)))</f>
        <v>3.9504287123079018E-2</v>
      </c>
      <c r="W60" s="5">
        <f t="shared" si="14"/>
        <v>-1.2276341496165424E-2</v>
      </c>
      <c r="X60" s="1">
        <f t="shared" si="8"/>
        <v>0.20207416647180459</v>
      </c>
      <c r="Y60" s="3">
        <f t="shared" si="15"/>
        <v>5.0206814143668475E-2</v>
      </c>
      <c r="Z60" s="1">
        <f t="shared" si="2"/>
        <v>5.9152809765299373E-2</v>
      </c>
      <c r="AA60" s="8">
        <f t="shared" si="9"/>
        <v>4.0000000000000027</v>
      </c>
      <c r="AB60" s="1">
        <v>4.0830000000000002</v>
      </c>
      <c r="AC60">
        <v>1.0898263830000001E-3</v>
      </c>
      <c r="AD60" s="8">
        <f t="shared" si="3"/>
        <v>-4.7840473447967845E-2</v>
      </c>
      <c r="AE60" s="3">
        <f t="shared" si="4"/>
        <v>-4.3897334652769036E-3</v>
      </c>
      <c r="AF60" s="11">
        <f t="shared" si="5"/>
        <v>4.0000000000000027</v>
      </c>
      <c r="AG60" s="1">
        <f t="shared" si="6"/>
        <v>5.9152809765299373E-2</v>
      </c>
    </row>
    <row r="61" spans="2:33" ht="15" x14ac:dyDescent="0.25">
      <c r="B61" s="1">
        <v>50</v>
      </c>
      <c r="C61" s="1">
        <v>0.99544478793717117</v>
      </c>
      <c r="D61" s="1">
        <v>1.1826761596139745</v>
      </c>
      <c r="E61" s="1">
        <v>0.836050497450046</v>
      </c>
      <c r="G61" s="1">
        <v>0.99544478793717117</v>
      </c>
      <c r="H61" s="1">
        <v>1.1826761596139745</v>
      </c>
      <c r="I61" s="1">
        <v>0.836050497450046</v>
      </c>
      <c r="K61" s="1">
        <v>1.0000284117883262</v>
      </c>
      <c r="L61" s="1">
        <v>1.4769253711188235</v>
      </c>
      <c r="M61" s="1">
        <v>0.67004993982908501</v>
      </c>
      <c r="O61" s="1">
        <v>1.0957484774758749E-3</v>
      </c>
      <c r="P61" s="1">
        <v>0.99544478793717117</v>
      </c>
      <c r="R61" s="1">
        <v>4.5980976345042404E-2</v>
      </c>
      <c r="S61" s="2">
        <f t="shared" si="7"/>
        <v>0.1212305992353937</v>
      </c>
      <c r="T61" s="4">
        <f t="shared" si="12"/>
        <v>1.4696858190972639E-2</v>
      </c>
      <c r="U61" s="1">
        <f t="shared" si="13"/>
        <v>2.1319705640627795E-3</v>
      </c>
      <c r="V61" s="6">
        <f>2*sigma/alpha*corel*(B61/12-1/alpha*(1-EXP(-alpha*Output!B61/12)))</f>
        <v>4.1088723616502509E-2</v>
      </c>
      <c r="W61" s="5">
        <f t="shared" si="14"/>
        <v>-1.2564887626909859E-2</v>
      </c>
      <c r="X61" s="1">
        <f t="shared" si="8"/>
        <v>0.21110307699026434</v>
      </c>
      <c r="Y61" s="3">
        <f t="shared" si="15"/>
        <v>5.0204499022903096E-2</v>
      </c>
      <c r="Z61" s="1">
        <f t="shared" si="2"/>
        <v>5.9390621867711012E-2</v>
      </c>
      <c r="AA61" s="8">
        <f t="shared" si="9"/>
        <v>4.0833333333333357</v>
      </c>
      <c r="AB61" s="1">
        <v>4.1669999999999998</v>
      </c>
      <c r="AC61">
        <v>1.0893000610000001E-3</v>
      </c>
      <c r="AD61" s="8">
        <f t="shared" si="3"/>
        <v>-6.448416475874881E-2</v>
      </c>
      <c r="AE61" s="3">
        <f t="shared" si="4"/>
        <v>-5.9197797803803489E-3</v>
      </c>
      <c r="AF61" s="11">
        <f t="shared" si="5"/>
        <v>4.0833333333333357</v>
      </c>
      <c r="AG61" s="1">
        <f t="shared" si="6"/>
        <v>5.9390621867711012E-2</v>
      </c>
    </row>
    <row r="62" spans="2:33" ht="15" x14ac:dyDescent="0.25">
      <c r="B62" s="1">
        <v>51</v>
      </c>
      <c r="C62" s="1">
        <v>0.99534852980660593</v>
      </c>
      <c r="D62" s="1">
        <v>1.1888768680227788</v>
      </c>
      <c r="E62" s="1">
        <v>0.83139341536415023</v>
      </c>
      <c r="G62" s="1">
        <v>0.99534852980660593</v>
      </c>
      <c r="H62" s="1">
        <v>1.1888768680227788</v>
      </c>
      <c r="I62" s="1">
        <v>0.83139341536415023</v>
      </c>
      <c r="K62" s="1">
        <v>1.0000497972329281</v>
      </c>
      <c r="L62" s="1">
        <v>1.5274892838708918</v>
      </c>
      <c r="M62" s="1">
        <v>0.64771864991251205</v>
      </c>
      <c r="O62" s="1">
        <v>1.0970169282391998E-3</v>
      </c>
      <c r="P62" s="1">
        <v>0.99534852980660593</v>
      </c>
      <c r="R62" s="1">
        <v>4.6715323576587732E-2</v>
      </c>
      <c r="S62" s="2">
        <f t="shared" si="7"/>
        <v>0.123203842761024</v>
      </c>
      <c r="T62" s="4">
        <f t="shared" si="12"/>
        <v>1.5179186871083127E-2</v>
      </c>
      <c r="U62" s="1">
        <f t="shared" si="13"/>
        <v>2.2569872054103435E-3</v>
      </c>
      <c r="V62" s="6">
        <f>2*sigma/alpha*corel*(B62/12-1/alpha*(1-EXP(-alpha*Output!B62/12)))</f>
        <v>4.270255186369909E-2</v>
      </c>
      <c r="W62" s="5">
        <f t="shared" si="14"/>
        <v>-1.2922199665672783E-2</v>
      </c>
      <c r="X62" s="1">
        <f t="shared" si="8"/>
        <v>0.22150090225210922</v>
      </c>
      <c r="Y62" s="3">
        <f t="shared" si="15"/>
        <v>5.0345443730247491E-2</v>
      </c>
      <c r="Z62" s="1">
        <f t="shared" si="2"/>
        <v>5.9762642021846085E-2</v>
      </c>
      <c r="AA62" s="8">
        <f t="shared" si="9"/>
        <v>4.1666666666666687</v>
      </c>
      <c r="AB62" s="1">
        <v>4.25</v>
      </c>
      <c r="AC62">
        <v>1.0889443910000001E-3</v>
      </c>
      <c r="AD62" s="8">
        <f t="shared" si="3"/>
        <v>-8.0725372391997688E-2</v>
      </c>
      <c r="AE62" s="3">
        <f t="shared" si="4"/>
        <v>-7.4131767479757088E-3</v>
      </c>
      <c r="AF62" s="11">
        <f t="shared" si="5"/>
        <v>4.1666666666666687</v>
      </c>
      <c r="AG62" s="1">
        <f t="shared" si="6"/>
        <v>5.9762642021846085E-2</v>
      </c>
    </row>
    <row r="63" spans="2:33" ht="15" x14ac:dyDescent="0.25">
      <c r="B63" s="1">
        <v>52</v>
      </c>
      <c r="C63" s="1">
        <v>0.99525278766802605</v>
      </c>
      <c r="D63" s="1">
        <v>1.1949430012188418</v>
      </c>
      <c r="E63" s="1">
        <v>0.82692466716282143</v>
      </c>
      <c r="G63" s="1">
        <v>0.99525278766802605</v>
      </c>
      <c r="H63" s="1">
        <v>1.1949430012188418</v>
      </c>
      <c r="I63" s="1">
        <v>0.82692466716282143</v>
      </c>
      <c r="K63" s="1">
        <v>1.0000547331351706</v>
      </c>
      <c r="L63" s="1">
        <v>1.539288270335569</v>
      </c>
      <c r="M63" s="1">
        <v>0.64263941009415526</v>
      </c>
      <c r="O63" s="1">
        <v>1.0981191076123999E-3</v>
      </c>
      <c r="P63" s="1">
        <v>0.99525278766802605</v>
      </c>
      <c r="R63" s="1">
        <v>4.7413014553441282E-2</v>
      </c>
      <c r="S63" s="2">
        <f t="shared" si="7"/>
        <v>0.12508438102382435</v>
      </c>
      <c r="T63" s="4">
        <f t="shared" si="12"/>
        <v>1.5646102376113271E-2</v>
      </c>
      <c r="U63" s="1">
        <f t="shared" si="13"/>
        <v>2.3865834522722729E-3</v>
      </c>
      <c r="V63" s="6">
        <f>2*sigma/alpha*corel*(B63/12-1/alpha*(1-EXP(-alpha*Output!B63/12)))</f>
        <v>4.434567405526274E-2</v>
      </c>
      <c r="W63" s="5">
        <f t="shared" si="14"/>
        <v>-1.3259518923840998E-2</v>
      </c>
      <c r="X63" s="1">
        <f t="shared" si="8"/>
        <v>0.23179820015399288</v>
      </c>
      <c r="Y63" s="3">
        <f t="shared" si="15"/>
        <v>5.043560555310532E-2</v>
      </c>
      <c r="Z63" s="1">
        <f t="shared" si="2"/>
        <v>6.0088593009591205E-2</v>
      </c>
      <c r="AA63" s="8">
        <f t="shared" si="9"/>
        <v>4.2500000000000018</v>
      </c>
      <c r="AB63" s="1">
        <v>4.3330000000000002</v>
      </c>
      <c r="AC63">
        <v>1.0887845569999999E-3</v>
      </c>
      <c r="AD63" s="8">
        <f t="shared" si="3"/>
        <v>-9.3345506124000235E-2</v>
      </c>
      <c r="AE63" s="3">
        <f t="shared" si="4"/>
        <v>-8.5733679380245141E-3</v>
      </c>
      <c r="AF63" s="11">
        <f t="shared" si="5"/>
        <v>4.2500000000000018</v>
      </c>
      <c r="AG63" s="1">
        <f t="shared" si="6"/>
        <v>6.0088593009591205E-2</v>
      </c>
    </row>
    <row r="64" spans="2:33" ht="15" x14ac:dyDescent="0.25">
      <c r="B64" s="1">
        <v>53</v>
      </c>
      <c r="C64" s="1">
        <v>0.99515734044757087</v>
      </c>
      <c r="D64" s="1">
        <v>1.2011723442079469</v>
      </c>
      <c r="E64" s="1">
        <v>0.82236842105263164</v>
      </c>
      <c r="G64" s="1">
        <v>0.99515734044757087</v>
      </c>
      <c r="H64" s="1">
        <v>1.2011723442079469</v>
      </c>
      <c r="I64" s="1">
        <v>0.82236842105263164</v>
      </c>
      <c r="K64" s="1">
        <v>1.0000320289765097</v>
      </c>
      <c r="L64" s="1">
        <v>1.5204961921558522</v>
      </c>
      <c r="M64" s="1">
        <v>0.65047416059900842</v>
      </c>
      <c r="O64" s="1">
        <v>1.0991146917425597E-3</v>
      </c>
      <c r="P64" s="1">
        <v>0.99515734044757087</v>
      </c>
      <c r="R64" s="1">
        <v>4.7826617975429905E-2</v>
      </c>
      <c r="S64" s="2">
        <f t="shared" si="7"/>
        <v>0.12624903852047242</v>
      </c>
      <c r="T64" s="4">
        <f t="shared" si="12"/>
        <v>1.593881972734373E-2</v>
      </c>
      <c r="U64" s="1">
        <f t="shared" si="13"/>
        <v>2.5208260350000344E-3</v>
      </c>
      <c r="V64" s="6">
        <f>2*sigma/alpha*corel*(B64/12-1/alpha*(1-EXP(-alpha*Output!B64/12)))</f>
        <v>4.6017992707275468E-2</v>
      </c>
      <c r="W64" s="5">
        <f t="shared" si="14"/>
        <v>-1.3417993692343696E-2</v>
      </c>
      <c r="X64" s="1">
        <f t="shared" si="8"/>
        <v>0.23916887755087882</v>
      </c>
      <c r="Y64" s="3">
        <f t="shared" si="15"/>
        <v>5.015444823322783E-2</v>
      </c>
      <c r="Z64" s="1">
        <f t="shared" si="2"/>
        <v>6.0073200116431025E-2</v>
      </c>
      <c r="AA64" s="8">
        <f t="shared" si="9"/>
        <v>4.3333333333333348</v>
      </c>
      <c r="AB64" s="1">
        <v>4.4169999999999998</v>
      </c>
      <c r="AC64">
        <v>1.088845744E-3</v>
      </c>
      <c r="AD64" s="8">
        <f t="shared" si="3"/>
        <v>-0.10268947742559688</v>
      </c>
      <c r="AE64" s="3">
        <f t="shared" si="4"/>
        <v>-9.4310399789372633E-3</v>
      </c>
      <c r="AF64" s="11">
        <f t="shared" si="5"/>
        <v>4.3333333333333348</v>
      </c>
      <c r="AG64" s="1">
        <f t="shared" si="6"/>
        <v>6.0073200116431025E-2</v>
      </c>
    </row>
    <row r="65" spans="2:33" ht="15" x14ac:dyDescent="0.25">
      <c r="B65" s="1">
        <v>54</v>
      </c>
      <c r="C65" s="1">
        <v>0.99506240451354677</v>
      </c>
      <c r="D65" s="1">
        <v>1.207175450880031</v>
      </c>
      <c r="E65" s="1">
        <v>0.81799591002044991</v>
      </c>
      <c r="G65" s="1">
        <v>0.99506240451354677</v>
      </c>
      <c r="H65" s="1">
        <v>1.207175450880031</v>
      </c>
      <c r="I65" s="1">
        <v>0.81799591002044991</v>
      </c>
      <c r="K65" s="1">
        <v>1.0000438343038256</v>
      </c>
      <c r="L65" s="1">
        <v>1.532802453516765</v>
      </c>
      <c r="M65" s="1">
        <v>0.64507459584977389</v>
      </c>
      <c r="O65" s="1">
        <v>1.0999612635944958E-3</v>
      </c>
      <c r="P65" s="1">
        <v>0.99506240451354677</v>
      </c>
      <c r="R65" s="1">
        <v>4.8474768784591442E-2</v>
      </c>
      <c r="S65" s="2">
        <f t="shared" si="7"/>
        <v>0.12800419803938051</v>
      </c>
      <c r="T65" s="4">
        <f t="shared" si="12"/>
        <v>1.6385074715704946E-2</v>
      </c>
      <c r="U65" s="1">
        <f t="shared" si="13"/>
        <v>2.6597809172317355E-3</v>
      </c>
      <c r="V65" s="6">
        <f>2*sigma/alpha*corel*(B65/12-1/alpha*(1-EXP(-alpha*Output!B65/12)))</f>
        <v>4.7719410660225003E-2</v>
      </c>
      <c r="W65" s="5">
        <f t="shared" si="14"/>
        <v>-1.3725293798473211E-2</v>
      </c>
      <c r="X65" s="1">
        <f t="shared" si="8"/>
        <v>0.24933243052627696</v>
      </c>
      <c r="Y65" s="3">
        <f t="shared" si="15"/>
        <v>5.0179174846783497E-2</v>
      </c>
      <c r="Z65" s="1">
        <f t="shared" si="2"/>
        <v>6.0341757635994496E-2</v>
      </c>
      <c r="AA65" s="8">
        <f t="shared" si="9"/>
        <v>4.4166666666666679</v>
      </c>
      <c r="AB65" s="1">
        <v>4.5</v>
      </c>
      <c r="AC65">
        <v>1.0891531349999999E-3</v>
      </c>
      <c r="AD65" s="8">
        <f t="shared" si="3"/>
        <v>-0.108081285944959</v>
      </c>
      <c r="AE65" s="3">
        <f t="shared" si="4"/>
        <v>-9.9234242157287648E-3</v>
      </c>
      <c r="AF65" s="11">
        <f t="shared" si="5"/>
        <v>4.4166666666666679</v>
      </c>
      <c r="AG65" s="1">
        <f t="shared" si="6"/>
        <v>6.0341757635994496E-2</v>
      </c>
    </row>
    <row r="66" spans="2:33" ht="15" x14ac:dyDescent="0.25">
      <c r="B66" s="1">
        <v>55</v>
      </c>
      <c r="C66" s="1">
        <v>0.99496991059406825</v>
      </c>
      <c r="D66" s="1">
        <v>1.2130769697337296</v>
      </c>
      <c r="E66" s="1">
        <v>0.81373586133940912</v>
      </c>
      <c r="G66" s="1">
        <v>0.99496991059406825</v>
      </c>
      <c r="H66" s="1">
        <v>1.2130769697337296</v>
      </c>
      <c r="I66" s="1">
        <v>0.81373586133940912</v>
      </c>
      <c r="K66" s="1">
        <v>1.0000717988812446</v>
      </c>
      <c r="L66" s="1">
        <v>1.5545910620995362</v>
      </c>
      <c r="M66" s="1">
        <v>0.6359144707972344</v>
      </c>
      <c r="O66" s="1">
        <v>1.1002435395877849E-3</v>
      </c>
      <c r="P66" s="1">
        <v>0.99496991059406825</v>
      </c>
      <c r="R66" s="1">
        <v>4.9174240165715255E-2</v>
      </c>
      <c r="S66" s="2">
        <f t="shared" si="7"/>
        <v>0.12988581229167812</v>
      </c>
      <c r="T66" s="4">
        <f t="shared" si="12"/>
        <v>1.687032423466904E-2</v>
      </c>
      <c r="U66" s="1">
        <f t="shared" si="13"/>
        <v>2.8035133020591907E-3</v>
      </c>
      <c r="V66" s="6">
        <f>2*sigma/alpha*corel*(B66/12-1/alpha*(1-EXP(-alpha*Output!B66/12)))</f>
        <v>4.9449831077924777E-2</v>
      </c>
      <c r="W66" s="5">
        <f t="shared" si="14"/>
        <v>-1.4066810932609849E-2</v>
      </c>
      <c r="X66" s="1">
        <f t="shared" si="8"/>
        <v>0.26033681955814919</v>
      </c>
      <c r="Y66" s="3">
        <f t="shared" si="15"/>
        <v>5.0267159141976478E-2</v>
      </c>
      <c r="Z66" s="1">
        <f t="shared" si="2"/>
        <v>6.0669580638379905E-2</v>
      </c>
      <c r="AA66" s="8">
        <f t="shared" si="9"/>
        <v>4.5000000000000009</v>
      </c>
      <c r="AB66" s="1">
        <v>4.5830000000000002</v>
      </c>
      <c r="AC66">
        <v>1.0897319150000001E-3</v>
      </c>
      <c r="AD66" s="8">
        <f t="shared" si="3"/>
        <v>-0.10511624587784861</v>
      </c>
      <c r="AE66" s="3">
        <f t="shared" si="4"/>
        <v>-9.6460647275663763E-3</v>
      </c>
      <c r="AF66" s="11">
        <f t="shared" si="5"/>
        <v>4.5000000000000009</v>
      </c>
      <c r="AG66" s="1">
        <f t="shared" si="6"/>
        <v>6.0669580638379905E-2</v>
      </c>
    </row>
    <row r="67" spans="2:33" ht="15" x14ac:dyDescent="0.25">
      <c r="B67" s="1">
        <v>56</v>
      </c>
      <c r="C67" s="1">
        <v>0.99487961196106611</v>
      </c>
      <c r="D67" s="1">
        <v>1.2188433176915108</v>
      </c>
      <c r="E67" s="1">
        <v>0.80965104040158686</v>
      </c>
      <c r="G67" s="1">
        <v>0.99487961196106611</v>
      </c>
      <c r="H67" s="1">
        <v>1.2188433176915108</v>
      </c>
      <c r="I67" s="1">
        <v>0.80965104040158686</v>
      </c>
      <c r="K67" s="1">
        <v>1.0000760668925102</v>
      </c>
      <c r="L67" s="1">
        <v>1.5439403246931904</v>
      </c>
      <c r="M67" s="1">
        <v>0.64019007427771812</v>
      </c>
      <c r="O67" s="1">
        <v>1.1000447459446954E-3</v>
      </c>
      <c r="P67" s="1">
        <v>0.99487961196106611</v>
      </c>
      <c r="R67" s="1">
        <v>4.9779863780857053E-2</v>
      </c>
      <c r="S67" s="2">
        <f t="shared" si="7"/>
        <v>0.13152835064771901</v>
      </c>
      <c r="T67" s="4">
        <f t="shared" si="12"/>
        <v>1.7299707024109323E-2</v>
      </c>
      <c r="U67" s="1">
        <f t="shared" si="13"/>
        <v>2.952087638155021E-3</v>
      </c>
      <c r="V67" s="6">
        <f>2*sigma/alpha*corel*(B67/12-1/alpha*(1-EXP(-alpha*Output!B67/12)))</f>
        <v>5.1209157446438947E-2</v>
      </c>
      <c r="W67" s="5">
        <f t="shared" si="14"/>
        <v>-1.4347619385954302E-2</v>
      </c>
      <c r="X67" s="1">
        <f t="shared" si="8"/>
        <v>0.27044460634418782</v>
      </c>
      <c r="Y67" s="3">
        <f t="shared" si="15"/>
        <v>5.0232185517901401E-2</v>
      </c>
      <c r="Z67" s="1">
        <f t="shared" si="2"/>
        <v>6.0885795359795165E-2</v>
      </c>
      <c r="AA67" s="8">
        <f t="shared" si="9"/>
        <v>4.5833333333333339</v>
      </c>
      <c r="AB67" s="1">
        <v>4.6669999999999998</v>
      </c>
      <c r="AC67">
        <v>1.090607268E-3</v>
      </c>
      <c r="AD67" s="8">
        <f t="shared" si="3"/>
        <v>-9.4374779446954826E-2</v>
      </c>
      <c r="AE67" s="3">
        <f t="shared" si="4"/>
        <v>-8.6534155984512324E-3</v>
      </c>
      <c r="AF67" s="11">
        <f t="shared" si="5"/>
        <v>4.5833333333333339</v>
      </c>
      <c r="AG67" s="1">
        <f t="shared" si="6"/>
        <v>6.0885795359795165E-2</v>
      </c>
    </row>
    <row r="68" spans="2:33" ht="15" x14ac:dyDescent="0.25">
      <c r="B68" s="1">
        <v>57</v>
      </c>
      <c r="C68" s="1">
        <v>0.99479172510301028</v>
      </c>
      <c r="D68" s="1">
        <v>1.2247247431139852</v>
      </c>
      <c r="E68" s="1">
        <v>0.80547724526782116</v>
      </c>
      <c r="G68" s="1">
        <v>0.99479172510301028</v>
      </c>
      <c r="H68" s="1">
        <v>1.2247247431139852</v>
      </c>
      <c r="I68" s="1">
        <v>0.80547724526782116</v>
      </c>
      <c r="K68" s="1">
        <v>1.00007385889276</v>
      </c>
      <c r="L68" s="1">
        <v>1.5272691611521159</v>
      </c>
      <c r="M68" s="1">
        <v>0.64704546503357208</v>
      </c>
      <c r="O68" s="1">
        <v>1.0993442608127034E-3</v>
      </c>
      <c r="P68" s="1">
        <v>0.99479172510301028</v>
      </c>
      <c r="R68" s="1">
        <v>5.0459078049414019E-2</v>
      </c>
      <c r="S68" s="2">
        <f t="shared" si="7"/>
        <v>0.13335351500809267</v>
      </c>
      <c r="T68" s="4">
        <f t="shared" si="12"/>
        <v>1.7783159965013597E-2</v>
      </c>
      <c r="U68" s="1">
        <f t="shared" si="13"/>
        <v>3.1055676258544551E-3</v>
      </c>
      <c r="V68" s="6">
        <f>2*sigma/alpha*corel*(B68/12-1/alpha*(1-EXP(-alpha*Output!B68/12)))</f>
        <v>5.2997293573007198E-2</v>
      </c>
      <c r="W68" s="5">
        <f t="shared" si="14"/>
        <v>-1.4677592339159141E-2</v>
      </c>
      <c r="X68" s="1">
        <f t="shared" si="8"/>
        <v>0.28168296757008721</v>
      </c>
      <c r="Y68" s="3">
        <f t="shared" si="15"/>
        <v>5.0288509586885841E-2</v>
      </c>
      <c r="Z68" s="1">
        <f t="shared" si="2"/>
        <v>6.1186789019601097E-2</v>
      </c>
      <c r="AA68" s="8">
        <f t="shared" si="9"/>
        <v>4.666666666666667</v>
      </c>
      <c r="AB68" s="1">
        <v>4.75</v>
      </c>
      <c r="AC68">
        <v>1.091804379E-3</v>
      </c>
      <c r="AD68" s="8">
        <f t="shared" si="3"/>
        <v>-7.5398818127033529E-2</v>
      </c>
      <c r="AE68" s="3">
        <f t="shared" si="4"/>
        <v>-6.9058907966729746E-3</v>
      </c>
      <c r="AF68" s="11">
        <f t="shared" si="5"/>
        <v>4.666666666666667</v>
      </c>
      <c r="AG68" s="1">
        <f t="shared" si="6"/>
        <v>6.1186789019601097E-2</v>
      </c>
    </row>
    <row r="69" spans="2:33" ht="15" x14ac:dyDescent="0.25">
      <c r="B69" s="1">
        <v>58</v>
      </c>
      <c r="C69" s="1">
        <v>0.99470832442247137</v>
      </c>
      <c r="D69" s="1">
        <v>1.230299824067125</v>
      </c>
      <c r="E69" s="1">
        <v>0.80153895479320292</v>
      </c>
      <c r="G69" s="1">
        <v>0.99470832442247137</v>
      </c>
      <c r="H69" s="1">
        <v>1.230299824067125</v>
      </c>
      <c r="I69" s="1">
        <v>0.80153895479320292</v>
      </c>
      <c r="K69" s="1">
        <v>1.000082900934824</v>
      </c>
      <c r="L69" s="1">
        <v>1.5066822631098822</v>
      </c>
      <c r="M69" s="1">
        <v>0.65572171115348277</v>
      </c>
      <c r="O69" s="1">
        <v>1.0977364307167034E-3</v>
      </c>
      <c r="P69" s="1">
        <v>0.99470832442247137</v>
      </c>
      <c r="R69" s="1">
        <v>5.1195880111896526E-2</v>
      </c>
      <c r="S69" s="2">
        <f t="shared" si="7"/>
        <v>0.13531834429766365</v>
      </c>
      <c r="T69" s="4">
        <f t="shared" si="12"/>
        <v>1.8311054303461041E-2</v>
      </c>
      <c r="U69" s="1">
        <f t="shared" si="13"/>
        <v>3.2640162231931669E-3</v>
      </c>
      <c r="V69" s="6">
        <f>2*sigma/alpha*corel*(B69/12-1/alpha*(1-EXP(-alpha*Output!B69/12)))</f>
        <v>5.4814143584980157E-2</v>
      </c>
      <c r="W69" s="5">
        <f t="shared" si="14"/>
        <v>-1.5047038080267874E-2</v>
      </c>
      <c r="X69" s="1">
        <f t="shared" si="8"/>
        <v>0.29391399322213374</v>
      </c>
      <c r="Y69" s="3">
        <f t="shared" si="15"/>
        <v>5.0412849195311922E-2</v>
      </c>
      <c r="Z69" s="1">
        <f t="shared" si="2"/>
        <v>6.1550743243437171E-2</v>
      </c>
      <c r="AA69" s="8">
        <f t="shared" si="9"/>
        <v>4.75</v>
      </c>
      <c r="AB69" s="1">
        <v>4.8330000000000002</v>
      </c>
      <c r="AC69">
        <v>1.0933484320000001E-3</v>
      </c>
      <c r="AD69" s="8">
        <f t="shared" si="3"/>
        <v>-4.3879987167033153E-2</v>
      </c>
      <c r="AE69" s="3">
        <f t="shared" si="4"/>
        <v>-4.0133580369037516E-3</v>
      </c>
      <c r="AF69" s="11">
        <f t="shared" si="5"/>
        <v>4.75</v>
      </c>
      <c r="AG69" s="1">
        <f t="shared" si="6"/>
        <v>6.1550743243437171E-2</v>
      </c>
    </row>
    <row r="70" spans="2:33" ht="15" x14ac:dyDescent="0.25">
      <c r="B70" s="1">
        <v>59</v>
      </c>
      <c r="C70" s="1">
        <v>0.99462917217421076</v>
      </c>
      <c r="D70" s="1">
        <v>1.2354220201620874</v>
      </c>
      <c r="E70" s="1">
        <v>0.79795722949249914</v>
      </c>
      <c r="G70" s="1">
        <v>0.99462917217421076</v>
      </c>
      <c r="H70" s="1">
        <v>1.2354220201620874</v>
      </c>
      <c r="I70" s="1">
        <v>0.79795722949249914</v>
      </c>
      <c r="K70" s="1">
        <v>1.0000916240850433</v>
      </c>
      <c r="L70" s="1">
        <v>1.5365069919215439</v>
      </c>
      <c r="M70" s="1">
        <v>0.64288132685909027</v>
      </c>
      <c r="O70" s="1">
        <v>1.0953157774374336E-3</v>
      </c>
      <c r="P70" s="1">
        <v>0.99462917217421076</v>
      </c>
      <c r="R70" s="1">
        <v>5.184087959257682E-2</v>
      </c>
      <c r="S70" s="2">
        <f t="shared" si="7"/>
        <v>0.13704653073397743</v>
      </c>
      <c r="T70" s="4">
        <f t="shared" si="12"/>
        <v>1.8781751586219021E-2</v>
      </c>
      <c r="U70" s="1">
        <f t="shared" si="13"/>
        <v>3.4274956518998145E-3</v>
      </c>
      <c r="V70" s="6">
        <f>2*sigma/alpha*corel*(B70/12-1/alpha*(1-EXP(-alpha*Output!B70/12)))</f>
        <v>5.6659611928750686E-2</v>
      </c>
      <c r="W70" s="5">
        <f t="shared" si="14"/>
        <v>-1.5354255934319206E-2</v>
      </c>
      <c r="X70" s="1">
        <f t="shared" si="8"/>
        <v>0.30517734499886101</v>
      </c>
      <c r="Y70" s="3">
        <f t="shared" si="15"/>
        <v>5.0417184021897848E-2</v>
      </c>
      <c r="Z70" s="1">
        <f t="shared" si="2"/>
        <v>6.1806288286657046E-2</v>
      </c>
      <c r="AA70" s="8">
        <f t="shared" si="9"/>
        <v>4.833333333333333</v>
      </c>
      <c r="AB70" s="1">
        <v>4.9169999999999998</v>
      </c>
      <c r="AC70">
        <v>1.095264612E-3</v>
      </c>
      <c r="AD70" s="8">
        <f t="shared" si="3"/>
        <v>-5.1165437433544833E-4</v>
      </c>
      <c r="AE70" s="3">
        <f t="shared" si="4"/>
        <v>-4.6715137942889027E-5</v>
      </c>
      <c r="AF70" s="11">
        <f t="shared" si="5"/>
        <v>4.833333333333333</v>
      </c>
      <c r="AG70" s="1">
        <f t="shared" si="6"/>
        <v>6.1806288286657046E-2</v>
      </c>
    </row>
    <row r="71" spans="2:33" ht="15" x14ac:dyDescent="0.25">
      <c r="B71" s="1">
        <v>60</v>
      </c>
      <c r="C71" s="1">
        <v>0.99455555737657431</v>
      </c>
      <c r="D71" s="1">
        <v>1.2408025510900449</v>
      </c>
      <c r="E71" s="1">
        <v>0.79428117553613986</v>
      </c>
      <c r="G71" s="1">
        <v>0.99455555737657431</v>
      </c>
      <c r="H71" s="1">
        <v>1.2408025510900449</v>
      </c>
      <c r="I71" s="1">
        <v>0.79428117553613986</v>
      </c>
      <c r="K71" s="1">
        <v>1.0000893474831352</v>
      </c>
      <c r="L71" s="1">
        <v>1.5156420559071209</v>
      </c>
      <c r="M71" s="1">
        <v>0.65158584515541096</v>
      </c>
      <c r="O71" s="1">
        <v>1.0918635232860046E-3</v>
      </c>
      <c r="P71" s="1">
        <v>0.99455555737657431</v>
      </c>
      <c r="R71" s="1">
        <v>5.2502222572863751E-2</v>
      </c>
      <c r="S71" s="2">
        <f t="shared" si="7"/>
        <v>0.13880901729749029</v>
      </c>
      <c r="T71" s="4">
        <f t="shared" si="12"/>
        <v>1.926794328309496E-2</v>
      </c>
      <c r="U71" s="1">
        <f t="shared" si="13"/>
        <v>3.5960674033503892E-3</v>
      </c>
      <c r="V71" s="6">
        <f>2*sigma/alpha*corel*(B71/12-1/alpha*(1-EXP(-alpha*Output!B71/12)))</f>
        <v>5.8533603368693177E-2</v>
      </c>
      <c r="W71" s="5">
        <f t="shared" si="14"/>
        <v>-1.5671875879744571E-2</v>
      </c>
      <c r="X71" s="1">
        <f t="shared" si="8"/>
        <v>0.31686370031821492</v>
      </c>
      <c r="Y71" s="3">
        <f t="shared" si="15"/>
        <v>5.0437287227198993E-2</v>
      </c>
      <c r="Z71" s="1">
        <f t="shared" si="2"/>
        <v>6.2077279713426484E-2</v>
      </c>
      <c r="AA71" s="8">
        <f t="shared" si="9"/>
        <v>4.9166666666666661</v>
      </c>
      <c r="AB71" s="1">
        <v>5</v>
      </c>
      <c r="AC71">
        <v>1.0975781019999999E-3</v>
      </c>
      <c r="AD71" s="8">
        <f t="shared" si="3"/>
        <v>5.7145787139953247E-2</v>
      </c>
      <c r="AE71" s="3">
        <f t="shared" si="4"/>
        <v>5.2065349186379128E-3</v>
      </c>
      <c r="AF71" s="11">
        <f t="shared" si="5"/>
        <v>4.9166666666666661</v>
      </c>
      <c r="AG71" s="1">
        <f t="shared" si="6"/>
        <v>6.2077279713426484E-2</v>
      </c>
    </row>
    <row r="72" spans="2:33" ht="15" x14ac:dyDescent="0.25">
      <c r="B72" s="1">
        <v>61</v>
      </c>
      <c r="C72" s="1">
        <v>0.99448759509545637</v>
      </c>
      <c r="D72" s="1">
        <v>1.2462301537848008</v>
      </c>
      <c r="E72" s="1">
        <v>0.79057633014467554</v>
      </c>
      <c r="G72" s="1">
        <v>0.99448759509545637</v>
      </c>
      <c r="H72" s="1">
        <v>1.2462301537848008</v>
      </c>
      <c r="I72" s="1">
        <v>0.79057633014467554</v>
      </c>
      <c r="K72" s="1">
        <v>1.0000548149635868</v>
      </c>
      <c r="L72" s="1">
        <v>1.5217333287642554</v>
      </c>
      <c r="M72" s="1">
        <v>0.64884870428597963</v>
      </c>
      <c r="O72" s="1">
        <v>1.0874073983109416E-3</v>
      </c>
      <c r="P72" s="1">
        <v>0.99448759509545637</v>
      </c>
      <c r="R72" s="1">
        <v>5.2925590383123597E-2</v>
      </c>
      <c r="S72" s="2">
        <f t="shared" si="7"/>
        <v>0.13996433500028865</v>
      </c>
      <c r="T72" s="4">
        <f t="shared" si="12"/>
        <v>1.9590015072073027E-2</v>
      </c>
      <c r="U72" s="1">
        <f t="shared" si="13"/>
        <v>3.7697922444688281E-3</v>
      </c>
      <c r="V72" s="6">
        <f>2*sigma/alpha*corel*(B72/12-1/alpha*(1-EXP(-alpha*Output!B72/12)))</f>
        <v>6.0436022986107174E-2</v>
      </c>
      <c r="W72" s="5">
        <f t="shared" si="14"/>
        <v>-1.5820222827604199E-2</v>
      </c>
      <c r="X72" s="1">
        <f t="shared" si="8"/>
        <v>0.32533037703566264</v>
      </c>
      <c r="Y72" s="3">
        <f t="shared" si="15"/>
        <v>5.0158168110583566E-2</v>
      </c>
      <c r="Z72" s="1">
        <f t="shared" si="2"/>
        <v>6.207876816433499E-2</v>
      </c>
      <c r="AA72" s="8">
        <f t="shared" si="9"/>
        <v>4.9999999999999991</v>
      </c>
      <c r="AB72" s="1">
        <v>5.0830000000000002</v>
      </c>
      <c r="AC72">
        <v>1.1003140869999999E-3</v>
      </c>
      <c r="AD72" s="8">
        <f t="shared" si="3"/>
        <v>0.12906688689058285</v>
      </c>
      <c r="AE72" s="3">
        <f t="shared" si="4"/>
        <v>1.1730004042980399E-2</v>
      </c>
      <c r="AF72" s="11">
        <f t="shared" si="5"/>
        <v>4.9999999999999991</v>
      </c>
      <c r="AG72" s="1">
        <f t="shared" si="6"/>
        <v>6.207876816433499E-2</v>
      </c>
    </row>
    <row r="73" spans="2:33" ht="15" x14ac:dyDescent="0.25">
      <c r="B73" s="1">
        <v>62</v>
      </c>
      <c r="C73" s="1">
        <v>0.99442471315987491</v>
      </c>
      <c r="D73" s="1">
        <v>1.2513921737933451</v>
      </c>
      <c r="E73" s="1">
        <v>0.78702974972453965</v>
      </c>
      <c r="G73" s="1">
        <v>0.99442471315987491</v>
      </c>
      <c r="H73" s="1">
        <v>1.2513921737933451</v>
      </c>
      <c r="I73" s="1">
        <v>0.78702974972453965</v>
      </c>
      <c r="K73" s="1">
        <v>1.0001041224138467</v>
      </c>
      <c r="L73" s="1">
        <v>1.5630595901117514</v>
      </c>
      <c r="M73" s="1">
        <v>0.6315803059374161</v>
      </c>
      <c r="O73" s="1">
        <v>1.0821071151310524E-3</v>
      </c>
      <c r="P73" s="1">
        <v>0.99442471315987491</v>
      </c>
      <c r="R73" s="1">
        <v>5.3777453666025384E-2</v>
      </c>
      <c r="S73" s="2">
        <f t="shared" si="7"/>
        <v>0.14219384067634155</v>
      </c>
      <c r="T73" s="4">
        <f t="shared" si="12"/>
        <v>2.0219088326288805E-2</v>
      </c>
      <c r="U73" s="1">
        <f t="shared" si="13"/>
        <v>3.9487302235983179E-3</v>
      </c>
      <c r="V73" s="6">
        <f>2*sigma/alpha*corel*(B73/12-1/alpha*(1-EXP(-alpha*Output!B73/12)))</f>
        <v>6.2366776178159111E-2</v>
      </c>
      <c r="W73" s="5">
        <f t="shared" si="14"/>
        <v>-1.6270358102690487E-2</v>
      </c>
      <c r="X73" s="1">
        <f t="shared" si="8"/>
        <v>0.34014368222645996</v>
      </c>
      <c r="Y73" s="3">
        <f t="shared" si="15"/>
        <v>5.0404994205024707E-2</v>
      </c>
      <c r="Z73" s="1">
        <f t="shared" si="2"/>
        <v>6.255694952697434E-2</v>
      </c>
      <c r="AA73" s="8">
        <f t="shared" si="9"/>
        <v>5.0833333333333321</v>
      </c>
      <c r="AB73" s="1">
        <v>5.1669999999999998</v>
      </c>
      <c r="AC73">
        <v>1.103511047E-3</v>
      </c>
      <c r="AD73" s="8">
        <f t="shared" si="3"/>
        <v>0.21403931868947593</v>
      </c>
      <c r="AE73" s="3">
        <f t="shared" si="4"/>
        <v>1.9396209876771261E-2</v>
      </c>
      <c r="AF73" s="11">
        <f t="shared" si="5"/>
        <v>5.0833333333333321</v>
      </c>
      <c r="AG73" s="1">
        <f t="shared" si="6"/>
        <v>6.255694952697434E-2</v>
      </c>
    </row>
    <row r="74" spans="2:33" ht="15" x14ac:dyDescent="0.25">
      <c r="B74" s="1">
        <v>63</v>
      </c>
      <c r="C74" s="1">
        <v>0.99436282746873728</v>
      </c>
      <c r="D74" s="1">
        <v>1.2567076772272001</v>
      </c>
      <c r="E74" s="1">
        <v>0.78345346286430584</v>
      </c>
      <c r="G74" s="1">
        <v>0.99436282746873728</v>
      </c>
      <c r="H74" s="1">
        <v>1.2567076772272001</v>
      </c>
      <c r="I74" s="1">
        <v>0.78345346286430584</v>
      </c>
      <c r="K74" s="1">
        <v>1.0001313023370577</v>
      </c>
      <c r="L74" s="1">
        <v>1.5668247480988058</v>
      </c>
      <c r="M74" s="1">
        <v>0.62990012649381888</v>
      </c>
      <c r="O74" s="1">
        <v>1.0767850198263678E-3</v>
      </c>
      <c r="P74" s="1">
        <v>0.99436282746873728</v>
      </c>
      <c r="R74" s="1">
        <v>5.4569044566394942E-2</v>
      </c>
      <c r="S74" s="2">
        <f t="shared" si="7"/>
        <v>0.14427035100283325</v>
      </c>
      <c r="T74" s="4">
        <f t="shared" si="12"/>
        <v>2.0813934178480709E-2</v>
      </c>
      <c r="U74" s="1">
        <f t="shared" si="13"/>
        <v>4.1329406763219723E-3</v>
      </c>
      <c r="V74" s="6">
        <f>2*sigma/alpha*corel*(B74/12-1/alpha*(1-EXP(-alpha*Output!B74/12)))</f>
        <v>6.4325768656834592E-2</v>
      </c>
      <c r="W74" s="5">
        <f t="shared" si="14"/>
        <v>-1.6680993502158736E-2</v>
      </c>
      <c r="X74" s="1">
        <f t="shared" si="8"/>
        <v>0.35443866805862606</v>
      </c>
      <c r="Y74" s="3">
        <f t="shared" si="15"/>
        <v>5.0573500007020794E-2</v>
      </c>
      <c r="Z74" s="1">
        <f t="shared" si="2"/>
        <v>6.2964743238888718E-2</v>
      </c>
      <c r="AA74" s="8">
        <f t="shared" si="9"/>
        <v>5.1666666666666652</v>
      </c>
      <c r="AB74" s="1">
        <v>5.25</v>
      </c>
      <c r="AC74">
        <v>1.1072606459999999E-3</v>
      </c>
      <c r="AD74" s="8">
        <f t="shared" si="3"/>
        <v>0.3047562617363212</v>
      </c>
      <c r="AE74" s="3">
        <f t="shared" si="4"/>
        <v>2.7523443810385476E-2</v>
      </c>
      <c r="AF74" s="11">
        <f t="shared" si="5"/>
        <v>5.1666666666666652</v>
      </c>
      <c r="AG74" s="1">
        <f t="shared" si="6"/>
        <v>6.2964743238888718E-2</v>
      </c>
    </row>
    <row r="75" spans="2:33" ht="15" x14ac:dyDescent="0.25">
      <c r="B75" s="1">
        <v>64</v>
      </c>
      <c r="C75" s="1">
        <v>0.99430054310228788</v>
      </c>
      <c r="D75" s="1">
        <v>1.2617818883827743</v>
      </c>
      <c r="E75" s="1">
        <v>0.78009205086200173</v>
      </c>
      <c r="G75" s="1">
        <v>0.99430054310228788</v>
      </c>
      <c r="H75" s="1">
        <v>1.2617818883827743</v>
      </c>
      <c r="I75" s="1">
        <v>0.78009205086200173</v>
      </c>
      <c r="K75" s="1">
        <v>1.0001306507300443</v>
      </c>
      <c r="L75" s="1">
        <v>1.5736362846528773</v>
      </c>
      <c r="M75" s="1">
        <v>0.62703608136296318</v>
      </c>
      <c r="O75" s="1">
        <v>1.0717051463514109E-3</v>
      </c>
      <c r="P75" s="1">
        <v>0.99430054310228788</v>
      </c>
      <c r="R75" s="1">
        <v>5.5240702766447235E-2</v>
      </c>
      <c r="S75" s="2">
        <f t="shared" si="7"/>
        <v>0.14604513591682616</v>
      </c>
      <c r="T75" s="4">
        <f t="shared" si="12"/>
        <v>2.1329181724964227E-2</v>
      </c>
      <c r="U75" s="1">
        <f t="shared" si="13"/>
        <v>4.3224822312390998E-3</v>
      </c>
      <c r="V75" s="6">
        <f>2*sigma/alpha*corel*(B75/12-1/alpha*(1-EXP(-alpha*Output!B75/12)))</f>
        <v>6.6312906447889119E-2</v>
      </c>
      <c r="W75" s="5">
        <f t="shared" si="14"/>
        <v>-1.7006699493725127E-2</v>
      </c>
      <c r="X75" s="1">
        <f t="shared" si="8"/>
        <v>0.36720699076103586</v>
      </c>
      <c r="Y75" s="3">
        <f t="shared" si="15"/>
        <v>5.0593421068478237E-2</v>
      </c>
      <c r="Z75" s="1">
        <f t="shared" si="2"/>
        <v>6.32393989015613E-2</v>
      </c>
      <c r="AA75" s="8">
        <f t="shared" si="9"/>
        <v>5.2499999999999982</v>
      </c>
      <c r="AB75" s="1">
        <v>5.3330000000000002</v>
      </c>
      <c r="AC75">
        <v>1.1116678450000001E-3</v>
      </c>
      <c r="AD75" s="8">
        <f t="shared" si="3"/>
        <v>0.39962698648589223</v>
      </c>
      <c r="AE75" s="3">
        <f t="shared" si="4"/>
        <v>3.5948416452208545E-2</v>
      </c>
      <c r="AF75" s="11">
        <f t="shared" si="5"/>
        <v>5.2499999999999982</v>
      </c>
      <c r="AG75" s="1">
        <f t="shared" si="6"/>
        <v>6.32393989015613E-2</v>
      </c>
    </row>
    <row r="76" spans="2:33" ht="15" x14ac:dyDescent="0.25">
      <c r="B76" s="1">
        <v>65</v>
      </c>
      <c r="C76" s="1">
        <v>0.99423592389473092</v>
      </c>
      <c r="D76" s="1">
        <v>1.2667046678067009</v>
      </c>
      <c r="E76" s="1">
        <v>0.77675935995028733</v>
      </c>
      <c r="G76" s="1">
        <v>0.99423592389473092</v>
      </c>
      <c r="H76" s="1">
        <v>1.2667046678067009</v>
      </c>
      <c r="I76" s="1">
        <v>0.77675935995028733</v>
      </c>
      <c r="K76" s="1">
        <v>1.0001679426322654</v>
      </c>
      <c r="L76" s="1">
        <v>1.5854949310107185</v>
      </c>
      <c r="M76" s="1">
        <v>0.62220556283559614</v>
      </c>
      <c r="O76" s="1">
        <v>1.0672158471715623E-3</v>
      </c>
      <c r="P76" s="1">
        <v>0.99423592389473092</v>
      </c>
      <c r="R76" s="1">
        <v>5.5904403556154059E-2</v>
      </c>
      <c r="S76" s="2">
        <f t="shared" si="7"/>
        <v>0.14780309966657501</v>
      </c>
      <c r="T76" s="4">
        <f t="shared" si="12"/>
        <v>2.1845756271047505E-2</v>
      </c>
      <c r="U76" s="1">
        <f t="shared" si="13"/>
        <v>4.5174128157072779E-3</v>
      </c>
      <c r="V76" s="6">
        <f>2*sigma/alpha*corel*(B76/12-1/alpha*(1-EXP(-alpha*Output!B76/12)))</f>
        <v>6.832809588980393E-2</v>
      </c>
      <c r="W76" s="5">
        <f t="shared" si="14"/>
        <v>-1.7328343455340227E-2</v>
      </c>
      <c r="X76" s="1">
        <f t="shared" si="8"/>
        <v>0.38011617022029781</v>
      </c>
      <c r="Y76" s="3">
        <f t="shared" si="15"/>
        <v>5.0603771418260488E-2</v>
      </c>
      <c r="Z76" s="1">
        <f t="shared" si="2"/>
        <v>6.3506398860220262E-2</v>
      </c>
      <c r="AA76" s="8">
        <f t="shared" si="9"/>
        <v>5.3333333333333313</v>
      </c>
      <c r="AB76" s="1">
        <v>5.4169999999999998</v>
      </c>
      <c r="AC76">
        <v>1.116837605E-3</v>
      </c>
      <c r="AD76" s="8">
        <f t="shared" si="3"/>
        <v>0.49621757828437718</v>
      </c>
      <c r="AE76" s="3">
        <f t="shared" si="4"/>
        <v>4.4430593674751585E-2</v>
      </c>
      <c r="AF76" s="11">
        <f t="shared" si="5"/>
        <v>5.3333333333333313</v>
      </c>
      <c r="AG76" s="1">
        <f t="shared" si="6"/>
        <v>6.3506398860220262E-2</v>
      </c>
    </row>
    <row r="77" spans="2:33" ht="15" x14ac:dyDescent="0.25">
      <c r="B77" s="1">
        <v>66</v>
      </c>
      <c r="C77" s="1">
        <v>0.99416684644524467</v>
      </c>
      <c r="D77" s="1">
        <v>1.2720056985855297</v>
      </c>
      <c r="E77" s="1">
        <v>0.77327559542220858</v>
      </c>
      <c r="G77" s="1">
        <v>0.99416684644524467</v>
      </c>
      <c r="H77" s="1">
        <v>1.2720056985855297</v>
      </c>
      <c r="I77" s="1">
        <v>0.77327559542220858</v>
      </c>
      <c r="K77" s="1">
        <v>1.0001866696844244</v>
      </c>
      <c r="L77" s="1">
        <v>1.5979580794114638</v>
      </c>
      <c r="M77" s="1">
        <v>0.61723420285139319</v>
      </c>
      <c r="O77" s="1">
        <v>1.0636786990458513E-3</v>
      </c>
      <c r="P77" s="1">
        <v>0.99416684644524467</v>
      </c>
      <c r="R77" s="1">
        <v>5.6561096448316292E-2</v>
      </c>
      <c r="S77" s="2">
        <f t="shared" si="7"/>
        <v>0.14954939553007845</v>
      </c>
      <c r="T77" s="4">
        <f t="shared" si="12"/>
        <v>2.2365021703411848E-2</v>
      </c>
      <c r="U77" s="1">
        <f t="shared" si="13"/>
        <v>4.7177896615409054E-3</v>
      </c>
      <c r="V77" s="6">
        <f>2*sigma/alpha*corel*(B77/12-1/alpha*(1-EXP(-alpha*Output!B77/12)))</f>
        <v>7.0371243632745273E-2</v>
      </c>
      <c r="W77" s="5">
        <f t="shared" si="14"/>
        <v>-1.7647232041870943E-2</v>
      </c>
      <c r="X77" s="1">
        <f t="shared" si="8"/>
        <v>0.39319121685157987</v>
      </c>
      <c r="Y77" s="3">
        <f t="shared" si="15"/>
        <v>5.0607124465324949E-2</v>
      </c>
      <c r="Z77" s="1">
        <f t="shared" ref="Z77:Z140" si="16">S77/SQRT(B77/12)</f>
        <v>6.3768076515122507E-2</v>
      </c>
      <c r="AA77" s="8">
        <f t="shared" si="9"/>
        <v>5.4166666666666643</v>
      </c>
      <c r="AB77" s="1">
        <v>5.5</v>
      </c>
      <c r="AC77">
        <v>1.122874886E-3</v>
      </c>
      <c r="AD77" s="8">
        <f t="shared" ref="AD77:AD140" si="17">(AC77-O77)*10000</f>
        <v>0.59196186954148633</v>
      </c>
      <c r="AE77" s="3">
        <f t="shared" ref="AE77:AE140" si="18">AD77/AC77/10000</f>
        <v>5.2718417423175526E-2</v>
      </c>
      <c r="AF77" s="11">
        <f t="shared" ref="AF77:AF140" si="19">AA77</f>
        <v>5.4166666666666643</v>
      </c>
      <c r="AG77" s="1">
        <f t="shared" ref="AG77:AG140" si="20">Z77</f>
        <v>6.3768076515122507E-2</v>
      </c>
    </row>
    <row r="78" spans="2:33" ht="15" x14ac:dyDescent="0.25">
      <c r="B78" s="1">
        <v>67</v>
      </c>
      <c r="C78" s="1">
        <v>0.99408928426665877</v>
      </c>
      <c r="D78" s="1">
        <v>1.2775307884920026</v>
      </c>
      <c r="E78" s="1">
        <v>0.76964519356576622</v>
      </c>
      <c r="G78" s="1">
        <v>0.99408928426665877</v>
      </c>
      <c r="H78" s="1">
        <v>1.2775307884920026</v>
      </c>
      <c r="I78" s="1">
        <v>0.76964519356576622</v>
      </c>
      <c r="K78" s="1">
        <v>1.0001558373735948</v>
      </c>
      <c r="L78" s="1">
        <v>1.5692976118807356</v>
      </c>
      <c r="M78" s="1">
        <v>0.62837543074813884</v>
      </c>
      <c r="O78" s="1">
        <v>1.0617766842145947E-3</v>
      </c>
      <c r="P78" s="1">
        <v>0.99408928426665877</v>
      </c>
      <c r="R78" s="1">
        <v>5.7167620271768464E-2</v>
      </c>
      <c r="S78" s="2">
        <f t="shared" ref="S78:S85" si="21">optim_vol_implied(P78,R78)</f>
        <v>0.15118035631118387</v>
      </c>
      <c r="T78" s="4">
        <f t="shared" si="12"/>
        <v>2.2855500134376514E-2</v>
      </c>
      <c r="U78" s="1">
        <f t="shared" si="13"/>
        <v>4.9236693106600171E-3</v>
      </c>
      <c r="V78" s="6">
        <f>2*sigma/alpha*corel*(B78/12-1/alpha*(1-EXP(-alpha*Output!B78/12)))</f>
        <v>7.2442256637528013E-2</v>
      </c>
      <c r="W78" s="5">
        <f t="shared" si="14"/>
        <v>-1.7931830823716497E-2</v>
      </c>
      <c r="X78" s="1">
        <f t="shared" ref="X78:X141" si="22">V78*V78-4*W78*B78/12</f>
        <v>0.40572543560973923</v>
      </c>
      <c r="Y78" s="3">
        <f t="shared" si="15"/>
        <v>5.0554347535146316E-2</v>
      </c>
      <c r="Z78" s="1">
        <f t="shared" si="16"/>
        <v>6.3980640916820597E-2</v>
      </c>
      <c r="AA78" s="8">
        <f t="shared" ref="AA78:AA141" si="23">AA77+1/12</f>
        <v>5.4999999999999973</v>
      </c>
      <c r="AB78" s="1">
        <v>5.5830000000000002</v>
      </c>
      <c r="AC78">
        <v>1.1298846470000001E-3</v>
      </c>
      <c r="AD78" s="8">
        <f t="shared" si="17"/>
        <v>0.68107962785405418</v>
      </c>
      <c r="AE78" s="3">
        <f t="shared" si="18"/>
        <v>6.0278686825457339E-2</v>
      </c>
      <c r="AF78" s="11">
        <f t="shared" si="19"/>
        <v>5.4999999999999973</v>
      </c>
      <c r="AG78" s="1">
        <f t="shared" si="20"/>
        <v>6.3980640916820597E-2</v>
      </c>
    </row>
    <row r="79" spans="2:33" ht="15" x14ac:dyDescent="0.25">
      <c r="B79" s="1">
        <v>68</v>
      </c>
      <c r="C79" s="1">
        <v>0.99400289326981861</v>
      </c>
      <c r="D79" s="1">
        <v>1.2829723904341579</v>
      </c>
      <c r="E79" s="1">
        <v>0.76610740825863788</v>
      </c>
      <c r="G79" s="1">
        <v>0.99400289326981861</v>
      </c>
      <c r="H79" s="1">
        <v>1.2829723904341579</v>
      </c>
      <c r="I79" s="1">
        <v>0.76610740825863788</v>
      </c>
      <c r="K79" s="1">
        <v>1.0001794999668803</v>
      </c>
      <c r="L79" s="1">
        <v>1.5839279523178675</v>
      </c>
      <c r="M79" s="1">
        <v>0.6224734992674823</v>
      </c>
      <c r="O79" s="1">
        <v>1.061499105101513E-3</v>
      </c>
      <c r="P79" s="1">
        <v>0.99400289326981861</v>
      </c>
      <c r="R79" s="1">
        <v>5.8006481785436312E-2</v>
      </c>
      <c r="S79" s="2">
        <f t="shared" si="21"/>
        <v>0.1534093173992781</v>
      </c>
      <c r="T79" s="4">
        <f t="shared" si="12"/>
        <v>2.3534418664912449E-2</v>
      </c>
      <c r="U79" s="1">
        <f t="shared" si="13"/>
        <v>5.1351076207102331E-3</v>
      </c>
      <c r="V79" s="6">
        <f>2*sigma/alpha*corel*(B79/12-1/alpha*(1-EXP(-alpha*Output!B79/12)))</f>
        <v>7.4541042174581684E-2</v>
      </c>
      <c r="W79" s="5">
        <f t="shared" si="14"/>
        <v>-1.8399311044202216E-2</v>
      </c>
      <c r="X79" s="1">
        <f t="shared" si="22"/>
        <v>0.42260741730372303</v>
      </c>
      <c r="Y79" s="3">
        <f t="shared" si="15"/>
        <v>5.0783080700235288E-2</v>
      </c>
      <c r="Z79" s="1">
        <f t="shared" si="16"/>
        <v>6.4444803557562227E-2</v>
      </c>
      <c r="AA79" s="8">
        <f t="shared" si="23"/>
        <v>5.5833333333333304</v>
      </c>
      <c r="AB79" s="1">
        <v>5.6669999999999998</v>
      </c>
      <c r="AC79">
        <v>1.1379719050000001E-3</v>
      </c>
      <c r="AD79" s="8">
        <f t="shared" si="17"/>
        <v>0.76472799898487032</v>
      </c>
      <c r="AE79" s="3">
        <f t="shared" si="18"/>
        <v>6.7200955983607549E-2</v>
      </c>
      <c r="AF79" s="11">
        <f t="shared" si="19"/>
        <v>5.5833333333333304</v>
      </c>
      <c r="AG79" s="1">
        <f t="shared" si="20"/>
        <v>6.4444803557562227E-2</v>
      </c>
    </row>
    <row r="80" spans="2:33" ht="15" x14ac:dyDescent="0.25">
      <c r="B80" s="1">
        <v>69</v>
      </c>
      <c r="C80" s="1">
        <v>0.99390281146372306</v>
      </c>
      <c r="D80" s="1">
        <v>1.2884107453456162</v>
      </c>
      <c r="E80" s="1">
        <v>0.76254384627116067</v>
      </c>
      <c r="G80" s="1">
        <v>0.99390281146372306</v>
      </c>
      <c r="H80" s="1">
        <v>1.2884107453456162</v>
      </c>
      <c r="I80" s="1">
        <v>0.76254384627116067</v>
      </c>
      <c r="K80" s="1">
        <v>1.0002162280332672</v>
      </c>
      <c r="L80" s="1">
        <v>1.5561922392572356</v>
      </c>
      <c r="M80" s="1">
        <v>0.63344068681918864</v>
      </c>
      <c r="O80" s="1">
        <v>1.0636264857860178E-3</v>
      </c>
      <c r="P80" s="1">
        <v>0.99390281146372306</v>
      </c>
      <c r="R80" s="1">
        <v>5.8837088104533981E-2</v>
      </c>
      <c r="S80" s="2">
        <f t="shared" si="21"/>
        <v>0.15563563668058666</v>
      </c>
      <c r="T80" s="4">
        <f t="shared" si="12"/>
        <v>2.4222451404971573E-2</v>
      </c>
      <c r="U80" s="1">
        <f t="shared" si="13"/>
        <v>5.3521597706329693E-3</v>
      </c>
      <c r="V80" s="6">
        <f>2*sigma/alpha*corel*(B80/12-1/alpha*(1-EXP(-alpha*Output!B80/12)))</f>
        <v>7.6667507822918868E-2</v>
      </c>
      <c r="W80" s="5">
        <f t="shared" si="14"/>
        <v>-1.8870291634338603E-2</v>
      </c>
      <c r="X80" s="1">
        <f t="shared" si="22"/>
        <v>0.4398946143455652</v>
      </c>
      <c r="Y80" s="3">
        <f t="shared" si="15"/>
        <v>5.1006783310008762E-2</v>
      </c>
      <c r="Z80" s="1">
        <f t="shared" si="16"/>
        <v>6.4904547177704608E-2</v>
      </c>
      <c r="AA80" s="8">
        <f t="shared" si="23"/>
        <v>5.6666666666666634</v>
      </c>
      <c r="AB80" s="1">
        <v>5.75</v>
      </c>
      <c r="AC80">
        <v>1.1472418939999999E-3</v>
      </c>
      <c r="AD80" s="8">
        <f t="shared" si="17"/>
        <v>0.83615408213982145</v>
      </c>
      <c r="AE80" s="3">
        <f t="shared" si="18"/>
        <v>7.2883851828707852E-2</v>
      </c>
      <c r="AF80" s="11">
        <f t="shared" si="19"/>
        <v>5.6666666666666634</v>
      </c>
      <c r="AG80" s="1">
        <f t="shared" si="20"/>
        <v>6.4904547177704608E-2</v>
      </c>
    </row>
    <row r="81" spans="2:33" ht="15" x14ac:dyDescent="0.25">
      <c r="B81" s="1">
        <v>70</v>
      </c>
      <c r="C81" s="1">
        <v>0.99378596608718217</v>
      </c>
      <c r="D81" s="1">
        <v>1.2937782205374355</v>
      </c>
      <c r="E81" s="1">
        <v>0.75901328273244784</v>
      </c>
      <c r="G81" s="1">
        <v>0.99378596608718217</v>
      </c>
      <c r="H81" s="1">
        <v>1.2937782205374355</v>
      </c>
      <c r="I81" s="1">
        <v>0.75901328273244784</v>
      </c>
      <c r="K81" s="1">
        <v>1.0002247715539205</v>
      </c>
      <c r="L81" s="1">
        <v>1.5672720970101457</v>
      </c>
      <c r="M81" s="1">
        <v>0.6288071580720479</v>
      </c>
      <c r="O81" s="1">
        <v>1.0685865222055091E-3</v>
      </c>
      <c r="P81" s="1">
        <v>0.99378596608718217</v>
      </c>
      <c r="R81" s="1">
        <v>5.934754175363862E-2</v>
      </c>
      <c r="S81" s="2">
        <f t="shared" si="21"/>
        <v>0.15707605658672907</v>
      </c>
      <c r="T81" s="4">
        <f t="shared" si="12"/>
        <v>2.4672887552837315E-2</v>
      </c>
      <c r="U81" s="1">
        <f t="shared" si="13"/>
        <v>5.57488026620101E-3</v>
      </c>
      <c r="V81" s="6">
        <f>2*sigma/alpha*corel*(B81/12-1/alpha*(1-EXP(-alpha*Output!B81/12)))</f>
        <v>7.8821561469109236E-2</v>
      </c>
      <c r="W81" s="5">
        <f t="shared" si="14"/>
        <v>-1.9098007286636305E-2</v>
      </c>
      <c r="X81" s="1">
        <f t="shared" si="22"/>
        <v>0.45183300857394237</v>
      </c>
      <c r="Y81" s="3">
        <f t="shared" si="15"/>
        <v>5.0859744620049586E-2</v>
      </c>
      <c r="Z81" s="1">
        <f t="shared" si="16"/>
        <v>6.5035666108687482E-2</v>
      </c>
      <c r="AA81" s="8">
        <f t="shared" si="23"/>
        <v>5.7499999999999964</v>
      </c>
      <c r="AB81" s="1">
        <v>5.8330000000000002</v>
      </c>
      <c r="AC81">
        <v>1.157799902E-3</v>
      </c>
      <c r="AD81" s="8">
        <f t="shared" si="17"/>
        <v>0.89213379794490877</v>
      </c>
      <c r="AE81" s="3">
        <f t="shared" si="18"/>
        <v>7.7054229872003277E-2</v>
      </c>
      <c r="AF81" s="11">
        <f t="shared" si="19"/>
        <v>5.7499999999999964</v>
      </c>
      <c r="AG81" s="1">
        <f t="shared" si="20"/>
        <v>6.5035666108687482E-2</v>
      </c>
    </row>
    <row r="82" spans="2:33" ht="15" x14ac:dyDescent="0.25">
      <c r="B82" s="1">
        <v>71</v>
      </c>
      <c r="C82" s="1">
        <v>0.99365000293522776</v>
      </c>
      <c r="D82" s="1">
        <v>1.2989880882792304</v>
      </c>
      <c r="E82" s="1">
        <v>0.75557234605213452</v>
      </c>
      <c r="G82" s="1">
        <v>0.99365000293522776</v>
      </c>
      <c r="H82" s="1">
        <v>1.2989880882792304</v>
      </c>
      <c r="I82" s="1">
        <v>0.75557234605213452</v>
      </c>
      <c r="K82" s="1">
        <v>1.0002365053546878</v>
      </c>
      <c r="L82" s="1">
        <v>1.579266900421129</v>
      </c>
      <c r="M82" s="1">
        <v>0.62390305389856315</v>
      </c>
      <c r="O82" s="1">
        <v>1.0766609668492375E-3</v>
      </c>
      <c r="P82" s="1">
        <v>0.99365000293522776</v>
      </c>
      <c r="R82" s="1">
        <v>5.9998946604444055E-2</v>
      </c>
      <c r="S82" s="2">
        <f t="shared" si="21"/>
        <v>0.15889743342923673</v>
      </c>
      <c r="T82" s="4">
        <f t="shared" si="12"/>
        <v>2.5248394350398721E-2</v>
      </c>
      <c r="U82" s="1">
        <f t="shared" si="13"/>
        <v>5.8033229455101143E-3</v>
      </c>
      <c r="V82" s="6">
        <f>2*sigma/alpha*corel*(B82/12-1/alpha*(1-EXP(-alpha*Output!B82/12)))</f>
        <v>8.1003111306257147E-2</v>
      </c>
      <c r="W82" s="5">
        <f t="shared" si="14"/>
        <v>-1.9445071404888607E-2</v>
      </c>
      <c r="X82" s="1">
        <f t="shared" si="22"/>
        <v>0.46676152729032427</v>
      </c>
      <c r="Y82" s="3">
        <f t="shared" si="15"/>
        <v>5.0889833839173296E-2</v>
      </c>
      <c r="Z82" s="1">
        <f t="shared" si="16"/>
        <v>6.5324836443770892E-2</v>
      </c>
      <c r="AA82" s="8">
        <f t="shared" si="23"/>
        <v>5.8333333333333295</v>
      </c>
      <c r="AB82" s="1">
        <v>5.9169999999999998</v>
      </c>
      <c r="AC82">
        <v>1.1697512189999999E-3</v>
      </c>
      <c r="AD82" s="8">
        <f t="shared" si="17"/>
        <v>0.93090252150762387</v>
      </c>
      <c r="AE82" s="3">
        <f t="shared" si="18"/>
        <v>7.9581239701843304E-2</v>
      </c>
      <c r="AF82" s="11">
        <f t="shared" si="19"/>
        <v>5.8333333333333295</v>
      </c>
      <c r="AG82" s="1">
        <f t="shared" si="20"/>
        <v>6.5324836443770892E-2</v>
      </c>
    </row>
    <row r="83" spans="2:33" ht="15" x14ac:dyDescent="0.25">
      <c r="B83" s="1">
        <v>72</v>
      </c>
      <c r="C83" s="1">
        <v>0.99349016794160794</v>
      </c>
      <c r="D83" s="1">
        <v>1.3039849780930524</v>
      </c>
      <c r="E83" s="1">
        <v>0.75227563379222151</v>
      </c>
      <c r="G83" s="1">
        <v>0.99349016794160794</v>
      </c>
      <c r="H83" s="1">
        <v>1.3039849780930524</v>
      </c>
      <c r="I83" s="1">
        <v>0.75227563379222151</v>
      </c>
      <c r="K83" s="1">
        <v>1.0002419718942555</v>
      </c>
      <c r="L83" s="1">
        <v>1.5819509620936005</v>
      </c>
      <c r="M83" s="1">
        <v>0.62273688044970998</v>
      </c>
      <c r="O83" s="1">
        <v>1.0885189040214876E-3</v>
      </c>
      <c r="P83" s="1">
        <v>0.99349016794160794</v>
      </c>
      <c r="R83" s="1">
        <v>6.076532830375609E-2</v>
      </c>
      <c r="S83" s="2">
        <f t="shared" si="21"/>
        <v>0.16104058468566257</v>
      </c>
      <c r="T83" s="4">
        <f t="shared" si="12"/>
        <v>2.5934069915900058E-2</v>
      </c>
      <c r="U83" s="1">
        <f t="shared" si="13"/>
        <v>6.0375409844319883E-3</v>
      </c>
      <c r="V83" s="6">
        <f>2*sigma/alpha*corel*(B83/12-1/alpha*(1-EXP(-alpha*Output!B83/12)))</f>
        <v>8.3212065832979576E-2</v>
      </c>
      <c r="W83" s="5">
        <f t="shared" si="14"/>
        <v>-1.9896528931468069E-2</v>
      </c>
      <c r="X83" s="1">
        <f t="shared" si="22"/>
        <v>0.48444094225542578</v>
      </c>
      <c r="Y83" s="3">
        <f t="shared" si="15"/>
        <v>5.1067154351943339E-2</v>
      </c>
      <c r="Z83" s="1">
        <f t="shared" si="16"/>
        <v>6.5744543393222707E-2</v>
      </c>
      <c r="AA83" s="8">
        <f t="shared" si="23"/>
        <v>5.9166666666666625</v>
      </c>
      <c r="AB83" s="1">
        <v>6</v>
      </c>
      <c r="AC83">
        <v>1.1832011329999999E-3</v>
      </c>
      <c r="AD83" s="8">
        <f t="shared" si="17"/>
        <v>0.94682228978512384</v>
      </c>
      <c r="AE83" s="3">
        <f t="shared" si="18"/>
        <v>8.0022091204769316E-2</v>
      </c>
      <c r="AF83" s="11">
        <f t="shared" si="19"/>
        <v>5.9166666666666625</v>
      </c>
      <c r="AG83" s="1">
        <f t="shared" si="20"/>
        <v>6.5744543393222707E-2</v>
      </c>
    </row>
    <row r="84" spans="2:33" ht="15" x14ac:dyDescent="0.25">
      <c r="B84" s="1">
        <v>73</v>
      </c>
      <c r="C84" s="1">
        <v>0.99330453050029011</v>
      </c>
      <c r="D84" s="1">
        <v>1.310615989515072</v>
      </c>
      <c r="E84" s="1">
        <v>0.74799910240107714</v>
      </c>
      <c r="G84" s="1">
        <v>0.99330453050029011</v>
      </c>
      <c r="H84" s="1">
        <v>1.310615989515072</v>
      </c>
      <c r="I84" s="1">
        <v>0.74799910240107714</v>
      </c>
      <c r="K84" s="1">
        <v>1.0002228361463077</v>
      </c>
      <c r="L84" s="1">
        <v>1.5521879208607023</v>
      </c>
      <c r="M84" s="1">
        <v>0.63451167764480132</v>
      </c>
      <c r="O84" s="1">
        <v>1.1043262540011561E-3</v>
      </c>
      <c r="P84" s="1">
        <v>0.99330453050029011</v>
      </c>
      <c r="R84" s="1">
        <v>6.1446201885950472E-2</v>
      </c>
      <c r="S84" s="2">
        <f t="shared" si="21"/>
        <v>0.16300191072011894</v>
      </c>
      <c r="T84" s="4">
        <f t="shared" si="12"/>
        <v>2.6569622898409626E-2</v>
      </c>
      <c r="U84" s="1">
        <f t="shared" si="13"/>
        <v>6.2775869020286201E-3</v>
      </c>
      <c r="V84" s="6">
        <f>2*sigma/alpha*corel*(B84/12-1/alpha*(1-EXP(-alpha*Output!B84/12)))</f>
        <v>8.5448333852390035E-2</v>
      </c>
      <c r="W84" s="5">
        <f t="shared" si="14"/>
        <v>-2.0292035996381005E-2</v>
      </c>
      <c r="X84" s="1">
        <f t="shared" si="22"/>
        <v>0.50107429367008727</v>
      </c>
      <c r="Y84" s="3">
        <f t="shared" si="15"/>
        <v>5.1157617540215618E-2</v>
      </c>
      <c r="Z84" s="1">
        <f t="shared" si="16"/>
        <v>6.6087890294472137E-2</v>
      </c>
      <c r="AA84" s="8">
        <f t="shared" si="23"/>
        <v>5.9999999999999956</v>
      </c>
      <c r="AB84" s="1">
        <v>6.0830000000000002</v>
      </c>
      <c r="AC84">
        <v>1.1982549329999999E-3</v>
      </c>
      <c r="AD84" s="8">
        <f t="shared" si="17"/>
        <v>0.93928678998843762</v>
      </c>
      <c r="AE84" s="3">
        <f t="shared" si="18"/>
        <v>7.8387892602853795E-2</v>
      </c>
      <c r="AF84" s="11">
        <f t="shared" si="19"/>
        <v>5.9999999999999956</v>
      </c>
      <c r="AG84" s="1">
        <f t="shared" si="20"/>
        <v>6.6087890294472137E-2</v>
      </c>
    </row>
    <row r="85" spans="2:33" ht="15" x14ac:dyDescent="0.25">
      <c r="B85" s="1">
        <v>74</v>
      </c>
      <c r="C85" s="1">
        <v>0.99309131702712561</v>
      </c>
      <c r="D85" s="1">
        <v>1.3185654008438819</v>
      </c>
      <c r="E85" s="1">
        <v>0.74299725091017155</v>
      </c>
      <c r="G85" s="1">
        <v>0.99309131702712561</v>
      </c>
      <c r="H85" s="1">
        <v>1.3185654008438819</v>
      </c>
      <c r="I85" s="1">
        <v>0.74299725091017155</v>
      </c>
      <c r="K85" s="1">
        <v>1.0002217699945379</v>
      </c>
      <c r="L85" s="1">
        <v>1.528531767484602</v>
      </c>
      <c r="M85" s="1">
        <v>0.64421696640699588</v>
      </c>
      <c r="O85" s="1">
        <v>1.1242148777356026E-3</v>
      </c>
      <c r="P85" s="1">
        <v>0.99309131702712561</v>
      </c>
      <c r="R85" s="1">
        <v>6.2066099830571549E-2</v>
      </c>
      <c r="S85" s="2">
        <f t="shared" si="21"/>
        <v>0.16484561622519661</v>
      </c>
      <c r="T85" s="4">
        <f t="shared" si="12"/>
        <v>2.7174077188664804E-2</v>
      </c>
      <c r="U85" s="1">
        <f t="shared" si="13"/>
        <v>6.5235125659244275E-3</v>
      </c>
      <c r="V85" s="6">
        <f>2*sigma/alpha*corel*(B85/12-1/alpha*(1-EXP(-alpha*Output!B85/12)))</f>
        <v>8.7711824471086497E-2</v>
      </c>
      <c r="W85" s="5">
        <f t="shared" si="14"/>
        <v>-2.0650564622740376E-2</v>
      </c>
      <c r="X85" s="1">
        <f t="shared" si="22"/>
        <v>0.51707395817964263</v>
      </c>
      <c r="Y85" s="3">
        <f t="shared" si="15"/>
        <v>5.1191896501546826E-2</v>
      </c>
      <c r="Z85" s="1">
        <f t="shared" si="16"/>
        <v>6.638228010301675E-2</v>
      </c>
      <c r="AA85" s="8">
        <f t="shared" si="23"/>
        <v>6.0833333333333286</v>
      </c>
      <c r="AB85" s="1">
        <v>6.1669999999999998</v>
      </c>
      <c r="AC85">
        <v>1.2150180169999999E-3</v>
      </c>
      <c r="AD85" s="8">
        <f t="shared" si="17"/>
        <v>0.90803139264397303</v>
      </c>
      <c r="AE85" s="3">
        <f t="shared" si="18"/>
        <v>7.4733985828950314E-2</v>
      </c>
      <c r="AF85" s="11">
        <f t="shared" si="19"/>
        <v>6.0833333333333286</v>
      </c>
      <c r="AG85" s="1">
        <f t="shared" si="20"/>
        <v>6.638228010301675E-2</v>
      </c>
    </row>
    <row r="86" spans="2:33" ht="15" x14ac:dyDescent="0.25">
      <c r="B86" s="1">
        <v>75</v>
      </c>
      <c r="C86" s="1">
        <v>0.99285125189827161</v>
      </c>
      <c r="D86" s="1">
        <v>1.3268406597051761</v>
      </c>
      <c r="E86" s="1">
        <v>0.73778958241109638</v>
      </c>
      <c r="G86" s="1">
        <v>0.99285125189827161</v>
      </c>
      <c r="H86" s="1">
        <v>1.3268406597051761</v>
      </c>
      <c r="I86" s="1">
        <v>0.73778958241109638</v>
      </c>
      <c r="K86" s="1">
        <v>1.0002577037594094</v>
      </c>
      <c r="L86" s="1">
        <v>1.5200055370887324</v>
      </c>
      <c r="M86" s="1">
        <v>0.64770425917462338</v>
      </c>
      <c r="O86" s="1">
        <v>1.1479076537736302E-3</v>
      </c>
      <c r="P86" s="1">
        <v>0.99285125189827161</v>
      </c>
      <c r="R86" s="1">
        <v>6.257739929684536E-2</v>
      </c>
      <c r="S86" s="2">
        <f>optim_vol_implied(P86,R86)</f>
        <v>0.16645036269613073</v>
      </c>
      <c r="T86" s="4">
        <f t="shared" si="12"/>
        <v>2.7705723241673468E-2</v>
      </c>
      <c r="U86" s="1">
        <f t="shared" si="13"/>
        <v>6.7753691976455421E-3</v>
      </c>
      <c r="V86" s="6">
        <f>2*sigma/alpha*corel*(B86/12-1/alpha*(1-EXP(-alpha*Output!B86/12)))</f>
        <v>9.0002447098140204E-2</v>
      </c>
      <c r="W86" s="5">
        <f t="shared" si="14"/>
        <v>-2.0930354044027925E-2</v>
      </c>
      <c r="X86" s="1">
        <f t="shared" si="22"/>
        <v>0.53135929158435169</v>
      </c>
      <c r="Y86" s="3">
        <f t="shared" si="15"/>
        <v>5.1115320744821897E-2</v>
      </c>
      <c r="Z86" s="1">
        <f t="shared" si="16"/>
        <v>6.6580145078452294E-2</v>
      </c>
      <c r="AA86" s="8">
        <f t="shared" si="23"/>
        <v>6.1666666666666616</v>
      </c>
      <c r="AB86" s="1">
        <v>6.25</v>
      </c>
      <c r="AC86">
        <v>1.233596217E-3</v>
      </c>
      <c r="AD86" s="8">
        <f t="shared" si="17"/>
        <v>0.8568856322636984</v>
      </c>
      <c r="AE86" s="3">
        <f t="shared" si="18"/>
        <v>6.946240758970311E-2</v>
      </c>
      <c r="AF86" s="11">
        <f t="shared" si="19"/>
        <v>6.1666666666666616</v>
      </c>
      <c r="AG86" s="1">
        <f t="shared" si="20"/>
        <v>6.6580145078452294E-2</v>
      </c>
    </row>
    <row r="87" spans="2:33" ht="15" x14ac:dyDescent="0.25">
      <c r="B87" s="1">
        <v>76</v>
      </c>
      <c r="C87" s="1">
        <v>0.99258321700248364</v>
      </c>
      <c r="D87" s="1">
        <v>1.3351669626286766</v>
      </c>
      <c r="E87" s="1">
        <v>0.73260073260073255</v>
      </c>
      <c r="G87" s="1">
        <v>0.99258321700248364</v>
      </c>
      <c r="H87" s="1">
        <v>1.3351669626286766</v>
      </c>
      <c r="I87" s="1">
        <v>0.73260073260073255</v>
      </c>
      <c r="K87" s="1">
        <v>1.0002400805724494</v>
      </c>
      <c r="L87" s="1">
        <v>1.5597112264344855</v>
      </c>
      <c r="M87" s="1">
        <v>0.63109017539606127</v>
      </c>
      <c r="O87" s="1">
        <v>1.1754353825253082E-3</v>
      </c>
      <c r="P87" s="1">
        <v>0.99258321700248364</v>
      </c>
      <c r="R87" s="1">
        <v>6.3114092752984602E-2</v>
      </c>
      <c r="S87" s="2">
        <f t="shared" ref="S87:S150" si="24">optim_vol_implied(P87,R87)</f>
        <v>0.16815607284804174</v>
      </c>
      <c r="T87" s="4">
        <f t="shared" ref="T87:T150" si="25">S87*S87</f>
        <v>2.8276464835675919E-2</v>
      </c>
      <c r="U87" s="1">
        <f t="shared" si="13"/>
        <v>7.0332073779098003E-3</v>
      </c>
      <c r="V87" s="6">
        <f>2*sigma/alpha*corel*(B87/12-1/alpha*(1-EXP(-alpha*Output!B87/12)))</f>
        <v>9.2320111444089026E-2</v>
      </c>
      <c r="W87" s="5">
        <f t="shared" ref="W87:W150" si="26">U87-T87</f>
        <v>-2.1243257457766118E-2</v>
      </c>
      <c r="X87" s="1">
        <f t="shared" si="22"/>
        <v>0.54668552524045733</v>
      </c>
      <c r="Y87" s="3">
        <f t="shared" ref="Y87:Y150" si="27">(-V87+SQRT(X87))/2/B87*12</f>
        <v>5.108382173887302E-2</v>
      </c>
      <c r="Z87" s="1">
        <f t="shared" si="16"/>
        <v>6.6818447857265387E-2</v>
      </c>
      <c r="AA87" s="8">
        <f t="shared" si="23"/>
        <v>6.2499999999999947</v>
      </c>
      <c r="AB87" s="1">
        <v>6.3330000000000002</v>
      </c>
      <c r="AC87">
        <v>1.2540954740000001E-3</v>
      </c>
      <c r="AD87" s="8">
        <f t="shared" si="17"/>
        <v>0.78660091474691896</v>
      </c>
      <c r="AE87" s="3">
        <f t="shared" si="18"/>
        <v>6.272257025519884E-2</v>
      </c>
      <c r="AF87" s="11">
        <f t="shared" si="19"/>
        <v>6.2499999999999947</v>
      </c>
      <c r="AG87" s="1">
        <f t="shared" si="20"/>
        <v>6.6818447857265387E-2</v>
      </c>
    </row>
    <row r="88" spans="2:33" ht="15" x14ac:dyDescent="0.25">
      <c r="B88" s="1">
        <v>77</v>
      </c>
      <c r="C88" s="1">
        <v>0.99228611150021739</v>
      </c>
      <c r="D88" s="1">
        <v>1.343472069215681</v>
      </c>
      <c r="E88" s="1">
        <v>0.72748435908627962</v>
      </c>
      <c r="G88" s="1">
        <v>0.99228611150021739</v>
      </c>
      <c r="H88" s="1">
        <v>1.343472069215681</v>
      </c>
      <c r="I88" s="1">
        <v>0.72748435908627962</v>
      </c>
      <c r="K88" s="1">
        <v>1.0002751270663859</v>
      </c>
      <c r="L88" s="1">
        <v>1.5378360718282753</v>
      </c>
      <c r="M88" s="1">
        <v>0.63994128778687387</v>
      </c>
      <c r="O88" s="1">
        <v>1.2068251061236033E-3</v>
      </c>
      <c r="P88" s="1">
        <v>0.99228611150021739</v>
      </c>
      <c r="R88" s="1">
        <v>6.3563819647772676E-2</v>
      </c>
      <c r="S88" s="2">
        <f t="shared" si="24"/>
        <v>0.1696801866889488</v>
      </c>
      <c r="T88" s="4">
        <f t="shared" si="25"/>
        <v>2.8791365754796516E-2</v>
      </c>
      <c r="U88" s="1">
        <f t="shared" si="13"/>
        <v>7.2970770518896444E-3</v>
      </c>
      <c r="V88" s="6">
        <f>2*sigma/alpha*corel*(B88/12-1/alpha*(1-EXP(-alpha*Output!B88/12)))</f>
        <v>9.4664727519935377E-2</v>
      </c>
      <c r="W88" s="5">
        <f t="shared" si="26"/>
        <v>-2.1494288702906872E-2</v>
      </c>
      <c r="X88" s="1">
        <f t="shared" si="22"/>
        <v>0.5606481540110333</v>
      </c>
      <c r="Y88" s="3">
        <f t="shared" si="27"/>
        <v>5.0968807068510445E-2</v>
      </c>
      <c r="Z88" s="1">
        <f t="shared" si="16"/>
        <v>6.6984819859850331E-2</v>
      </c>
      <c r="AA88" s="8">
        <f t="shared" si="23"/>
        <v>6.3333333333333277</v>
      </c>
      <c r="AB88" s="1">
        <v>6.4169999999999998</v>
      </c>
      <c r="AC88">
        <v>1.27662173E-3</v>
      </c>
      <c r="AD88" s="8">
        <f t="shared" si="17"/>
        <v>0.69796623876396735</v>
      </c>
      <c r="AE88" s="3">
        <f t="shared" si="18"/>
        <v>5.4672909160332663E-2</v>
      </c>
      <c r="AF88" s="11">
        <f t="shared" si="19"/>
        <v>6.3333333333333277</v>
      </c>
      <c r="AG88" s="1">
        <f t="shared" si="20"/>
        <v>6.6984819859850331E-2</v>
      </c>
    </row>
    <row r="89" spans="2:33" ht="15" x14ac:dyDescent="0.25">
      <c r="B89" s="1">
        <v>78</v>
      </c>
      <c r="C89" s="1">
        <v>0.99195985363440908</v>
      </c>
      <c r="D89" s="1">
        <v>1.3518080432578574</v>
      </c>
      <c r="E89" s="1">
        <v>0.72228241242325741</v>
      </c>
      <c r="G89" s="1">
        <v>0.99195985363440908</v>
      </c>
      <c r="H89" s="1">
        <v>1.3518080432578574</v>
      </c>
      <c r="I89" s="1">
        <v>0.72228241242325741</v>
      </c>
      <c r="K89" s="1">
        <v>1.0002881409803195</v>
      </c>
      <c r="L89" s="1">
        <v>1.5781254746281705</v>
      </c>
      <c r="M89" s="1">
        <v>0.62343951458608915</v>
      </c>
      <c r="O89" s="1">
        <v>1.2419450219701036E-3</v>
      </c>
      <c r="P89" s="1">
        <v>0.99195985363440908</v>
      </c>
      <c r="R89" s="1">
        <v>6.4299529388221824E-2</v>
      </c>
      <c r="S89" s="2">
        <f t="shared" si="24"/>
        <v>0.17196574360610517</v>
      </c>
      <c r="T89" s="4">
        <f t="shared" si="25"/>
        <v>2.9572216974000701E-2</v>
      </c>
      <c r="U89" s="1">
        <f t="shared" si="13"/>
        <v>7.5670275344301707E-3</v>
      </c>
      <c r="V89" s="6">
        <f>2*sigma/alpha*corel*(B89/12-1/alpha*(1-EXP(-alpha*Output!B89/12)))</f>
        <v>9.7036205636144568E-2</v>
      </c>
      <c r="W89" s="5">
        <f t="shared" si="26"/>
        <v>-2.2005189439570531E-2</v>
      </c>
      <c r="X89" s="1">
        <f t="shared" si="22"/>
        <v>0.58155095063309392</v>
      </c>
      <c r="Y89" s="3">
        <f t="shared" si="27"/>
        <v>5.1196821086295335E-2</v>
      </c>
      <c r="Z89" s="1">
        <f t="shared" si="16"/>
        <v>6.7450514024386454E-2</v>
      </c>
      <c r="AA89" s="8">
        <f t="shared" si="23"/>
        <v>6.4166666666666607</v>
      </c>
      <c r="AB89" s="1">
        <v>6.5</v>
      </c>
      <c r="AC89">
        <v>1.3012809259999999E-3</v>
      </c>
      <c r="AD89" s="8">
        <f t="shared" si="17"/>
        <v>0.5933590402989628</v>
      </c>
      <c r="AE89" s="3">
        <f t="shared" si="18"/>
        <v>4.5598074054838088E-2</v>
      </c>
      <c r="AF89" s="11">
        <f t="shared" si="19"/>
        <v>6.4166666666666607</v>
      </c>
      <c r="AG89" s="1">
        <f t="shared" si="20"/>
        <v>6.7450514024386454E-2</v>
      </c>
    </row>
    <row r="90" spans="2:33" ht="15" x14ac:dyDescent="0.25">
      <c r="B90" s="1">
        <v>79</v>
      </c>
      <c r="C90" s="1">
        <v>0.99160360500988265</v>
      </c>
      <c r="D90" s="1">
        <v>1.3598041881968996</v>
      </c>
      <c r="E90" s="1">
        <v>0.71736011477761841</v>
      </c>
      <c r="G90" s="1">
        <v>0.99160360500988265</v>
      </c>
      <c r="H90" s="1">
        <v>1.3598041881968996</v>
      </c>
      <c r="I90" s="1">
        <v>0.71736011477761841</v>
      </c>
      <c r="K90" s="1">
        <v>1.000318451774961</v>
      </c>
      <c r="L90" s="1">
        <v>1.6015035164725391</v>
      </c>
      <c r="M90" s="1">
        <v>0.61421000883300958</v>
      </c>
      <c r="O90" s="1">
        <v>1.2807863208942134E-3</v>
      </c>
      <c r="P90" s="1">
        <v>0.99160360500988265</v>
      </c>
      <c r="R90" s="1">
        <v>6.4981902147692519E-2</v>
      </c>
      <c r="S90" s="2">
        <f t="shared" si="24"/>
        <v>0.17415617239110415</v>
      </c>
      <c r="T90" s="4">
        <f t="shared" si="25"/>
        <v>3.0330372381919986E-2</v>
      </c>
      <c r="U90" s="1">
        <f t="shared" si="13"/>
        <v>7.8431075152289864E-3</v>
      </c>
      <c r="V90" s="6">
        <f>2*sigma/alpha*corel*(B90/12-1/alpha*(1-EXP(-alpha*Output!B90/12)))</f>
        <v>9.9434456401650495E-2</v>
      </c>
      <c r="W90" s="5">
        <f t="shared" si="26"/>
        <v>-2.2487264866691E-2</v>
      </c>
      <c r="X90" s="1">
        <f t="shared" si="22"/>
        <v>0.60205185260942151</v>
      </c>
      <c r="Y90" s="3">
        <f t="shared" si="27"/>
        <v>5.1378649184785664E-2</v>
      </c>
      <c r="Z90" s="1">
        <f t="shared" si="16"/>
        <v>6.787595429853796E-2</v>
      </c>
      <c r="AA90" s="8">
        <f t="shared" si="23"/>
        <v>6.4999999999999938</v>
      </c>
      <c r="AB90" s="1">
        <v>6.5830000000000002</v>
      </c>
      <c r="AC90">
        <v>1.3281790020000001E-3</v>
      </c>
      <c r="AD90" s="8">
        <f t="shared" si="17"/>
        <v>0.47392681105786622</v>
      </c>
      <c r="AE90" s="3">
        <f t="shared" si="18"/>
        <v>3.5682450207706731E-2</v>
      </c>
      <c r="AF90" s="11">
        <f t="shared" si="19"/>
        <v>6.4999999999999938</v>
      </c>
      <c r="AG90" s="1">
        <f t="shared" si="20"/>
        <v>6.787595429853796E-2</v>
      </c>
    </row>
    <row r="91" spans="2:33" ht="15" x14ac:dyDescent="0.25">
      <c r="B91" s="1">
        <v>80</v>
      </c>
      <c r="C91" s="1">
        <v>0.99121730211337722</v>
      </c>
      <c r="D91" s="1">
        <v>1.3675587708381767</v>
      </c>
      <c r="E91" s="1">
        <v>0.71250445315283217</v>
      </c>
      <c r="G91" s="1">
        <v>0.99121730211337722</v>
      </c>
      <c r="H91" s="1">
        <v>1.3675587708381767</v>
      </c>
      <c r="I91" s="1">
        <v>0.71250445315283217</v>
      </c>
      <c r="K91" s="1">
        <v>1.0003720306590276</v>
      </c>
      <c r="L91" s="1">
        <v>1.5662643807205952</v>
      </c>
      <c r="M91" s="1">
        <v>0.62792796159603692</v>
      </c>
      <c r="O91" s="1">
        <v>1.3232239643711325E-3</v>
      </c>
      <c r="P91" s="1">
        <v>0.99121730211337722</v>
      </c>
      <c r="R91" s="1">
        <v>6.5398966064609973E-2</v>
      </c>
      <c r="S91" s="2">
        <f t="shared" si="24"/>
        <v>0.17571501346111268</v>
      </c>
      <c r="T91" s="4">
        <f t="shared" si="25"/>
        <v>3.0875765955639008E-2</v>
      </c>
      <c r="U91" s="1">
        <f t="shared" si="13"/>
        <v>8.1253650639809827E-3</v>
      </c>
      <c r="V91" s="6">
        <f>2*sigma/alpha*corel*(B91/12-1/alpha*(1-EXP(-alpha*Output!B91/12)))</f>
        <v>0.10185939072286054</v>
      </c>
      <c r="W91" s="5">
        <f t="shared" si="26"/>
        <v>-2.2750400891658026E-2</v>
      </c>
      <c r="X91" s="1">
        <f t="shared" si="22"/>
        <v>0.61705269258931306</v>
      </c>
      <c r="Y91" s="3">
        <f t="shared" si="27"/>
        <v>5.1275071882583276E-2</v>
      </c>
      <c r="Z91" s="1">
        <f t="shared" si="16"/>
        <v>6.8054132081350152E-2</v>
      </c>
      <c r="AA91" s="8">
        <f t="shared" si="23"/>
        <v>6.5833333333333268</v>
      </c>
      <c r="AB91" s="1">
        <v>6.6669999999999998</v>
      </c>
      <c r="AC91">
        <v>1.3574221540000001E-3</v>
      </c>
      <c r="AD91" s="8">
        <f t="shared" si="17"/>
        <v>0.34198189628867554</v>
      </c>
      <c r="AE91" s="3">
        <f t="shared" si="18"/>
        <v>2.5193481282218377E-2</v>
      </c>
      <c r="AF91" s="11">
        <f t="shared" si="19"/>
        <v>6.5833333333333268</v>
      </c>
      <c r="AG91" s="1">
        <f t="shared" si="20"/>
        <v>6.8054132081350152E-2</v>
      </c>
    </row>
    <row r="92" spans="2:33" ht="15" x14ac:dyDescent="0.25">
      <c r="B92" s="1">
        <v>81</v>
      </c>
      <c r="C92" s="1">
        <v>0.99080035289024493</v>
      </c>
      <c r="D92" s="1">
        <v>1.3751753348551941</v>
      </c>
      <c r="E92" s="1">
        <v>0.70776417297756389</v>
      </c>
      <c r="G92" s="1">
        <v>0.99080035289024493</v>
      </c>
      <c r="H92" s="1">
        <v>1.3751753348551941</v>
      </c>
      <c r="I92" s="1">
        <v>0.70776417297756389</v>
      </c>
      <c r="K92" s="1">
        <v>1.0003680300575504</v>
      </c>
      <c r="L92" s="1">
        <v>1.5722673714419888</v>
      </c>
      <c r="M92" s="1">
        <v>0.62536499759746667</v>
      </c>
      <c r="O92" s="1">
        <v>1.3692185481503456E-3</v>
      </c>
      <c r="P92" s="1">
        <v>0.99080035289024493</v>
      </c>
      <c r="R92" s="1">
        <v>6.5868691831659193E-2</v>
      </c>
      <c r="S92" s="2">
        <f t="shared" si="24"/>
        <v>0.17744725999927585</v>
      </c>
      <c r="T92" s="4">
        <f t="shared" si="25"/>
        <v>3.1487530081250603E-2</v>
      </c>
      <c r="U92" s="1">
        <f t="shared" si="13"/>
        <v>8.4138476354866931E-3</v>
      </c>
      <c r="V92" s="6">
        <f>2*sigma/alpha*corel*(B92/12-1/alpha*(1-EXP(-alpha*Output!B92/12)))</f>
        <v>0.10431091980266605</v>
      </c>
      <c r="W92" s="5">
        <f t="shared" si="26"/>
        <v>-2.307368244576391E-2</v>
      </c>
      <c r="X92" s="1">
        <f t="shared" si="22"/>
        <v>0.63387019402570377</v>
      </c>
      <c r="Y92" s="3">
        <f t="shared" si="27"/>
        <v>5.1248054355601452E-2</v>
      </c>
      <c r="Z92" s="1">
        <f t="shared" si="16"/>
        <v>6.8299482218362281E-2</v>
      </c>
      <c r="AA92" s="8">
        <f t="shared" si="23"/>
        <v>6.6666666666666599</v>
      </c>
      <c r="AB92" s="1">
        <v>6.75</v>
      </c>
      <c r="AC92">
        <v>1.3891175930000001E-3</v>
      </c>
      <c r="AD92" s="8">
        <f t="shared" si="17"/>
        <v>0.1989904484965446</v>
      </c>
      <c r="AE92" s="3">
        <f t="shared" si="18"/>
        <v>1.4324953445215246E-2</v>
      </c>
      <c r="AF92" s="11">
        <f t="shared" si="19"/>
        <v>6.6666666666666599</v>
      </c>
      <c r="AG92" s="1">
        <f t="shared" si="20"/>
        <v>6.8299482218362281E-2</v>
      </c>
    </row>
    <row r="93" spans="2:33" ht="15" x14ac:dyDescent="0.25">
      <c r="B93" s="1">
        <v>82</v>
      </c>
      <c r="C93" s="1">
        <v>0.99035201712734633</v>
      </c>
      <c r="D93" s="1">
        <v>1.3824948502066829</v>
      </c>
      <c r="E93" s="1">
        <v>0.70318542999789047</v>
      </c>
      <c r="G93" s="1">
        <v>0.99035201712734633</v>
      </c>
      <c r="H93" s="1">
        <v>1.3824948502066829</v>
      </c>
      <c r="I93" s="1">
        <v>0.70318542999789047</v>
      </c>
      <c r="K93" s="1">
        <v>1.0003710314766294</v>
      </c>
      <c r="L93" s="1">
        <v>1.5661055046516166</v>
      </c>
      <c r="M93" s="1">
        <v>0.62771336511324838</v>
      </c>
      <c r="O93" s="1">
        <v>1.4187550534599093E-3</v>
      </c>
      <c r="P93" s="1">
        <v>0.99035201712734633</v>
      </c>
      <c r="R93" s="1">
        <v>6.639097577101441E-2</v>
      </c>
      <c r="S93" s="2">
        <f t="shared" si="24"/>
        <v>0.17935373794688264</v>
      </c>
      <c r="T93" s="4">
        <f t="shared" si="25"/>
        <v>3.216776331551905E-2</v>
      </c>
      <c r="U93" s="1">
        <f t="shared" si="13"/>
        <v>8.708602074716687E-3</v>
      </c>
      <c r="V93" s="6">
        <f>2*sigma/alpha*corel*(B93/12-1/alpha*(1-EXP(-alpha*Output!B93/12)))</f>
        <v>0.10678895513945685</v>
      </c>
      <c r="W93" s="5">
        <f t="shared" si="26"/>
        <v>-2.3459161240802363E-2</v>
      </c>
      <c r="X93" s="1">
        <f t="shared" si="22"/>
        <v>0.65262095485504157</v>
      </c>
      <c r="Y93" s="3">
        <f t="shared" si="27"/>
        <v>5.1297119388079945E-2</v>
      </c>
      <c r="Z93" s="1">
        <f t="shared" si="16"/>
        <v>6.861106002947806E-2</v>
      </c>
      <c r="AA93" s="8">
        <f t="shared" si="23"/>
        <v>6.7499999999999929</v>
      </c>
      <c r="AB93" s="1">
        <v>6.8330000000000002</v>
      </c>
      <c r="AC93">
        <v>1.4233727829999999E-3</v>
      </c>
      <c r="AD93" s="8">
        <f t="shared" si="17"/>
        <v>4.6177295400906107E-2</v>
      </c>
      <c r="AE93" s="3">
        <f t="shared" si="18"/>
        <v>3.2442165504654105E-3</v>
      </c>
      <c r="AF93" s="11">
        <f t="shared" si="19"/>
        <v>6.7499999999999929</v>
      </c>
      <c r="AG93" s="1">
        <f t="shared" si="20"/>
        <v>6.861106002947806E-2</v>
      </c>
    </row>
    <row r="94" spans="2:33" ht="15" x14ac:dyDescent="0.25">
      <c r="B94" s="1">
        <v>83</v>
      </c>
      <c r="C94" s="1">
        <v>0.98987177360721712</v>
      </c>
      <c r="D94" s="1">
        <v>1.389352006224297</v>
      </c>
      <c r="E94" s="1">
        <v>0.69881201956673655</v>
      </c>
      <c r="G94" s="1">
        <v>0.98987177360721712</v>
      </c>
      <c r="H94" s="1">
        <v>1.389352006224297</v>
      </c>
      <c r="I94" s="1">
        <v>0.69881201956673655</v>
      </c>
      <c r="K94" s="1">
        <v>1.0003043503445099</v>
      </c>
      <c r="L94" s="1">
        <v>1.5881885909718179</v>
      </c>
      <c r="M94" s="1">
        <v>0.61880345201499809</v>
      </c>
      <c r="O94" s="1">
        <v>1.4717878338825494E-3</v>
      </c>
      <c r="P94" s="1">
        <v>0.98987177360721712</v>
      </c>
      <c r="R94" s="1">
        <v>6.6667182370132694E-2</v>
      </c>
      <c r="S94" s="2">
        <f t="shared" si="24"/>
        <v>0.18067859871050401</v>
      </c>
      <c r="T94" s="4">
        <f t="shared" si="25"/>
        <v>3.2644756031991344E-2</v>
      </c>
      <c r="U94" s="1">
        <f t="shared" si="13"/>
        <v>9.0096746218470969E-3</v>
      </c>
      <c r="V94" s="6">
        <f>2*sigma/alpha*corel*(B94/12-1/alpha*(1-EXP(-alpha*Output!B94/12)))</f>
        <v>0.10929340852613623</v>
      </c>
      <c r="W94" s="5">
        <f t="shared" si="26"/>
        <v>-2.3635081410144247E-2</v>
      </c>
      <c r="X94" s="1">
        <f t="shared" si="22"/>
        <v>0.66584896816125172</v>
      </c>
      <c r="Y94" s="3">
        <f t="shared" si="27"/>
        <v>5.1086912005139623E-2</v>
      </c>
      <c r="Z94" s="1">
        <f t="shared" si="16"/>
        <v>6.8700245732176229E-2</v>
      </c>
      <c r="AA94" s="8">
        <f t="shared" si="23"/>
        <v>6.8333333333333259</v>
      </c>
      <c r="AB94" s="1">
        <v>6.9169999999999998</v>
      </c>
      <c r="AC94">
        <v>1.460295189E-3</v>
      </c>
      <c r="AD94" s="8">
        <f t="shared" si="17"/>
        <v>-0.1149264488254937</v>
      </c>
      <c r="AE94" s="3">
        <f t="shared" si="18"/>
        <v>-7.8700833702119184E-3</v>
      </c>
      <c r="AF94" s="11">
        <f t="shared" si="19"/>
        <v>6.8333333333333259</v>
      </c>
      <c r="AG94" s="1">
        <f t="shared" si="20"/>
        <v>6.8700245732176229E-2</v>
      </c>
    </row>
    <row r="95" spans="2:33" ht="15" x14ac:dyDescent="0.25">
      <c r="B95" s="1">
        <v>84</v>
      </c>
      <c r="C95" s="1">
        <v>0.98935863923923573</v>
      </c>
      <c r="D95" s="1">
        <v>1.3960436124024513</v>
      </c>
      <c r="E95" s="1">
        <v>0.69449267310229879</v>
      </c>
      <c r="G95" s="1">
        <v>0.98935863923923573</v>
      </c>
      <c r="H95" s="1">
        <v>1.3960436124024513</v>
      </c>
      <c r="I95" s="1">
        <v>0.69449267310229879</v>
      </c>
      <c r="K95" s="1">
        <v>1.0003270844855092</v>
      </c>
      <c r="L95" s="1">
        <v>1.5767050989892375</v>
      </c>
      <c r="M95" s="1">
        <v>0.62320701358952624</v>
      </c>
      <c r="O95" s="1">
        <v>1.5283407063211435E-3</v>
      </c>
      <c r="P95" s="1">
        <v>0.98935863923923573</v>
      </c>
      <c r="R95" s="1">
        <v>6.734317710766613E-2</v>
      </c>
      <c r="S95" s="2">
        <f t="shared" si="24"/>
        <v>0.18305944977063898</v>
      </c>
      <c r="T95" s="4">
        <f t="shared" si="25"/>
        <v>3.3510762150329096E-2</v>
      </c>
      <c r="U95" s="1">
        <f t="shared" si="13"/>
        <v>9.3171109172556221E-3</v>
      </c>
      <c r="V95" s="6">
        <f>2*sigma/alpha*corel*(B95/12-1/alpha*(1-EXP(-alpha*Output!B95/12)))</f>
        <v>0.11182419204914207</v>
      </c>
      <c r="W95" s="5">
        <f t="shared" si="26"/>
        <v>-2.4193651233073474E-2</v>
      </c>
      <c r="X95" s="1">
        <f t="shared" si="22"/>
        <v>0.68992688445350059</v>
      </c>
      <c r="Y95" s="3">
        <f t="shared" si="27"/>
        <v>5.1342441620680176E-2</v>
      </c>
      <c r="Z95" s="1">
        <f t="shared" si="16"/>
        <v>6.9189968461918661E-2</v>
      </c>
      <c r="AA95" s="8">
        <f t="shared" si="23"/>
        <v>6.916666666666659</v>
      </c>
      <c r="AB95" s="1">
        <v>7</v>
      </c>
      <c r="AC95">
        <v>1.4999922750000001E-3</v>
      </c>
      <c r="AD95" s="8">
        <f t="shared" si="17"/>
        <v>-0.28348431321143386</v>
      </c>
      <c r="AE95" s="3">
        <f t="shared" si="18"/>
        <v>-1.8899051544211041E-2</v>
      </c>
      <c r="AF95" s="11">
        <f t="shared" si="19"/>
        <v>6.916666666666659</v>
      </c>
      <c r="AG95" s="1">
        <f t="shared" si="20"/>
        <v>6.9189968461918661E-2</v>
      </c>
    </row>
    <row r="96" spans="2:33" ht="15" x14ac:dyDescent="0.25">
      <c r="B96" s="1">
        <v>85</v>
      </c>
      <c r="C96" s="1">
        <v>0.98881266072741114</v>
      </c>
      <c r="D96" s="1">
        <v>1.4027016032879325</v>
      </c>
      <c r="E96" s="1">
        <v>0.69022639425731636</v>
      </c>
      <c r="G96" s="1">
        <v>0.98881266072741114</v>
      </c>
      <c r="H96" s="1">
        <v>1.4027016032879325</v>
      </c>
      <c r="I96" s="1">
        <v>0.69022639425731636</v>
      </c>
      <c r="K96" s="1">
        <v>1.0003310785851969</v>
      </c>
      <c r="L96" s="1">
        <v>1.5680143401277964</v>
      </c>
      <c r="M96" s="1">
        <v>0.62654665003216881</v>
      </c>
      <c r="O96" s="1">
        <v>1.5882901026316616E-3</v>
      </c>
      <c r="P96" s="1">
        <v>0.98881266072741114</v>
      </c>
      <c r="R96" s="1">
        <v>6.7663633007855328E-2</v>
      </c>
      <c r="S96" s="2">
        <f t="shared" si="24"/>
        <v>0.18458198975313733</v>
      </c>
      <c r="T96" s="4">
        <f t="shared" si="25"/>
        <v>3.4070510941227296E-2</v>
      </c>
      <c r="U96" s="1">
        <f t="shared" si="13"/>
        <v>9.6309560064766764E-3</v>
      </c>
      <c r="V96" s="6">
        <f>2*sigma/alpha*corel*(B96/12-1/alpha*(1-EXP(-alpha*Output!B96/12)))</f>
        <v>0.11438121808746915</v>
      </c>
      <c r="W96" s="5">
        <f t="shared" si="26"/>
        <v>-2.4439554934750619E-2</v>
      </c>
      <c r="X96" s="1">
        <f t="shared" si="22"/>
        <v>0.70553711953577392</v>
      </c>
      <c r="Y96" s="3">
        <f t="shared" si="27"/>
        <v>5.1217507216296004E-2</v>
      </c>
      <c r="Z96" s="1">
        <f t="shared" si="16"/>
        <v>6.9353835408146852E-2</v>
      </c>
      <c r="AA96" s="8">
        <f t="shared" si="23"/>
        <v>6.999999999999992</v>
      </c>
      <c r="AB96" s="1">
        <v>7.0830000000000002</v>
      </c>
      <c r="AC96">
        <v>1.5425715080000001E-3</v>
      </c>
      <c r="AD96" s="8">
        <f t="shared" si="17"/>
        <v>-0.45718594631661547</v>
      </c>
      <c r="AE96" s="3">
        <f t="shared" si="18"/>
        <v>-2.9637909422388697E-2</v>
      </c>
      <c r="AF96" s="11">
        <f t="shared" si="19"/>
        <v>6.999999999999992</v>
      </c>
      <c r="AG96" s="1">
        <f t="shared" si="20"/>
        <v>6.9353835408146852E-2</v>
      </c>
    </row>
    <row r="97" spans="2:33" ht="15" x14ac:dyDescent="0.25">
      <c r="B97" s="1">
        <v>86</v>
      </c>
      <c r="C97" s="1">
        <v>0.98823393612118193</v>
      </c>
      <c r="D97" s="1">
        <v>1.4093042265033753</v>
      </c>
      <c r="E97" s="1">
        <v>0.68596515297022909</v>
      </c>
      <c r="G97" s="1">
        <v>0.98823393612118193</v>
      </c>
      <c r="H97" s="1">
        <v>1.4093042265033753</v>
      </c>
      <c r="I97" s="1">
        <v>0.68596515297022909</v>
      </c>
      <c r="K97" s="1">
        <v>1.0003311839665809</v>
      </c>
      <c r="L97" s="1">
        <v>1.554739070293802</v>
      </c>
      <c r="M97" s="1">
        <v>0.63176962300979389</v>
      </c>
      <c r="O97" s="1">
        <v>1.6515114154934947E-3</v>
      </c>
      <c r="P97" s="1">
        <v>0.98823393612118193</v>
      </c>
      <c r="R97" s="1">
        <v>6.8003416373326853E-2</v>
      </c>
      <c r="S97" s="2">
        <f t="shared" si="24"/>
        <v>0.1861959068506765</v>
      </c>
      <c r="T97" s="4">
        <f t="shared" si="25"/>
        <v>3.4668915727945795E-2</v>
      </c>
      <c r="U97" s="1">
        <f t="shared" si="13"/>
        <v>9.9512543451281132E-3</v>
      </c>
      <c r="V97" s="6">
        <f>2*sigma/alpha*corel*(B97/12-1/alpha*(1-EXP(-alpha*Output!B97/12)))</f>
        <v>0.11696439931169667</v>
      </c>
      <c r="W97" s="5">
        <f t="shared" si="26"/>
        <v>-2.4717661382817682E-2</v>
      </c>
      <c r="X97" s="1">
        <f t="shared" si="22"/>
        <v>0.72225363034711965</v>
      </c>
      <c r="Y97" s="3">
        <f t="shared" si="27"/>
        <v>5.1131906860911763E-2</v>
      </c>
      <c r="Z97" s="1">
        <f t="shared" si="16"/>
        <v>6.9552304956986485E-2</v>
      </c>
      <c r="AA97" s="8">
        <f t="shared" si="23"/>
        <v>7.083333333333325</v>
      </c>
      <c r="AB97" s="1">
        <v>7.1669999999999998</v>
      </c>
      <c r="AC97">
        <v>1.5881007540000001E-3</v>
      </c>
      <c r="AD97" s="8">
        <f t="shared" si="17"/>
        <v>-0.63410661493494602</v>
      </c>
      <c r="AE97" s="3">
        <f t="shared" si="18"/>
        <v>-3.9928613681329821E-2</v>
      </c>
      <c r="AF97" s="11">
        <f t="shared" si="19"/>
        <v>7.083333333333325</v>
      </c>
      <c r="AG97" s="1">
        <f t="shared" si="20"/>
        <v>6.9552304956986485E-2</v>
      </c>
    </row>
    <row r="98" spans="2:33" ht="15" x14ac:dyDescent="0.25">
      <c r="B98" s="1">
        <v>87</v>
      </c>
      <c r="C98" s="1">
        <v>0.98762136992817451</v>
      </c>
      <c r="D98" s="1">
        <v>1.4150476163522903</v>
      </c>
      <c r="E98" s="1">
        <v>0.68212824010914053</v>
      </c>
      <c r="G98" s="1">
        <v>0.98762136992817451</v>
      </c>
      <c r="H98" s="1">
        <v>1.4150476163522903</v>
      </c>
      <c r="I98" s="1">
        <v>0.68212824010914053</v>
      </c>
      <c r="K98" s="1">
        <v>1.0003357273506921</v>
      </c>
      <c r="L98" s="1">
        <v>1.5828803322056042</v>
      </c>
      <c r="M98" s="1">
        <v>0.62040123300538697</v>
      </c>
      <c r="O98" s="1">
        <v>1.7180528969428942E-3</v>
      </c>
      <c r="P98" s="1">
        <v>0.98762136992817451</v>
      </c>
      <c r="R98" s="1">
        <v>6.8348727027756295E-2</v>
      </c>
      <c r="S98" s="2">
        <f t="shared" si="24"/>
        <v>0.18786758249488505</v>
      </c>
      <c r="T98" s="4">
        <f t="shared" si="25"/>
        <v>3.529422855247244E-2</v>
      </c>
      <c r="U98" s="1">
        <f t="shared" si="13"/>
        <v>1.0278049803796208E-2</v>
      </c>
      <c r="V98" s="6">
        <f>2*sigma/alpha*corel*(B98/12-1/alpha*(1-EXP(-alpha*Output!B98/12)))</f>
        <v>0.11957364868301645</v>
      </c>
      <c r="W98" s="5">
        <f t="shared" si="26"/>
        <v>-2.5016178748676232E-2</v>
      </c>
      <c r="X98" s="1">
        <f t="shared" si="22"/>
        <v>0.73976704117098013</v>
      </c>
      <c r="Y98" s="3">
        <f t="shared" si="27"/>
        <v>5.1070583640960419E-2</v>
      </c>
      <c r="Z98" s="1">
        <f t="shared" si="16"/>
        <v>6.9772268527785744E-2</v>
      </c>
      <c r="AA98" s="8">
        <f t="shared" si="23"/>
        <v>7.1666666666666581</v>
      </c>
      <c r="AB98" s="1">
        <v>7.25</v>
      </c>
      <c r="AC98">
        <v>1.636489502E-3</v>
      </c>
      <c r="AD98" s="8">
        <f t="shared" si="17"/>
        <v>-0.8156339494289413</v>
      </c>
      <c r="AE98" s="3">
        <f t="shared" si="18"/>
        <v>-4.9840463286329184E-2</v>
      </c>
      <c r="AF98" s="11">
        <f t="shared" si="19"/>
        <v>7.1666666666666581</v>
      </c>
      <c r="AG98" s="1">
        <f t="shared" si="20"/>
        <v>6.9772268527785744E-2</v>
      </c>
    </row>
    <row r="99" spans="2:33" ht="15" x14ac:dyDescent="0.25">
      <c r="B99" s="1">
        <v>88</v>
      </c>
      <c r="C99" s="1">
        <v>0.98697601830631632</v>
      </c>
      <c r="D99" s="1">
        <v>1.420353668063348</v>
      </c>
      <c r="E99" s="1">
        <v>0.67847208087387201</v>
      </c>
      <c r="G99" s="1">
        <v>0.98697601830631632</v>
      </c>
      <c r="H99" s="1">
        <v>1.420353668063348</v>
      </c>
      <c r="I99" s="1">
        <v>0.67847208087387201</v>
      </c>
      <c r="K99" s="1">
        <v>1.0003107143379444</v>
      </c>
      <c r="L99" s="1">
        <v>1.5791403313110954</v>
      </c>
      <c r="M99" s="1">
        <v>0.62171656575819723</v>
      </c>
      <c r="O99" s="1">
        <v>1.7876641917048486E-3</v>
      </c>
      <c r="P99" s="1">
        <v>0.98697601830631632</v>
      </c>
      <c r="R99" s="1">
        <v>6.8560014160632468E-2</v>
      </c>
      <c r="S99" s="2">
        <f t="shared" si="24"/>
        <v>0.18924105555849785</v>
      </c>
      <c r="T99" s="4">
        <f t="shared" si="25"/>
        <v>3.581217710889447E-2</v>
      </c>
      <c r="U99" s="1">
        <f t="shared" si="13"/>
        <v>1.0611385672885554E-2</v>
      </c>
      <c r="V99" s="6">
        <f>2*sigma/alpha*corel*(B99/12-1/alpha*(1-EXP(-alpha*Output!B99/12)))</f>
        <v>0.12220887945226722</v>
      </c>
      <c r="W99" s="5">
        <f t="shared" si="26"/>
        <v>-2.5200791436008917E-2</v>
      </c>
      <c r="X99" s="1">
        <f t="shared" si="22"/>
        <v>0.75415822567324031</v>
      </c>
      <c r="Y99" s="3">
        <f t="shared" si="27"/>
        <v>5.0878224450882713E-2</v>
      </c>
      <c r="Z99" s="1">
        <f t="shared" si="16"/>
        <v>6.9881891049594733E-2</v>
      </c>
      <c r="AA99" s="8">
        <f t="shared" si="23"/>
        <v>7.2499999999999911</v>
      </c>
      <c r="AB99" s="1">
        <v>7.3330000000000002</v>
      </c>
      <c r="AC99">
        <v>1.6876076400000001E-3</v>
      </c>
      <c r="AD99" s="8">
        <f t="shared" si="17"/>
        <v>-1.0005655170484853</v>
      </c>
      <c r="AE99" s="3">
        <f t="shared" si="18"/>
        <v>-5.9288989533638599E-2</v>
      </c>
      <c r="AF99" s="11">
        <f t="shared" si="19"/>
        <v>7.2499999999999911</v>
      </c>
      <c r="AG99" s="1">
        <f t="shared" si="20"/>
        <v>6.9881891049594733E-2</v>
      </c>
    </row>
    <row r="100" spans="2:33" ht="15" x14ac:dyDescent="0.25">
      <c r="B100" s="1">
        <v>89</v>
      </c>
      <c r="C100" s="1">
        <v>0.98629945460453305</v>
      </c>
      <c r="D100" s="1">
        <v>1.4252120002850424</v>
      </c>
      <c r="E100" s="1">
        <v>0.67499156260546744</v>
      </c>
      <c r="G100" s="1">
        <v>0.98629945460453305</v>
      </c>
      <c r="H100" s="1">
        <v>1.4252120002850424</v>
      </c>
      <c r="I100" s="1">
        <v>0.67499156260546744</v>
      </c>
      <c r="K100" s="1">
        <v>1.0003262035701681</v>
      </c>
      <c r="L100" s="1">
        <v>1.5563007071707531</v>
      </c>
      <c r="M100" s="1">
        <v>0.63073903095138406</v>
      </c>
      <c r="O100" s="1">
        <v>1.8600355946311153E-3</v>
      </c>
      <c r="P100" s="1">
        <v>0.98629945460453305</v>
      </c>
      <c r="R100" s="1">
        <v>6.898113202453196E-2</v>
      </c>
      <c r="S100" s="2">
        <f t="shared" si="24"/>
        <v>0.19118768377597439</v>
      </c>
      <c r="T100" s="4">
        <f t="shared" si="25"/>
        <v>3.6552730427621985E-2</v>
      </c>
      <c r="U100" s="1">
        <f t="shared" si="13"/>
        <v>1.0951304667437434E-2</v>
      </c>
      <c r="V100" s="6">
        <f>2*sigma/alpha*corel*(B100/12-1/alpha*(1-EXP(-alpha*Output!B100/12)))</f>
        <v>0.12487000515897007</v>
      </c>
      <c r="W100" s="5">
        <f t="shared" si="26"/>
        <v>-2.5601425760184551E-2</v>
      </c>
      <c r="X100" s="1">
        <f t="shared" si="22"/>
        <v>0.77510148240720955</v>
      </c>
      <c r="Y100" s="3">
        <f t="shared" si="27"/>
        <v>5.0934503876722888E-2</v>
      </c>
      <c r="Z100" s="1">
        <f t="shared" si="16"/>
        <v>7.0202977395442331E-2</v>
      </c>
      <c r="AA100" s="8">
        <f t="shared" si="23"/>
        <v>7.3333333333333242</v>
      </c>
      <c r="AB100" s="1">
        <v>7.4169999999999998</v>
      </c>
      <c r="AC100">
        <v>1.7413250599999999E-3</v>
      </c>
      <c r="AD100" s="8">
        <f t="shared" si="17"/>
        <v>-1.1871053463111538</v>
      </c>
      <c r="AE100" s="3">
        <f t="shared" si="18"/>
        <v>-6.8172529849834809E-2</v>
      </c>
      <c r="AF100" s="11">
        <f t="shared" si="19"/>
        <v>7.3333333333333242</v>
      </c>
      <c r="AG100" s="1">
        <f t="shared" si="20"/>
        <v>7.0202977395442331E-2</v>
      </c>
    </row>
    <row r="101" spans="2:33" ht="15" x14ac:dyDescent="0.25">
      <c r="B101" s="1">
        <v>90</v>
      </c>
      <c r="C101" s="1">
        <v>0.98559145349213373</v>
      </c>
      <c r="D101" s="1">
        <v>1.4301036825169824</v>
      </c>
      <c r="E101" s="1">
        <v>0.67150147730325005</v>
      </c>
      <c r="G101" s="1">
        <v>0.98559145349213373</v>
      </c>
      <c r="H101" s="1">
        <v>1.4301036825169824</v>
      </c>
      <c r="I101" s="1">
        <v>0.67150147730325005</v>
      </c>
      <c r="K101" s="1">
        <v>1.0003007876657415</v>
      </c>
      <c r="L101" s="1">
        <v>1.5637305433258539</v>
      </c>
      <c r="M101" s="1">
        <v>0.62763610401321202</v>
      </c>
      <c r="O101" s="1">
        <v>1.9351143488205763E-3</v>
      </c>
      <c r="P101" s="1">
        <v>0.98559145349213373</v>
      </c>
      <c r="R101" s="1">
        <v>6.8898428005606596E-2</v>
      </c>
      <c r="S101" s="2">
        <f t="shared" si="24"/>
        <v>0.19189331245906055</v>
      </c>
      <c r="T101" s="4">
        <f t="shared" si="25"/>
        <v>3.6823043366510641E-2</v>
      </c>
      <c r="U101" s="1">
        <f t="shared" si="13"/>
        <v>1.1297848931910437E-2</v>
      </c>
      <c r="V101" s="6">
        <f>2*sigma/alpha*corel*(B101/12-1/alpha*(1-EXP(-alpha*Output!B101/12)))</f>
        <v>0.1275569396303684</v>
      </c>
      <c r="W101" s="5">
        <f t="shared" si="26"/>
        <v>-2.5525194434600204E-2</v>
      </c>
      <c r="X101" s="1">
        <f t="shared" si="22"/>
        <v>0.78202660588587158</v>
      </c>
      <c r="Y101" s="3">
        <f t="shared" si="27"/>
        <v>5.0451049490788547E-2</v>
      </c>
      <c r="Z101" s="1">
        <f t="shared" si="16"/>
        <v>7.0069530578809727E-2</v>
      </c>
      <c r="AA101" s="8">
        <f t="shared" si="23"/>
        <v>7.4166666666666572</v>
      </c>
      <c r="AB101" s="1">
        <v>7.5</v>
      </c>
      <c r="AC101">
        <v>1.7975116509999999E-3</v>
      </c>
      <c r="AD101" s="8">
        <f t="shared" si="17"/>
        <v>-1.3760269782057641</v>
      </c>
      <c r="AE101" s="3">
        <f t="shared" si="18"/>
        <v>-7.6551769633328756E-2</v>
      </c>
      <c r="AF101" s="11">
        <f t="shared" si="19"/>
        <v>7.4166666666666572</v>
      </c>
      <c r="AG101" s="1">
        <f t="shared" si="20"/>
        <v>7.0069530578809727E-2</v>
      </c>
    </row>
    <row r="102" spans="2:33" ht="15" x14ac:dyDescent="0.25">
      <c r="B102" s="1">
        <v>91</v>
      </c>
      <c r="C102" s="1">
        <v>0.98485262800183193</v>
      </c>
      <c r="D102" s="1">
        <v>1.4346378973946976</v>
      </c>
      <c r="E102" s="1">
        <v>0.66809192944949225</v>
      </c>
      <c r="G102" s="1">
        <v>0.98485262800183193</v>
      </c>
      <c r="H102" s="1">
        <v>1.4346378973946976</v>
      </c>
      <c r="I102" s="1">
        <v>0.66809192944949225</v>
      </c>
      <c r="K102" s="1">
        <v>1.0003262638270125</v>
      </c>
      <c r="L102" s="1">
        <v>1.6162633070483752</v>
      </c>
      <c r="M102" s="1">
        <v>0.60711861488493291</v>
      </c>
      <c r="O102" s="1">
        <v>2.0127382741278567E-3</v>
      </c>
      <c r="P102" s="1">
        <v>0.98485262800183193</v>
      </c>
      <c r="R102" s="1">
        <v>6.9270573167179675E-2</v>
      </c>
      <c r="S102" s="2">
        <f t="shared" si="24"/>
        <v>0.1937947858502882</v>
      </c>
      <c r="T102" s="4">
        <f t="shared" si="25"/>
        <v>3.7556419022759066E-2</v>
      </c>
      <c r="U102" s="1">
        <f t="shared" si="13"/>
        <v>1.1651060044920225E-2</v>
      </c>
      <c r="V102" s="6">
        <f>2*sigma/alpha*corel*(B102/12-1/alpha*(1-EXP(-alpha*Output!B102/12)))</f>
        <v>0.13026959698046869</v>
      </c>
      <c r="W102" s="5">
        <f t="shared" si="26"/>
        <v>-2.5905358977838841E-2</v>
      </c>
      <c r="X102" s="1">
        <f t="shared" si="22"/>
        <v>0.80276605689189862</v>
      </c>
      <c r="Y102" s="3">
        <f t="shared" si="27"/>
        <v>5.0485881266905508E-2</v>
      </c>
      <c r="Z102" s="1">
        <f t="shared" si="16"/>
        <v>7.0373964050549326E-2</v>
      </c>
      <c r="AA102" s="8">
        <f t="shared" si="23"/>
        <v>7.4999999999999902</v>
      </c>
      <c r="AB102" s="1">
        <v>7.5830000000000002</v>
      </c>
      <c r="AC102">
        <v>1.8560373039999999E-3</v>
      </c>
      <c r="AD102" s="8">
        <f t="shared" si="17"/>
        <v>-1.567009701278568</v>
      </c>
      <c r="AE102" s="3">
        <f t="shared" si="18"/>
        <v>-8.4427705084453838E-2</v>
      </c>
      <c r="AF102" s="11">
        <f t="shared" si="19"/>
        <v>7.4999999999999902</v>
      </c>
      <c r="AG102" s="1">
        <f t="shared" si="20"/>
        <v>7.0373964050549326E-2</v>
      </c>
    </row>
    <row r="103" spans="2:33" ht="15" x14ac:dyDescent="0.25">
      <c r="B103" s="1">
        <v>92</v>
      </c>
      <c r="C103" s="1">
        <v>0.98408255536138056</v>
      </c>
      <c r="D103" s="1">
        <v>1.4392630972941853</v>
      </c>
      <c r="E103" s="1">
        <v>0.66467264872050513</v>
      </c>
      <c r="G103" s="1">
        <v>0.98408255536138056</v>
      </c>
      <c r="H103" s="1">
        <v>1.4392630972941853</v>
      </c>
      <c r="I103" s="1">
        <v>0.66467264872050513</v>
      </c>
      <c r="K103" s="1">
        <v>1.0003685746413244</v>
      </c>
      <c r="L103" s="1">
        <v>1.5879227913072873</v>
      </c>
      <c r="M103" s="1">
        <v>0.6178031687328347</v>
      </c>
      <c r="O103" s="1">
        <v>2.0928897031461751E-3</v>
      </c>
      <c r="P103" s="1">
        <v>0.98408255536138056</v>
      </c>
      <c r="R103" s="1">
        <v>6.9677872143674754E-2</v>
      </c>
      <c r="S103" s="2">
        <f t="shared" si="24"/>
        <v>0.19582586209135805</v>
      </c>
      <c r="T103" s="4">
        <f t="shared" si="25"/>
        <v>3.8347768263823578E-2</v>
      </c>
      <c r="U103" s="1">
        <f t="shared" si="13"/>
        <v>1.2010979023958424E-2</v>
      </c>
      <c r="V103" s="6">
        <f>2*sigma/alpha*corel*(B103/12-1/alpha*(1-EXP(-alpha*Output!B103/12)))</f>
        <v>0.13300789160908832</v>
      </c>
      <c r="W103" s="5">
        <f t="shared" si="26"/>
        <v>-2.6336789239865155E-2</v>
      </c>
      <c r="X103" s="1">
        <f t="shared" si="22"/>
        <v>0.82535263591949304</v>
      </c>
      <c r="Y103" s="3">
        <f t="shared" si="27"/>
        <v>5.0574868276037355E-2</v>
      </c>
      <c r="Z103" s="1">
        <f t="shared" si="16"/>
        <v>7.0723990392372982E-2</v>
      </c>
      <c r="AA103" s="8">
        <f t="shared" si="23"/>
        <v>7.5833333333333233</v>
      </c>
      <c r="AB103" s="1">
        <v>7.6669999999999998</v>
      </c>
      <c r="AC103">
        <v>1.9167717889999999E-3</v>
      </c>
      <c r="AD103" s="8">
        <f t="shared" si="17"/>
        <v>-1.7611791414617515</v>
      </c>
      <c r="AE103" s="3">
        <f t="shared" si="18"/>
        <v>-9.1882567949342436E-2</v>
      </c>
      <c r="AF103" s="11">
        <f t="shared" si="19"/>
        <v>7.5833333333333233</v>
      </c>
      <c r="AG103" s="1">
        <f t="shared" si="20"/>
        <v>7.0723990392372982E-2</v>
      </c>
    </row>
    <row r="104" spans="2:33" ht="15" x14ac:dyDescent="0.25">
      <c r="B104" s="1">
        <v>93</v>
      </c>
      <c r="C104" s="1">
        <v>0.98328222376123708</v>
      </c>
      <c r="D104" s="1">
        <v>1.4435221941537351</v>
      </c>
      <c r="E104" s="1">
        <v>0.66141940604537341</v>
      </c>
      <c r="G104" s="1">
        <v>0.98328222376123708</v>
      </c>
      <c r="H104" s="1">
        <v>1.4435221941537351</v>
      </c>
      <c r="I104" s="1">
        <v>0.66141940604537341</v>
      </c>
      <c r="K104" s="1">
        <v>1.0002642345447139</v>
      </c>
      <c r="L104" s="1">
        <v>1.5815840296635615</v>
      </c>
      <c r="M104" s="1">
        <v>0.62016017791032862</v>
      </c>
      <c r="O104" s="1">
        <v>2.1753671617034697E-3</v>
      </c>
      <c r="P104" s="1">
        <v>0.98328222376123708</v>
      </c>
      <c r="R104" s="1">
        <v>6.9578375735583883E-2</v>
      </c>
      <c r="S104" s="2">
        <f t="shared" si="24"/>
        <v>0.19660373629729005</v>
      </c>
      <c r="T104" s="4">
        <f t="shared" si="25"/>
        <v>3.8653029126054367E-2</v>
      </c>
      <c r="U104" s="1">
        <f t="shared" si="13"/>
        <v>1.237764633006444E-2</v>
      </c>
      <c r="V104" s="6">
        <f>2*sigma/alpha*corel*(B104/12-1/alpha*(1-EXP(-alpha*Output!B104/12)))</f>
        <v>0.13577173820090382</v>
      </c>
      <c r="W104" s="5">
        <f t="shared" si="26"/>
        <v>-2.6275382795989927E-2</v>
      </c>
      <c r="X104" s="1">
        <f t="shared" si="22"/>
        <v>0.83297083156978247</v>
      </c>
      <c r="Y104" s="3">
        <f t="shared" si="27"/>
        <v>5.0122620579624702E-2</v>
      </c>
      <c r="Z104" s="1">
        <f t="shared" si="16"/>
        <v>7.0622146874534386E-2</v>
      </c>
      <c r="AA104" s="8">
        <f t="shared" si="23"/>
        <v>7.6666666666666563</v>
      </c>
      <c r="AB104" s="1">
        <v>7.75</v>
      </c>
      <c r="AC104">
        <v>1.9795843940000001E-3</v>
      </c>
      <c r="AD104" s="8">
        <f t="shared" si="17"/>
        <v>-1.9578276770346963</v>
      </c>
      <c r="AE104" s="3">
        <f t="shared" si="18"/>
        <v>-9.8900945217023986E-2</v>
      </c>
      <c r="AF104" s="11">
        <f t="shared" si="19"/>
        <v>7.6666666666666563</v>
      </c>
      <c r="AG104" s="1">
        <f t="shared" si="20"/>
        <v>7.0622146874534386E-2</v>
      </c>
    </row>
    <row r="105" spans="2:33" ht="15" x14ac:dyDescent="0.25">
      <c r="B105" s="1">
        <v>94</v>
      </c>
      <c r="C105" s="1">
        <v>0.98245253710489888</v>
      </c>
      <c r="D105" s="1">
        <v>1.4478904236527379</v>
      </c>
      <c r="E105" s="1">
        <v>0.65802461012041846</v>
      </c>
      <c r="G105" s="1">
        <v>0.98245253710489888</v>
      </c>
      <c r="H105" s="1">
        <v>1.4478904236527379</v>
      </c>
      <c r="I105" s="1">
        <v>0.65802461012041846</v>
      </c>
      <c r="K105" s="1">
        <v>1.000290825591003</v>
      </c>
      <c r="L105" s="1">
        <v>1.5610363003946333</v>
      </c>
      <c r="M105" s="1">
        <v>0.62818325569926314</v>
      </c>
      <c r="O105" s="1">
        <v>2.2599886845680473E-3</v>
      </c>
      <c r="P105" s="1">
        <v>0.98245253710489888</v>
      </c>
      <c r="R105" s="1">
        <v>6.9893123862672143E-2</v>
      </c>
      <c r="S105" s="2">
        <f t="shared" si="24"/>
        <v>0.19847410066262683</v>
      </c>
      <c r="T105" s="4">
        <f t="shared" si="25"/>
        <v>3.939196863383853E-2</v>
      </c>
      <c r="U105" s="1">
        <f t="shared" si="13"/>
        <v>1.275110187246753E-2</v>
      </c>
      <c r="V105" s="6">
        <f>2*sigma/alpha*corel*(B105/12-1/alpha*(1-EXP(-alpha*Output!B105/12)))</f>
        <v>0.13856105172450195</v>
      </c>
      <c r="W105" s="5">
        <f t="shared" si="26"/>
        <v>-2.6640866761371E-2</v>
      </c>
      <c r="X105" s="1">
        <f t="shared" si="22"/>
        <v>0.85394632357795808</v>
      </c>
      <c r="Y105" s="3">
        <f t="shared" si="27"/>
        <v>5.0140283624525883E-2</v>
      </c>
      <c r="Z105" s="1">
        <f t="shared" si="16"/>
        <v>7.0913764201711804E-2</v>
      </c>
      <c r="AA105" s="8">
        <f t="shared" si="23"/>
        <v>7.7499999999999893</v>
      </c>
      <c r="AB105" s="1">
        <v>7.8330000000000002</v>
      </c>
      <c r="AC105">
        <v>2.0443442880000002E-3</v>
      </c>
      <c r="AD105" s="8">
        <f t="shared" si="17"/>
        <v>-2.1564439656804715</v>
      </c>
      <c r="AE105" s="3">
        <f t="shared" si="18"/>
        <v>-0.10548340503791265</v>
      </c>
      <c r="AF105" s="11">
        <f t="shared" si="19"/>
        <v>7.7499999999999893</v>
      </c>
      <c r="AG105" s="1">
        <f t="shared" si="20"/>
        <v>7.0913764201711804E-2</v>
      </c>
    </row>
    <row r="106" spans="2:33" ht="15" x14ac:dyDescent="0.25">
      <c r="B106" s="1">
        <v>95</v>
      </c>
      <c r="C106" s="1">
        <v>0.98159267269399386</v>
      </c>
      <c r="D106" s="1">
        <v>1.4523062623446032</v>
      </c>
      <c r="E106" s="1">
        <v>0.65466448445171843</v>
      </c>
      <c r="G106" s="1">
        <v>0.98159267269399386</v>
      </c>
      <c r="H106" s="1">
        <v>1.4523062623446032</v>
      </c>
      <c r="I106" s="1">
        <v>0.65466448445171843</v>
      </c>
      <c r="K106" s="1">
        <v>1.0003199488172265</v>
      </c>
      <c r="L106" s="1">
        <v>1.5650857651455803</v>
      </c>
      <c r="M106" s="1">
        <v>0.62644429579941707</v>
      </c>
      <c r="O106" s="1">
        <v>2.3468021392378771E-3</v>
      </c>
      <c r="P106" s="1">
        <v>0.98159267269399386</v>
      </c>
      <c r="R106" s="1">
        <v>7.0030096703751599E-2</v>
      </c>
      <c r="S106" s="2">
        <f t="shared" si="24"/>
        <v>0.19992868563393801</v>
      </c>
      <c r="T106" s="4">
        <f t="shared" si="25"/>
        <v>3.9971479339314012E-2</v>
      </c>
      <c r="U106" s="1">
        <f t="shared" si="13"/>
        <v>1.3131385013195995E-2</v>
      </c>
      <c r="V106" s="6">
        <f>2*sigma/alpha*corel*(B106/12-1/alpha*(1-EXP(-alpha*Output!B106/12)))</f>
        <v>0.14137574743143611</v>
      </c>
      <c r="W106" s="5">
        <f t="shared" si="26"/>
        <v>-2.6840094326118016E-2</v>
      </c>
      <c r="X106" s="1">
        <f t="shared" si="22"/>
        <v>0.86992342228886776</v>
      </c>
      <c r="Y106" s="3">
        <f t="shared" si="27"/>
        <v>4.997817517971162E-2</v>
      </c>
      <c r="Z106" s="1">
        <f t="shared" si="16"/>
        <v>7.1056519540268134E-2</v>
      </c>
      <c r="AA106" s="8">
        <f t="shared" si="23"/>
        <v>7.8333333333333224</v>
      </c>
      <c r="AB106" s="1">
        <v>7.9169999999999998</v>
      </c>
      <c r="AC106">
        <v>2.1109206390000001E-3</v>
      </c>
      <c r="AD106" s="8">
        <f t="shared" si="17"/>
        <v>-2.35881500237877</v>
      </c>
      <c r="AE106" s="3">
        <f t="shared" si="18"/>
        <v>-0.1117434241154705</v>
      </c>
      <c r="AF106" s="11">
        <f t="shared" si="19"/>
        <v>7.8333333333333224</v>
      </c>
      <c r="AG106" s="1">
        <f t="shared" si="20"/>
        <v>7.1056519540268134E-2</v>
      </c>
    </row>
    <row r="107" spans="2:33" ht="15" x14ac:dyDescent="0.25">
      <c r="B107" s="1">
        <v>96</v>
      </c>
      <c r="C107" s="1">
        <v>0.98070376692914796</v>
      </c>
      <c r="D107" s="1">
        <v>1.4568552322955668</v>
      </c>
      <c r="E107" s="1">
        <v>0.65116884808230768</v>
      </c>
      <c r="G107" s="1">
        <v>0.98070376692914796</v>
      </c>
      <c r="H107" s="1">
        <v>1.4568552322955668</v>
      </c>
      <c r="I107" s="1">
        <v>0.65116884808230768</v>
      </c>
      <c r="K107" s="1">
        <v>1.0003191018019271</v>
      </c>
      <c r="L107" s="1">
        <v>1.6065653015847725</v>
      </c>
      <c r="M107" s="1">
        <v>0.61013057008444849</v>
      </c>
      <c r="O107" s="1">
        <v>2.4356044412002153E-3</v>
      </c>
      <c r="P107" s="1">
        <v>0.98070376692914796</v>
      </c>
      <c r="R107" s="1">
        <v>7.0248001067965971E-2</v>
      </c>
      <c r="S107" s="2">
        <f t="shared" si="24"/>
        <v>0.20162599618140525</v>
      </c>
      <c r="T107" s="4">
        <f t="shared" si="25"/>
        <v>4.0653042336144044E-2</v>
      </c>
      <c r="U107" s="1">
        <f t="shared" si="13"/>
        <v>1.3518534571652641E-2</v>
      </c>
      <c r="V107" s="6">
        <f>2*sigma/alpha*corel*(B107/12-1/alpha*(1-EXP(-alpha*Output!B107/12)))</f>
        <v>0.14421574085528421</v>
      </c>
      <c r="W107" s="5">
        <f t="shared" si="26"/>
        <v>-2.7134507764491403E-2</v>
      </c>
      <c r="X107" s="1">
        <f t="shared" si="22"/>
        <v>0.88910242837416342</v>
      </c>
      <c r="Y107" s="3">
        <f t="shared" si="27"/>
        <v>4.9919158771238231E-2</v>
      </c>
      <c r="Z107" s="1">
        <f t="shared" si="16"/>
        <v>7.1285554581682287E-2</v>
      </c>
      <c r="AA107" s="8">
        <f t="shared" si="23"/>
        <v>7.9166666666666554</v>
      </c>
      <c r="AB107" s="1">
        <v>8</v>
      </c>
      <c r="AC107">
        <v>2.1791826160000001E-3</v>
      </c>
      <c r="AD107" s="8">
        <f t="shared" si="17"/>
        <v>-2.5642182520021519</v>
      </c>
      <c r="AE107" s="3">
        <f t="shared" si="18"/>
        <v>-0.11766881000128865</v>
      </c>
      <c r="AF107" s="11">
        <f t="shared" si="19"/>
        <v>7.9166666666666554</v>
      </c>
      <c r="AG107" s="1">
        <f t="shared" si="20"/>
        <v>7.1285554581682287E-2</v>
      </c>
    </row>
    <row r="108" spans="2:33" ht="15" x14ac:dyDescent="0.25">
      <c r="B108" s="1">
        <v>97</v>
      </c>
      <c r="C108" s="1">
        <v>0.97978655650016622</v>
      </c>
      <c r="D108" s="1">
        <v>1.4606216405702266</v>
      </c>
      <c r="E108" s="1">
        <v>0.64800414722654232</v>
      </c>
      <c r="G108" s="1">
        <v>0.97978655650016622</v>
      </c>
      <c r="H108" s="1">
        <v>1.4606216405702266</v>
      </c>
      <c r="I108" s="1">
        <v>0.64800414722654232</v>
      </c>
      <c r="K108" s="1">
        <v>1.0002549687876801</v>
      </c>
      <c r="L108" s="1">
        <v>1.6212884968587444</v>
      </c>
      <c r="M108" s="1">
        <v>0.60443442877521358</v>
      </c>
      <c r="O108" s="1">
        <v>2.5262511994514291E-3</v>
      </c>
      <c r="P108" s="1">
        <v>0.97978655650016622</v>
      </c>
      <c r="R108" s="1">
        <v>7.0436228098033959E-2</v>
      </c>
      <c r="S108" s="2">
        <f t="shared" si="24"/>
        <v>0.20328257692202439</v>
      </c>
      <c r="T108" s="4">
        <f t="shared" si="25"/>
        <v>4.1323806080058763E-2</v>
      </c>
      <c r="U108" s="1">
        <f t="shared" si="13"/>
        <v>1.3912588829152917E-2</v>
      </c>
      <c r="V108" s="6">
        <f>2*sigma/alpha*corel*(B108/12-1/alpha*(1-EXP(-alpha*Output!B108/12)))</f>
        <v>0.14708094781070991</v>
      </c>
      <c r="W108" s="5">
        <f t="shared" si="26"/>
        <v>-2.7411217250905846E-2</v>
      </c>
      <c r="X108" s="1">
        <f t="shared" si="22"/>
        <v>0.90792882965485244</v>
      </c>
      <c r="Y108" s="3">
        <f t="shared" si="27"/>
        <v>4.9841569915419673E-2</v>
      </c>
      <c r="Z108" s="1">
        <f t="shared" si="16"/>
        <v>7.1499814213636881E-2</v>
      </c>
      <c r="AA108" s="8">
        <f t="shared" si="23"/>
        <v>7.9999999999999885</v>
      </c>
      <c r="AB108" s="1">
        <v>8.0830000000000002</v>
      </c>
      <c r="AC108">
        <v>2.248999387E-3</v>
      </c>
      <c r="AD108" s="8">
        <f t="shared" si="17"/>
        <v>-2.7725181245142911</v>
      </c>
      <c r="AE108" s="3">
        <f t="shared" si="18"/>
        <v>-0.12327785149877817</v>
      </c>
      <c r="AF108" s="11">
        <f t="shared" si="19"/>
        <v>7.9999999999999885</v>
      </c>
      <c r="AG108" s="1">
        <f t="shared" si="20"/>
        <v>7.1499814213636881E-2</v>
      </c>
    </row>
    <row r="109" spans="2:33" ht="15" x14ac:dyDescent="0.25">
      <c r="B109" s="1">
        <v>98</v>
      </c>
      <c r="C109" s="1">
        <v>0.97884742356556309</v>
      </c>
      <c r="D109" s="1">
        <v>1.4644504649630228</v>
      </c>
      <c r="E109" s="1">
        <v>0.64482847562548362</v>
      </c>
      <c r="G109" s="1">
        <v>0.97884742356556309</v>
      </c>
      <c r="H109" s="1">
        <v>1.4644504649630228</v>
      </c>
      <c r="I109" s="1">
        <v>0.64482847562548362</v>
      </c>
      <c r="K109" s="1">
        <v>1.0002332434386074</v>
      </c>
      <c r="L109" s="1">
        <v>1.6041324844350697</v>
      </c>
      <c r="M109" s="1">
        <v>0.61079413385261572</v>
      </c>
      <c r="O109" s="1">
        <v>2.6178976979355567E-3</v>
      </c>
      <c r="P109" s="1">
        <v>0.97884742356556309</v>
      </c>
      <c r="R109" s="1">
        <v>7.0610345669564284E-2</v>
      </c>
      <c r="S109" s="2">
        <f t="shared" si="24"/>
        <v>0.20492983345579729</v>
      </c>
      <c r="T109" s="4">
        <f t="shared" si="25"/>
        <v>4.1996236640220813E-2</v>
      </c>
      <c r="U109" s="1">
        <f t="shared" si="13"/>
        <v>1.4313585533432871E-2</v>
      </c>
      <c r="V109" s="6">
        <f>2*sigma/alpha*corel*(B109/12-1/alpha*(1-EXP(-alpha*Output!B109/12)))</f>
        <v>0.14997128439252694</v>
      </c>
      <c r="W109" s="5">
        <f t="shared" si="26"/>
        <v>-2.7682651106787942E-2</v>
      </c>
      <c r="X109" s="1">
        <f t="shared" si="22"/>
        <v>0.92679132229741712</v>
      </c>
      <c r="Y109" s="3">
        <f t="shared" si="27"/>
        <v>4.9758901982563247E-2</v>
      </c>
      <c r="Z109" s="1">
        <f t="shared" si="16"/>
        <v>7.1710503577177204E-2</v>
      </c>
      <c r="AA109" s="8">
        <f t="shared" si="23"/>
        <v>8.0833333333333215</v>
      </c>
      <c r="AB109" s="1">
        <v>8.1669999999999998</v>
      </c>
      <c r="AC109">
        <v>2.3202398879999999E-3</v>
      </c>
      <c r="AD109" s="8">
        <f t="shared" si="17"/>
        <v>-2.9765780993555677</v>
      </c>
      <c r="AE109" s="3">
        <f t="shared" si="18"/>
        <v>-0.12828751521556325</v>
      </c>
      <c r="AF109" s="11">
        <f t="shared" si="19"/>
        <v>8.0833333333333215</v>
      </c>
      <c r="AG109" s="1">
        <f t="shared" si="20"/>
        <v>7.1710503577177204E-2</v>
      </c>
    </row>
    <row r="110" spans="2:33" ht="15" x14ac:dyDescent="0.25">
      <c r="B110" s="1">
        <v>99</v>
      </c>
      <c r="C110" s="1">
        <v>0.9778895462639362</v>
      </c>
      <c r="D110" s="1">
        <v>1.4688385893274187</v>
      </c>
      <c r="E110" s="1">
        <v>0.64139567699313704</v>
      </c>
      <c r="G110" s="1">
        <v>0.9778895462639362</v>
      </c>
      <c r="H110" s="1">
        <v>1.4688385893274187</v>
      </c>
      <c r="I110" s="1">
        <v>0.64139567699313704</v>
      </c>
      <c r="K110" s="1">
        <v>1.0002387010915714</v>
      </c>
      <c r="L110" s="1">
        <v>1.6024436334738672</v>
      </c>
      <c r="M110" s="1">
        <v>0.61132842712686608</v>
      </c>
      <c r="O110" s="1">
        <v>2.7101277219117761E-3</v>
      </c>
      <c r="P110" s="1">
        <v>0.9778895462639362</v>
      </c>
      <c r="R110" s="1">
        <v>7.0957417293911682E-2</v>
      </c>
      <c r="S110" s="2">
        <f t="shared" si="24"/>
        <v>0.20704304344337998</v>
      </c>
      <c r="T110" s="4">
        <f t="shared" si="25"/>
        <v>4.2866821838297334E-2</v>
      </c>
      <c r="U110" s="1">
        <f t="shared" si="13"/>
        <v>1.4721561903129121E-2</v>
      </c>
      <c r="V110" s="6">
        <f>2*sigma/alpha*corel*(B110/12-1/alpha*(1-EXP(-alpha*Output!B110/12)))</f>
        <v>0.15288666697476927</v>
      </c>
      <c r="W110" s="5">
        <f t="shared" si="26"/>
        <v>-2.8145259935168213E-2</v>
      </c>
      <c r="X110" s="1">
        <f t="shared" si="22"/>
        <v>0.95216791079920504</v>
      </c>
      <c r="Y110" s="3">
        <f t="shared" si="27"/>
        <v>4.9872984759939551E-2</v>
      </c>
      <c r="Z110" s="1">
        <f t="shared" si="16"/>
        <v>7.2083135369114607E-2</v>
      </c>
      <c r="AA110" s="8">
        <f t="shared" si="23"/>
        <v>8.1666666666666554</v>
      </c>
      <c r="AB110" s="1">
        <v>8.25</v>
      </c>
      <c r="AC110">
        <v>2.392772131E-3</v>
      </c>
      <c r="AD110" s="8">
        <f t="shared" si="17"/>
        <v>-3.1735559091177619</v>
      </c>
      <c r="AE110" s="3">
        <f t="shared" si="18"/>
        <v>-0.13263092912200763</v>
      </c>
      <c r="AF110" s="11">
        <f t="shared" si="19"/>
        <v>8.1666666666666554</v>
      </c>
      <c r="AG110" s="1">
        <f t="shared" si="20"/>
        <v>7.2083135369114607E-2</v>
      </c>
    </row>
    <row r="111" spans="2:33" ht="15" x14ac:dyDescent="0.25">
      <c r="B111" s="1">
        <v>100</v>
      </c>
      <c r="C111" s="1">
        <v>0.9769190605891952</v>
      </c>
      <c r="D111" s="1">
        <v>1.4732530901483567</v>
      </c>
      <c r="E111" s="1">
        <v>0.63791783618269959</v>
      </c>
      <c r="G111" s="1">
        <v>0.9769190605891952</v>
      </c>
      <c r="H111" s="1">
        <v>1.4732530901483567</v>
      </c>
      <c r="I111" s="1">
        <v>0.63791783618269959</v>
      </c>
      <c r="K111" s="1">
        <v>1.0002761918036669</v>
      </c>
      <c r="L111" s="1">
        <v>1.6149622479900891</v>
      </c>
      <c r="M111" s="1">
        <v>0.60643503910099039</v>
      </c>
      <c r="O111" s="1">
        <v>2.8021770256023136E-3</v>
      </c>
      <c r="P111" s="1">
        <v>0.9769190605891952</v>
      </c>
      <c r="R111" s="1">
        <v>7.1367013477997426E-2</v>
      </c>
      <c r="S111" s="2">
        <f t="shared" si="24"/>
        <v>0.20933234275573953</v>
      </c>
      <c r="T111" s="4">
        <f t="shared" si="25"/>
        <v>4.3820029723606414E-2</v>
      </c>
      <c r="U111" s="1">
        <f t="shared" si="13"/>
        <v>1.513655463221264E-2</v>
      </c>
      <c r="V111" s="6">
        <f>2*sigma/alpha*corel*(B111/12-1/alpha*(1-EXP(-alpha*Output!B111/12)))</f>
        <v>0.15582701220975825</v>
      </c>
      <c r="W111" s="5">
        <f t="shared" si="26"/>
        <v>-2.8683475091393774E-2</v>
      </c>
      <c r="X111" s="1">
        <f t="shared" si="22"/>
        <v>0.98039789411401257</v>
      </c>
      <c r="Y111" s="3">
        <f t="shared" si="27"/>
        <v>5.0059405675953177E-2</v>
      </c>
      <c r="Z111" s="1">
        <f t="shared" si="16"/>
        <v>7.2514850664072733E-2</v>
      </c>
      <c r="AA111" s="8">
        <f t="shared" si="23"/>
        <v>8.2499999999999893</v>
      </c>
      <c r="AB111" s="1">
        <v>8.3330000000000002</v>
      </c>
      <c r="AC111">
        <v>2.4664638939999998E-3</v>
      </c>
      <c r="AD111" s="8">
        <f t="shared" si="17"/>
        <v>-3.3571313160231373</v>
      </c>
      <c r="AE111" s="3">
        <f t="shared" si="18"/>
        <v>-0.13611110724911904</v>
      </c>
      <c r="AF111" s="11">
        <f t="shared" si="19"/>
        <v>8.2499999999999893</v>
      </c>
      <c r="AG111" s="1">
        <f t="shared" si="20"/>
        <v>7.2514850664072733E-2</v>
      </c>
    </row>
    <row r="112" spans="2:33" ht="15" x14ac:dyDescent="0.25">
      <c r="B112" s="1">
        <v>101</v>
      </c>
      <c r="C112" s="1">
        <v>0.97594120737636969</v>
      </c>
      <c r="D112" s="1">
        <v>1.4771921531552825</v>
      </c>
      <c r="E112" s="1">
        <v>0.63467885250063472</v>
      </c>
      <c r="G112" s="1">
        <v>0.97594120737636969</v>
      </c>
      <c r="H112" s="1">
        <v>1.4771921531552825</v>
      </c>
      <c r="I112" s="1">
        <v>0.63467885250063472</v>
      </c>
      <c r="K112" s="1">
        <v>1.0002646715419028</v>
      </c>
      <c r="L112" s="1">
        <v>1.6412048596365094</v>
      </c>
      <c r="M112" s="1">
        <v>0.59660412352475212</v>
      </c>
      <c r="O112" s="1">
        <v>2.8934177497817798E-3</v>
      </c>
      <c r="P112" s="1">
        <v>0.97594120737636969</v>
      </c>
      <c r="R112" s="1">
        <v>7.1584515418654168E-2</v>
      </c>
      <c r="S112" s="2">
        <f t="shared" si="24"/>
        <v>0.21113758007873079</v>
      </c>
      <c r="T112" s="4">
        <f t="shared" si="25"/>
        <v>4.4579077721502457E-2</v>
      </c>
      <c r="U112" s="1">
        <f t="shared" si="13"/>
        <v>1.5558599894400782E-2</v>
      </c>
      <c r="V112" s="6">
        <f>2*sigma/alpha*corel*(B112/12-1/alpha*(1-EXP(-alpha*Output!B112/12)))</f>
        <v>0.15879223702717837</v>
      </c>
      <c r="W112" s="5">
        <f t="shared" si="26"/>
        <v>-2.9020477827101675E-2</v>
      </c>
      <c r="X112" s="1">
        <f t="shared" si="22"/>
        <v>1.0022377280525188</v>
      </c>
      <c r="Y112" s="3">
        <f t="shared" si="27"/>
        <v>5.0039168421984782E-2</v>
      </c>
      <c r="Z112" s="1">
        <f t="shared" si="16"/>
        <v>7.2777222300133615E-2</v>
      </c>
      <c r="AA112" s="8">
        <f t="shared" si="23"/>
        <v>8.3333333333333233</v>
      </c>
      <c r="AB112" s="1">
        <v>8.4169999999999998</v>
      </c>
      <c r="AC112">
        <v>2.541182958E-3</v>
      </c>
      <c r="AD112" s="8">
        <f t="shared" si="17"/>
        <v>-3.5223479178177977</v>
      </c>
      <c r="AE112" s="3">
        <f t="shared" si="18"/>
        <v>-0.13861055957143711</v>
      </c>
      <c r="AF112" s="11">
        <f t="shared" si="19"/>
        <v>8.3333333333333233</v>
      </c>
      <c r="AG112" s="1">
        <f t="shared" si="20"/>
        <v>7.2777222300133615E-2</v>
      </c>
    </row>
    <row r="113" spans="2:33" ht="15" x14ac:dyDescent="0.25">
      <c r="B113" s="1">
        <v>102</v>
      </c>
      <c r="C113" s="1">
        <v>0.9749599722420097</v>
      </c>
      <c r="D113" s="1">
        <v>1.4820303816228233</v>
      </c>
      <c r="E113" s="1">
        <v>0.63103426516059824</v>
      </c>
      <c r="G113" s="1">
        <v>0.9749599722420097</v>
      </c>
      <c r="H113" s="1">
        <v>1.4820303816228233</v>
      </c>
      <c r="I113" s="1">
        <v>0.63103426516059824</v>
      </c>
      <c r="K113" s="1">
        <v>1.0002786645718973</v>
      </c>
      <c r="L113" s="1">
        <v>1.6408770931230949</v>
      </c>
      <c r="M113" s="1">
        <v>0.59659347093438764</v>
      </c>
      <c r="O113" s="1">
        <v>2.9833956397402623E-3</v>
      </c>
      <c r="P113" s="1">
        <v>0.9749599722420097</v>
      </c>
      <c r="R113" s="1">
        <v>7.1756478039956273E-2</v>
      </c>
      <c r="S113" s="2">
        <f t="shared" si="24"/>
        <v>0.21282902462664016</v>
      </c>
      <c r="T113" s="4">
        <f t="shared" si="25"/>
        <v>4.5296193723527008E-2</v>
      </c>
      <c r="U113" s="1">
        <f t="shared" si="13"/>
        <v>1.5987733347538224E-2</v>
      </c>
      <c r="V113" s="6">
        <f>2*sigma/alpha*corel*(B113/12-1/alpha*(1-EXP(-alpha*Output!B113/12)))</f>
        <v>0.16178225863315521</v>
      </c>
      <c r="W113" s="5">
        <f t="shared" si="26"/>
        <v>-2.9308460375988783E-2</v>
      </c>
      <c r="X113" s="1">
        <f t="shared" si="22"/>
        <v>1.0226611519920639</v>
      </c>
      <c r="Y113" s="3">
        <f t="shared" si="27"/>
        <v>4.9969696680404914E-2</v>
      </c>
      <c r="Z113" s="1">
        <f t="shared" si="16"/>
        <v>7.2999753201457906E-2</v>
      </c>
      <c r="AA113" s="8">
        <f t="shared" si="23"/>
        <v>8.4166666666666572</v>
      </c>
      <c r="AB113" s="1">
        <v>8.5</v>
      </c>
      <c r="AC113">
        <v>2.6167971020000002E-3</v>
      </c>
      <c r="AD113" s="8">
        <f t="shared" si="17"/>
        <v>-3.6659853774026212</v>
      </c>
      <c r="AE113" s="3">
        <f t="shared" si="18"/>
        <v>-0.14009436859283944</v>
      </c>
      <c r="AF113" s="11">
        <f t="shared" si="19"/>
        <v>8.4166666666666572</v>
      </c>
      <c r="AG113" s="1">
        <f t="shared" si="20"/>
        <v>7.2999753201457906E-2</v>
      </c>
    </row>
    <row r="114" spans="2:33" ht="15" x14ac:dyDescent="0.25">
      <c r="B114" s="1">
        <v>103</v>
      </c>
      <c r="C114" s="1">
        <v>0.97398191785154964</v>
      </c>
      <c r="D114" s="1">
        <v>1.4883167137966957</v>
      </c>
      <c r="E114" s="1">
        <v>0.62684134645521217</v>
      </c>
      <c r="G114" s="1">
        <v>0.97398191785154964</v>
      </c>
      <c r="H114" s="1">
        <v>1.4883167137966957</v>
      </c>
      <c r="I114" s="1">
        <v>0.62684134645521217</v>
      </c>
      <c r="K114" s="1">
        <v>1.0003220532512243</v>
      </c>
      <c r="L114" s="1">
        <v>1.6414532467506102</v>
      </c>
      <c r="M114" s="1">
        <v>0.59630326687820134</v>
      </c>
      <c r="O114" s="1">
        <v>3.0713639238138133E-3</v>
      </c>
      <c r="P114" s="1">
        <v>0.97398191785154964</v>
      </c>
      <c r="R114" s="1">
        <v>7.2120295639038656E-2</v>
      </c>
      <c r="S114" s="2">
        <f t="shared" si="24"/>
        <v>0.21500904567161083</v>
      </c>
      <c r="T114" s="4">
        <f t="shared" si="25"/>
        <v>4.6228889720616832E-2</v>
      </c>
      <c r="U114" s="1">
        <f t="shared" si="13"/>
        <v>1.6423990137935718E-2</v>
      </c>
      <c r="V114" s="6">
        <f>2*sigma/alpha*corel*(B114/12-1/alpha*(1-EXP(-alpha*Output!B114/12)))</f>
        <v>0.16479699450933427</v>
      </c>
      <c r="W114" s="5">
        <f t="shared" si="26"/>
        <v>-2.9804899582681114E-2</v>
      </c>
      <c r="X114" s="1">
        <f t="shared" si="22"/>
        <v>1.0504596017380279</v>
      </c>
      <c r="Y114" s="3">
        <f t="shared" si="27"/>
        <v>5.0104212829281056E-2</v>
      </c>
      <c r="Z114" s="1">
        <f t="shared" si="16"/>
        <v>7.3388623536198599E-2</v>
      </c>
      <c r="AA114" s="8">
        <f t="shared" si="23"/>
        <v>8.4999999999999911</v>
      </c>
      <c r="AB114" s="1">
        <v>8.5830000000000002</v>
      </c>
      <c r="AC114">
        <v>2.693174104E-3</v>
      </c>
      <c r="AD114" s="8">
        <f t="shared" si="17"/>
        <v>-3.781898198138133</v>
      </c>
      <c r="AE114" s="3">
        <f t="shared" si="18"/>
        <v>-0.14042531422387883</v>
      </c>
      <c r="AF114" s="11">
        <f t="shared" si="19"/>
        <v>8.4999999999999911</v>
      </c>
      <c r="AG114" s="1">
        <f t="shared" si="20"/>
        <v>7.3388623536198599E-2</v>
      </c>
    </row>
    <row r="115" spans="2:33" ht="15" x14ac:dyDescent="0.25">
      <c r="B115" s="1">
        <v>104</v>
      </c>
      <c r="C115" s="1">
        <v>0.97301094464665772</v>
      </c>
      <c r="D115" s="1">
        <v>1.4944109032219499</v>
      </c>
      <c r="E115" s="1">
        <v>0.62278134147100961</v>
      </c>
      <c r="G115" s="1">
        <v>0.97301094464665772</v>
      </c>
      <c r="H115" s="1">
        <v>1.4944109032219499</v>
      </c>
      <c r="I115" s="1">
        <v>0.62278134147100961</v>
      </c>
      <c r="K115" s="1">
        <v>1.0003720688121551</v>
      </c>
      <c r="L115" s="1">
        <v>1.6351726276851755</v>
      </c>
      <c r="M115" s="1">
        <v>0.59845260206024309</v>
      </c>
      <c r="O115" s="1">
        <v>3.1569171354493874E-3</v>
      </c>
      <c r="P115" s="1">
        <v>0.97301094464665772</v>
      </c>
      <c r="R115" s="1">
        <v>7.2318670719997938E-2</v>
      </c>
      <c r="S115" s="2">
        <f t="shared" si="24"/>
        <v>0.216753718039017</v>
      </c>
      <c r="T115" s="4">
        <f t="shared" si="25"/>
        <v>4.6982174283737681E-2</v>
      </c>
      <c r="U115" s="1">
        <f t="shared" si="13"/>
        <v>1.6867404904684413E-2</v>
      </c>
      <c r="V115" s="6">
        <f>2*sigma/alpha*corel*(B115/12-1/alpha*(1-EXP(-alpha*Output!B115/12)))</f>
        <v>0.16783636241196254</v>
      </c>
      <c r="W115" s="5">
        <f t="shared" si="26"/>
        <v>-3.0114769379053268E-2</v>
      </c>
      <c r="X115" s="1">
        <f t="shared" si="22"/>
        <v>1.0721477163548596</v>
      </c>
      <c r="Y115" s="3">
        <f t="shared" si="27"/>
        <v>5.005438259611477E-2</v>
      </c>
      <c r="Z115" s="1">
        <f t="shared" si="16"/>
        <v>7.3627577100309635E-2</v>
      </c>
      <c r="AA115" s="8">
        <f t="shared" si="23"/>
        <v>8.583333333333325</v>
      </c>
      <c r="AB115" s="1">
        <v>8.6669999999999998</v>
      </c>
      <c r="AC115">
        <v>2.7701813990000002E-3</v>
      </c>
      <c r="AD115" s="8">
        <f t="shared" si="17"/>
        <v>-3.8673573644938717</v>
      </c>
      <c r="AE115" s="3">
        <f t="shared" si="18"/>
        <v>-0.13960664691091848</v>
      </c>
      <c r="AF115" s="11">
        <f t="shared" si="19"/>
        <v>8.583333333333325</v>
      </c>
      <c r="AG115" s="1">
        <f t="shared" si="20"/>
        <v>7.3627577100309635E-2</v>
      </c>
    </row>
    <row r="116" spans="2:33" ht="15" x14ac:dyDescent="0.25">
      <c r="B116" s="1">
        <v>105</v>
      </c>
      <c r="C116" s="1">
        <v>0.97205688024824488</v>
      </c>
      <c r="D116" s="1">
        <v>1.5007353603265599</v>
      </c>
      <c r="E116" s="1">
        <v>0.61865874783469432</v>
      </c>
      <c r="G116" s="1">
        <v>0.97205688024824488</v>
      </c>
      <c r="H116" s="1">
        <v>1.5007353603265599</v>
      </c>
      <c r="I116" s="1">
        <v>0.61865874783469432</v>
      </c>
      <c r="K116" s="1">
        <v>1.0004452814826981</v>
      </c>
      <c r="L116" s="1">
        <v>1.6319581029201022</v>
      </c>
      <c r="M116" s="1">
        <v>0.5994642260740316</v>
      </c>
      <c r="O116" s="1">
        <v>3.2389665668503022E-3</v>
      </c>
      <c r="P116" s="1">
        <v>0.97205688024824488</v>
      </c>
      <c r="R116" s="1">
        <v>7.2609289346167297E-2</v>
      </c>
      <c r="S116" s="2">
        <f t="shared" si="24"/>
        <v>0.2187139693368701</v>
      </c>
      <c r="T116" s="4">
        <f t="shared" si="25"/>
        <v>4.783580038308935E-2</v>
      </c>
      <c r="U116" s="1">
        <f t="shared" si="13"/>
        <v>1.7318011783940879E-2</v>
      </c>
      <c r="V116" s="6">
        <f>2*sigma/alpha*corel*(B116/12-1/alpha*(1-EXP(-alpha*Output!B116/12)))</f>
        <v>0.17090028037097948</v>
      </c>
      <c r="W116" s="5">
        <f t="shared" si="26"/>
        <v>-3.0517788599148471E-2</v>
      </c>
      <c r="X116" s="1">
        <f t="shared" si="22"/>
        <v>1.097329506801076</v>
      </c>
      <c r="Y116" s="3">
        <f t="shared" si="27"/>
        <v>5.0093410656698048E-2</v>
      </c>
      <c r="Z116" s="1">
        <f t="shared" si="16"/>
        <v>7.3938816701447224E-2</v>
      </c>
      <c r="AA116" s="8">
        <f t="shared" si="23"/>
        <v>8.666666666666659</v>
      </c>
      <c r="AB116" s="1">
        <v>8.75</v>
      </c>
      <c r="AC116">
        <v>2.8476850359999998E-3</v>
      </c>
      <c r="AD116" s="8">
        <f t="shared" si="17"/>
        <v>-3.9128153085030237</v>
      </c>
      <c r="AE116" s="3">
        <f t="shared" si="18"/>
        <v>-0.13740337358372887</v>
      </c>
      <c r="AF116" s="11">
        <f t="shared" si="19"/>
        <v>8.666666666666659</v>
      </c>
      <c r="AG116" s="1">
        <f t="shared" si="20"/>
        <v>7.3938816701447224E-2</v>
      </c>
    </row>
    <row r="117" spans="2:33" ht="15" x14ac:dyDescent="0.25">
      <c r="B117" s="1">
        <v>106</v>
      </c>
      <c r="C117" s="1">
        <v>0.97112221494534856</v>
      </c>
      <c r="D117" s="1">
        <v>1.5071817209000888</v>
      </c>
      <c r="E117" s="1">
        <v>0.61455260570304815</v>
      </c>
      <c r="G117" s="1">
        <v>0.97112221494534856</v>
      </c>
      <c r="H117" s="1">
        <v>1.5071817209000888</v>
      </c>
      <c r="I117" s="1">
        <v>0.61455260570304815</v>
      </c>
      <c r="K117" s="1">
        <v>1.0004879402637259</v>
      </c>
      <c r="L117" s="1">
        <v>1.6343654968876558</v>
      </c>
      <c r="M117" s="1">
        <v>0.59847781223801666</v>
      </c>
      <c r="O117" s="1">
        <v>3.3173154996108275E-3</v>
      </c>
      <c r="P117" s="1">
        <v>0.97112221494534856</v>
      </c>
      <c r="R117" s="1">
        <v>7.2752586975008138E-2</v>
      </c>
      <c r="S117" s="2">
        <f t="shared" si="24"/>
        <v>0.22026898350644047</v>
      </c>
      <c r="T117" s="4">
        <f t="shared" si="25"/>
        <v>4.8518425094960543E-2</v>
      </c>
      <c r="U117" s="1">
        <f t="shared" si="13"/>
        <v>1.777584441316904E-2</v>
      </c>
      <c r="V117" s="6">
        <f>2*sigma/alpha*corel*(B117/12-1/alpha*(1-EXP(-alpha*Output!B117/12)))</f>
        <v>0.17398866668910062</v>
      </c>
      <c r="W117" s="5">
        <f t="shared" si="26"/>
        <v>-3.0742580681791504E-2</v>
      </c>
      <c r="X117" s="1">
        <f t="shared" si="22"/>
        <v>1.1165099068928841</v>
      </c>
      <c r="Y117" s="3">
        <f t="shared" si="27"/>
        <v>4.9961980594028566E-2</v>
      </c>
      <c r="Z117" s="1">
        <f t="shared" si="16"/>
        <v>7.4112427416342955E-2</v>
      </c>
      <c r="AA117" s="8">
        <f t="shared" si="23"/>
        <v>8.7499999999999929</v>
      </c>
      <c r="AB117" s="1">
        <v>8.8330000000000002</v>
      </c>
      <c r="AC117">
        <v>2.925550719E-3</v>
      </c>
      <c r="AD117" s="8">
        <f t="shared" si="17"/>
        <v>-3.9176478061082745</v>
      </c>
      <c r="AE117" s="3">
        <f t="shared" si="18"/>
        <v>-0.13391146428141193</v>
      </c>
      <c r="AF117" s="11">
        <f t="shared" si="19"/>
        <v>8.7499999999999929</v>
      </c>
      <c r="AG117" s="1">
        <f t="shared" si="20"/>
        <v>7.4112427416342955E-2</v>
      </c>
    </row>
    <row r="118" spans="2:33" ht="15" x14ac:dyDescent="0.25">
      <c r="B118" s="1">
        <v>107</v>
      </c>
      <c r="C118" s="1">
        <v>0.97021608053653907</v>
      </c>
      <c r="D118" s="1">
        <v>1.513271390091099</v>
      </c>
      <c r="E118" s="1">
        <v>0.61064973131411826</v>
      </c>
      <c r="G118" s="1">
        <v>0.97021608053653907</v>
      </c>
      <c r="H118" s="1">
        <v>1.513271390091099</v>
      </c>
      <c r="I118" s="1">
        <v>0.61064973131411826</v>
      </c>
      <c r="K118" s="1">
        <v>1.0004027310909389</v>
      </c>
      <c r="L118" s="1">
        <v>1.6336815380760707</v>
      </c>
      <c r="M118" s="1">
        <v>0.59864040766540616</v>
      </c>
      <c r="O118" s="1">
        <v>3.3910058526805719E-3</v>
      </c>
      <c r="P118" s="1">
        <v>0.97021608053653907</v>
      </c>
      <c r="R118" s="1">
        <v>7.2837812436393534E-2</v>
      </c>
      <c r="S118" s="2">
        <f t="shared" si="24"/>
        <v>0.22163683161284492</v>
      </c>
      <c r="T118" s="4">
        <f t="shared" si="25"/>
        <v>4.9122885127380576E-2</v>
      </c>
      <c r="U118" s="1">
        <f t="shared" si="13"/>
        <v>1.8240935935365243E-2</v>
      </c>
      <c r="V118" s="6">
        <f>2*sigma/alpha*corel*(B118/12-1/alpha*(1-EXP(-alpha*Output!B118/12)))</f>
        <v>0.17710143994091343</v>
      </c>
      <c r="W118" s="5">
        <f t="shared" si="26"/>
        <v>-3.0881949192015333E-2</v>
      </c>
      <c r="X118" s="1">
        <f t="shared" si="22"/>
        <v>1.132821107877692</v>
      </c>
      <c r="Y118" s="3">
        <f t="shared" si="27"/>
        <v>4.9751733740056099E-2</v>
      </c>
      <c r="Z118" s="1">
        <f t="shared" si="16"/>
        <v>7.4223369718819113E-2</v>
      </c>
      <c r="AA118" s="8">
        <f t="shared" si="23"/>
        <v>8.8333333333333268</v>
      </c>
      <c r="AB118" s="1">
        <v>8.9169999999999998</v>
      </c>
      <c r="AC118">
        <v>3.003644154E-3</v>
      </c>
      <c r="AD118" s="8">
        <f t="shared" si="17"/>
        <v>-3.8736169868057186</v>
      </c>
      <c r="AE118" s="3">
        <f t="shared" si="18"/>
        <v>-0.12896391144227792</v>
      </c>
      <c r="AF118" s="11">
        <f t="shared" si="19"/>
        <v>8.8333333333333268</v>
      </c>
      <c r="AG118" s="1">
        <f t="shared" si="20"/>
        <v>7.4223369718819113E-2</v>
      </c>
    </row>
    <row r="119" spans="2:33" ht="15" x14ac:dyDescent="0.25">
      <c r="B119" s="1">
        <v>108</v>
      </c>
      <c r="C119" s="1">
        <v>0.96934483155522866</v>
      </c>
      <c r="D119" s="1">
        <v>1.5192719648744322</v>
      </c>
      <c r="E119" s="1">
        <v>0.60683293889192313</v>
      </c>
      <c r="G119" s="1">
        <v>0.96934483155522866</v>
      </c>
      <c r="H119" s="1">
        <v>1.5192719648744322</v>
      </c>
      <c r="I119" s="1">
        <v>0.60683293889192313</v>
      </c>
      <c r="K119" s="1">
        <v>1.0003186765088183</v>
      </c>
      <c r="L119" s="1">
        <v>1.6003071850747999</v>
      </c>
      <c r="M119" s="1">
        <v>0.61096700372214052</v>
      </c>
      <c r="O119" s="1">
        <v>3.4594296752904399E-3</v>
      </c>
      <c r="P119" s="1">
        <v>0.96934483155522866</v>
      </c>
      <c r="R119" s="1">
        <v>7.3127913786340815E-2</v>
      </c>
      <c r="S119" s="2">
        <f t="shared" si="24"/>
        <v>0.22348942229466379</v>
      </c>
      <c r="T119" s="4">
        <f t="shared" si="25"/>
        <v>4.9947521877602562E-2</v>
      </c>
      <c r="U119" s="1">
        <f t="shared" si="13"/>
        <v>1.8713319003244244E-2</v>
      </c>
      <c r="V119" s="6">
        <f>2*sigma/alpha*corel*(B119/12-1/alpha*(1-EXP(-alpha*Output!B119/12)))</f>
        <v>0.18023851897197196</v>
      </c>
      <c r="W119" s="5">
        <f t="shared" si="26"/>
        <v>-3.1234202874358317E-2</v>
      </c>
      <c r="X119" s="1">
        <f t="shared" si="22"/>
        <v>1.1569172271981092</v>
      </c>
      <c r="Y119" s="3">
        <f t="shared" si="27"/>
        <v>4.9742352722636718E-2</v>
      </c>
      <c r="Z119" s="1">
        <f t="shared" si="16"/>
        <v>7.4496474098221258E-2</v>
      </c>
      <c r="AA119" s="8">
        <f t="shared" si="23"/>
        <v>8.9166666666666607</v>
      </c>
      <c r="AB119" s="1">
        <v>9</v>
      </c>
      <c r="AC119">
        <v>3.081831043E-3</v>
      </c>
      <c r="AD119" s="8">
        <f t="shared" si="17"/>
        <v>-3.7759863229043988</v>
      </c>
      <c r="AE119" s="3">
        <f t="shared" si="18"/>
        <v>-0.12252411862360486</v>
      </c>
      <c r="AF119" s="11">
        <f t="shared" si="19"/>
        <v>8.9166666666666607</v>
      </c>
      <c r="AG119" s="1">
        <f t="shared" si="20"/>
        <v>7.4496474098221258E-2</v>
      </c>
    </row>
    <row r="120" spans="2:33" ht="15" x14ac:dyDescent="0.25">
      <c r="B120" s="1">
        <v>109</v>
      </c>
      <c r="C120" s="1">
        <v>0.96851287802454467</v>
      </c>
      <c r="D120" s="1">
        <v>1.5258090602541998</v>
      </c>
      <c r="E120" s="1">
        <v>0.60291812371879894</v>
      </c>
      <c r="G120" s="1">
        <v>0.96851287802454467</v>
      </c>
      <c r="H120" s="1">
        <v>1.5258090602541998</v>
      </c>
      <c r="I120" s="1">
        <v>0.60291812371879894</v>
      </c>
      <c r="K120" s="1">
        <v>1.0003271593226288</v>
      </c>
      <c r="L120" s="1">
        <v>1.6079078981559365</v>
      </c>
      <c r="M120" s="1">
        <v>0.6079683385715362</v>
      </c>
      <c r="O120" s="1">
        <v>3.5222201116344195E-3</v>
      </c>
      <c r="P120" s="1">
        <v>0.96851287802454467</v>
      </c>
      <c r="R120" s="1">
        <v>7.3508832046588576E-2</v>
      </c>
      <c r="S120" s="2">
        <f t="shared" si="24"/>
        <v>0.22552749681945494</v>
      </c>
      <c r="T120" s="4">
        <f t="shared" si="25"/>
        <v>5.0862651821649257E-2</v>
      </c>
      <c r="U120" s="1">
        <f t="shared" si="13"/>
        <v>1.9193025783390105E-2</v>
      </c>
      <c r="V120" s="6">
        <f>2*sigma/alpha*corel*(B120/12-1/alpha*(1-EXP(-alpha*Output!B120/12)))</f>
        <v>0.18339982289789392</v>
      </c>
      <c r="W120" s="5">
        <f t="shared" si="26"/>
        <v>-3.1669626038259152E-2</v>
      </c>
      <c r="X120" s="1">
        <f t="shared" si="22"/>
        <v>1.1842985744290613</v>
      </c>
      <c r="Y120" s="3">
        <f t="shared" si="27"/>
        <v>4.9808532486130257E-2</v>
      </c>
      <c r="Z120" s="1">
        <f t="shared" si="16"/>
        <v>7.4830194431884781E-2</v>
      </c>
      <c r="AA120" s="8">
        <f t="shared" si="23"/>
        <v>8.9999999999999947</v>
      </c>
      <c r="AB120" s="1">
        <v>9.0830000000000002</v>
      </c>
      <c r="AC120">
        <v>3.1599770920000001E-3</v>
      </c>
      <c r="AD120" s="8">
        <f t="shared" si="17"/>
        <v>-3.6224301963441947</v>
      </c>
      <c r="AE120" s="3">
        <f t="shared" si="18"/>
        <v>-0.11463469800192445</v>
      </c>
      <c r="AF120" s="11">
        <f t="shared" si="19"/>
        <v>8.9999999999999947</v>
      </c>
      <c r="AG120" s="1">
        <f t="shared" si="20"/>
        <v>7.4830194431884781E-2</v>
      </c>
    </row>
    <row r="121" spans="2:33" ht="15" x14ac:dyDescent="0.25">
      <c r="B121" s="1">
        <v>110</v>
      </c>
      <c r="C121" s="1">
        <v>0.96771669838151941</v>
      </c>
      <c r="D121" s="1">
        <v>1.532778467528088</v>
      </c>
      <c r="E121" s="1">
        <v>0.59887411666067791</v>
      </c>
      <c r="G121" s="1">
        <v>0.96771669838151941</v>
      </c>
      <c r="H121" s="1">
        <v>1.532778467528088</v>
      </c>
      <c r="I121" s="1">
        <v>0.59887411666067791</v>
      </c>
      <c r="K121" s="1">
        <v>1.0002952364305384</v>
      </c>
      <c r="L121" s="1">
        <v>1.5893381698401334</v>
      </c>
      <c r="M121" s="1">
        <v>0.61492100132291538</v>
      </c>
      <c r="O121" s="1">
        <v>3.579916527505448E-3</v>
      </c>
      <c r="P121" s="1">
        <v>0.96771669838151941</v>
      </c>
      <c r="R121" s="1">
        <v>7.3802287354383905E-2</v>
      </c>
      <c r="S121" s="2">
        <f t="shared" si="24"/>
        <v>0.22729423403256444</v>
      </c>
      <c r="T121" s="4">
        <f t="shared" si="25"/>
        <v>5.166266882445017E-2</v>
      </c>
      <c r="U121" s="1">
        <f t="shared" ref="U121:U184" si="28">sigma*sigma/alpha/alpha*(B121/12+2/alpha*EXP(-alpha*B121/12)-1/2/alpha*EXP(-2*alpha*B121/12)-3/2/alpha)</f>
        <v>1.9680087960390669E-2</v>
      </c>
      <c r="V121" s="6">
        <f>2*sigma/alpha*corel*(B121/12-1/alpha*(1-EXP(-alpha*Output!B121/12)))</f>
        <v>0.18658527110346301</v>
      </c>
      <c r="W121" s="5">
        <f t="shared" si="26"/>
        <v>-3.1982580864059501E-2</v>
      </c>
      <c r="X121" s="1">
        <f t="shared" si="22"/>
        <v>1.2075086950749345</v>
      </c>
      <c r="Y121" s="3">
        <f t="shared" si="27"/>
        <v>4.9760821858761711E-2</v>
      </c>
      <c r="Z121" s="1">
        <f t="shared" si="16"/>
        <v>7.5072814707601285E-2</v>
      </c>
      <c r="AA121" s="8">
        <f t="shared" si="23"/>
        <v>9.0833333333333286</v>
      </c>
      <c r="AB121" s="1">
        <v>9.1669999999999998</v>
      </c>
      <c r="AC121">
        <v>3.2379476149999998E-3</v>
      </c>
      <c r="AD121" s="8">
        <f t="shared" si="17"/>
        <v>-3.4196891250544814</v>
      </c>
      <c r="AE121" s="3">
        <f t="shared" si="18"/>
        <v>-0.10561286134502461</v>
      </c>
      <c r="AF121" s="11">
        <f t="shared" si="19"/>
        <v>9.0833333333333286</v>
      </c>
      <c r="AG121" s="1">
        <f t="shared" si="20"/>
        <v>7.5072814707601285E-2</v>
      </c>
    </row>
    <row r="122" spans="2:33" ht="15" x14ac:dyDescent="0.25">
      <c r="B122" s="1">
        <v>111</v>
      </c>
      <c r="C122" s="1">
        <v>0.96695247193798628</v>
      </c>
      <c r="D122" s="1">
        <v>1.5397881251539787</v>
      </c>
      <c r="E122" s="1">
        <v>0.59491938842286873</v>
      </c>
      <c r="G122" s="1">
        <v>0.96695247193798628</v>
      </c>
      <c r="H122" s="1">
        <v>1.5397881251539787</v>
      </c>
      <c r="I122" s="1">
        <v>0.59491938842286873</v>
      </c>
      <c r="K122" s="1">
        <v>1.0002782919632258</v>
      </c>
      <c r="L122" s="1">
        <v>1.6067898939064313</v>
      </c>
      <c r="M122" s="1">
        <v>0.60812177951197</v>
      </c>
      <c r="O122" s="1">
        <v>3.6330740269370672E-3</v>
      </c>
      <c r="P122" s="1">
        <v>0.96695247193798628</v>
      </c>
      <c r="R122" s="1">
        <v>7.4102091867976824E-2</v>
      </c>
      <c r="S122" s="2">
        <f t="shared" si="24"/>
        <v>0.22903727970156584</v>
      </c>
      <c r="T122" s="4">
        <f t="shared" si="25"/>
        <v>5.2458075493093302E-2</v>
      </c>
      <c r="U122" s="1">
        <f t="shared" si="28"/>
        <v>2.0174536740925397E-2</v>
      </c>
      <c r="V122" s="6">
        <f>2*sigma/alpha*corel*(B122/12-1/alpha*(1-EXP(-alpha*Output!B122/12)))</f>
        <v>0.18979478324173338</v>
      </c>
      <c r="W122" s="5">
        <f t="shared" si="26"/>
        <v>-3.2283538752167905E-2</v>
      </c>
      <c r="X122" s="1">
        <f t="shared" si="22"/>
        <v>1.2305129935759891</v>
      </c>
      <c r="Y122" s="3">
        <f t="shared" si="27"/>
        <v>4.9702168575944568E-2</v>
      </c>
      <c r="Z122" s="1">
        <f t="shared" si="16"/>
        <v>7.5306993676222581E-2</v>
      </c>
      <c r="AA122" s="8">
        <f t="shared" si="23"/>
        <v>9.1666666666666625</v>
      </c>
      <c r="AB122" s="1">
        <v>9.25</v>
      </c>
      <c r="AC122">
        <v>3.3156063719999998E-3</v>
      </c>
      <c r="AD122" s="8">
        <f t="shared" si="17"/>
        <v>-3.1746765493706737</v>
      </c>
      <c r="AE122" s="3">
        <f t="shared" si="18"/>
        <v>-9.5749500790580394E-2</v>
      </c>
      <c r="AF122" s="11">
        <f t="shared" si="19"/>
        <v>9.1666666666666625</v>
      </c>
      <c r="AG122" s="1">
        <f t="shared" si="20"/>
        <v>7.5306993676222581E-2</v>
      </c>
    </row>
    <row r="123" spans="2:33" ht="15" x14ac:dyDescent="0.25">
      <c r="B123" s="1">
        <v>112</v>
      </c>
      <c r="C123" s="1">
        <v>0.96621434277694407</v>
      </c>
      <c r="D123" s="1">
        <v>1.5462642256308758</v>
      </c>
      <c r="E123" s="1">
        <v>0.59122620314532337</v>
      </c>
      <c r="G123" s="1">
        <v>0.96621434277694407</v>
      </c>
      <c r="H123" s="1">
        <v>1.5462642256308758</v>
      </c>
      <c r="I123" s="1">
        <v>0.59122620314532337</v>
      </c>
      <c r="K123" s="1">
        <v>1.0002918409253341</v>
      </c>
      <c r="L123" s="1">
        <v>1.6178087577258733</v>
      </c>
      <c r="M123" s="1">
        <v>0.60385843919722704</v>
      </c>
      <c r="O123" s="1">
        <v>3.6824552625245722E-3</v>
      </c>
      <c r="P123" s="1">
        <v>0.96621434277694407</v>
      </c>
      <c r="R123" s="1">
        <v>7.4593174385332028E-2</v>
      </c>
      <c r="S123" s="2">
        <f t="shared" si="24"/>
        <v>0.23124416732815151</v>
      </c>
      <c r="T123" s="4">
        <f t="shared" si="25"/>
        <v>5.3473864923290135E-2</v>
      </c>
      <c r="U123" s="1">
        <f t="shared" si="28"/>
        <v>2.0676402857835008E-2</v>
      </c>
      <c r="V123" s="6">
        <f>2*sigma/alpha*corel*(B123/12-1/alpha*(1-EXP(-alpha*Output!B123/12)))</f>
        <v>0.1930282792331357</v>
      </c>
      <c r="W123" s="5">
        <f t="shared" si="26"/>
        <v>-3.2797462065455127E-2</v>
      </c>
      <c r="X123" s="1">
        <f t="shared" si="22"/>
        <v>1.2616985003606966</v>
      </c>
      <c r="Y123" s="3">
        <f t="shared" si="27"/>
        <v>4.9833495760491849E-2</v>
      </c>
      <c r="Z123" s="1">
        <f t="shared" si="16"/>
        <v>7.5692421485592021E-2</v>
      </c>
      <c r="AA123" s="8">
        <f t="shared" si="23"/>
        <v>9.2499999999999964</v>
      </c>
      <c r="AB123" s="1">
        <v>9.3330000000000002</v>
      </c>
      <c r="AC123">
        <v>3.392816733E-3</v>
      </c>
      <c r="AD123" s="8">
        <f t="shared" si="17"/>
        <v>-2.8963852952457225</v>
      </c>
      <c r="AE123" s="3">
        <f t="shared" si="18"/>
        <v>-8.5368162302261394E-2</v>
      </c>
      <c r="AF123" s="11">
        <f t="shared" si="19"/>
        <v>9.2499999999999964</v>
      </c>
      <c r="AG123" s="1">
        <f t="shared" si="20"/>
        <v>7.5692421485592021E-2</v>
      </c>
    </row>
    <row r="124" spans="2:33" ht="15" x14ac:dyDescent="0.25">
      <c r="B124" s="1">
        <v>113</v>
      </c>
      <c r="C124" s="1">
        <v>0.96549793787153104</v>
      </c>
      <c r="D124" s="1">
        <v>1.552987948813517</v>
      </c>
      <c r="E124" s="1">
        <v>0.58747503231112685</v>
      </c>
      <c r="G124" s="1">
        <v>0.96549793787153104</v>
      </c>
      <c r="H124" s="1">
        <v>1.552987948813517</v>
      </c>
      <c r="I124" s="1">
        <v>0.58747503231112685</v>
      </c>
      <c r="K124" s="1">
        <v>1.0003490968863811</v>
      </c>
      <c r="L124" s="1">
        <v>1.6355357054000357</v>
      </c>
      <c r="M124" s="1">
        <v>0.59716961750482878</v>
      </c>
      <c r="O124" s="1">
        <v>3.728635001405585E-3</v>
      </c>
      <c r="P124" s="1">
        <v>0.96549793787153104</v>
      </c>
      <c r="R124" s="1">
        <v>7.505200070571813E-2</v>
      </c>
      <c r="S124" s="2">
        <f t="shared" si="24"/>
        <v>0.23334095257942911</v>
      </c>
      <c r="T124" s="4">
        <f t="shared" si="25"/>
        <v>5.4448000150675385E-2</v>
      </c>
      <c r="U124" s="1">
        <f t="shared" si="28"/>
        <v>2.1185716574154245E-2</v>
      </c>
      <c r="V124" s="6">
        <f>2*sigma/alpha*corel*(B124/12-1/alpha*(1-EXP(-alpha*Output!B124/12)))</f>
        <v>0.19628567926458873</v>
      </c>
      <c r="W124" s="5">
        <f t="shared" si="26"/>
        <v>-3.326228357652114E-2</v>
      </c>
      <c r="X124" s="1">
        <f t="shared" si="22"/>
        <v>1.2914074159333238</v>
      </c>
      <c r="Y124" s="3">
        <f t="shared" si="27"/>
        <v>4.9917631928016723E-2</v>
      </c>
      <c r="Z124" s="1">
        <f t="shared" si="16"/>
        <v>7.6040045446962662E-2</v>
      </c>
      <c r="AA124" s="8">
        <f t="shared" si="23"/>
        <v>9.3333333333333304</v>
      </c>
      <c r="AB124" s="1">
        <v>9.4169999999999998</v>
      </c>
      <c r="AC124">
        <v>3.4694420689999998E-3</v>
      </c>
      <c r="AD124" s="8">
        <f t="shared" si="17"/>
        <v>-2.5919293240558514</v>
      </c>
      <c r="AE124" s="3">
        <f t="shared" si="18"/>
        <v>-7.4707381547458013E-2</v>
      </c>
      <c r="AF124" s="11">
        <f t="shared" si="19"/>
        <v>9.3333333333333304</v>
      </c>
      <c r="AG124" s="1">
        <f t="shared" si="20"/>
        <v>7.6040045446962662E-2</v>
      </c>
    </row>
    <row r="125" spans="2:33" ht="15" x14ac:dyDescent="0.25">
      <c r="B125" s="1">
        <v>114</v>
      </c>
      <c r="C125" s="1">
        <v>0.96479787189016974</v>
      </c>
      <c r="D125" s="1">
        <v>1.5593569212056948</v>
      </c>
      <c r="E125" s="1">
        <v>0.58394160583941612</v>
      </c>
      <c r="G125" s="1">
        <v>0.96479787189016974</v>
      </c>
      <c r="H125" s="1">
        <v>1.5593569212056948</v>
      </c>
      <c r="I125" s="1">
        <v>0.58394160583941612</v>
      </c>
      <c r="K125" s="1">
        <v>1.0004535676379782</v>
      </c>
      <c r="L125" s="1">
        <v>1.6283154600341203</v>
      </c>
      <c r="M125" s="1">
        <v>0.59968495903314101</v>
      </c>
      <c r="O125" s="1">
        <v>3.7722798698905636E-3</v>
      </c>
      <c r="P125" s="1">
        <v>0.96479787189016974</v>
      </c>
      <c r="R125" s="1">
        <v>7.5400537178917232E-2</v>
      </c>
      <c r="S125" s="2">
        <f t="shared" si="24"/>
        <v>0.23513140406308719</v>
      </c>
      <c r="T125" s="4">
        <f t="shared" si="25"/>
        <v>5.5286777176678778E-2</v>
      </c>
      <c r="U125" s="1">
        <f t="shared" si="28"/>
        <v>2.1702507687120232E-2</v>
      </c>
      <c r="V125" s="6">
        <f>2*sigma/alpha*corel*(B125/12-1/alpha*(1-EXP(-alpha*Output!B125/12)))</f>
        <v>0.19956690378861197</v>
      </c>
      <c r="W125" s="5">
        <f t="shared" si="26"/>
        <v>-3.3584269489558546E-2</v>
      </c>
      <c r="X125" s="1">
        <f t="shared" si="22"/>
        <v>1.3160291896909979</v>
      </c>
      <c r="Y125" s="3">
        <f t="shared" si="27"/>
        <v>4.9874539504758314E-2</v>
      </c>
      <c r="Z125" s="1">
        <f t="shared" si="16"/>
        <v>7.6286701039171123E-2</v>
      </c>
      <c r="AA125" s="8">
        <f t="shared" si="23"/>
        <v>9.4166666666666643</v>
      </c>
      <c r="AB125" s="1">
        <v>9.5</v>
      </c>
      <c r="AC125">
        <v>3.5453457510000001E-3</v>
      </c>
      <c r="AD125" s="8">
        <f t="shared" si="17"/>
        <v>-2.2693411889056345</v>
      </c>
      <c r="AE125" s="3">
        <f t="shared" si="18"/>
        <v>-6.4009023330532544E-2</v>
      </c>
      <c r="AF125" s="11">
        <f t="shared" si="19"/>
        <v>9.4166666666666643</v>
      </c>
      <c r="AG125" s="1">
        <f t="shared" si="20"/>
        <v>7.6286701039171123E-2</v>
      </c>
    </row>
    <row r="126" spans="2:33" ht="15" x14ac:dyDescent="0.25">
      <c r="B126" s="1">
        <v>115</v>
      </c>
      <c r="C126" s="1">
        <v>0.96410887433950176</v>
      </c>
      <c r="D126" s="1">
        <v>1.5655087120559827</v>
      </c>
      <c r="E126" s="1">
        <v>0.5805178218971323</v>
      </c>
      <c r="G126" s="1">
        <v>0.96410887433950176</v>
      </c>
      <c r="H126" s="1">
        <v>1.5655087120559827</v>
      </c>
      <c r="I126" s="1">
        <v>0.5805178218971323</v>
      </c>
      <c r="K126" s="1">
        <v>1.0004529217764007</v>
      </c>
      <c r="L126" s="1">
        <v>1.6735723641835492</v>
      </c>
      <c r="M126" s="1">
        <v>0.58342075119882797</v>
      </c>
      <c r="O126" s="1">
        <v>3.8140226674068479E-3</v>
      </c>
      <c r="P126" s="1">
        <v>0.96410887433950176</v>
      </c>
      <c r="R126" s="1">
        <v>7.5890936428087752E-2</v>
      </c>
      <c r="S126" s="2">
        <f t="shared" si="24"/>
        <v>0.23727755340469542</v>
      </c>
      <c r="T126" s="4">
        <f t="shared" si="25"/>
        <v>5.6300637349718088E-2</v>
      </c>
      <c r="U126" s="1">
        <f t="shared" si="28"/>
        <v>2.2226805532145733E-2</v>
      </c>
      <c r="V126" s="6">
        <f>2*sigma/alpha*corel*(B126/12-1/alpha*(1-EXP(-alpha*Output!B126/12)))</f>
        <v>0.20287187352244129</v>
      </c>
      <c r="W126" s="5">
        <f t="shared" si="26"/>
        <v>-3.4073831817572356E-2</v>
      </c>
      <c r="X126" s="1">
        <f t="shared" si="22"/>
        <v>1.3473205500734455</v>
      </c>
      <c r="Y126" s="3">
        <f t="shared" si="27"/>
        <v>4.9975800311645252E-2</v>
      </c>
      <c r="Z126" s="1">
        <f t="shared" si="16"/>
        <v>7.6647564310636712E-2</v>
      </c>
      <c r="AA126" s="8">
        <f t="shared" si="23"/>
        <v>9.4999999999999982</v>
      </c>
      <c r="AB126" s="1">
        <v>9.5830000000000002</v>
      </c>
      <c r="AC126">
        <v>3.620391148E-3</v>
      </c>
      <c r="AD126" s="8">
        <f t="shared" si="17"/>
        <v>-1.9363151940684793</v>
      </c>
      <c r="AE126" s="3">
        <f t="shared" si="18"/>
        <v>-5.3483590996463215E-2</v>
      </c>
      <c r="AF126" s="11">
        <f t="shared" si="19"/>
        <v>9.4999999999999982</v>
      </c>
      <c r="AG126" s="1">
        <f t="shared" si="20"/>
        <v>7.6647564310636712E-2</v>
      </c>
    </row>
    <row r="127" spans="2:33" ht="15" x14ac:dyDescent="0.25">
      <c r="B127" s="1">
        <v>116</v>
      </c>
      <c r="C127" s="1">
        <v>0.96342278620904276</v>
      </c>
      <c r="D127" s="1">
        <v>1.5718574639651675</v>
      </c>
      <c r="E127" s="1">
        <v>0.57703404500865552</v>
      </c>
      <c r="G127" s="1">
        <v>0.96342278620904276</v>
      </c>
      <c r="H127" s="1">
        <v>1.5718574639651675</v>
      </c>
      <c r="I127" s="1">
        <v>0.57703404500865552</v>
      </c>
      <c r="K127" s="1">
        <v>1.000415055489895</v>
      </c>
      <c r="L127" s="1">
        <v>1.6732117506191042</v>
      </c>
      <c r="M127" s="1">
        <v>0.58340210907534917</v>
      </c>
      <c r="O127" s="1">
        <v>3.8547861929305273E-3</v>
      </c>
      <c r="P127" s="1">
        <v>0.96342278620904276</v>
      </c>
      <c r="R127" s="1">
        <v>7.6340349127593424E-2</v>
      </c>
      <c r="S127" s="2">
        <f t="shared" si="24"/>
        <v>0.23931450251704917</v>
      </c>
      <c r="T127" s="4">
        <f t="shared" si="25"/>
        <v>5.7271431114982729E-2</v>
      </c>
      <c r="U127" s="1">
        <f t="shared" si="28"/>
        <v>2.2758638986766666E-2</v>
      </c>
      <c r="V127" s="6">
        <f>2*sigma/alpha*corel*(B127/12-1/alpha*(1-EXP(-alpha*Output!B127/12)))</f>
        <v>0.20620050944714907</v>
      </c>
      <c r="W127" s="5">
        <f t="shared" si="26"/>
        <v>-3.4512792128216063E-2</v>
      </c>
      <c r="X127" s="1">
        <f t="shared" si="22"/>
        <v>1.3770132790539515</v>
      </c>
      <c r="Y127" s="3">
        <f t="shared" si="27"/>
        <v>5.0030771460508681E-2</v>
      </c>
      <c r="Z127" s="1">
        <f t="shared" si="16"/>
        <v>7.6971623375099829E-2</v>
      </c>
      <c r="AA127" s="8">
        <f t="shared" si="23"/>
        <v>9.5833333333333321</v>
      </c>
      <c r="AB127" s="1">
        <v>9.6669999999999998</v>
      </c>
      <c r="AC127">
        <v>3.6944411879999998E-3</v>
      </c>
      <c r="AD127" s="8">
        <f t="shared" si="17"/>
        <v>-1.6034500493052746</v>
      </c>
      <c r="AE127" s="3">
        <f t="shared" si="18"/>
        <v>-4.3401693726062764E-2</v>
      </c>
      <c r="AF127" s="11">
        <f t="shared" si="19"/>
        <v>9.5833333333333321</v>
      </c>
      <c r="AG127" s="1">
        <f t="shared" si="20"/>
        <v>7.6971623375099829E-2</v>
      </c>
    </row>
    <row r="128" spans="2:33" ht="15" x14ac:dyDescent="0.25">
      <c r="B128" s="1">
        <v>117</v>
      </c>
      <c r="C128" s="1">
        <v>0.9627366338215938</v>
      </c>
      <c r="D128" s="1">
        <v>1.5781084791768587</v>
      </c>
      <c r="E128" s="1">
        <v>0.57362473469856012</v>
      </c>
      <c r="G128" s="1">
        <v>0.9627366338215938</v>
      </c>
      <c r="H128" s="1">
        <v>1.5781084791768587</v>
      </c>
      <c r="I128" s="1">
        <v>0.57362473469856012</v>
      </c>
      <c r="K128" s="1">
        <v>1.0004417760687965</v>
      </c>
      <c r="L128" s="1">
        <v>1.6906257076681475</v>
      </c>
      <c r="M128" s="1">
        <v>0.57726870119510565</v>
      </c>
      <c r="O128" s="1">
        <v>3.8949117657473406E-3</v>
      </c>
      <c r="P128" s="1">
        <v>0.9627366338215938</v>
      </c>
      <c r="R128" s="1">
        <v>7.6735383771650553E-2</v>
      </c>
      <c r="S128" s="2">
        <f t="shared" si="24"/>
        <v>0.24121090367689574</v>
      </c>
      <c r="T128" s="4">
        <f t="shared" si="25"/>
        <v>5.8182700052624672E-2</v>
      </c>
      <c r="U128" s="1">
        <f t="shared" si="28"/>
        <v>2.329803647455897E-2</v>
      </c>
      <c r="V128" s="6">
        <f>2*sigma/alpha*corel*(B128/12-1/alpha*(1-EXP(-alpha*Output!B128/12)))</f>
        <v>0.20955273280676479</v>
      </c>
      <c r="W128" s="5">
        <f t="shared" si="26"/>
        <v>-3.4884663578065703E-2</v>
      </c>
      <c r="X128" s="1">
        <f t="shared" si="22"/>
        <v>1.4044142273713458</v>
      </c>
      <c r="Y128" s="3">
        <f t="shared" si="27"/>
        <v>5.0027031142375299E-2</v>
      </c>
      <c r="Z128" s="1">
        <f t="shared" si="16"/>
        <v>7.724931336687603E-2</v>
      </c>
      <c r="AA128" s="8">
        <f t="shared" si="23"/>
        <v>9.6666666666666661</v>
      </c>
      <c r="AB128" s="1">
        <v>9.75</v>
      </c>
      <c r="AC128">
        <v>3.7673570230000002E-3</v>
      </c>
      <c r="AD128" s="8">
        <f t="shared" si="17"/>
        <v>-1.275547427473404</v>
      </c>
      <c r="AE128" s="3">
        <f t="shared" si="18"/>
        <v>-3.3857885506632115E-2</v>
      </c>
      <c r="AF128" s="11">
        <f t="shared" si="19"/>
        <v>9.6666666666666661</v>
      </c>
      <c r="AG128" s="1">
        <f t="shared" si="20"/>
        <v>7.724931336687603E-2</v>
      </c>
    </row>
    <row r="129" spans="2:33" ht="15" x14ac:dyDescent="0.25">
      <c r="B129" s="1">
        <v>118</v>
      </c>
      <c r="C129" s="1">
        <v>0.96204458345517574</v>
      </c>
      <c r="D129" s="1">
        <v>1.5846855983772818</v>
      </c>
      <c r="E129" s="1">
        <v>0.57009292514679888</v>
      </c>
      <c r="G129" s="1">
        <v>0.96204458345517574</v>
      </c>
      <c r="H129" s="1">
        <v>1.5846855983772818</v>
      </c>
      <c r="I129" s="1">
        <v>0.57009292514679888</v>
      </c>
      <c r="K129" s="1">
        <v>1.0004930617170156</v>
      </c>
      <c r="L129" s="1">
        <v>1.652502706997834</v>
      </c>
      <c r="M129" s="1">
        <v>0.59044293032705786</v>
      </c>
      <c r="O129" s="1">
        <v>3.9350323568447003E-3</v>
      </c>
      <c r="P129" s="1">
        <v>0.96204458345517574</v>
      </c>
      <c r="R129" s="1">
        <v>7.7312012833455415E-2</v>
      </c>
      <c r="S129" s="2">
        <f t="shared" si="24"/>
        <v>0.24358909796909917</v>
      </c>
      <c r="T129" s="4">
        <f t="shared" si="25"/>
        <v>5.9335648649399393E-2</v>
      </c>
      <c r="U129" s="1">
        <f t="shared" si="28"/>
        <v>2.3845025969027933E-2</v>
      </c>
      <c r="V129" s="6">
        <f>2*sigma/alpha*corel*(B129/12-1/alpha*(1-EXP(-alpha*Output!B129/12)))</f>
        <v>0.21292846510740149</v>
      </c>
      <c r="W129" s="5">
        <f t="shared" si="26"/>
        <v>-3.549062268037146E-2</v>
      </c>
      <c r="X129" s="1">
        <f t="shared" si="22"/>
        <v>1.4413030233476047</v>
      </c>
      <c r="Y129" s="3">
        <f t="shared" si="27"/>
        <v>5.0217678229958901E-2</v>
      </c>
      <c r="Z129" s="1">
        <f t="shared" si="16"/>
        <v>7.7679686926222027E-2</v>
      </c>
      <c r="AA129" s="8">
        <f t="shared" si="23"/>
        <v>9.75</v>
      </c>
      <c r="AB129" s="1">
        <v>9.8330000000000002</v>
      </c>
      <c r="AC129">
        <v>3.8389993609999999E-3</v>
      </c>
      <c r="AD129" s="8">
        <f t="shared" si="17"/>
        <v>-0.96032995844700342</v>
      </c>
      <c r="AE129" s="3">
        <f t="shared" si="18"/>
        <v>-2.5015111182431986E-2</v>
      </c>
      <c r="AF129" s="11">
        <f t="shared" si="19"/>
        <v>9.75</v>
      </c>
      <c r="AG129" s="1">
        <f t="shared" si="20"/>
        <v>7.7679686926222027E-2</v>
      </c>
    </row>
    <row r="130" spans="2:33" ht="15" x14ac:dyDescent="0.25">
      <c r="B130" s="1">
        <v>119</v>
      </c>
      <c r="C130" s="1">
        <v>0.96133917157754534</v>
      </c>
      <c r="D130" s="1">
        <v>1.5914950504503931</v>
      </c>
      <c r="E130" s="1">
        <v>0.56650804441423064</v>
      </c>
      <c r="G130" s="1">
        <v>0.96133917157754534</v>
      </c>
      <c r="H130" s="1">
        <v>1.5914950504503931</v>
      </c>
      <c r="I130" s="1">
        <v>0.56650804441423064</v>
      </c>
      <c r="K130" s="1">
        <v>1.0004533119580958</v>
      </c>
      <c r="L130" s="1">
        <v>1.637992715627937</v>
      </c>
      <c r="M130" s="1">
        <v>0.59559118203453953</v>
      </c>
      <c r="O130" s="1">
        <v>3.9759323893390998E-3</v>
      </c>
      <c r="P130" s="1">
        <v>0.96133917157754534</v>
      </c>
      <c r="R130" s="1">
        <v>7.7731193372596735E-2</v>
      </c>
      <c r="S130" s="2">
        <f t="shared" si="24"/>
        <v>0.24557495794812023</v>
      </c>
      <c r="T130" s="4">
        <f t="shared" si="25"/>
        <v>6.0307059971221023E-2</v>
      </c>
      <c r="U130" s="1">
        <f t="shared" si="28"/>
        <v>2.4399634997467778E-2</v>
      </c>
      <c r="V130" s="6">
        <f>2*sigma/alpha*corel*(B130/12-1/alpha*(1-EXP(-alpha*Output!B130/12)))</f>
        <v>0.2163276281163824</v>
      </c>
      <c r="W130" s="5">
        <f t="shared" si="26"/>
        <v>-3.5907424973753245E-2</v>
      </c>
      <c r="X130" s="1">
        <f t="shared" si="22"/>
        <v>1.4711254999786718</v>
      </c>
      <c r="Y130" s="3">
        <f t="shared" si="27"/>
        <v>5.0247327566762569E-2</v>
      </c>
      <c r="Z130" s="1">
        <f t="shared" si="16"/>
        <v>7.798323024072927E-2</v>
      </c>
      <c r="AA130" s="8">
        <f t="shared" si="23"/>
        <v>9.8333333333333339</v>
      </c>
      <c r="AB130" s="1">
        <v>9.9169999999999998</v>
      </c>
      <c r="AC130">
        <v>3.9092289119999997E-3</v>
      </c>
      <c r="AD130" s="8">
        <f t="shared" si="17"/>
        <v>-0.66703477339100092</v>
      </c>
      <c r="AE130" s="3">
        <f t="shared" si="18"/>
        <v>-1.7063077870508724E-2</v>
      </c>
      <c r="AF130" s="11">
        <f t="shared" si="19"/>
        <v>9.8333333333333339</v>
      </c>
      <c r="AG130" s="1">
        <f t="shared" si="20"/>
        <v>7.798323024072927E-2</v>
      </c>
    </row>
    <row r="131" spans="2:33" ht="15" x14ac:dyDescent="0.25">
      <c r="B131" s="1">
        <v>120</v>
      </c>
      <c r="C131" s="1">
        <v>0.96061386456023667</v>
      </c>
      <c r="D131" s="1">
        <v>1.5985676833557132</v>
      </c>
      <c r="E131" s="1">
        <v>0.56284122249113522</v>
      </c>
      <c r="G131" s="1">
        <v>0.96061386456023667</v>
      </c>
      <c r="H131" s="1">
        <v>1.5985676833557132</v>
      </c>
      <c r="I131" s="1">
        <v>0.56284122249113522</v>
      </c>
      <c r="K131" s="1">
        <v>1.0004705243260406</v>
      </c>
      <c r="L131" s="1">
        <v>1.6690437428707099</v>
      </c>
      <c r="M131" s="1">
        <v>0.58436662979228104</v>
      </c>
      <c r="O131" s="1">
        <v>4.018275662609299E-3</v>
      </c>
      <c r="P131" s="1">
        <v>0.96061386456023667</v>
      </c>
      <c r="R131" s="1">
        <v>7.8109295039724122E-2</v>
      </c>
      <c r="S131" s="2">
        <f t="shared" si="24"/>
        <v>0.24747972480267155</v>
      </c>
      <c r="T131" s="4">
        <f t="shared" si="25"/>
        <v>6.1246214188406048E-2</v>
      </c>
      <c r="U131" s="1">
        <f t="shared" si="28"/>
        <v>2.4961890644793705E-2</v>
      </c>
      <c r="V131" s="6">
        <f>2*sigma/alpha*corel*(B131/12-1/alpha*(1-EXP(-alpha*Output!B131/12)))</f>
        <v>0.21975014386137293</v>
      </c>
      <c r="W131" s="5">
        <f t="shared" si="26"/>
        <v>-3.6284323543612343E-2</v>
      </c>
      <c r="X131" s="1">
        <f t="shared" si="22"/>
        <v>1.4996630674715878</v>
      </c>
      <c r="Y131" s="3">
        <f t="shared" si="27"/>
        <v>5.024285838381623E-2</v>
      </c>
      <c r="Z131" s="1">
        <f t="shared" si="16"/>
        <v>7.8259960508810664E-2</v>
      </c>
      <c r="AA131" s="8">
        <f t="shared" si="23"/>
        <v>9.9166666666666679</v>
      </c>
      <c r="AB131" s="1">
        <v>10</v>
      </c>
      <c r="AC131">
        <v>3.9779063829999996E-3</v>
      </c>
      <c r="AD131" s="8">
        <f t="shared" si="17"/>
        <v>-0.40369279609299424</v>
      </c>
      <c r="AE131" s="3">
        <f t="shared" si="18"/>
        <v>-1.0148373471487861E-2</v>
      </c>
      <c r="AF131" s="11">
        <f t="shared" si="19"/>
        <v>9.9166666666666679</v>
      </c>
      <c r="AG131" s="1">
        <f t="shared" si="20"/>
        <v>7.8259960508810664E-2</v>
      </c>
    </row>
    <row r="132" spans="2:33" ht="15" x14ac:dyDescent="0.25">
      <c r="B132" s="1">
        <v>121</v>
      </c>
      <c r="C132" s="1">
        <v>0.95986186954902164</v>
      </c>
      <c r="D132" s="1">
        <v>1.6057292419352247</v>
      </c>
      <c r="E132" s="1">
        <v>0.55912776069331838</v>
      </c>
      <c r="G132" s="1">
        <v>0.95986186954902164</v>
      </c>
      <c r="H132" s="1">
        <v>1.6057292419352247</v>
      </c>
      <c r="I132" s="1">
        <v>0.55912776069331838</v>
      </c>
      <c r="K132" s="1">
        <v>1.0003776888517977</v>
      </c>
      <c r="L132" s="1">
        <v>1.6304089128738501</v>
      </c>
      <c r="M132" s="1">
        <v>0.59805561030556875</v>
      </c>
      <c r="O132" s="1">
        <v>4.0627329678603122E-3</v>
      </c>
      <c r="P132" s="1">
        <v>0.95986186954902164</v>
      </c>
      <c r="R132" s="1">
        <v>7.837992150867705E-2</v>
      </c>
      <c r="S132" s="2">
        <f t="shared" si="24"/>
        <v>0.24913824055091111</v>
      </c>
      <c r="T132" s="4">
        <f t="shared" si="25"/>
        <v>6.2069862904803645E-2</v>
      </c>
      <c r="U132" s="1">
        <f t="shared" si="28"/>
        <v>2.5531819557341073E-2</v>
      </c>
      <c r="V132" s="6">
        <f>2*sigma/alpha*corel*(B132/12-1/alpha*(1-EXP(-alpha*Output!B132/12)))</f>
        <v>0.2231959346295127</v>
      </c>
      <c r="W132" s="5">
        <f t="shared" si="26"/>
        <v>-3.6538043347462572E-2</v>
      </c>
      <c r="X132" s="1">
        <f t="shared" si="22"/>
        <v>1.523517506916132</v>
      </c>
      <c r="Y132" s="3">
        <f t="shared" si="27"/>
        <v>5.013781383667594E-2</v>
      </c>
      <c r="Z132" s="1">
        <f t="shared" si="16"/>
        <v>7.8458198316817232E-2</v>
      </c>
      <c r="AA132" s="8">
        <f t="shared" si="23"/>
        <v>10.000000000000002</v>
      </c>
      <c r="AB132" s="1">
        <v>10.08</v>
      </c>
      <c r="AC132">
        <v>4.0448924840000003E-3</v>
      </c>
      <c r="AD132" s="8">
        <f t="shared" si="17"/>
        <v>-0.17840483860311929</v>
      </c>
      <c r="AE132" s="3">
        <f t="shared" si="18"/>
        <v>-4.4106200426542478E-3</v>
      </c>
      <c r="AF132" s="11">
        <f t="shared" si="19"/>
        <v>10.000000000000002</v>
      </c>
      <c r="AG132" s="1">
        <f t="shared" si="20"/>
        <v>7.8458198316817232E-2</v>
      </c>
    </row>
    <row r="133" spans="2:33" ht="15" x14ac:dyDescent="0.25">
      <c r="B133" s="1">
        <v>122</v>
      </c>
      <c r="C133" s="1">
        <v>0.95908422143107674</v>
      </c>
      <c r="D133" s="1">
        <v>1.6127731634545601</v>
      </c>
      <c r="E133" s="1">
        <v>0.55546297839249015</v>
      </c>
      <c r="G133" s="1">
        <v>0.95908422143107674</v>
      </c>
      <c r="H133" s="1">
        <v>1.6127731634545601</v>
      </c>
      <c r="I133" s="1">
        <v>0.55546297839249015</v>
      </c>
      <c r="K133" s="1">
        <v>1.0003796685772512</v>
      </c>
      <c r="L133" s="1">
        <v>1.6476325503815821</v>
      </c>
      <c r="M133" s="1">
        <v>0.5916963897149341</v>
      </c>
      <c r="O133" s="1">
        <v>4.109152703220092E-3</v>
      </c>
      <c r="P133" s="1">
        <v>0.95908422143107674</v>
      </c>
      <c r="R133" s="1">
        <v>7.8865531363367297E-2</v>
      </c>
      <c r="S133" s="2">
        <f t="shared" si="24"/>
        <v>0.25139197084625364</v>
      </c>
      <c r="T133" s="4">
        <f t="shared" si="25"/>
        <v>6.3197923005963635E-2</v>
      </c>
      <c r="U133" s="1">
        <f t="shared" si="28"/>
        <v>2.6109447946645492E-2</v>
      </c>
      <c r="V133" s="6">
        <f>2*sigma/alpha*corel*(B133/12-1/alpha*(1-EXP(-alpha*Output!B133/12)))</f>
        <v>0.22666492296655338</v>
      </c>
      <c r="W133" s="5">
        <f t="shared" si="26"/>
        <v>-3.7088475059318143E-2</v>
      </c>
      <c r="X133" s="1">
        <f t="shared" si="22"/>
        <v>1.5596416397157047</v>
      </c>
      <c r="Y133" s="3">
        <f t="shared" si="27"/>
        <v>5.0271698830160534E-2</v>
      </c>
      <c r="Z133" s="1">
        <f t="shared" si="16"/>
        <v>7.8842812913591381E-2</v>
      </c>
      <c r="AA133" s="8">
        <f t="shared" si="23"/>
        <v>10.083333333333336</v>
      </c>
      <c r="AB133" s="1">
        <v>10.17</v>
      </c>
      <c r="AC133">
        <v>4.1100847479999996E-3</v>
      </c>
      <c r="AD133" s="8">
        <f t="shared" si="17"/>
        <v>9.3204477990757595E-3</v>
      </c>
      <c r="AE133" s="3">
        <f t="shared" si="18"/>
        <v>2.2677020963159374E-4</v>
      </c>
      <c r="AF133" s="11">
        <f t="shared" si="19"/>
        <v>10.083333333333336</v>
      </c>
      <c r="AG133" s="1">
        <f t="shared" si="20"/>
        <v>7.8842812913591381E-2</v>
      </c>
    </row>
    <row r="134" spans="2:33" ht="15" x14ac:dyDescent="0.25">
      <c r="B134" s="1">
        <v>123</v>
      </c>
      <c r="C134" s="1">
        <v>0.95828240568177658</v>
      </c>
      <c r="D134" s="1">
        <v>1.6201678493891967</v>
      </c>
      <c r="E134" s="1">
        <v>0.55166326474320071</v>
      </c>
      <c r="G134" s="1">
        <v>0.95828240568177658</v>
      </c>
      <c r="H134" s="1">
        <v>1.6201678493891967</v>
      </c>
      <c r="I134" s="1">
        <v>0.55166326474320071</v>
      </c>
      <c r="K134" s="1">
        <v>1.0004096334315966</v>
      </c>
      <c r="L134" s="1">
        <v>1.662985800113099</v>
      </c>
      <c r="M134" s="1">
        <v>0.58609713107040717</v>
      </c>
      <c r="O134" s="1">
        <v>4.1573422173807988E-3</v>
      </c>
      <c r="P134" s="1">
        <v>0.95828240568177658</v>
      </c>
      <c r="R134" s="1">
        <v>7.9075326401388438E-2</v>
      </c>
      <c r="S134" s="2">
        <f t="shared" si="24"/>
        <v>0.25295560389035121</v>
      </c>
      <c r="T134" s="4">
        <f t="shared" si="25"/>
        <v>6.3986537539532262E-2</v>
      </c>
      <c r="U134" s="1">
        <f t="shared" si="28"/>
        <v>2.6694801593186046E-2</v>
      </c>
      <c r="V134" s="6">
        <f>2*sigma/alpha*corel*(B134/12-1/alpha*(1-EXP(-alpha*Output!B134/12)))</f>
        <v>0.23015703167599821</v>
      </c>
      <c r="W134" s="5">
        <f t="shared" si="26"/>
        <v>-3.7291735946346216E-2</v>
      </c>
      <c r="X134" s="1">
        <f t="shared" si="22"/>
        <v>1.5819334330301011</v>
      </c>
      <c r="Y134" s="3">
        <f t="shared" si="27"/>
        <v>5.0126454661076125E-2</v>
      </c>
      <c r="Z134" s="1">
        <f t="shared" si="16"/>
        <v>7.901005650072053E-2</v>
      </c>
      <c r="AA134" s="8">
        <f t="shared" si="23"/>
        <v>10.16666666666667</v>
      </c>
      <c r="AB134" s="1">
        <v>10.25</v>
      </c>
      <c r="AC134">
        <v>4.1735280120000001E-3</v>
      </c>
      <c r="AD134" s="8">
        <f t="shared" si="17"/>
        <v>0.16185794619201327</v>
      </c>
      <c r="AE134" s="3">
        <f t="shared" si="18"/>
        <v>3.8782043807212689E-3</v>
      </c>
      <c r="AF134" s="11">
        <f t="shared" si="19"/>
        <v>10.16666666666667</v>
      </c>
      <c r="AG134" s="1">
        <f t="shared" si="20"/>
        <v>7.901005650072053E-2</v>
      </c>
    </row>
    <row r="135" spans="2:33" ht="15" x14ac:dyDescent="0.25">
      <c r="B135" s="1">
        <v>124</v>
      </c>
      <c r="C135" s="1">
        <v>0.95745834803384455</v>
      </c>
      <c r="D135" s="1">
        <v>1.6276306580510751</v>
      </c>
      <c r="E135" s="1">
        <v>0.54788516326977865</v>
      </c>
      <c r="G135" s="1">
        <v>0.95745834803384455</v>
      </c>
      <c r="H135" s="1">
        <v>1.6276306580510751</v>
      </c>
      <c r="I135" s="1">
        <v>0.54788516326977865</v>
      </c>
      <c r="K135" s="1">
        <v>1.000447796884653</v>
      </c>
      <c r="L135" s="1">
        <v>1.6844553181614375</v>
      </c>
      <c r="M135" s="1">
        <v>0.57852791899962508</v>
      </c>
      <c r="O135" s="1">
        <v>4.2070702859481283E-3</v>
      </c>
      <c r="P135" s="1">
        <v>0.95745834803384455</v>
      </c>
      <c r="R135" s="1">
        <v>7.9412559079191883E-2</v>
      </c>
      <c r="S135" s="2">
        <f t="shared" si="24"/>
        <v>0.25488147602327482</v>
      </c>
      <c r="T135" s="4">
        <f t="shared" si="25"/>
        <v>6.4964566819803213E-2</v>
      </c>
      <c r="U135" s="1">
        <f t="shared" si="28"/>
        <v>2.7287905850104988E-2</v>
      </c>
      <c r="V135" s="6">
        <f>2*sigma/alpha*corel*(B135/12-1/alpha*(1-EXP(-alpha*Output!B135/12)))</f>
        <v>0.23367218381824229</v>
      </c>
      <c r="W135" s="5">
        <f t="shared" si="26"/>
        <v>-3.7676660969698225E-2</v>
      </c>
      <c r="X135" s="1">
        <f t="shared" si="22"/>
        <v>1.6119046762379132</v>
      </c>
      <c r="Y135" s="3">
        <f t="shared" si="27"/>
        <v>5.0125930449672035E-2</v>
      </c>
      <c r="Z135" s="1">
        <f t="shared" si="16"/>
        <v>7.9289933555318118E-2</v>
      </c>
      <c r="AA135" s="8">
        <f t="shared" si="23"/>
        <v>10.250000000000004</v>
      </c>
      <c r="AB135" s="1">
        <v>10.33</v>
      </c>
      <c r="AC135">
        <v>4.2353039359999999E-3</v>
      </c>
      <c r="AD135" s="8">
        <f t="shared" si="17"/>
        <v>0.28233650051871612</v>
      </c>
      <c r="AE135" s="3">
        <f t="shared" si="18"/>
        <v>6.6662630305905895E-3</v>
      </c>
      <c r="AF135" s="11">
        <f t="shared" si="19"/>
        <v>10.250000000000004</v>
      </c>
      <c r="AG135" s="1">
        <f t="shared" si="20"/>
        <v>7.9289933555318118E-2</v>
      </c>
    </row>
    <row r="136" spans="2:33" ht="15" x14ac:dyDescent="0.25">
      <c r="B136" s="1">
        <v>125</v>
      </c>
      <c r="C136" s="1">
        <v>0.95661458866165316</v>
      </c>
      <c r="D136" s="1">
        <v>1.635376463661935</v>
      </c>
      <c r="E136" s="1">
        <v>0.54398085187401402</v>
      </c>
      <c r="G136" s="1">
        <v>0.95661458866165316</v>
      </c>
      <c r="H136" s="1">
        <v>1.635376463661935</v>
      </c>
      <c r="I136" s="1">
        <v>0.54398085187401402</v>
      </c>
      <c r="K136" s="1">
        <v>1.0004197984473853</v>
      </c>
      <c r="L136" s="1">
        <v>1.6976580130540408</v>
      </c>
      <c r="M136" s="1">
        <v>0.57390233025374604</v>
      </c>
      <c r="O136" s="1">
        <v>4.2580509424667897E-3</v>
      </c>
      <c r="P136" s="1">
        <v>0.95661458866165316</v>
      </c>
      <c r="R136" s="1">
        <v>7.9668446417583083E-2</v>
      </c>
      <c r="S136" s="2">
        <f t="shared" si="24"/>
        <v>0.25661969648840677</v>
      </c>
      <c r="T136" s="4">
        <f t="shared" si="25"/>
        <v>6.5853668625802012E-2</v>
      </c>
      <c r="U136" s="1">
        <f t="shared" si="28"/>
        <v>2.7888785646898118E-2</v>
      </c>
      <c r="V136" s="6">
        <f>2*sigma/alpha*corel*(B136/12-1/alpha*(1-EXP(-alpha*Output!B136/12)))</f>
        <v>0.2372103027097201</v>
      </c>
      <c r="W136" s="5">
        <f t="shared" si="26"/>
        <v>-3.7964882978903894E-2</v>
      </c>
      <c r="X136" s="1">
        <f t="shared" si="22"/>
        <v>1.6381388518326325</v>
      </c>
      <c r="Y136" s="3">
        <f t="shared" si="27"/>
        <v>5.0049008746662654E-2</v>
      </c>
      <c r="Z136" s="1">
        <f t="shared" si="16"/>
        <v>7.9510704864672113E-2</v>
      </c>
      <c r="AA136" s="8">
        <f t="shared" si="23"/>
        <v>10.333333333333337</v>
      </c>
      <c r="AB136" s="1">
        <v>10.42</v>
      </c>
      <c r="AC136">
        <v>4.2954941819999997E-3</v>
      </c>
      <c r="AD136" s="8">
        <f t="shared" si="17"/>
        <v>0.3744323953320996</v>
      </c>
      <c r="AE136" s="3">
        <f t="shared" si="18"/>
        <v>8.716864217885225E-3</v>
      </c>
      <c r="AF136" s="11">
        <f t="shared" si="19"/>
        <v>10.333333333333337</v>
      </c>
      <c r="AG136" s="1">
        <f t="shared" si="20"/>
        <v>7.9510704864672113E-2</v>
      </c>
    </row>
    <row r="137" spans="2:33" ht="15" x14ac:dyDescent="0.25">
      <c r="B137" s="1">
        <v>126</v>
      </c>
      <c r="C137" s="1">
        <v>0.9557523267944642</v>
      </c>
      <c r="D137" s="1">
        <v>1.6434663993294658</v>
      </c>
      <c r="E137" s="1">
        <v>0.53998596036503044</v>
      </c>
      <c r="G137" s="1">
        <v>0.9557523267944642</v>
      </c>
      <c r="H137" s="1">
        <v>1.6434663993294658</v>
      </c>
      <c r="I137" s="1">
        <v>0.53998596036503044</v>
      </c>
      <c r="K137" s="1">
        <v>1.0003950373277781</v>
      </c>
      <c r="L137" s="1">
        <v>1.7450552152909524</v>
      </c>
      <c r="M137" s="1">
        <v>0.55818780227091969</v>
      </c>
      <c r="O137" s="1">
        <v>4.3101401796678783E-3</v>
      </c>
      <c r="P137" s="1">
        <v>0.9557523267944642</v>
      </c>
      <c r="R137" s="1">
        <v>7.9800464585613781E-2</v>
      </c>
      <c r="S137" s="2">
        <f t="shared" si="24"/>
        <v>0.25805650997859542</v>
      </c>
      <c r="T137" s="4">
        <f t="shared" si="25"/>
        <v>6.6593162342332909E-2</v>
      </c>
      <c r="U137" s="1">
        <f t="shared" si="28"/>
        <v>2.8497465493083851E-2</v>
      </c>
      <c r="V137" s="6">
        <f>2*sigma/alpha*corel*(B137/12-1/alpha*(1-EXP(-alpha*Output!B137/12)))</f>
        <v>0.24077131192205226</v>
      </c>
      <c r="W137" s="5">
        <f t="shared" si="26"/>
        <v>-3.8095696849249058E-2</v>
      </c>
      <c r="X137" s="1">
        <f t="shared" si="22"/>
        <v>1.6579900923131266</v>
      </c>
      <c r="Y137" s="3">
        <f t="shared" si="27"/>
        <v>4.9850396621489781E-2</v>
      </c>
      <c r="Z137" s="1">
        <f t="shared" si="16"/>
        <v>7.9637967938446547E-2</v>
      </c>
      <c r="AA137" s="8">
        <f t="shared" si="23"/>
        <v>10.416666666666671</v>
      </c>
      <c r="AB137" s="1">
        <v>10.5</v>
      </c>
      <c r="AC137">
        <v>4.3541804100000001E-3</v>
      </c>
      <c r="AD137" s="8">
        <f t="shared" si="17"/>
        <v>0.44040230332121832</v>
      </c>
      <c r="AE137" s="3">
        <f t="shared" si="18"/>
        <v>1.0114470735061212E-2</v>
      </c>
      <c r="AF137" s="11">
        <f t="shared" si="19"/>
        <v>10.416666666666671</v>
      </c>
      <c r="AG137" s="1">
        <f t="shared" si="20"/>
        <v>7.9637967938446547E-2</v>
      </c>
    </row>
    <row r="138" spans="2:33" ht="15" x14ac:dyDescent="0.25">
      <c r="B138" s="1">
        <v>127</v>
      </c>
      <c r="C138" s="1">
        <v>0.95487255212684319</v>
      </c>
      <c r="D138" s="1">
        <v>1.6518277474025009</v>
      </c>
      <c r="E138" s="1">
        <v>0.53593440162924066</v>
      </c>
      <c r="G138" s="1">
        <v>0.95487255212684319</v>
      </c>
      <c r="H138" s="1">
        <v>1.6518277474025009</v>
      </c>
      <c r="I138" s="1">
        <v>0.53593440162924066</v>
      </c>
      <c r="K138" s="1">
        <v>1.0004314211700038</v>
      </c>
      <c r="L138" s="1">
        <v>1.7364347641897155</v>
      </c>
      <c r="M138" s="1">
        <v>0.56085161765192348</v>
      </c>
      <c r="O138" s="1">
        <v>4.3632189616448587E-3</v>
      </c>
      <c r="P138" s="1">
        <v>0.95487255212684319</v>
      </c>
      <c r="R138" s="1">
        <v>8.0221943432338974E-2</v>
      </c>
      <c r="S138" s="2">
        <f t="shared" si="24"/>
        <v>0.26027596878769754</v>
      </c>
      <c r="T138" s="4">
        <f t="shared" si="25"/>
        <v>6.77435799283745E-2</v>
      </c>
      <c r="U138" s="1">
        <f t="shared" si="28"/>
        <v>2.9113969481832758E-2</v>
      </c>
      <c r="V138" s="6">
        <f>2*sigma/alpha*corel*(B138/12-1/alpha*(1-EXP(-alpha*Output!B138/12)))</f>
        <v>0.24435513528119701</v>
      </c>
      <c r="W138" s="5">
        <f t="shared" si="26"/>
        <v>-3.8629610446541743E-2</v>
      </c>
      <c r="X138" s="1">
        <f t="shared" si="22"/>
        <v>1.6950296077085591</v>
      </c>
      <c r="Y138" s="3">
        <f t="shared" si="27"/>
        <v>4.9964309861587612E-2</v>
      </c>
      <c r="Z138" s="1">
        <f t="shared" si="16"/>
        <v>8.0006050909969401E-2</v>
      </c>
      <c r="AA138" s="8">
        <f t="shared" si="23"/>
        <v>10.500000000000005</v>
      </c>
      <c r="AB138" s="1">
        <v>10.58</v>
      </c>
      <c r="AC138">
        <v>4.4114442809999998E-3</v>
      </c>
      <c r="AD138" s="8">
        <f t="shared" si="17"/>
        <v>0.48225319355141122</v>
      </c>
      <c r="AE138" s="3">
        <f t="shared" si="18"/>
        <v>1.0931866364683917E-2</v>
      </c>
      <c r="AF138" s="11">
        <f t="shared" si="19"/>
        <v>10.500000000000005</v>
      </c>
      <c r="AG138" s="1">
        <f t="shared" si="20"/>
        <v>8.0006050909969401E-2</v>
      </c>
    </row>
    <row r="139" spans="2:33" ht="15" x14ac:dyDescent="0.25">
      <c r="B139" s="1">
        <v>128</v>
      </c>
      <c r="C139" s="1">
        <v>0.95397935798438482</v>
      </c>
      <c r="D139" s="1">
        <v>1.6605227325562089</v>
      </c>
      <c r="E139" s="1">
        <v>0.53180174430972127</v>
      </c>
      <c r="G139" s="1">
        <v>0.95397935798438482</v>
      </c>
      <c r="H139" s="1">
        <v>1.6605227325562089</v>
      </c>
      <c r="I139" s="1">
        <v>0.53180174430972127</v>
      </c>
      <c r="K139" s="1">
        <v>1.0004863221946541</v>
      </c>
      <c r="L139" s="1">
        <v>1.7436991385659639</v>
      </c>
      <c r="M139" s="1">
        <v>0.55841055533552841</v>
      </c>
      <c r="O139" s="1">
        <v>4.4168667282066506E-3</v>
      </c>
      <c r="P139" s="1">
        <v>0.95397935798438482</v>
      </c>
      <c r="R139" s="1">
        <v>8.0478170440523314E-2</v>
      </c>
      <c r="S139" s="2">
        <f t="shared" si="24"/>
        <v>0.26207897936799673</v>
      </c>
      <c r="T139" s="4">
        <f t="shared" si="25"/>
        <v>6.868539142657086E-2</v>
      </c>
      <c r="U139" s="1">
        <f t="shared" si="28"/>
        <v>2.9738321293583336E-2</v>
      </c>
      <c r="V139" s="6">
        <f>2*sigma/alpha*corel*(B139/12-1/alpha*(1-EXP(-alpha*Output!B139/12)))</f>
        <v>0.2479616968666023</v>
      </c>
      <c r="W139" s="5">
        <f t="shared" si="26"/>
        <v>-3.8947070132987524E-2</v>
      </c>
      <c r="X139" s="1">
        <f t="shared" si="22"/>
        <v>1.7232266621204324</v>
      </c>
      <c r="Y139" s="3">
        <f t="shared" si="27"/>
        <v>4.9910418047039114E-2</v>
      </c>
      <c r="Z139" s="1">
        <f t="shared" si="16"/>
        <v>8.0244971470124021E-2</v>
      </c>
      <c r="AA139" s="8">
        <f t="shared" si="23"/>
        <v>10.583333333333339</v>
      </c>
      <c r="AB139" s="1">
        <v>10.67</v>
      </c>
      <c r="AC139">
        <v>4.4673677480000003E-3</v>
      </c>
      <c r="AD139" s="8">
        <f t="shared" si="17"/>
        <v>0.50501019793349788</v>
      </c>
      <c r="AE139" s="3">
        <f t="shared" si="18"/>
        <v>1.1304424135657656E-2</v>
      </c>
      <c r="AF139" s="11">
        <f t="shared" si="19"/>
        <v>10.583333333333339</v>
      </c>
      <c r="AG139" s="1">
        <f t="shared" si="20"/>
        <v>8.0244971470124021E-2</v>
      </c>
    </row>
    <row r="140" spans="2:33" ht="15" x14ac:dyDescent="0.25">
      <c r="B140" s="1">
        <v>129</v>
      </c>
      <c r="C140" s="1">
        <v>0.95307298013111852</v>
      </c>
      <c r="D140" s="1">
        <v>1.6689197082728351</v>
      </c>
      <c r="E140" s="1">
        <v>0.52776018577158534</v>
      </c>
      <c r="G140" s="1">
        <v>0.95307298013111852</v>
      </c>
      <c r="H140" s="1">
        <v>1.6689197082728351</v>
      </c>
      <c r="I140" s="1">
        <v>0.52776018577158534</v>
      </c>
      <c r="K140" s="1">
        <v>1.000490094078089</v>
      </c>
      <c r="L140" s="1">
        <v>1.7165640354925813</v>
      </c>
      <c r="M140" s="1">
        <v>0.56709262097018132</v>
      </c>
      <c r="O140" s="1">
        <v>4.4710510603623056E-3</v>
      </c>
      <c r="P140" s="1">
        <v>0.95307298013111852</v>
      </c>
      <c r="R140" s="1">
        <v>8.0660415851554312E-2</v>
      </c>
      <c r="S140" s="2">
        <f t="shared" si="24"/>
        <v>0.26370430415423263</v>
      </c>
      <c r="T140" s="4">
        <f t="shared" si="25"/>
        <v>6.9539960029468037E-2</v>
      </c>
      <c r="U140" s="1">
        <f t="shared" si="28"/>
        <v>3.0370544199622707E-2</v>
      </c>
      <c r="V140" s="6">
        <f>2*sigma/alpha*corel*(B140/12-1/alpha*(1-EXP(-alpha*Output!B140/12)))</f>
        <v>0.25159092101036418</v>
      </c>
      <c r="W140" s="5">
        <f t="shared" si="26"/>
        <v>-3.916941582984533E-2</v>
      </c>
      <c r="X140" s="1">
        <f t="shared" si="22"/>
        <v>1.7475828722181925</v>
      </c>
      <c r="Y140" s="3">
        <f t="shared" si="27"/>
        <v>4.9784689786508039E-2</v>
      </c>
      <c r="Z140" s="1">
        <f t="shared" si="16"/>
        <v>8.0429058748149637E-2</v>
      </c>
      <c r="AA140" s="8">
        <f t="shared" si="23"/>
        <v>10.666666666666673</v>
      </c>
      <c r="AB140" s="1">
        <v>10.75</v>
      </c>
      <c r="AC140">
        <v>4.5220339250000002E-3</v>
      </c>
      <c r="AD140" s="8">
        <f t="shared" si="17"/>
        <v>0.50982864637694536</v>
      </c>
      <c r="AE140" s="3">
        <f t="shared" si="18"/>
        <v>1.1274321573714097E-2</v>
      </c>
      <c r="AF140" s="11">
        <f t="shared" si="19"/>
        <v>10.666666666666673</v>
      </c>
      <c r="AG140" s="1">
        <f t="shared" si="20"/>
        <v>8.0429058748149637E-2</v>
      </c>
    </row>
    <row r="141" spans="2:33" ht="15" x14ac:dyDescent="0.25">
      <c r="B141" s="1">
        <v>130</v>
      </c>
      <c r="C141" s="1">
        <v>0.95215465784220854</v>
      </c>
      <c r="D141" s="1">
        <v>1.6770644663580867</v>
      </c>
      <c r="E141" s="1">
        <v>0.52386191000052384</v>
      </c>
      <c r="G141" s="1">
        <v>0.95215465784220854</v>
      </c>
      <c r="H141" s="1">
        <v>1.6770644663580867</v>
      </c>
      <c r="I141" s="1">
        <v>0.52386191000052384</v>
      </c>
      <c r="K141" s="1">
        <v>1.0004687176100138</v>
      </c>
      <c r="L141" s="1">
        <v>1.7167616608702627</v>
      </c>
      <c r="M141" s="1">
        <v>0.56693486211129251</v>
      </c>
      <c r="O141" s="1">
        <v>4.525643230953883E-3</v>
      </c>
      <c r="P141" s="1">
        <v>0.95215465784220854</v>
      </c>
      <c r="R141" s="1">
        <v>8.0985143782116464E-2</v>
      </c>
      <c r="S141" s="2">
        <f t="shared" si="24"/>
        <v>0.26572041434077387</v>
      </c>
      <c r="T141" s="4">
        <f t="shared" si="25"/>
        <v>7.060733859743254E-2</v>
      </c>
      <c r="U141" s="1">
        <f t="shared" si="28"/>
        <v>3.1010661065643763E-2</v>
      </c>
      <c r="V141" s="6">
        <f>2*sigma/alpha*corel*(B141/12-1/alpha*(1-EXP(-alpha*Output!B141/12)))</f>
        <v>0.25524273229638461</v>
      </c>
      <c r="W141" s="5">
        <f t="shared" si="26"/>
        <v>-3.9596677531788776E-2</v>
      </c>
      <c r="X141" s="1">
        <f t="shared" si="22"/>
        <v>1.7810048787676376</v>
      </c>
      <c r="Y141" s="3">
        <f t="shared" si="27"/>
        <v>4.9813856087110087E-2</v>
      </c>
      <c r="Z141" s="1">
        <f t="shared" ref="Z141:Z204" si="29">S141/SQRT(B141/12)</f>
        <v>8.0731657272205493E-2</v>
      </c>
      <c r="AA141" s="8">
        <f t="shared" si="23"/>
        <v>10.750000000000007</v>
      </c>
      <c r="AB141" s="1">
        <v>10.83</v>
      </c>
      <c r="AC141">
        <v>4.5755262150000003E-3</v>
      </c>
      <c r="AD141" s="8">
        <f t="shared" ref="AD141:AD204" si="30">(AC141-O141)*10000</f>
        <v>0.49882984046117385</v>
      </c>
      <c r="AE141" s="3">
        <f t="shared" ref="AE141:AE204" si="31">AD141/AC141/10000</f>
        <v>1.0902130531475358E-2</v>
      </c>
      <c r="AF141" s="11">
        <f t="shared" ref="AF141:AF204" si="32">AA141</f>
        <v>10.750000000000007</v>
      </c>
      <c r="AG141" s="1">
        <f t="shared" ref="AG141:AG204" si="33">Z141</f>
        <v>8.0731657272205493E-2</v>
      </c>
    </row>
    <row r="142" spans="2:33" ht="15" x14ac:dyDescent="0.25">
      <c r="B142" s="1">
        <v>131</v>
      </c>
      <c r="C142" s="1">
        <v>0.95122783984438231</v>
      </c>
      <c r="D142" s="1">
        <v>1.6850335321672902</v>
      </c>
      <c r="E142" s="1">
        <v>0.52002080083203328</v>
      </c>
      <c r="G142" s="1">
        <v>0.95122783984438231</v>
      </c>
      <c r="H142" s="1">
        <v>1.6850335321672902</v>
      </c>
      <c r="I142" s="1">
        <v>0.52002080083203328</v>
      </c>
      <c r="K142" s="1">
        <v>1.0004700108422886</v>
      </c>
      <c r="L142" s="1">
        <v>1.7127896523157373</v>
      </c>
      <c r="M142" s="1">
        <v>0.56811980663094919</v>
      </c>
      <c r="O142" s="1">
        <v>4.5803052737209311E-3</v>
      </c>
      <c r="P142" s="1">
        <v>0.95122783984438231</v>
      </c>
      <c r="R142" s="1">
        <v>8.1262948363824153E-2</v>
      </c>
      <c r="S142" s="2">
        <f t="shared" si="24"/>
        <v>0.26762433185543566</v>
      </c>
      <c r="T142" s="4">
        <f t="shared" si="25"/>
        <v>7.1622783001068349E-2</v>
      </c>
      <c r="U142" s="1">
        <f t="shared" si="28"/>
        <v>3.1658694355273465E-2</v>
      </c>
      <c r="V142" s="6">
        <f>2*sigma/alpha*corel*(B142/12-1/alpha*(1-EXP(-alpha*Output!B142/12)))</f>
        <v>0.25891705555953393</v>
      </c>
      <c r="W142" s="5">
        <f t="shared" si="26"/>
        <v>-3.9964088645794885E-2</v>
      </c>
      <c r="X142" s="1">
        <f t="shared" ref="X142:X205" si="34">V142*V142-4*W142*B142/12</f>
        <v>1.812136579192662</v>
      </c>
      <c r="Y142" s="3">
        <f t="shared" si="27"/>
        <v>4.9797213817936385E-2</v>
      </c>
      <c r="Z142" s="1">
        <f t="shared" si="29"/>
        <v>8.0999170479817112E-2</v>
      </c>
      <c r="AA142" s="8">
        <f t="shared" ref="AA142:AA205" si="35">AA141+1/12</f>
        <v>10.833333333333341</v>
      </c>
      <c r="AB142" s="1">
        <v>10.92</v>
      </c>
      <c r="AC142">
        <v>4.6279280230000002E-3</v>
      </c>
      <c r="AD142" s="8">
        <f t="shared" si="30"/>
        <v>0.47622749279069115</v>
      </c>
      <c r="AE142" s="3">
        <f t="shared" si="31"/>
        <v>1.0290296012036553E-2</v>
      </c>
      <c r="AF142" s="11">
        <f t="shared" si="32"/>
        <v>10.833333333333341</v>
      </c>
      <c r="AG142" s="1">
        <f t="shared" si="33"/>
        <v>8.0999170479817112E-2</v>
      </c>
    </row>
    <row r="143" spans="2:33" ht="15" x14ac:dyDescent="0.25">
      <c r="B143" s="1">
        <v>132</v>
      </c>
      <c r="C143" s="1">
        <v>0.95029542666426836</v>
      </c>
      <c r="D143" s="1">
        <v>1.6919901187777064</v>
      </c>
      <c r="E143" s="1">
        <v>0.51652892561983477</v>
      </c>
      <c r="G143" s="1">
        <v>0.95029542666426836</v>
      </c>
      <c r="H143" s="1">
        <v>1.6919901187777064</v>
      </c>
      <c r="I143" s="1">
        <v>0.51652892561983477</v>
      </c>
      <c r="K143" s="1">
        <v>1.0004618536568912</v>
      </c>
      <c r="L143" s="1">
        <v>1.7534942796722992</v>
      </c>
      <c r="M143" s="1">
        <v>0.55482236843775101</v>
      </c>
      <c r="O143" s="1">
        <v>4.63476066311977E-3</v>
      </c>
      <c r="P143" s="1">
        <v>0.95029542666426836</v>
      </c>
      <c r="R143" s="1">
        <v>8.1535968674894058E-2</v>
      </c>
      <c r="S143" s="2">
        <f t="shared" si="24"/>
        <v>0.26952334874830841</v>
      </c>
      <c r="T143" s="4">
        <f t="shared" si="25"/>
        <v>7.2642835520502283E-2</v>
      </c>
      <c r="U143" s="1">
        <f t="shared" si="28"/>
        <v>3.2314666133581582E-2</v>
      </c>
      <c r="V143" s="6">
        <f>2*sigma/alpha*corel*(B143/12-1/alpha*(1-EXP(-alpha*Output!B143/12)))</f>
        <v>0.2626138158848168</v>
      </c>
      <c r="W143" s="5">
        <f t="shared" si="26"/>
        <v>-4.0328169386920701E-2</v>
      </c>
      <c r="X143" s="1">
        <f t="shared" si="34"/>
        <v>1.8434054693180952</v>
      </c>
      <c r="Y143" s="3">
        <f t="shared" si="27"/>
        <v>4.9777585141255423E-2</v>
      </c>
      <c r="Z143" s="1">
        <f t="shared" si="29"/>
        <v>8.1264347276203977E-2</v>
      </c>
      <c r="AA143" s="8">
        <f t="shared" si="35"/>
        <v>10.916666666666675</v>
      </c>
      <c r="AB143" s="1">
        <v>11</v>
      </c>
      <c r="AC143">
        <v>4.6793227540000001E-3</v>
      </c>
      <c r="AD143" s="8">
        <f t="shared" si="30"/>
        <v>0.44562090880230154</v>
      </c>
      <c r="AE143" s="3">
        <f t="shared" si="31"/>
        <v>9.5231923983310155E-3</v>
      </c>
      <c r="AF143" s="11">
        <f t="shared" si="32"/>
        <v>10.916666666666675</v>
      </c>
      <c r="AG143" s="1">
        <f t="shared" si="33"/>
        <v>8.1264347276203977E-2</v>
      </c>
    </row>
    <row r="144" spans="2:33" ht="15" x14ac:dyDescent="0.25">
      <c r="B144" s="1">
        <v>133</v>
      </c>
      <c r="C144" s="1">
        <v>0.9493580964545989</v>
      </c>
      <c r="D144" s="1">
        <v>1.6990621177110237</v>
      </c>
      <c r="E144" s="1">
        <v>0.51300466834248193</v>
      </c>
      <c r="G144" s="1">
        <v>0.9493580964545989</v>
      </c>
      <c r="H144" s="1">
        <v>1.6990621177110237</v>
      </c>
      <c r="I144" s="1">
        <v>0.51300466834248193</v>
      </c>
      <c r="K144" s="1">
        <v>1.0005238380066879</v>
      </c>
      <c r="L144" s="1">
        <v>1.7445334997460733</v>
      </c>
      <c r="M144" s="1">
        <v>0.55757236973704016</v>
      </c>
      <c r="O144" s="1">
        <v>4.6889513422608154E-3</v>
      </c>
      <c r="P144" s="1">
        <v>0.9493580964545989</v>
      </c>
      <c r="R144" s="1">
        <v>8.1861709401279181E-2</v>
      </c>
      <c r="S144" s="2">
        <f t="shared" si="24"/>
        <v>0.27156866490633469</v>
      </c>
      <c r="T144" s="4">
        <f t="shared" si="25"/>
        <v>7.3749539759009095E-2</v>
      </c>
      <c r="U144" s="1">
        <f t="shared" si="28"/>
        <v>3.2978598070552145E-2</v>
      </c>
      <c r="V144" s="6">
        <f>2*sigma/alpha*corel*(B144/12-1/alpha*(1-EXP(-alpha*Output!B144/12)))</f>
        <v>0.26633293860653739</v>
      </c>
      <c r="W144" s="5">
        <f t="shared" si="26"/>
        <v>-4.0770941688456949E-2</v>
      </c>
      <c r="X144" s="1">
        <f t="shared" si="34"/>
        <v>1.8784449823750518</v>
      </c>
      <c r="Y144" s="3">
        <f t="shared" si="27"/>
        <v>4.9814923650458864E-2</v>
      </c>
      <c r="Z144" s="1">
        <f t="shared" si="29"/>
        <v>8.1572629066635607E-2</v>
      </c>
      <c r="AA144" s="8">
        <f t="shared" si="35"/>
        <v>11.000000000000009</v>
      </c>
      <c r="AB144" s="1">
        <v>11.08</v>
      </c>
      <c r="AC144">
        <v>4.7297938119999997E-3</v>
      </c>
      <c r="AD144" s="8">
        <f t="shared" si="30"/>
        <v>0.40842469739184317</v>
      </c>
      <c r="AE144" s="3">
        <f t="shared" si="31"/>
        <v>8.6351480344793348E-3</v>
      </c>
      <c r="AF144" s="11">
        <f t="shared" si="32"/>
        <v>11.000000000000009</v>
      </c>
      <c r="AG144" s="1">
        <f t="shared" si="33"/>
        <v>8.1572629066635607E-2</v>
      </c>
    </row>
    <row r="145" spans="2:33" ht="15" x14ac:dyDescent="0.25">
      <c r="B145" s="1">
        <v>134</v>
      </c>
      <c r="C145" s="1">
        <v>0.94841563681043295</v>
      </c>
      <c r="D145" s="1">
        <v>1.7067467699817376</v>
      </c>
      <c r="E145" s="1">
        <v>0.50934650842968465</v>
      </c>
      <c r="G145" s="1">
        <v>0.94841563681043295</v>
      </c>
      <c r="H145" s="1">
        <v>1.7067467699817376</v>
      </c>
      <c r="I145" s="1">
        <v>0.50934650842968465</v>
      </c>
      <c r="K145" s="1">
        <v>1.0005352022488987</v>
      </c>
      <c r="L145" s="1">
        <v>1.7946799314217172</v>
      </c>
      <c r="M145" s="1">
        <v>0.54185786631120991</v>
      </c>
      <c r="O145" s="1">
        <v>4.7429048380130262E-3</v>
      </c>
      <c r="P145" s="1">
        <v>0.94841563681043295</v>
      </c>
      <c r="R145" s="1">
        <v>8.208098265274659E-2</v>
      </c>
      <c r="S145" s="2">
        <f t="shared" si="24"/>
        <v>0.27333961388503536</v>
      </c>
      <c r="T145" s="4">
        <f t="shared" si="25"/>
        <v>7.4714544518820217E-2</v>
      </c>
      <c r="U145" s="1">
        <f t="shared" si="28"/>
        <v>3.3650511444540676E-2</v>
      </c>
      <c r="V145" s="6">
        <f>2*sigma/alpha*corel*(B145/12-1/alpha*(1-EXP(-alpha*Output!B145/12)))</f>
        <v>0.27007434930747176</v>
      </c>
      <c r="W145" s="5">
        <f t="shared" si="26"/>
        <v>-4.1064033074279541E-2</v>
      </c>
      <c r="X145" s="1">
        <f t="shared" si="34"/>
        <v>1.907133631471674</v>
      </c>
      <c r="Y145" s="3">
        <f t="shared" si="27"/>
        <v>4.9742495897190805E-2</v>
      </c>
      <c r="Z145" s="1">
        <f t="shared" si="29"/>
        <v>8.17976450335135E-2</v>
      </c>
      <c r="AA145" s="8">
        <f t="shared" si="35"/>
        <v>11.083333333333343</v>
      </c>
      <c r="AB145" s="1">
        <v>11.17</v>
      </c>
      <c r="AC145">
        <v>4.7794247860000003E-3</v>
      </c>
      <c r="AD145" s="8">
        <f t="shared" si="30"/>
        <v>0.36519947986974122</v>
      </c>
      <c r="AE145" s="3">
        <f t="shared" si="31"/>
        <v>7.6410759918116465E-3</v>
      </c>
      <c r="AF145" s="11">
        <f t="shared" si="32"/>
        <v>11.083333333333343</v>
      </c>
      <c r="AG145" s="1">
        <f t="shared" si="33"/>
        <v>8.17976450335135E-2</v>
      </c>
    </row>
    <row r="146" spans="2:33" ht="15" x14ac:dyDescent="0.25">
      <c r="B146" s="1">
        <v>135</v>
      </c>
      <c r="C146" s="1">
        <v>0.94747246473673408</v>
      </c>
      <c r="D146" s="1">
        <v>1.7144718569444684</v>
      </c>
      <c r="E146" s="1">
        <v>0.50568900126422245</v>
      </c>
      <c r="G146" s="1">
        <v>0.94747246473673408</v>
      </c>
      <c r="H146" s="1">
        <v>1.7144718569444684</v>
      </c>
      <c r="I146" s="1">
        <v>0.50568900126422245</v>
      </c>
      <c r="K146" s="1">
        <v>1.0005181656354269</v>
      </c>
      <c r="L146" s="1">
        <v>1.8439322909562967</v>
      </c>
      <c r="M146" s="1">
        <v>0.52727808815517041</v>
      </c>
      <c r="O146" s="1">
        <v>4.796213636595794E-3</v>
      </c>
      <c r="P146" s="1">
        <v>0.94747246473673408</v>
      </c>
      <c r="R146" s="1">
        <v>8.248778487033756E-2</v>
      </c>
      <c r="S146" s="2">
        <f t="shared" si="24"/>
        <v>0.27560885706842997</v>
      </c>
      <c r="T146" s="4">
        <f t="shared" si="25"/>
        <v>7.5960242094566255E-2</v>
      </c>
      <c r="U146" s="1">
        <f t="shared" si="28"/>
        <v>3.4330427145698561E-2</v>
      </c>
      <c r="V146" s="6">
        <f>2*sigma/alpha*corel*(B146/12-1/alpha*(1-EXP(-alpha*Output!B146/12)))</f>
        <v>0.27383797381804165</v>
      </c>
      <c r="W146" s="5">
        <f t="shared" si="26"/>
        <v>-4.1629814948867694E-2</v>
      </c>
      <c r="X146" s="1">
        <f t="shared" si="34"/>
        <v>1.9483289086038169</v>
      </c>
      <c r="Y146" s="3">
        <f t="shared" si="27"/>
        <v>4.986611358267852E-2</v>
      </c>
      <c r="Z146" s="1">
        <f t="shared" si="29"/>
        <v>8.2170685280804373E-2</v>
      </c>
      <c r="AA146" s="8">
        <f t="shared" si="35"/>
        <v>11.166666666666677</v>
      </c>
      <c r="AB146" s="1">
        <v>11.25</v>
      </c>
      <c r="AC146">
        <v>4.8283000070000002E-3</v>
      </c>
      <c r="AD146" s="8">
        <f t="shared" si="30"/>
        <v>0.32086370404206188</v>
      </c>
      <c r="AE146" s="3">
        <f t="shared" si="31"/>
        <v>6.6454798495718635E-3</v>
      </c>
      <c r="AF146" s="11">
        <f t="shared" si="32"/>
        <v>11.166666666666677</v>
      </c>
      <c r="AG146" s="1">
        <f t="shared" si="33"/>
        <v>8.2170685280804373E-2</v>
      </c>
    </row>
    <row r="147" spans="2:33" ht="15" x14ac:dyDescent="0.25">
      <c r="B147" s="1">
        <v>136</v>
      </c>
      <c r="C147" s="1">
        <v>0.94652452341235493</v>
      </c>
      <c r="D147" s="1">
        <v>1.7222671925322495</v>
      </c>
      <c r="E147" s="1">
        <v>0.5020332346001305</v>
      </c>
      <c r="G147" s="1">
        <v>0.94652452341235493</v>
      </c>
      <c r="H147" s="1">
        <v>1.7222671925322495</v>
      </c>
      <c r="I147" s="1">
        <v>0.5020332346001305</v>
      </c>
      <c r="K147" s="1">
        <v>1.0005289851159629</v>
      </c>
      <c r="L147" s="1">
        <v>1.8509883674697392</v>
      </c>
      <c r="M147" s="1">
        <v>0.52516579596814583</v>
      </c>
      <c r="O147" s="1">
        <v>4.849270508277435E-3</v>
      </c>
      <c r="P147" s="1">
        <v>0.94652452341235493</v>
      </c>
      <c r="R147" s="1">
        <v>8.2707146260426231E-2</v>
      </c>
      <c r="S147" s="2">
        <f t="shared" si="24"/>
        <v>0.27738838463376514</v>
      </c>
      <c r="T147" s="4">
        <f t="shared" si="25"/>
        <v>7.6944315929729626E-2</v>
      </c>
      <c r="U147" s="1">
        <f t="shared" si="28"/>
        <v>3.501836567937211E-2</v>
      </c>
      <c r="V147" s="6">
        <f>2*sigma/alpha*corel*(B147/12-1/alpha*(1-EXP(-alpha*Output!B147/12)))</f>
        <v>0.27762373821548669</v>
      </c>
      <c r="W147" s="5">
        <f t="shared" si="26"/>
        <v>-4.1925950250357516E-2</v>
      </c>
      <c r="X147" s="1">
        <f t="shared" si="34"/>
        <v>1.9777180180369485</v>
      </c>
      <c r="Y147" s="3">
        <f t="shared" si="27"/>
        <v>4.9795142160901515E-2</v>
      </c>
      <c r="Z147" s="1">
        <f t="shared" si="29"/>
        <v>8.2396628248617362E-2</v>
      </c>
      <c r="AA147" s="8">
        <f t="shared" si="35"/>
        <v>11.250000000000011</v>
      </c>
      <c r="AB147" s="1">
        <v>11.33</v>
      </c>
      <c r="AC147">
        <v>4.8765039869999999E-3</v>
      </c>
      <c r="AD147" s="8">
        <f t="shared" si="30"/>
        <v>0.2723347872256483</v>
      </c>
      <c r="AE147" s="3">
        <f t="shared" si="31"/>
        <v>5.584631694173745E-3</v>
      </c>
      <c r="AF147" s="11">
        <f t="shared" si="32"/>
        <v>11.250000000000011</v>
      </c>
      <c r="AG147" s="1">
        <f t="shared" si="33"/>
        <v>8.2396628248617362E-2</v>
      </c>
    </row>
    <row r="148" spans="2:33" ht="15" x14ac:dyDescent="0.25">
      <c r="B148" s="1">
        <v>137</v>
      </c>
      <c r="C148" s="1">
        <v>0.94557510527276767</v>
      </c>
      <c r="D148" s="1">
        <v>1.7299541562148604</v>
      </c>
      <c r="E148" s="1">
        <v>0.49842994567113591</v>
      </c>
      <c r="G148" s="1">
        <v>0.94557510527276767</v>
      </c>
      <c r="H148" s="1">
        <v>1.7299541562148604</v>
      </c>
      <c r="I148" s="1">
        <v>0.49842994567113591</v>
      </c>
      <c r="K148" s="1">
        <v>1.0005245142441985</v>
      </c>
      <c r="L148" s="1">
        <v>1.84090508427379</v>
      </c>
      <c r="M148" s="1">
        <v>0.52791651987814703</v>
      </c>
      <c r="O148" s="1">
        <v>4.9017774821662084E-3</v>
      </c>
      <c r="P148" s="1">
        <v>0.94557510527276767</v>
      </c>
      <c r="R148" s="1">
        <v>8.2922571242494761E-2</v>
      </c>
      <c r="S148" s="2">
        <f t="shared" si="24"/>
        <v>0.27915980757859638</v>
      </c>
      <c r="T148" s="4">
        <f t="shared" si="25"/>
        <v>7.7930198167318956E-2</v>
      </c>
      <c r="U148" s="1">
        <f t="shared" si="28"/>
        <v>3.5714347169480742E-2</v>
      </c>
      <c r="V148" s="6">
        <f>2*sigma/alpha*corel*(B148/12-1/alpha*(1-EXP(-alpha*Output!B148/12)))</f>
        <v>0.28143156882304687</v>
      </c>
      <c r="W148" s="5">
        <f t="shared" si="26"/>
        <v>-4.2215850997838214E-2</v>
      </c>
      <c r="X148" s="1">
        <f t="shared" si="34"/>
        <v>2.0070609234981465</v>
      </c>
      <c r="Y148" s="3">
        <f t="shared" si="27"/>
        <v>4.9720125875973527E-2</v>
      </c>
      <c r="Z148" s="1">
        <f t="shared" si="29"/>
        <v>8.2619626961038875E-2</v>
      </c>
      <c r="AA148" s="8">
        <f t="shared" si="35"/>
        <v>11.333333333333345</v>
      </c>
      <c r="AB148" s="1">
        <v>11.42</v>
      </c>
      <c r="AC148">
        <v>4.924121242E-3</v>
      </c>
      <c r="AD148" s="8">
        <f t="shared" si="30"/>
        <v>0.2234375983379156</v>
      </c>
      <c r="AE148" s="3">
        <f t="shared" si="31"/>
        <v>4.5376136645888781E-3</v>
      </c>
      <c r="AF148" s="11">
        <f t="shared" si="32"/>
        <v>11.333333333333345</v>
      </c>
      <c r="AG148" s="1">
        <f t="shared" si="33"/>
        <v>8.2619626961038875E-2</v>
      </c>
    </row>
    <row r="149" spans="2:33" ht="15" x14ac:dyDescent="0.25">
      <c r="B149" s="1">
        <v>138</v>
      </c>
      <c r="C149" s="1">
        <v>0.94462441457067126</v>
      </c>
      <c r="D149" s="1">
        <v>1.7375892686486769</v>
      </c>
      <c r="E149" s="1">
        <v>0.49490250420667131</v>
      </c>
      <c r="G149" s="1">
        <v>0.94462441457067126</v>
      </c>
      <c r="H149" s="1">
        <v>1.7375892686486769</v>
      </c>
      <c r="I149" s="1">
        <v>0.49490250420667131</v>
      </c>
      <c r="K149" s="1">
        <v>1.0004848458026343</v>
      </c>
      <c r="L149" s="1">
        <v>1.8201059233095922</v>
      </c>
      <c r="M149" s="1">
        <v>0.53384947370019376</v>
      </c>
      <c r="O149" s="1">
        <v>4.9537282947227836E-3</v>
      </c>
      <c r="P149" s="1">
        <v>0.94462441457067126</v>
      </c>
      <c r="R149" s="1">
        <v>8.3120656149172661E-2</v>
      </c>
      <c r="S149" s="2">
        <f t="shared" si="24"/>
        <v>0.28088722475400107</v>
      </c>
      <c r="T149" s="4">
        <f t="shared" si="25"/>
        <v>7.8897633030004716E-2</v>
      </c>
      <c r="U149" s="1">
        <f t="shared" si="28"/>
        <v>3.6418391361866753E-2</v>
      </c>
      <c r="V149" s="6">
        <f>2*sigma/alpha*corel*(B149/12-1/alpha*(1-EXP(-alpha*Output!B149/12)))</f>
        <v>0.28526139220914359</v>
      </c>
      <c r="W149" s="5">
        <f t="shared" si="26"/>
        <v>-4.2479241668137963E-2</v>
      </c>
      <c r="X149" s="1">
        <f t="shared" si="34"/>
        <v>2.0354191786194451</v>
      </c>
      <c r="Y149" s="3">
        <f t="shared" si="27"/>
        <v>4.9626947131500496E-2</v>
      </c>
      <c r="Z149" s="1">
        <f t="shared" si="29"/>
        <v>8.2829123753300329E-2</v>
      </c>
      <c r="AA149" s="8">
        <f t="shared" si="35"/>
        <v>11.416666666666679</v>
      </c>
      <c r="AB149" s="1">
        <v>11.5</v>
      </c>
      <c r="AC149">
        <v>4.9712362849999997E-3</v>
      </c>
      <c r="AD149" s="8">
        <f t="shared" si="30"/>
        <v>0.17507990277216071</v>
      </c>
      <c r="AE149" s="3">
        <f t="shared" si="31"/>
        <v>3.5218584017106466E-3</v>
      </c>
      <c r="AF149" s="11">
        <f t="shared" si="32"/>
        <v>11.416666666666679</v>
      </c>
      <c r="AG149" s="1">
        <f t="shared" si="33"/>
        <v>8.2829123753300329E-2</v>
      </c>
    </row>
    <row r="150" spans="2:33" ht="15" x14ac:dyDescent="0.25">
      <c r="B150" s="1">
        <v>139</v>
      </c>
      <c r="C150" s="1">
        <v>0.94367447363090218</v>
      </c>
      <c r="D150" s="1">
        <v>1.7469995283101274</v>
      </c>
      <c r="E150" s="1">
        <v>0.49089391782435815</v>
      </c>
      <c r="G150" s="1">
        <v>0.94367447363090218</v>
      </c>
      <c r="H150" s="1">
        <v>1.7469995283101274</v>
      </c>
      <c r="I150" s="1">
        <v>0.49089391782435815</v>
      </c>
      <c r="K150" s="1">
        <v>1.0004723851122121</v>
      </c>
      <c r="L150" s="1">
        <v>1.853907182473157</v>
      </c>
      <c r="M150" s="1">
        <v>0.52402493076256562</v>
      </c>
      <c r="O150" s="1">
        <v>5.0049504657906476E-3</v>
      </c>
      <c r="P150" s="1">
        <v>0.94367447363090218</v>
      </c>
      <c r="R150" s="1">
        <v>8.3235249940672662E-2</v>
      </c>
      <c r="S150" s="2">
        <f t="shared" si="24"/>
        <v>0.28239188385584169</v>
      </c>
      <c r="T150" s="4">
        <f t="shared" si="25"/>
        <v>7.9745176067651177E-2</v>
      </c>
      <c r="U150" s="1">
        <f t="shared" si="28"/>
        <v>3.7130517627618875E-2</v>
      </c>
      <c r="V150" s="6">
        <f>2*sigma/alpha*corel*(B150/12-1/alpha*(1-EXP(-alpha*Output!B150/12)))</f>
        <v>0.28911313518656034</v>
      </c>
      <c r="W150" s="5">
        <f t="shared" si="26"/>
        <v>-4.2614658440032302E-2</v>
      </c>
      <c r="X150" s="1">
        <f t="shared" si="34"/>
        <v>2.0580655793255658</v>
      </c>
      <c r="Y150" s="3">
        <f t="shared" si="27"/>
        <v>4.9445301954150547E-2</v>
      </c>
      <c r="Z150" s="1">
        <f t="shared" si="29"/>
        <v>8.2972740293060537E-2</v>
      </c>
      <c r="AA150" s="8">
        <f t="shared" si="35"/>
        <v>11.500000000000012</v>
      </c>
      <c r="AB150" s="1">
        <v>11.58</v>
      </c>
      <c r="AC150">
        <v>5.0179336299999997E-3</v>
      </c>
      <c r="AD150" s="8">
        <f t="shared" si="30"/>
        <v>0.1298316420935211</v>
      </c>
      <c r="AE150" s="3">
        <f t="shared" si="31"/>
        <v>2.5873527166105845E-3</v>
      </c>
      <c r="AF150" s="11">
        <f t="shared" si="32"/>
        <v>11.500000000000012</v>
      </c>
      <c r="AG150" s="1">
        <f t="shared" si="33"/>
        <v>8.2972740293060537E-2</v>
      </c>
    </row>
    <row r="151" spans="2:33" ht="15" x14ac:dyDescent="0.25">
      <c r="B151" s="1">
        <v>140</v>
      </c>
      <c r="C151" s="1">
        <v>0.94272571254855542</v>
      </c>
      <c r="D151" s="1">
        <v>1.7581490207109955</v>
      </c>
      <c r="E151" s="1">
        <v>0.48642864091837723</v>
      </c>
      <c r="G151" s="1">
        <v>0.94272571254855542</v>
      </c>
      <c r="H151" s="1">
        <v>1.7581490207109955</v>
      </c>
      <c r="I151" s="1">
        <v>0.48642864091837723</v>
      </c>
      <c r="K151" s="1">
        <v>1.0005003716812175</v>
      </c>
      <c r="L151" s="1">
        <v>1.8744016957341316</v>
      </c>
      <c r="M151" s="1">
        <v>0.51817557010566739</v>
      </c>
      <c r="O151" s="1">
        <v>5.0554204732511637E-3</v>
      </c>
      <c r="P151" s="1">
        <v>0.94272571254855542</v>
      </c>
      <c r="R151" s="1">
        <v>8.3522159014894487E-2</v>
      </c>
      <c r="S151" s="2">
        <f t="shared" ref="S151:S214" si="36">optim_vol_implied(P151,R151)</f>
        <v>0.28435416003916747</v>
      </c>
      <c r="T151" s="4">
        <f t="shared" ref="T151:T214" si="37">S151*S151</f>
        <v>8.0857288331580471E-2</v>
      </c>
      <c r="U151" s="1">
        <f t="shared" si="28"/>
        <v>3.7850744966374528E-2</v>
      </c>
      <c r="V151" s="6">
        <f>2*sigma/alpha*corel*(B151/12-1/alpha*(1-EXP(-alpha*Output!B151/12)))</f>
        <v>0.29298672481163357</v>
      </c>
      <c r="W151" s="5">
        <f t="shared" ref="W151:W214" si="38">U151-T151</f>
        <v>-4.3006543365205943E-2</v>
      </c>
      <c r="X151" s="1">
        <f t="shared" si="34"/>
        <v>2.092813244625459</v>
      </c>
      <c r="Y151" s="3">
        <f t="shared" ref="Y151:Y214" si="39">(-V151+SQRT(X151))/2/B151*12</f>
        <v>4.9442963934311489E-2</v>
      </c>
      <c r="Z151" s="1">
        <f t="shared" si="29"/>
        <v>8.3250373657632729E-2</v>
      </c>
      <c r="AA151" s="8">
        <f t="shared" si="35"/>
        <v>11.583333333333346</v>
      </c>
      <c r="AB151" s="1">
        <v>11.67</v>
      </c>
      <c r="AC151">
        <v>5.064298008E-3</v>
      </c>
      <c r="AD151" s="8">
        <f t="shared" si="30"/>
        <v>8.8775347488363743E-2</v>
      </c>
      <c r="AE151" s="3">
        <f t="shared" si="31"/>
        <v>1.7529645243650072E-3</v>
      </c>
      <c r="AF151" s="11">
        <f t="shared" si="32"/>
        <v>11.583333333333346</v>
      </c>
      <c r="AG151" s="1">
        <f t="shared" si="33"/>
        <v>8.3250373657632729E-2</v>
      </c>
    </row>
    <row r="152" spans="2:33" ht="15" x14ac:dyDescent="0.25">
      <c r="B152" s="1">
        <v>141</v>
      </c>
      <c r="C152" s="1">
        <v>0.94177733211607106</v>
      </c>
      <c r="D152" s="1">
        <v>1.7688783542355793</v>
      </c>
      <c r="E152" s="1">
        <v>0.48213683043247674</v>
      </c>
      <c r="G152" s="1">
        <v>0.94177733211607106</v>
      </c>
      <c r="H152" s="1">
        <v>1.7688783542355793</v>
      </c>
      <c r="I152" s="1">
        <v>0.48213683043247674</v>
      </c>
      <c r="K152" s="1">
        <v>1.0005095948702449</v>
      </c>
      <c r="L152" s="1">
        <v>1.8851759142825959</v>
      </c>
      <c r="M152" s="1">
        <v>0.51508750856049756</v>
      </c>
      <c r="O152" s="1">
        <v>5.1052263951924613E-3</v>
      </c>
      <c r="P152" s="1">
        <v>0.94177733211607106</v>
      </c>
      <c r="R152" s="1">
        <v>8.3846432796061521E-2</v>
      </c>
      <c r="S152" s="2">
        <f t="shared" si="36"/>
        <v>0.2864166097566897</v>
      </c>
      <c r="T152" s="4">
        <f t="shared" si="37"/>
        <v>8.203447434451587E-2</v>
      </c>
      <c r="U152" s="1">
        <f t="shared" si="28"/>
        <v>3.8579092009595417E-2</v>
      </c>
      <c r="V152" s="6">
        <f>2*sigma/alpha*corel*(B152/12-1/alpha*(1-EXP(-alpha*Output!B152/12)))</f>
        <v>0.29688208838343999</v>
      </c>
      <c r="W152" s="5">
        <f t="shared" si="38"/>
        <v>-4.3455382334920453E-2</v>
      </c>
      <c r="X152" s="1">
        <f t="shared" si="34"/>
        <v>2.130541944144174</v>
      </c>
      <c r="Y152" s="3">
        <f t="shared" si="39"/>
        <v>4.9478958244475887E-2</v>
      </c>
      <c r="Z152" s="1">
        <f t="shared" si="29"/>
        <v>8.355631269403066E-2</v>
      </c>
      <c r="AA152" s="8">
        <f t="shared" si="35"/>
        <v>11.66666666666668</v>
      </c>
      <c r="AB152" s="1">
        <v>11.75</v>
      </c>
      <c r="AC152">
        <v>5.1104150069999996E-3</v>
      </c>
      <c r="AD152" s="8">
        <f t="shared" si="30"/>
        <v>5.1886118075383791E-2</v>
      </c>
      <c r="AE152" s="3">
        <f t="shared" si="31"/>
        <v>1.0153014579894722E-3</v>
      </c>
      <c r="AF152" s="11">
        <f t="shared" si="32"/>
        <v>11.66666666666668</v>
      </c>
      <c r="AG152" s="1">
        <f t="shared" si="33"/>
        <v>8.355631269403066E-2</v>
      </c>
    </row>
    <row r="153" spans="2:33" ht="15" x14ac:dyDescent="0.25">
      <c r="B153" s="1">
        <v>142</v>
      </c>
      <c r="C153" s="1">
        <v>0.94083075238095626</v>
      </c>
      <c r="D153" s="1">
        <v>1.779612756264237</v>
      </c>
      <c r="E153" s="1">
        <v>0.47789725209080053</v>
      </c>
      <c r="G153" s="1">
        <v>0.94083075238095626</v>
      </c>
      <c r="H153" s="1">
        <v>1.779612756264237</v>
      </c>
      <c r="I153" s="1">
        <v>0.47789725209080053</v>
      </c>
      <c r="K153" s="1">
        <v>1.0005194786319722</v>
      </c>
      <c r="L153" s="1">
        <v>1.902960466245692</v>
      </c>
      <c r="M153" s="1">
        <v>0.51018116921981149</v>
      </c>
      <c r="O153" s="1">
        <v>5.1542547796259728E-3</v>
      </c>
      <c r="P153" s="1">
        <v>0.94083075238095626</v>
      </c>
      <c r="R153" s="1">
        <v>8.3892081508735339E-2</v>
      </c>
      <c r="S153" s="2">
        <f t="shared" si="36"/>
        <v>0.28773397859837602</v>
      </c>
      <c r="T153" s="4">
        <f t="shared" si="37"/>
        <v>8.2790842440050708E-2</v>
      </c>
      <c r="U153" s="1">
        <f t="shared" si="28"/>
        <v>3.9315577023818271E-2</v>
      </c>
      <c r="V153" s="6">
        <f>2*sigma/alpha*corel*(B153/12-1/alpha*(1-EXP(-alpha*Output!B153/12)))</f>
        <v>0.30079915344298902</v>
      </c>
      <c r="W153" s="5">
        <f t="shared" si="38"/>
        <v>-4.3475265416232436E-2</v>
      </c>
      <c r="X153" s="1">
        <f t="shared" si="34"/>
        <v>2.1483093604136876</v>
      </c>
      <c r="Y153" s="3">
        <f t="shared" si="39"/>
        <v>4.9221636326513808E-2</v>
      </c>
      <c r="Z153" s="1">
        <f t="shared" si="29"/>
        <v>8.3644540887531774E-2</v>
      </c>
      <c r="AA153" s="8">
        <f t="shared" si="35"/>
        <v>11.750000000000014</v>
      </c>
      <c r="AB153" s="1">
        <v>11.83</v>
      </c>
      <c r="AC153">
        <v>5.1563704320000004E-3</v>
      </c>
      <c r="AD153" s="8">
        <f t="shared" si="30"/>
        <v>2.1156523740276448E-2</v>
      </c>
      <c r="AE153" s="3">
        <f t="shared" si="31"/>
        <v>4.102987560587355E-4</v>
      </c>
      <c r="AF153" s="11">
        <f t="shared" si="32"/>
        <v>11.750000000000014</v>
      </c>
      <c r="AG153" s="1">
        <f t="shared" si="33"/>
        <v>8.3644540887531774E-2</v>
      </c>
    </row>
    <row r="154" spans="2:33" ht="15" x14ac:dyDescent="0.25">
      <c r="B154" s="1">
        <v>143</v>
      </c>
      <c r="C154" s="1">
        <v>0.93988541263137071</v>
      </c>
      <c r="D154" s="1">
        <v>1.7904461791878536</v>
      </c>
      <c r="E154" s="1">
        <v>0.47370914258645186</v>
      </c>
      <c r="G154" s="1">
        <v>0.93988541263137071</v>
      </c>
      <c r="H154" s="1">
        <v>1.7904461791878536</v>
      </c>
      <c r="I154" s="1">
        <v>0.47370914258645186</v>
      </c>
      <c r="K154" s="1">
        <v>1.0004425511031489</v>
      </c>
      <c r="L154" s="1">
        <v>1.8876909102156911</v>
      </c>
      <c r="M154" s="1">
        <v>0.51420895971326064</v>
      </c>
      <c r="O154" s="1">
        <v>5.2025716871045404E-3</v>
      </c>
      <c r="P154" s="1">
        <v>0.93988541263137071</v>
      </c>
      <c r="R154" s="1">
        <v>8.4134936165768864E-2</v>
      </c>
      <c r="S154" s="2">
        <f t="shared" si="36"/>
        <v>0.2895766112087288</v>
      </c>
      <c r="T154" s="4">
        <f t="shared" si="37"/>
        <v>8.385461375913128E-2</v>
      </c>
      <c r="U154" s="1">
        <f t="shared" si="28"/>
        <v>4.0060217913882479E-2</v>
      </c>
      <c r="V154" s="6">
        <f>2*sigma/alpha*corel*(B154/12-1/alpha*(1-EXP(-alpha*Output!B154/12)))</f>
        <v>0.30473784777241786</v>
      </c>
      <c r="W154" s="5">
        <f t="shared" si="38"/>
        <v>-4.3794395845248801E-2</v>
      </c>
      <c r="X154" s="1">
        <f t="shared" si="34"/>
        <v>2.1803980244884911</v>
      </c>
      <c r="Y154" s="3">
        <f t="shared" si="39"/>
        <v>4.9169758330018042E-2</v>
      </c>
      <c r="Z154" s="1">
        <f t="shared" si="29"/>
        <v>8.3885343207035085E-2</v>
      </c>
      <c r="AA154" s="8">
        <f t="shared" si="35"/>
        <v>11.833333333333348</v>
      </c>
      <c r="AB154" s="1">
        <v>11.92</v>
      </c>
      <c r="AC154">
        <v>5.2022500879999999E-3</v>
      </c>
      <c r="AD154" s="8">
        <f t="shared" si="30"/>
        <v>-3.2159910454045842E-3</v>
      </c>
      <c r="AE154" s="3">
        <f t="shared" si="31"/>
        <v>-6.1819231890117933E-5</v>
      </c>
      <c r="AF154" s="11">
        <f t="shared" si="32"/>
        <v>11.833333333333348</v>
      </c>
      <c r="AG154" s="1">
        <f t="shared" si="33"/>
        <v>8.3885343207035085E-2</v>
      </c>
    </row>
    <row r="155" spans="2:33" ht="15" x14ac:dyDescent="0.25">
      <c r="B155" s="1">
        <v>144</v>
      </c>
      <c r="C155" s="1">
        <v>0.93894410871426393</v>
      </c>
      <c r="D155" s="1">
        <v>1.8010878570656674</v>
      </c>
      <c r="E155" s="1">
        <v>0.46959380136182199</v>
      </c>
      <c r="G155" s="1">
        <v>0.93894410871426393</v>
      </c>
      <c r="H155" s="1">
        <v>1.8010878570656674</v>
      </c>
      <c r="I155" s="1">
        <v>0.46959380136182199</v>
      </c>
      <c r="K155" s="1">
        <v>1.000535694545398</v>
      </c>
      <c r="L155" s="1">
        <v>1.8962984530984863</v>
      </c>
      <c r="M155" s="1">
        <v>0.51176975021853821</v>
      </c>
      <c r="O155" s="1">
        <v>5.2499436401184122E-3</v>
      </c>
      <c r="P155" s="1">
        <v>0.93894410871426393</v>
      </c>
      <c r="R155" s="1">
        <v>8.4547286322719975E-2</v>
      </c>
      <c r="S155" s="2">
        <f t="shared" si="36"/>
        <v>0.29186856189443777</v>
      </c>
      <c r="T155" s="4">
        <f t="shared" si="37"/>
        <v>8.5187257422327259E-2</v>
      </c>
      <c r="U155" s="1">
        <f t="shared" si="28"/>
        <v>4.0813032226134194E-2</v>
      </c>
      <c r="V155" s="6">
        <f>2*sigma/alpha*corel*(B155/12-1/alpha*(1-EXP(-alpha*Output!B155/12)))</f>
        <v>0.30869809939419013</v>
      </c>
      <c r="W155" s="5">
        <f t="shared" si="38"/>
        <v>-4.4374225196193065E-2</v>
      </c>
      <c r="X155" s="1">
        <f t="shared" si="34"/>
        <v>2.2252573259868522</v>
      </c>
      <c r="Y155" s="3">
        <f t="shared" si="39"/>
        <v>4.929298095818465E-2</v>
      </c>
      <c r="Z155" s="1">
        <f t="shared" si="29"/>
        <v>8.4255196388871301E-2</v>
      </c>
      <c r="AA155" s="8">
        <f t="shared" si="35"/>
        <v>11.916666666666682</v>
      </c>
      <c r="AB155" s="1">
        <v>12</v>
      </c>
      <c r="AC155">
        <v>5.2481397789999997E-3</v>
      </c>
      <c r="AD155" s="8">
        <f t="shared" si="30"/>
        <v>-1.8038611184125614E-2</v>
      </c>
      <c r="AE155" s="3">
        <f t="shared" si="31"/>
        <v>-3.4371438154726054E-4</v>
      </c>
      <c r="AF155" s="11">
        <f t="shared" si="32"/>
        <v>11.916666666666682</v>
      </c>
      <c r="AG155" s="1">
        <f t="shared" si="33"/>
        <v>8.4255196388871301E-2</v>
      </c>
    </row>
    <row r="156" spans="2:33" ht="15" x14ac:dyDescent="0.25">
      <c r="B156" s="1">
        <v>145</v>
      </c>
      <c r="C156" s="1">
        <v>0.93800560899750685</v>
      </c>
      <c r="D156" s="1">
        <v>1.8117583114412537</v>
      </c>
      <c r="E156" s="1">
        <v>0.46552767562031566</v>
      </c>
      <c r="G156" s="1">
        <v>0.93800560899750685</v>
      </c>
      <c r="H156" s="1">
        <v>1.8117583114412537</v>
      </c>
      <c r="I156" s="1">
        <v>0.46552767562031566</v>
      </c>
      <c r="K156" s="1">
        <v>1.0004936471188131</v>
      </c>
      <c r="L156" s="1">
        <v>1.8905227056722713</v>
      </c>
      <c r="M156" s="1">
        <v>0.51322337692897468</v>
      </c>
      <c r="O156" s="1">
        <v>5.2964979519155124E-3</v>
      </c>
      <c r="P156" s="1">
        <v>0.93800560899750685</v>
      </c>
      <c r="R156" s="1">
        <v>8.4886684739121337E-2</v>
      </c>
      <c r="S156" s="2">
        <f t="shared" si="36"/>
        <v>0.29396333146873044</v>
      </c>
      <c r="T156" s="4">
        <f t="shared" si="37"/>
        <v>8.6414440248194682E-2</v>
      </c>
      <c r="U156" s="1">
        <f t="shared" si="28"/>
        <v>4.1574037151602905E-2</v>
      </c>
      <c r="V156" s="6">
        <f>2*sigma/alpha*corel*(B156/12-1/alpha*(1-EXP(-alpha*Output!B156/12)))</f>
        <v>0.3126798365702943</v>
      </c>
      <c r="W156" s="5">
        <f t="shared" si="38"/>
        <v>-4.4840403096591777E-2</v>
      </c>
      <c r="X156" s="1">
        <f t="shared" si="34"/>
        <v>2.2650548298662287</v>
      </c>
      <c r="Y156" s="3">
        <f t="shared" si="39"/>
        <v>4.9337796151102266E-2</v>
      </c>
      <c r="Z156" s="1">
        <f t="shared" si="29"/>
        <v>8.4566777652983885E-2</v>
      </c>
      <c r="AA156" s="8">
        <f t="shared" si="35"/>
        <v>12.000000000000016</v>
      </c>
      <c r="AB156" s="1">
        <v>12.08</v>
      </c>
      <c r="AC156">
        <v>5.2941253099999998E-3</v>
      </c>
      <c r="AD156" s="8">
        <f t="shared" si="30"/>
        <v>-2.3726419155125494E-2</v>
      </c>
      <c r="AE156" s="3">
        <f t="shared" si="31"/>
        <v>-4.4816504645836373E-4</v>
      </c>
      <c r="AF156" s="11">
        <f t="shared" si="32"/>
        <v>12.000000000000016</v>
      </c>
      <c r="AG156" s="1">
        <f t="shared" si="33"/>
        <v>8.4566777652983885E-2</v>
      </c>
    </row>
    <row r="157" spans="2:33" ht="15" x14ac:dyDescent="0.25">
      <c r="B157" s="1">
        <v>146</v>
      </c>
      <c r="C157" s="1">
        <v>0.93707116328274753</v>
      </c>
      <c r="D157" s="1">
        <v>1.822456306610049</v>
      </c>
      <c r="E157" s="1">
        <v>0.46151006091932806</v>
      </c>
      <c r="G157" s="1">
        <v>0.93707116328274753</v>
      </c>
      <c r="H157" s="1">
        <v>1.822456306610049</v>
      </c>
      <c r="I157" s="1">
        <v>0.46151006091932806</v>
      </c>
      <c r="K157" s="1">
        <v>1.0005841982975514</v>
      </c>
      <c r="L157" s="1">
        <v>1.8314559341632777</v>
      </c>
      <c r="M157" s="1">
        <v>0.52966991551504339</v>
      </c>
      <c r="O157" s="1">
        <v>5.3421412290754139E-3</v>
      </c>
      <c r="P157" s="1">
        <v>0.93707116328274753</v>
      </c>
      <c r="R157" s="1">
        <v>8.5410534800456225E-2</v>
      </c>
      <c r="S157" s="2">
        <f t="shared" si="36"/>
        <v>0.29654903982620728</v>
      </c>
      <c r="T157" s="4">
        <f t="shared" si="37"/>
        <v>8.794133302184548E-2</v>
      </c>
      <c r="U157" s="1">
        <f t="shared" si="28"/>
        <v>4.2343249529158467E-2</v>
      </c>
      <c r="V157" s="6">
        <f>2*sigma/alpha*corel*(B157/12-1/alpha*(1-EXP(-alpha*Output!B157/12)))</f>
        <v>0.31668298780144677</v>
      </c>
      <c r="W157" s="5">
        <f t="shared" si="38"/>
        <v>-4.5598083492687014E-2</v>
      </c>
      <c r="X157" s="1">
        <f t="shared" si="34"/>
        <v>2.3193948447402857</v>
      </c>
      <c r="Y157" s="3">
        <f t="shared" si="39"/>
        <v>4.9572861717912933E-2</v>
      </c>
      <c r="Z157" s="1">
        <f t="shared" si="29"/>
        <v>8.5017967329963876E-2</v>
      </c>
      <c r="AA157" s="8">
        <f t="shared" si="35"/>
        <v>12.08333333333335</v>
      </c>
      <c r="AB157" s="1">
        <v>12.17</v>
      </c>
      <c r="AC157">
        <v>5.3402747960000002E-3</v>
      </c>
      <c r="AD157" s="8">
        <f t="shared" si="30"/>
        <v>-1.8664330754137454E-2</v>
      </c>
      <c r="AE157" s="3">
        <f t="shared" si="31"/>
        <v>-3.4950131720033409E-4</v>
      </c>
      <c r="AF157" s="11">
        <f t="shared" si="32"/>
        <v>12.08333333333335</v>
      </c>
      <c r="AG157" s="1">
        <f t="shared" si="33"/>
        <v>8.5017967329963876E-2</v>
      </c>
    </row>
    <row r="158" spans="2:33" ht="15" x14ac:dyDescent="0.25">
      <c r="B158" s="1">
        <v>147</v>
      </c>
      <c r="C158" s="1">
        <v>0.93613894263900599</v>
      </c>
      <c r="D158" s="1">
        <v>1.8333822235259605</v>
      </c>
      <c r="E158" s="1">
        <v>0.45747746923464017</v>
      </c>
      <c r="G158" s="1">
        <v>0.93613894263900599</v>
      </c>
      <c r="H158" s="1">
        <v>1.8333822235259605</v>
      </c>
      <c r="I158" s="1">
        <v>0.45747746923464017</v>
      </c>
      <c r="K158" s="1">
        <v>1.0006270125703427</v>
      </c>
      <c r="L158" s="1">
        <v>1.8481947817445099</v>
      </c>
      <c r="M158" s="1">
        <v>0.52474740864782354</v>
      </c>
      <c r="O158" s="1">
        <v>5.3870506555693453E-3</v>
      </c>
      <c r="P158" s="1">
        <v>0.93613894263900599</v>
      </c>
      <c r="R158" s="1">
        <v>8.5881425805069009E-2</v>
      </c>
      <c r="S158" s="2">
        <f t="shared" si="36"/>
        <v>0.29899221875520543</v>
      </c>
      <c r="T158" s="4">
        <f t="shared" si="37"/>
        <v>8.9396346876160618E-2</v>
      </c>
      <c r="U158" s="1">
        <f t="shared" si="28"/>
        <v>4.3120685848644591E-2</v>
      </c>
      <c r="V158" s="6">
        <f>2*sigma/alpha*corel*(B158/12-1/alpha*(1-EXP(-alpha*Output!B158/12)))</f>
        <v>0.32070748182630027</v>
      </c>
      <c r="W158" s="5">
        <f t="shared" si="38"/>
        <v>-4.6275661027516027E-2</v>
      </c>
      <c r="X158" s="1">
        <f t="shared" si="34"/>
        <v>2.3703606792476521</v>
      </c>
      <c r="Y158" s="3">
        <f t="shared" si="39"/>
        <v>4.9750615866328993E-2</v>
      </c>
      <c r="Z158" s="1">
        <f t="shared" si="29"/>
        <v>8.5426348215772982E-2</v>
      </c>
      <c r="AA158" s="8">
        <f t="shared" si="35"/>
        <v>12.166666666666684</v>
      </c>
      <c r="AB158" s="1">
        <v>12.25</v>
      </c>
      <c r="AC158">
        <v>5.3865856020000004E-3</v>
      </c>
      <c r="AD158" s="8">
        <f t="shared" si="30"/>
        <v>-4.6505356934498088E-3</v>
      </c>
      <c r="AE158" s="3">
        <f t="shared" si="31"/>
        <v>-8.6335501504387096E-5</v>
      </c>
      <c r="AF158" s="11">
        <f t="shared" si="32"/>
        <v>12.166666666666684</v>
      </c>
      <c r="AG158" s="1">
        <f t="shared" si="33"/>
        <v>8.5426348215772982E-2</v>
      </c>
    </row>
    <row r="159" spans="2:33" ht="15" x14ac:dyDescent="0.25">
      <c r="B159" s="1">
        <v>148</v>
      </c>
      <c r="C159" s="1">
        <v>0.93520653123186026</v>
      </c>
      <c r="D159" s="1">
        <v>1.8443378827001107</v>
      </c>
      <c r="E159" s="1">
        <v>0.45349417259988212</v>
      </c>
      <c r="G159" s="1">
        <v>0.93520653123186026</v>
      </c>
      <c r="H159" s="1">
        <v>1.8443378827001107</v>
      </c>
      <c r="I159" s="1">
        <v>0.45349417259988212</v>
      </c>
      <c r="K159" s="1">
        <v>1.0005971436531702</v>
      </c>
      <c r="L159" s="1">
        <v>1.8182840594524701</v>
      </c>
      <c r="M159" s="1">
        <v>0.53327561469120921</v>
      </c>
      <c r="O159" s="1">
        <v>5.4314501406328292E-3</v>
      </c>
      <c r="P159" s="1">
        <v>0.93520653123186026</v>
      </c>
      <c r="R159" s="1">
        <v>8.6155932351523384E-2</v>
      </c>
      <c r="S159" s="2">
        <f t="shared" si="36"/>
        <v>0.30091009511194156</v>
      </c>
      <c r="T159" s="4">
        <f t="shared" si="37"/>
        <v>9.0546885340277716E-2</v>
      </c>
      <c r="U159" s="1">
        <f t="shared" si="28"/>
        <v>4.3906362253982145E-2</v>
      </c>
      <c r="V159" s="6">
        <f>2*sigma/alpha*corel*(B159/12-1/alpha*(1-EXP(-alpha*Output!B159/12)))</f>
        <v>0.32475324762064761</v>
      </c>
      <c r="W159" s="5">
        <f t="shared" si="38"/>
        <v>-4.6640523086295571E-2</v>
      </c>
      <c r="X159" s="1">
        <f t="shared" si="34"/>
        <v>2.4063971440974061</v>
      </c>
      <c r="Y159" s="3">
        <f t="shared" si="39"/>
        <v>4.9723110252982629E-2</v>
      </c>
      <c r="Z159" s="1">
        <f t="shared" si="29"/>
        <v>8.5683366833443284E-2</v>
      </c>
      <c r="AA159" s="8">
        <f t="shared" si="35"/>
        <v>12.250000000000018</v>
      </c>
      <c r="AB159" s="1">
        <v>12.33</v>
      </c>
      <c r="AC159">
        <v>5.4330374000000001E-3</v>
      </c>
      <c r="AD159" s="8">
        <f t="shared" si="30"/>
        <v>1.5872593671709123E-2</v>
      </c>
      <c r="AE159" s="3">
        <f t="shared" si="31"/>
        <v>2.9214953815169986E-4</v>
      </c>
      <c r="AF159" s="11">
        <f t="shared" si="32"/>
        <v>12.250000000000018</v>
      </c>
      <c r="AG159" s="1">
        <f t="shared" si="33"/>
        <v>8.5683366833443284E-2</v>
      </c>
    </row>
    <row r="160" spans="2:33" ht="15" x14ac:dyDescent="0.25">
      <c r="B160" s="1">
        <v>149</v>
      </c>
      <c r="C160" s="1">
        <v>0.93427535312841758</v>
      </c>
      <c r="D160" s="1">
        <v>1.8544962261001798</v>
      </c>
      <c r="E160" s="1">
        <v>0.44974139869574992</v>
      </c>
      <c r="G160" s="1">
        <v>0.93427535312841758</v>
      </c>
      <c r="H160" s="1">
        <v>1.8544962261001798</v>
      </c>
      <c r="I160" s="1">
        <v>0.44974139869574992</v>
      </c>
      <c r="K160" s="1">
        <v>1.0005797751333005</v>
      </c>
      <c r="L160" s="1">
        <v>1.8119869303821186</v>
      </c>
      <c r="M160" s="1">
        <v>0.53499861851382968</v>
      </c>
      <c r="O160" s="1">
        <v>5.4752274017244324E-3</v>
      </c>
      <c r="P160" s="1">
        <v>0.93427535312841758</v>
      </c>
      <c r="R160" s="1">
        <v>8.6526581506842767E-2</v>
      </c>
      <c r="S160" s="2">
        <f t="shared" si="36"/>
        <v>0.30308615343123924</v>
      </c>
      <c r="T160" s="4">
        <f t="shared" si="37"/>
        <v>9.1861216401744689E-2</v>
      </c>
      <c r="U160" s="1">
        <f t="shared" si="28"/>
        <v>4.4700294546259123E-2</v>
      </c>
      <c r="V160" s="6">
        <f>2*sigma/alpha*corel*(B160/12-1/alpha*(1-EXP(-alpha*Output!B160/12)))</f>
        <v>0.32882021439663611</v>
      </c>
      <c r="W160" s="5">
        <f t="shared" si="38"/>
        <v>-4.7160921855485566E-2</v>
      </c>
      <c r="X160" s="1">
        <f t="shared" si="34"/>
        <v>2.4504485188849663</v>
      </c>
      <c r="Y160" s="3">
        <f t="shared" si="39"/>
        <v>4.9794790767738524E-2</v>
      </c>
      <c r="Z160" s="1">
        <f t="shared" si="29"/>
        <v>8.6012898861800441E-2</v>
      </c>
      <c r="AA160" s="8">
        <f t="shared" si="35"/>
        <v>12.333333333333352</v>
      </c>
      <c r="AB160" s="1">
        <v>12.42</v>
      </c>
      <c r="AC160">
        <v>5.4796098670000003E-3</v>
      </c>
      <c r="AD160" s="8">
        <f t="shared" si="30"/>
        <v>4.3824652755678969E-2</v>
      </c>
      <c r="AE160" s="3">
        <f t="shared" si="31"/>
        <v>7.9977687863519876E-4</v>
      </c>
      <c r="AF160" s="11">
        <f t="shared" si="32"/>
        <v>12.333333333333352</v>
      </c>
      <c r="AG160" s="1">
        <f t="shared" si="33"/>
        <v>8.6012898861800441E-2</v>
      </c>
    </row>
    <row r="161" spans="2:33" ht="15" x14ac:dyDescent="0.25">
      <c r="B161" s="1">
        <v>150</v>
      </c>
      <c r="C161" s="1">
        <v>0.93334438743691883</v>
      </c>
      <c r="D161" s="1">
        <v>1.86452370741894</v>
      </c>
      <c r="E161" s="1">
        <v>0.44605022525536381</v>
      </c>
      <c r="G161" s="1">
        <v>0.93334438743691883</v>
      </c>
      <c r="H161" s="1">
        <v>1.86452370741894</v>
      </c>
      <c r="I161" s="1">
        <v>0.44605022525536381</v>
      </c>
      <c r="K161" s="1">
        <v>1.0006171874151071</v>
      </c>
      <c r="L161" s="1">
        <v>1.883570977072232</v>
      </c>
      <c r="M161" s="1">
        <v>0.51457583705191556</v>
      </c>
      <c r="O161" s="1">
        <v>5.5184822299739408E-3</v>
      </c>
      <c r="P161" s="1">
        <v>0.93334438743691883</v>
      </c>
      <c r="R161" s="1">
        <v>8.7048242942780477E-2</v>
      </c>
      <c r="S161" s="2">
        <f t="shared" si="36"/>
        <v>0.30567026817796827</v>
      </c>
      <c r="T161" s="4">
        <f t="shared" si="37"/>
        <v>9.3434312847991044E-2</v>
      </c>
      <c r="U161" s="1">
        <f t="shared" si="28"/>
        <v>4.5502498186790419E-2</v>
      </c>
      <c r="V161" s="6">
        <f>2*sigma/alpha*corel*(B161/12-1/alpha*(1-EXP(-alpha*Output!B161/12)))</f>
        <v>0.33290831160197953</v>
      </c>
      <c r="W161" s="5">
        <f t="shared" si="38"/>
        <v>-4.7931814661200625E-2</v>
      </c>
      <c r="X161" s="1">
        <f t="shared" si="34"/>
        <v>2.5074186769937117</v>
      </c>
      <c r="Y161" s="3">
        <f t="shared" si="39"/>
        <v>5.0022990891873551E-2</v>
      </c>
      <c r="Z161" s="1">
        <f t="shared" si="29"/>
        <v>8.6456607774300767E-2</v>
      </c>
      <c r="AA161" s="8">
        <f t="shared" si="35"/>
        <v>12.416666666666686</v>
      </c>
      <c r="AB161" s="1">
        <v>12.5</v>
      </c>
      <c r="AC161">
        <v>5.5262826769999999E-3</v>
      </c>
      <c r="AD161" s="8">
        <f t="shared" si="30"/>
        <v>7.8004470260590458E-2</v>
      </c>
      <c r="AE161" s="3">
        <f t="shared" si="31"/>
        <v>1.4115179193644866E-3</v>
      </c>
      <c r="AF161" s="11">
        <f t="shared" si="32"/>
        <v>12.416666666666686</v>
      </c>
      <c r="AG161" s="1">
        <f t="shared" si="33"/>
        <v>8.6456607774300767E-2</v>
      </c>
    </row>
    <row r="162" spans="2:33" ht="15" x14ac:dyDescent="0.25">
      <c r="B162" s="1">
        <v>151</v>
      </c>
      <c r="C162" s="1">
        <v>0.93241315953925274</v>
      </c>
      <c r="D162" s="1">
        <v>1.8746250749850029</v>
      </c>
      <c r="E162" s="1">
        <v>0.44239957529640767</v>
      </c>
      <c r="G162" s="1">
        <v>0.93241315953925274</v>
      </c>
      <c r="H162" s="1">
        <v>1.8746250749850029</v>
      </c>
      <c r="I162" s="1">
        <v>0.44239957529640767</v>
      </c>
      <c r="K162" s="1">
        <v>1.000617081981179</v>
      </c>
      <c r="L162" s="1">
        <v>1.9089322736654113</v>
      </c>
      <c r="M162" s="1">
        <v>0.50761620872297641</v>
      </c>
      <c r="O162" s="1">
        <v>5.5612655602783308E-3</v>
      </c>
      <c r="P162" s="1">
        <v>0.93241315953925274</v>
      </c>
      <c r="R162" s="1">
        <v>8.7482049765899017E-2</v>
      </c>
      <c r="S162" s="2">
        <f t="shared" si="36"/>
        <v>0.30802043199233209</v>
      </c>
      <c r="T162" s="4">
        <f t="shared" si="37"/>
        <v>9.4876586524742873E-2</v>
      </c>
      <c r="U162" s="1">
        <f t="shared" si="28"/>
        <v>4.63129883001554E-2</v>
      </c>
      <c r="V162" s="6">
        <f>2*sigma/alpha*corel*(B162/12-1/alpha*(1-EXP(-alpha*Output!B162/12)))</f>
        <v>0.33701746891917406</v>
      </c>
      <c r="W162" s="5">
        <f t="shared" si="38"/>
        <v>-4.8563598224587473E-2</v>
      </c>
      <c r="X162" s="1">
        <f t="shared" si="34"/>
        <v>2.5579485516609228</v>
      </c>
      <c r="Y162" s="3">
        <f t="shared" si="39"/>
        <v>5.0159257946700959E-2</v>
      </c>
      <c r="Z162" s="1">
        <f t="shared" si="29"/>
        <v>8.6832374036267534E-2</v>
      </c>
      <c r="AA162" s="8">
        <f t="shared" si="35"/>
        <v>12.50000000000002</v>
      </c>
      <c r="AB162" s="1">
        <v>12.58</v>
      </c>
      <c r="AC162">
        <v>5.5730355040000002E-3</v>
      </c>
      <c r="AD162" s="8">
        <f t="shared" si="30"/>
        <v>0.11769943721669403</v>
      </c>
      <c r="AE162" s="3">
        <f t="shared" si="31"/>
        <v>2.1119448661724161E-3</v>
      </c>
      <c r="AF162" s="11">
        <f t="shared" si="32"/>
        <v>12.50000000000002</v>
      </c>
      <c r="AG162" s="1">
        <f t="shared" si="33"/>
        <v>8.6832374036267534E-2</v>
      </c>
    </row>
    <row r="163" spans="2:33" ht="15" x14ac:dyDescent="0.25">
      <c r="B163" s="1">
        <v>152</v>
      </c>
      <c r="C163" s="1">
        <v>0.93147974447298842</v>
      </c>
      <c r="D163" s="1">
        <v>1.8872909825236854</v>
      </c>
      <c r="E163" s="1">
        <v>0.43819289251128352</v>
      </c>
      <c r="G163" s="1">
        <v>0.93147974447298842</v>
      </c>
      <c r="H163" s="1">
        <v>1.8872909825236854</v>
      </c>
      <c r="I163" s="1">
        <v>0.43819289251128352</v>
      </c>
      <c r="K163" s="1">
        <v>1.0005998406652308</v>
      </c>
      <c r="L163" s="1">
        <v>1.9575589838582335</v>
      </c>
      <c r="M163" s="1">
        <v>0.49492600904476863</v>
      </c>
      <c r="O163" s="1">
        <v>5.6037500716428264E-3</v>
      </c>
      <c r="P163" s="1">
        <v>0.93147974447298842</v>
      </c>
      <c r="R163" s="1">
        <v>8.7680021640381856E-2</v>
      </c>
      <c r="S163" s="2">
        <f t="shared" si="36"/>
        <v>0.30973907505046949</v>
      </c>
      <c r="T163" s="4">
        <f t="shared" si="37"/>
        <v>9.5938294613120367E-2</v>
      </c>
      <c r="U163" s="1">
        <f t="shared" si="28"/>
        <v>4.7131779677217267E-2</v>
      </c>
      <c r="V163" s="6">
        <f>2*sigma/alpha*corel*(B163/12-1/alpha*(1-EXP(-alpha*Output!B163/12)))</f>
        <v>0.34114761626471757</v>
      </c>
      <c r="W163" s="5">
        <f t="shared" si="38"/>
        <v>-4.88065149359031E-2</v>
      </c>
      <c r="X163" s="1">
        <f t="shared" si="34"/>
        <v>2.5892451195021891</v>
      </c>
      <c r="Y163" s="3">
        <f t="shared" si="39"/>
        <v>5.0051270945832352E-2</v>
      </c>
      <c r="Z163" s="1">
        <f t="shared" si="29"/>
        <v>8.7029166895412152E-2</v>
      </c>
      <c r="AA163" s="8">
        <f t="shared" si="35"/>
        <v>12.583333333333353</v>
      </c>
      <c r="AB163" s="1">
        <v>12.67</v>
      </c>
      <c r="AC163">
        <v>5.619847953E-3</v>
      </c>
      <c r="AD163" s="8">
        <f t="shared" si="30"/>
        <v>0.16097881357173516</v>
      </c>
      <c r="AE163" s="3">
        <f t="shared" si="31"/>
        <v>2.8644691977084734E-3</v>
      </c>
      <c r="AF163" s="11">
        <f t="shared" si="32"/>
        <v>12.583333333333353</v>
      </c>
      <c r="AG163" s="1">
        <f t="shared" si="33"/>
        <v>8.7029166895412152E-2</v>
      </c>
    </row>
    <row r="164" spans="2:33" ht="15" x14ac:dyDescent="0.25">
      <c r="B164" s="1">
        <v>153</v>
      </c>
      <c r="C164" s="1">
        <v>0.93054207624244667</v>
      </c>
      <c r="D164" s="1">
        <v>1.9016106642326052</v>
      </c>
      <c r="E164" s="1">
        <v>0.43363253978578559</v>
      </c>
      <c r="G164" s="1">
        <v>0.93054207624244667</v>
      </c>
      <c r="H164" s="1">
        <v>1.9016106642326052</v>
      </c>
      <c r="I164" s="1">
        <v>0.43363253978578559</v>
      </c>
      <c r="K164" s="1">
        <v>1.0005922341177256</v>
      </c>
      <c r="L164" s="1">
        <v>1.9624559742589793</v>
      </c>
      <c r="M164" s="1">
        <v>0.49357901920971992</v>
      </c>
      <c r="O164" s="1">
        <v>5.6461164676077525E-3</v>
      </c>
      <c r="P164" s="1">
        <v>0.93054207624244667</v>
      </c>
      <c r="R164" s="1">
        <v>8.7857893175335169E-2</v>
      </c>
      <c r="S164" s="2">
        <f t="shared" si="36"/>
        <v>0.31140957564911065</v>
      </c>
      <c r="T164" s="4">
        <f t="shared" si="37"/>
        <v>9.6975923805959166E-2</v>
      </c>
      <c r="U164" s="1">
        <f t="shared" si="28"/>
        <v>4.7958886778113552E-2</v>
      </c>
      <c r="V164" s="6">
        <f>2*sigma/alpha*corel*(B164/12-1/alpha*(1-EXP(-alpha*Output!B164/12)))</f>
        <v>0.34529868378833095</v>
      </c>
      <c r="W164" s="5">
        <f t="shared" si="38"/>
        <v>-4.9017037027845614E-2</v>
      </c>
      <c r="X164" s="1">
        <f t="shared" si="34"/>
        <v>2.6191000694460804</v>
      </c>
      <c r="Y164" s="3">
        <f t="shared" si="39"/>
        <v>4.9924106215045179E-2</v>
      </c>
      <c r="Z164" s="1">
        <f t="shared" si="29"/>
        <v>8.7212125351412706E-2</v>
      </c>
      <c r="AA164" s="8">
        <f t="shared" si="35"/>
        <v>12.666666666666687</v>
      </c>
      <c r="AB164" s="1">
        <v>12.75</v>
      </c>
      <c r="AC164">
        <v>5.6666993509999998E-3</v>
      </c>
      <c r="AD164" s="8">
        <f t="shared" si="30"/>
        <v>0.20582883392247264</v>
      </c>
      <c r="AE164" s="3">
        <f t="shared" si="31"/>
        <v>3.6322525896163894E-3</v>
      </c>
      <c r="AF164" s="11">
        <f t="shared" si="32"/>
        <v>12.666666666666687</v>
      </c>
      <c r="AG164" s="1">
        <f t="shared" si="33"/>
        <v>8.7212125351412706E-2</v>
      </c>
    </row>
    <row r="165" spans="2:33" ht="15" x14ac:dyDescent="0.25">
      <c r="B165" s="1">
        <v>154</v>
      </c>
      <c r="C165" s="1">
        <v>0.92959963517158228</v>
      </c>
      <c r="D165" s="1">
        <v>1.9160024524831389</v>
      </c>
      <c r="E165" s="1">
        <v>0.42914771264269158</v>
      </c>
      <c r="G165" s="1">
        <v>0.92959963517158228</v>
      </c>
      <c r="H165" s="1">
        <v>1.9160024524831389</v>
      </c>
      <c r="I165" s="1">
        <v>0.42914771264269158</v>
      </c>
      <c r="K165" s="1">
        <v>1.000643793018996</v>
      </c>
      <c r="L165" s="1">
        <v>1.9461025538146721</v>
      </c>
      <c r="M165" s="1">
        <v>0.49763165790444469</v>
      </c>
      <c r="O165" s="1">
        <v>5.6884118448301841E-3</v>
      </c>
      <c r="P165" s="1">
        <v>0.92959963517158228</v>
      </c>
      <c r="R165" s="1">
        <v>8.8136088635815832E-2</v>
      </c>
      <c r="S165" s="2">
        <f t="shared" si="36"/>
        <v>0.31335810817189691</v>
      </c>
      <c r="T165" s="4">
        <f t="shared" si="37"/>
        <v>9.8193303957070238E-2</v>
      </c>
      <c r="U165" s="1">
        <f t="shared" si="28"/>
        <v>4.8794323735229739E-2</v>
      </c>
      <c r="V165" s="6">
        <f>2*sigma/alpha*corel*(B165/12-1/alpha*(1-EXP(-alpha*Output!B165/12)))</f>
        <v>0.34947060187218182</v>
      </c>
      <c r="W165" s="5">
        <f t="shared" si="38"/>
        <v>-4.9398980221840499E-2</v>
      </c>
      <c r="X165" s="1">
        <f t="shared" si="34"/>
        <v>2.6579440196273838</v>
      </c>
      <c r="Y165" s="3">
        <f t="shared" si="39"/>
        <v>4.990323187375402E-2</v>
      </c>
      <c r="Z165" s="1">
        <f t="shared" si="29"/>
        <v>8.747243155628584E-2</v>
      </c>
      <c r="AA165" s="8">
        <f t="shared" si="35"/>
        <v>12.750000000000021</v>
      </c>
      <c r="AB165" s="1">
        <v>12.83</v>
      </c>
      <c r="AC165">
        <v>5.7135689560000001E-3</v>
      </c>
      <c r="AD165" s="8">
        <f t="shared" si="30"/>
        <v>0.25157111169816015</v>
      </c>
      <c r="AE165" s="3">
        <f t="shared" si="31"/>
        <v>4.4030467407587225E-3</v>
      </c>
      <c r="AF165" s="11">
        <f t="shared" si="32"/>
        <v>12.750000000000021</v>
      </c>
      <c r="AG165" s="1">
        <f t="shared" si="33"/>
        <v>8.747243155628584E-2</v>
      </c>
    </row>
    <row r="166" spans="2:33" ht="15" x14ac:dyDescent="0.25">
      <c r="B166" s="1">
        <v>155</v>
      </c>
      <c r="C166" s="1">
        <v>0.9286509312471033</v>
      </c>
      <c r="D166" s="1">
        <v>1.9296823742811933</v>
      </c>
      <c r="E166" s="1">
        <v>0.42486298168840553</v>
      </c>
      <c r="G166" s="1">
        <v>0.9286509312471033</v>
      </c>
      <c r="H166" s="1">
        <v>1.9296823742811933</v>
      </c>
      <c r="I166" s="1">
        <v>0.42486298168840553</v>
      </c>
      <c r="K166" s="1">
        <v>1.0005385170534247</v>
      </c>
      <c r="L166" s="1">
        <v>1.974402088064946</v>
      </c>
      <c r="M166" s="1">
        <v>0.49039171249384461</v>
      </c>
      <c r="O166" s="1">
        <v>5.7307631653660792E-3</v>
      </c>
      <c r="P166" s="1">
        <v>0.9286509312471033</v>
      </c>
      <c r="R166" s="1">
        <v>8.8289204387942202E-2</v>
      </c>
      <c r="S166" s="2">
        <f t="shared" si="36"/>
        <v>0.31497724327474208</v>
      </c>
      <c r="T166" s="4">
        <f t="shared" si="37"/>
        <v>9.9210663780956054E-2</v>
      </c>
      <c r="U166" s="1">
        <f t="shared" si="28"/>
        <v>4.9638104356144463E-2</v>
      </c>
      <c r="V166" s="6">
        <f>2*sigma/alpha*corel*(B166/12-1/alpha*(1-EXP(-alpha*Output!B166/12)))</f>
        <v>0.35366330113010935</v>
      </c>
      <c r="W166" s="5">
        <f t="shared" si="38"/>
        <v>-4.9572559424811591E-2</v>
      </c>
      <c r="X166" s="1">
        <f t="shared" si="34"/>
        <v>2.686326634181512</v>
      </c>
      <c r="Y166" s="3">
        <f t="shared" si="39"/>
        <v>4.9755035522140487E-2</v>
      </c>
      <c r="Z166" s="1">
        <f t="shared" si="29"/>
        <v>8.7640319391486463E-2</v>
      </c>
      <c r="AA166" s="8">
        <f t="shared" si="35"/>
        <v>12.833333333333355</v>
      </c>
      <c r="AB166" s="1">
        <v>12.92</v>
      </c>
      <c r="AC166">
        <v>5.7604360250000002E-3</v>
      </c>
      <c r="AD166" s="8">
        <f t="shared" si="30"/>
        <v>0.29672859633921023</v>
      </c>
      <c r="AE166" s="3">
        <f t="shared" si="31"/>
        <v>5.1511481952307633E-3</v>
      </c>
      <c r="AF166" s="11">
        <f t="shared" si="32"/>
        <v>12.833333333333355</v>
      </c>
      <c r="AG166" s="1">
        <f t="shared" si="33"/>
        <v>8.7640319391486463E-2</v>
      </c>
    </row>
    <row r="167" spans="2:33" ht="15" x14ac:dyDescent="0.25">
      <c r="B167" s="1">
        <v>156</v>
      </c>
      <c r="C167" s="1">
        <v>0.92769540451850641</v>
      </c>
      <c r="D167" s="1">
        <v>1.9434834998250865</v>
      </c>
      <c r="E167" s="1">
        <v>0.4206098843322818</v>
      </c>
      <c r="G167" s="1">
        <v>0.92769540451850641</v>
      </c>
      <c r="H167" s="1">
        <v>1.9434834998250865</v>
      </c>
      <c r="I167" s="1">
        <v>0.4206098843322818</v>
      </c>
      <c r="K167" s="1">
        <v>1.000460695840621</v>
      </c>
      <c r="L167" s="1">
        <v>1.9632469656104623</v>
      </c>
      <c r="M167" s="1">
        <v>0.49306525796882561</v>
      </c>
      <c r="O167" s="1">
        <v>5.7732175356954374E-3</v>
      </c>
      <c r="P167" s="1">
        <v>0.92769540451850641</v>
      </c>
      <c r="R167" s="1">
        <v>8.842074203462244E-2</v>
      </c>
      <c r="S167" s="2">
        <f t="shared" si="36"/>
        <v>0.31654711517236678</v>
      </c>
      <c r="T167" s="4">
        <f t="shared" si="37"/>
        <v>0.10020207612394763</v>
      </c>
      <c r="U167" s="1">
        <f t="shared" si="28"/>
        <v>5.0490242126560059E-2</v>
      </c>
      <c r="V167" s="6">
        <f>2*sigma/alpha*corel*(B167/12-1/alpha*(1-EXP(-alpha*Output!B167/12)))</f>
        <v>0.35787671240685737</v>
      </c>
      <c r="W167" s="5">
        <f t="shared" si="38"/>
        <v>-4.9711833997387572E-2</v>
      </c>
      <c r="X167" s="1">
        <f t="shared" si="34"/>
        <v>2.7130911091472942</v>
      </c>
      <c r="Y167" s="3">
        <f t="shared" si="39"/>
        <v>4.9587293880012859E-2</v>
      </c>
      <c r="Z167" s="1">
        <f t="shared" si="29"/>
        <v>8.7794373450321025E-2</v>
      </c>
      <c r="AA167" s="8">
        <f t="shared" si="35"/>
        <v>12.916666666666689</v>
      </c>
      <c r="AB167" s="1">
        <v>13</v>
      </c>
      <c r="AC167">
        <v>5.8072798159999996E-3</v>
      </c>
      <c r="AD167" s="8">
        <f t="shared" si="30"/>
        <v>0.34062280304562181</v>
      </c>
      <c r="AE167" s="3">
        <f t="shared" si="31"/>
        <v>5.8654449903920696E-3</v>
      </c>
      <c r="AF167" s="11">
        <f t="shared" si="32"/>
        <v>12.916666666666689</v>
      </c>
      <c r="AG167" s="1">
        <f t="shared" si="33"/>
        <v>8.7794373450321025E-2</v>
      </c>
    </row>
    <row r="168" spans="2:33" ht="15" x14ac:dyDescent="0.25">
      <c r="B168" s="1">
        <v>157</v>
      </c>
      <c r="C168" s="1">
        <v>0.92673326952546375</v>
      </c>
      <c r="D168" s="1">
        <v>1.9572152741079991</v>
      </c>
      <c r="E168" s="1">
        <v>0.41644109440719612</v>
      </c>
      <c r="G168" s="1">
        <v>0.92673326952546375</v>
      </c>
      <c r="H168" s="1">
        <v>1.9572152741079991</v>
      </c>
      <c r="I168" s="1">
        <v>0.41644109440719612</v>
      </c>
      <c r="K168" s="1">
        <v>1.0004601240638962</v>
      </c>
      <c r="L168" s="1">
        <v>1.9501167061393683</v>
      </c>
      <c r="M168" s="1">
        <v>0.49627822503386737</v>
      </c>
      <c r="O168" s="1">
        <v>5.8157571943732479E-3</v>
      </c>
      <c r="P168" s="1">
        <v>0.92673326952546375</v>
      </c>
      <c r="R168" s="1">
        <v>8.8799411146961757E-2</v>
      </c>
      <c r="S168" s="2">
        <f t="shared" si="36"/>
        <v>0.31879639409367688</v>
      </c>
      <c r="T168" s="4">
        <f t="shared" si="37"/>
        <v>0.10163114088713095</v>
      </c>
      <c r="U168" s="1">
        <f t="shared" si="28"/>
        <v>5.1350750213206009E-2</v>
      </c>
      <c r="V168" s="6">
        <f>2*sigma/alpha*corel*(B168/12-1/alpha*(1-EXP(-alpha*Output!B168/12)))</f>
        <v>0.36211076677730181</v>
      </c>
      <c r="W168" s="5">
        <f t="shared" si="38"/>
        <v>-5.0280390673924938E-2</v>
      </c>
      <c r="X168" s="1">
        <f t="shared" si="34"/>
        <v>2.762464652684784</v>
      </c>
      <c r="Y168" s="3">
        <f t="shared" si="39"/>
        <v>4.9679832365778498E-2</v>
      </c>
      <c r="Z168" s="1">
        <f t="shared" si="29"/>
        <v>8.8136174699927405E-2</v>
      </c>
      <c r="AA168" s="8">
        <f t="shared" si="35"/>
        <v>13.000000000000023</v>
      </c>
      <c r="AB168" s="1">
        <v>13.08</v>
      </c>
      <c r="AC168">
        <v>5.8540795869999997E-3</v>
      </c>
      <c r="AD168" s="8">
        <f t="shared" si="30"/>
        <v>0.38322392626751778</v>
      </c>
      <c r="AE168" s="3">
        <f t="shared" si="31"/>
        <v>6.5462712040767783E-3</v>
      </c>
      <c r="AF168" s="11">
        <f t="shared" si="32"/>
        <v>13.000000000000023</v>
      </c>
      <c r="AG168" s="1">
        <f t="shared" si="33"/>
        <v>8.8136174699927405E-2</v>
      </c>
    </row>
    <row r="169" spans="2:33" ht="15" x14ac:dyDescent="0.25">
      <c r="B169" s="1">
        <v>158</v>
      </c>
      <c r="C169" s="1">
        <v>0.92576328198231439</v>
      </c>
      <c r="D169" s="1">
        <v>1.9707540104844115</v>
      </c>
      <c r="E169" s="1">
        <v>0.41233712683490026</v>
      </c>
      <c r="G169" s="1">
        <v>0.92576328198231439</v>
      </c>
      <c r="H169" s="1">
        <v>1.9707540104844115</v>
      </c>
      <c r="I169" s="1">
        <v>0.41233712683490026</v>
      </c>
      <c r="K169" s="1">
        <v>1.0004903498439786</v>
      </c>
      <c r="L169" s="1">
        <v>1.9367794981079145</v>
      </c>
      <c r="M169" s="1">
        <v>0.49960388036846787</v>
      </c>
      <c r="O169" s="1">
        <v>5.8584844575536033E-3</v>
      </c>
      <c r="P169" s="1">
        <v>0.92576328198231439</v>
      </c>
      <c r="R169" s="1">
        <v>8.8979696416872853E-2</v>
      </c>
      <c r="S169" s="2">
        <f t="shared" si="36"/>
        <v>0.32051873599146297</v>
      </c>
      <c r="T169" s="4">
        <f t="shared" si="37"/>
        <v>0.10273226012156514</v>
      </c>
      <c r="U169" s="1">
        <f t="shared" si="28"/>
        <v>5.2219641466717093E-2</v>
      </c>
      <c r="V169" s="6">
        <f>2*sigma/alpha*corel*(B169/12-1/alpha*(1-EXP(-alpha*Output!B169/12)))</f>
        <v>0.36636539554568603</v>
      </c>
      <c r="W169" s="5">
        <f t="shared" si="38"/>
        <v>-5.0512618654848046E-2</v>
      </c>
      <c r="X169" s="1">
        <f t="shared" si="34"/>
        <v>2.7945548522086772</v>
      </c>
      <c r="Y169" s="3">
        <f t="shared" si="39"/>
        <v>4.9569372782961557E-2</v>
      </c>
      <c r="Z169" s="1">
        <f t="shared" si="29"/>
        <v>8.8331478736716915E-2</v>
      </c>
      <c r="AA169" s="8">
        <f t="shared" si="35"/>
        <v>13.083333333333357</v>
      </c>
      <c r="AB169" s="1">
        <v>13.17</v>
      </c>
      <c r="AC169">
        <v>5.9008145440000003E-3</v>
      </c>
      <c r="AD169" s="8">
        <f t="shared" si="30"/>
        <v>0.42330086446397064</v>
      </c>
      <c r="AE169" s="3">
        <f t="shared" si="31"/>
        <v>7.173600547985136E-3</v>
      </c>
      <c r="AF169" s="11">
        <f t="shared" si="32"/>
        <v>13.083333333333357</v>
      </c>
      <c r="AG169" s="1">
        <f t="shared" si="33"/>
        <v>8.8331478736716915E-2</v>
      </c>
    </row>
    <row r="170" spans="2:33" ht="15" x14ac:dyDescent="0.25">
      <c r="B170" s="1">
        <v>159</v>
      </c>
      <c r="C170" s="1">
        <v>0.92478502023272724</v>
      </c>
      <c r="D170" s="1">
        <v>1.9846388949530631</v>
      </c>
      <c r="E170" s="1">
        <v>0.40822991508817763</v>
      </c>
      <c r="G170" s="1">
        <v>0.92478502023272724</v>
      </c>
      <c r="H170" s="1">
        <v>1.9846388949530631</v>
      </c>
      <c r="I170" s="1">
        <v>0.40822991508817763</v>
      </c>
      <c r="K170" s="1">
        <v>1.0004548457720173</v>
      </c>
      <c r="L170" s="1">
        <v>1.9876624746798162</v>
      </c>
      <c r="M170" s="1">
        <v>0.48672128218579253</v>
      </c>
      <c r="O170" s="1">
        <v>5.901432380410937E-3</v>
      </c>
      <c r="P170" s="1">
        <v>0.92478502023272724</v>
      </c>
      <c r="R170" s="1">
        <v>8.9107061117185762E-2</v>
      </c>
      <c r="S170" s="2">
        <f t="shared" si="36"/>
        <v>0.32210846989159725</v>
      </c>
      <c r="T170" s="4">
        <f t="shared" si="37"/>
        <v>0.10375386637590601</v>
      </c>
      <c r="U170" s="1">
        <f t="shared" si="28"/>
        <v>5.3096928424502643E-2</v>
      </c>
      <c r="V170" s="6">
        <f>2*sigma/alpha*corel*(B170/12-1/alpha*(1-EXP(-alpha*Output!B170/12)))</f>
        <v>0.37064053024485988</v>
      </c>
      <c r="W170" s="5">
        <f t="shared" si="38"/>
        <v>-5.0656937951403372E-2</v>
      </c>
      <c r="X170" s="1">
        <f t="shared" si="34"/>
        <v>2.8221921140845692</v>
      </c>
      <c r="Y170" s="3">
        <f t="shared" si="39"/>
        <v>4.9407456521043377E-2</v>
      </c>
      <c r="Z170" s="1">
        <f t="shared" si="29"/>
        <v>8.8490002153918237E-2</v>
      </c>
      <c r="AA170" s="8">
        <f t="shared" si="35"/>
        <v>13.166666666666691</v>
      </c>
      <c r="AB170" s="1">
        <v>13.25</v>
      </c>
      <c r="AC170">
        <v>5.9474636930000003E-3</v>
      </c>
      <c r="AD170" s="8">
        <f t="shared" si="30"/>
        <v>0.46031312589063339</v>
      </c>
      <c r="AE170" s="3">
        <f t="shared" si="31"/>
        <v>7.7396542400487321E-3</v>
      </c>
      <c r="AF170" s="11">
        <f t="shared" si="32"/>
        <v>13.166666666666691</v>
      </c>
      <c r="AG170" s="1">
        <f t="shared" si="33"/>
        <v>8.8490002153918237E-2</v>
      </c>
    </row>
    <row r="171" spans="2:33" ht="15" x14ac:dyDescent="0.25">
      <c r="B171" s="1">
        <v>160</v>
      </c>
      <c r="C171" s="1">
        <v>0.9237981974960161</v>
      </c>
      <c r="D171" s="1">
        <v>1.9986808706253871</v>
      </c>
      <c r="E171" s="1">
        <v>0.40413837698027805</v>
      </c>
      <c r="G171" s="1">
        <v>0.9237981974960161</v>
      </c>
      <c r="H171" s="1">
        <v>1.9986808706253871</v>
      </c>
      <c r="I171" s="1">
        <v>0.40413837698027805</v>
      </c>
      <c r="K171" s="1">
        <v>1.0004719349432063</v>
      </c>
      <c r="L171" s="1">
        <v>1.9793884304523943</v>
      </c>
      <c r="M171" s="1">
        <v>0.48863600459903694</v>
      </c>
      <c r="O171" s="1">
        <v>5.9446224128817888E-3</v>
      </c>
      <c r="P171" s="1">
        <v>0.9237981974960161</v>
      </c>
      <c r="R171" s="1">
        <v>8.9417480665135274E-2</v>
      </c>
      <c r="S171" s="2">
        <f t="shared" si="36"/>
        <v>0.32420797309137828</v>
      </c>
      <c r="T171" s="4">
        <f t="shared" si="37"/>
        <v>0.10511080981601986</v>
      </c>
      <c r="U171" s="1">
        <f t="shared" si="28"/>
        <v>5.3982623313579392E-2</v>
      </c>
      <c r="V171" s="6">
        <f>2*sigma/alpha*corel*(B171/12-1/alpha*(1-EXP(-alpha*Output!B171/12)))</f>
        <v>0.37493610263551624</v>
      </c>
      <c r="W171" s="5">
        <f t="shared" si="38"/>
        <v>-5.112818650244047E-2</v>
      </c>
      <c r="X171" s="1">
        <f t="shared" si="34"/>
        <v>2.8674136945230018</v>
      </c>
      <c r="Y171" s="3">
        <f t="shared" si="39"/>
        <v>4.944029385010363E-2</v>
      </c>
      <c r="Z171" s="1">
        <f t="shared" si="29"/>
        <v>8.8788010092587882E-2</v>
      </c>
      <c r="AA171" s="8">
        <f t="shared" si="35"/>
        <v>13.250000000000025</v>
      </c>
      <c r="AB171" s="1">
        <v>13.33</v>
      </c>
      <c r="AC171">
        <v>5.9940059870000001E-3</v>
      </c>
      <c r="AD171" s="8">
        <f t="shared" si="30"/>
        <v>0.49383574118211371</v>
      </c>
      <c r="AE171" s="3">
        <f t="shared" si="31"/>
        <v>8.2388262916847452E-3</v>
      </c>
      <c r="AF171" s="11">
        <f t="shared" si="32"/>
        <v>13.250000000000025</v>
      </c>
      <c r="AG171" s="1">
        <f t="shared" si="33"/>
        <v>8.8788010092587882E-2</v>
      </c>
    </row>
    <row r="172" spans="2:33" ht="15" x14ac:dyDescent="0.25">
      <c r="B172" s="1">
        <v>161</v>
      </c>
      <c r="C172" s="1">
        <v>0.92280282740602015</v>
      </c>
      <c r="D172" s="1">
        <v>2.0123963615873786</v>
      </c>
      <c r="E172" s="1">
        <v>0.40014405185866914</v>
      </c>
      <c r="G172" s="1">
        <v>0.92280282740602015</v>
      </c>
      <c r="H172" s="1">
        <v>2.0123963615873786</v>
      </c>
      <c r="I172" s="1">
        <v>0.40014405185866914</v>
      </c>
      <c r="K172" s="1">
        <v>1.0004709297047278</v>
      </c>
      <c r="L172" s="1">
        <v>1.9856649864274083</v>
      </c>
      <c r="M172" s="1">
        <v>0.48699434113631429</v>
      </c>
      <c r="O172" s="1">
        <v>5.9880513350207033E-3</v>
      </c>
      <c r="P172" s="1">
        <v>0.92280282740602015</v>
      </c>
      <c r="R172" s="1">
        <v>8.9590489291055661E-2</v>
      </c>
      <c r="S172" s="2">
        <f t="shared" si="36"/>
        <v>0.32594545693232757</v>
      </c>
      <c r="T172" s="4">
        <f t="shared" si="37"/>
        <v>0.1062404408948238</v>
      </c>
      <c r="U172" s="1">
        <f t="shared" si="28"/>
        <v>5.4876738053391438E-2</v>
      </c>
      <c r="V172" s="6">
        <f>2*sigma/alpha*corel*(B172/12-1/alpha*(1-EXP(-alpha*Output!B172/12)))</f>
        <v>0.37925204470543217</v>
      </c>
      <c r="W172" s="5">
        <f t="shared" si="38"/>
        <v>-5.1363702841432365E-2</v>
      </c>
      <c r="X172" s="1">
        <f t="shared" si="34"/>
        <v>2.9003508325701213</v>
      </c>
      <c r="Y172" s="3">
        <f t="shared" si="39"/>
        <v>4.9333773792351182E-2</v>
      </c>
      <c r="Z172" s="1">
        <f t="shared" si="29"/>
        <v>8.8986190942731025E-2</v>
      </c>
      <c r="AA172" s="8">
        <f t="shared" si="35"/>
        <v>13.333333333333359</v>
      </c>
      <c r="AB172" s="1">
        <v>13.42</v>
      </c>
      <c r="AC172">
        <v>6.0404203819999997E-3</v>
      </c>
      <c r="AD172" s="8">
        <f t="shared" si="30"/>
        <v>0.52369046979296352</v>
      </c>
      <c r="AE172" s="3">
        <f t="shared" si="31"/>
        <v>8.6697686034157805E-3</v>
      </c>
      <c r="AF172" s="11">
        <f t="shared" si="32"/>
        <v>13.333333333333359</v>
      </c>
      <c r="AG172" s="1">
        <f t="shared" si="33"/>
        <v>8.8986190942731025E-2</v>
      </c>
    </row>
    <row r="173" spans="2:33" ht="15" x14ac:dyDescent="0.25">
      <c r="B173" s="1">
        <v>162</v>
      </c>
      <c r="C173" s="1">
        <v>0.92179933244937406</v>
      </c>
      <c r="D173" s="1">
        <v>2.0260140200170182</v>
      </c>
      <c r="E173" s="1">
        <v>0.39622791029400112</v>
      </c>
      <c r="G173" s="1">
        <v>0.92179933244937406</v>
      </c>
      <c r="H173" s="1">
        <v>2.0260140200170182</v>
      </c>
      <c r="I173" s="1">
        <v>0.39622791029400112</v>
      </c>
      <c r="K173" s="1">
        <v>1.0004469126904183</v>
      </c>
      <c r="L173" s="1">
        <v>2.0130866452011054</v>
      </c>
      <c r="M173" s="1">
        <v>0.48026226950118039</v>
      </c>
      <c r="O173" s="1">
        <v>6.0316831761200538E-3</v>
      </c>
      <c r="P173" s="1">
        <v>0.92179933244937406</v>
      </c>
      <c r="R173" s="1">
        <v>8.988915617973435E-2</v>
      </c>
      <c r="S173" s="2">
        <f t="shared" si="36"/>
        <v>0.32803702281300506</v>
      </c>
      <c r="T173" s="4">
        <f t="shared" si="37"/>
        <v>0.10760828833602</v>
      </c>
      <c r="U173" s="1">
        <f t="shared" si="28"/>
        <v>5.5779284258609341E-2</v>
      </c>
      <c r="V173" s="6">
        <f>2*sigma/alpha*corel*(B173/12-1/alpha*(1-EXP(-alpha*Output!B173/12)))</f>
        <v>0.38358828866871764</v>
      </c>
      <c r="W173" s="5">
        <f t="shared" si="38"/>
        <v>-5.1829004077410659E-2</v>
      </c>
      <c r="X173" s="1">
        <f t="shared" si="34"/>
        <v>2.9459061953839711</v>
      </c>
      <c r="Y173" s="3">
        <f t="shared" si="39"/>
        <v>4.9362072174782626E-2</v>
      </c>
      <c r="Z173" s="1">
        <f t="shared" si="29"/>
        <v>8.9280369181509694E-2</v>
      </c>
      <c r="AA173" s="8">
        <f t="shared" si="35"/>
        <v>13.416666666666693</v>
      </c>
      <c r="AB173" s="1">
        <v>13.5</v>
      </c>
      <c r="AC173">
        <v>6.0866858330000002E-3</v>
      </c>
      <c r="AD173" s="8">
        <f t="shared" si="30"/>
        <v>0.55002656879946443</v>
      </c>
      <c r="AE173" s="3">
        <f t="shared" si="31"/>
        <v>9.0365526312759896E-3</v>
      </c>
      <c r="AF173" s="11">
        <f t="shared" si="32"/>
        <v>13.416666666666693</v>
      </c>
      <c r="AG173" s="1">
        <f t="shared" si="33"/>
        <v>8.9280369181509694E-2</v>
      </c>
    </row>
    <row r="174" spans="2:33" ht="15" x14ac:dyDescent="0.25">
      <c r="B174" s="1">
        <v>163</v>
      </c>
      <c r="C174" s="1">
        <v>0.92078776574763854</v>
      </c>
      <c r="D174" s="1">
        <v>2.0394844183390441</v>
      </c>
      <c r="E174" s="1">
        <v>0.39237228282194148</v>
      </c>
      <c r="G174" s="1">
        <v>0.92078776574763854</v>
      </c>
      <c r="H174" s="1">
        <v>2.0394844183390441</v>
      </c>
      <c r="I174" s="1">
        <v>0.39237228282194148</v>
      </c>
      <c r="K174" s="1">
        <v>1.0004393986620903</v>
      </c>
      <c r="L174" s="1">
        <v>2.043971463534485</v>
      </c>
      <c r="M174" s="1">
        <v>0.47290807972481735</v>
      </c>
      <c r="O174" s="1">
        <v>6.0755122608298143E-3</v>
      </c>
      <c r="P174" s="1">
        <v>0.92078776574763854</v>
      </c>
      <c r="R174" s="1">
        <v>9.0126222404785877E-2</v>
      </c>
      <c r="S174" s="2">
        <f t="shared" si="36"/>
        <v>0.3299722174294123</v>
      </c>
      <c r="T174" s="4">
        <f t="shared" si="37"/>
        <v>0.10888166427528334</v>
      </c>
      <c r="U174" s="1">
        <f t="shared" si="28"/>
        <v>5.669027324190079E-2</v>
      </c>
      <c r="V174" s="6">
        <f>2*sigma/alpha*corel*(B174/12-1/alpha*(1-EXP(-alpha*Output!B174/12)))</f>
        <v>0.38794476696505686</v>
      </c>
      <c r="W174" s="5">
        <f t="shared" si="38"/>
        <v>-5.219139103338255E-2</v>
      </c>
      <c r="X174" s="1">
        <f t="shared" si="34"/>
        <v>2.9862333883626913</v>
      </c>
      <c r="Y174" s="3">
        <f t="shared" si="39"/>
        <v>4.9329842669185241E-2</v>
      </c>
      <c r="Z174" s="1">
        <f t="shared" si="29"/>
        <v>8.9531156838310408E-2</v>
      </c>
      <c r="AA174" s="8">
        <f t="shared" si="35"/>
        <v>13.500000000000027</v>
      </c>
      <c r="AB174" s="1">
        <v>13.58</v>
      </c>
      <c r="AC174">
        <v>6.1327812929999996E-3</v>
      </c>
      <c r="AD174" s="8">
        <f t="shared" si="30"/>
        <v>0.5726903217018533</v>
      </c>
      <c r="AE174" s="3">
        <f t="shared" si="31"/>
        <v>9.3381826995123096E-3</v>
      </c>
      <c r="AF174" s="11">
        <f t="shared" si="32"/>
        <v>13.500000000000027</v>
      </c>
      <c r="AG174" s="1">
        <f t="shared" si="33"/>
        <v>8.9531156838310408E-2</v>
      </c>
    </row>
    <row r="175" spans="2:33" ht="15" x14ac:dyDescent="0.25">
      <c r="B175" s="1">
        <v>164</v>
      </c>
      <c r="C175" s="1">
        <v>0.91976516729378854</v>
      </c>
      <c r="D175" s="1">
        <v>2.0527979636244198</v>
      </c>
      <c r="E175" s="1">
        <v>0.3886060700268138</v>
      </c>
      <c r="G175" s="1">
        <v>0.91976516729378854</v>
      </c>
      <c r="H175" s="1">
        <v>2.0527979636244198</v>
      </c>
      <c r="I175" s="1">
        <v>0.3886060700268138</v>
      </c>
      <c r="K175" s="1">
        <v>1.0004261568111428</v>
      </c>
      <c r="L175" s="1">
        <v>2.0700858022151523</v>
      </c>
      <c r="M175" s="1">
        <v>0.46684321185310079</v>
      </c>
      <c r="O175" s="1">
        <v>6.1197727655972183E-3</v>
      </c>
      <c r="P175" s="1">
        <v>0.91976516729378854</v>
      </c>
      <c r="R175" s="1">
        <v>9.0328263576035919E-2</v>
      </c>
      <c r="S175" s="2">
        <f t="shared" si="36"/>
        <v>0.33182694956694325</v>
      </c>
      <c r="T175" s="4">
        <f t="shared" si="37"/>
        <v>0.1101091244589027</v>
      </c>
      <c r="U175" s="1">
        <f t="shared" si="28"/>
        <v>5.7609716016691959E-2</v>
      </c>
      <c r="V175" s="6">
        <f>2*sigma/alpha*corel*(B175/12-1/alpha*(1-EXP(-alpha*Output!B175/12)))</f>
        <v>0.39232141225896133</v>
      </c>
      <c r="W175" s="5">
        <f t="shared" si="38"/>
        <v>-5.2499408442210738E-2</v>
      </c>
      <c r="X175" s="1">
        <f t="shared" si="34"/>
        <v>3.023883752024386</v>
      </c>
      <c r="Y175" s="3">
        <f t="shared" si="39"/>
        <v>4.9266233140027191E-2</v>
      </c>
      <c r="Z175" s="1">
        <f t="shared" si="29"/>
        <v>8.9759485316650262E-2</v>
      </c>
      <c r="AA175" s="8">
        <f t="shared" si="35"/>
        <v>13.583333333333361</v>
      </c>
      <c r="AB175" s="1">
        <v>13.67</v>
      </c>
      <c r="AC175">
        <v>6.1786856559999997E-3</v>
      </c>
      <c r="AD175" s="8">
        <f t="shared" si="30"/>
        <v>0.58912890402781393</v>
      </c>
      <c r="AE175" s="3">
        <f t="shared" si="31"/>
        <v>9.5348580074748179E-3</v>
      </c>
      <c r="AF175" s="11">
        <f t="shared" si="32"/>
        <v>13.583333333333361</v>
      </c>
      <c r="AG175" s="1">
        <f t="shared" si="33"/>
        <v>8.9759485316650262E-2</v>
      </c>
    </row>
    <row r="176" spans="2:33" ht="15" x14ac:dyDescent="0.25">
      <c r="B176" s="1">
        <v>165</v>
      </c>
      <c r="C176" s="1">
        <v>0.91873108252753377</v>
      </c>
      <c r="D176" s="1">
        <v>2.0662864699561947</v>
      </c>
      <c r="E176" s="1">
        <v>0.38483740619588225</v>
      </c>
      <c r="G176" s="1">
        <v>0.91873108252753377</v>
      </c>
      <c r="H176" s="1">
        <v>2.0662864699561947</v>
      </c>
      <c r="I176" s="1">
        <v>0.38483740619588225</v>
      </c>
      <c r="K176" s="1">
        <v>1.0004474864880983</v>
      </c>
      <c r="L176" s="1">
        <v>2.0515409179276793</v>
      </c>
      <c r="M176" s="1">
        <v>0.47096148695535234</v>
      </c>
      <c r="O176" s="1">
        <v>6.1644959355126195E-3</v>
      </c>
      <c r="P176" s="1">
        <v>0.91873108252753377</v>
      </c>
      <c r="R176" s="1">
        <v>9.0723975111116004E-2</v>
      </c>
      <c r="S176" s="2">
        <f t="shared" si="36"/>
        <v>0.33422781449265715</v>
      </c>
      <c r="T176" s="4">
        <f t="shared" si="37"/>
        <v>0.11170823198053804</v>
      </c>
      <c r="U176" s="1">
        <f t="shared" si="28"/>
        <v>5.8537623299896424E-2</v>
      </c>
      <c r="V176" s="6">
        <f>2*sigma/alpha*corel*(B176/12-1/alpha*(1-EXP(-alpha*Output!B176/12)))</f>
        <v>0.39671815743902084</v>
      </c>
      <c r="W176" s="5">
        <f t="shared" si="38"/>
        <v>-5.3170608680641621E-2</v>
      </c>
      <c r="X176" s="1">
        <f t="shared" si="34"/>
        <v>3.0817687738771005</v>
      </c>
      <c r="Y176" s="3">
        <f t="shared" si="39"/>
        <v>4.9410129961399388E-2</v>
      </c>
      <c r="Z176" s="1">
        <f t="shared" si="29"/>
        <v>9.013453862493577E-2</v>
      </c>
      <c r="AA176" s="8">
        <f t="shared" si="35"/>
        <v>13.666666666666694</v>
      </c>
      <c r="AB176" s="1">
        <v>13.75</v>
      </c>
      <c r="AC176">
        <v>6.224377574E-3</v>
      </c>
      <c r="AD176" s="8">
        <f t="shared" si="30"/>
        <v>0.59881638487380495</v>
      </c>
      <c r="AE176" s="3">
        <f t="shared" si="31"/>
        <v>9.6205022551192187E-3</v>
      </c>
      <c r="AF176" s="11">
        <f t="shared" si="32"/>
        <v>13.666666666666694</v>
      </c>
      <c r="AG176" s="1">
        <f t="shared" si="33"/>
        <v>9.013453862493577E-2</v>
      </c>
    </row>
    <row r="177" spans="2:33" ht="15" x14ac:dyDescent="0.25">
      <c r="B177" s="1">
        <v>166</v>
      </c>
      <c r="C177" s="1">
        <v>0.91768382092013745</v>
      </c>
      <c r="D177" s="1">
        <v>2.0797803751923798</v>
      </c>
      <c r="E177" s="1">
        <v>0.38109756097560976</v>
      </c>
      <c r="G177" s="1">
        <v>0.91768382092013745</v>
      </c>
      <c r="H177" s="1">
        <v>2.0797803751923798</v>
      </c>
      <c r="I177" s="1">
        <v>0.38109756097560976</v>
      </c>
      <c r="K177" s="1">
        <v>1.0005789354285739</v>
      </c>
      <c r="L177" s="1">
        <v>2.0647635259687287</v>
      </c>
      <c r="M177" s="1">
        <v>0.46785848943476449</v>
      </c>
      <c r="O177" s="1">
        <v>6.209809832098654E-3</v>
      </c>
      <c r="P177" s="1">
        <v>0.91768382092013745</v>
      </c>
      <c r="R177" s="1">
        <v>9.099730791903636E-2</v>
      </c>
      <c r="S177" s="2">
        <f t="shared" si="36"/>
        <v>0.33631233736946298</v>
      </c>
      <c r="T177" s="4">
        <f t="shared" si="37"/>
        <v>0.11310598826691148</v>
      </c>
      <c r="U177" s="1">
        <f t="shared" si="28"/>
        <v>5.9474005514629447E-2</v>
      </c>
      <c r="V177" s="6">
        <f>2*sigma/alpha*corel*(B177/12-1/alpha*(1-EXP(-alpha*Output!B177/12)))</f>
        <v>0.40113493561715652</v>
      </c>
      <c r="W177" s="5">
        <f t="shared" si="38"/>
        <v>-5.3631982752282037E-2</v>
      </c>
      <c r="X177" s="1">
        <f t="shared" si="34"/>
        <v>3.1285456155321865</v>
      </c>
      <c r="Y177" s="3">
        <f t="shared" si="39"/>
        <v>4.9432575345792061E-2</v>
      </c>
      <c r="Z177" s="1">
        <f t="shared" si="29"/>
        <v>9.042309716672238E-2</v>
      </c>
      <c r="AA177" s="8">
        <f t="shared" si="35"/>
        <v>13.750000000000028</v>
      </c>
      <c r="AB177" s="1">
        <v>13.83</v>
      </c>
      <c r="AC177">
        <v>6.2698356379999997E-3</v>
      </c>
      <c r="AD177" s="8">
        <f t="shared" si="30"/>
        <v>0.60025805901345664</v>
      </c>
      <c r="AE177" s="3">
        <f t="shared" si="31"/>
        <v>9.5737447306502525E-3</v>
      </c>
      <c r="AF177" s="11">
        <f t="shared" si="32"/>
        <v>13.750000000000028</v>
      </c>
      <c r="AG177" s="1">
        <f t="shared" si="33"/>
        <v>9.042309716672238E-2</v>
      </c>
    </row>
    <row r="178" spans="2:33" ht="15" x14ac:dyDescent="0.25">
      <c r="B178" s="1">
        <v>167</v>
      </c>
      <c r="C178" s="1">
        <v>0.91662359671629567</v>
      </c>
      <c r="D178" s="1">
        <v>2.0929697147282278</v>
      </c>
      <c r="E178" s="1">
        <v>0.37745819650473705</v>
      </c>
      <c r="G178" s="1">
        <v>0.91662359671629567</v>
      </c>
      <c r="H178" s="1">
        <v>2.0929697147282278</v>
      </c>
      <c r="I178" s="1">
        <v>0.37745819650473705</v>
      </c>
      <c r="K178" s="1">
        <v>1.0005222000749425</v>
      </c>
      <c r="L178" s="1">
        <v>2.04952397233418</v>
      </c>
      <c r="M178" s="1">
        <v>0.47124262201222061</v>
      </c>
      <c r="O178" s="1">
        <v>6.255690789979616E-3</v>
      </c>
      <c r="P178" s="1">
        <v>0.91662359671629567</v>
      </c>
      <c r="R178" s="1">
        <v>9.1373432718718728E-2</v>
      </c>
      <c r="S178" s="2">
        <f t="shared" si="36"/>
        <v>0.33869723486494452</v>
      </c>
      <c r="T178" s="4">
        <f t="shared" si="37"/>
        <v>0.11471581690515939</v>
      </c>
      <c r="U178" s="1">
        <f t="shared" si="28"/>
        <v>6.0418872792903144E-2</v>
      </c>
      <c r="V178" s="6">
        <f>2*sigma/alpha*corel*(B178/12-1/alpha*(1-EXP(-alpha*Output!B178/12)))</f>
        <v>0.40557168012787836</v>
      </c>
      <c r="W178" s="5">
        <f t="shared" si="38"/>
        <v>-5.4296944112256246E-2</v>
      </c>
      <c r="X178" s="1">
        <f t="shared" si="34"/>
        <v>3.1870182766373478</v>
      </c>
      <c r="Y178" s="3">
        <f t="shared" si="39"/>
        <v>4.9568281882064205E-2</v>
      </c>
      <c r="Z178" s="1">
        <f t="shared" si="29"/>
        <v>9.0791259005192679E-2</v>
      </c>
      <c r="AA178" s="8">
        <f t="shared" si="35"/>
        <v>13.833333333333362</v>
      </c>
      <c r="AB178" s="1">
        <v>13.92</v>
      </c>
      <c r="AC178">
        <v>6.3150384369999998E-3</v>
      </c>
      <c r="AD178" s="8">
        <f t="shared" si="30"/>
        <v>0.59347647020383842</v>
      </c>
      <c r="AE178" s="3">
        <f t="shared" si="31"/>
        <v>9.3978283129148021E-3</v>
      </c>
      <c r="AF178" s="11">
        <f t="shared" si="32"/>
        <v>13.833333333333362</v>
      </c>
      <c r="AG178" s="1">
        <f t="shared" si="33"/>
        <v>9.0791259005192679E-2</v>
      </c>
    </row>
    <row r="179" spans="2:33" ht="15" x14ac:dyDescent="0.25">
      <c r="B179" s="1">
        <v>168</v>
      </c>
      <c r="C179" s="1">
        <v>0.91554995589617916</v>
      </c>
      <c r="D179" s="1">
        <v>2.105750805449683</v>
      </c>
      <c r="E179" s="1">
        <v>0.37391564463057136</v>
      </c>
      <c r="G179" s="1">
        <v>0.91554995589617916</v>
      </c>
      <c r="H179" s="1">
        <v>2.105750805449683</v>
      </c>
      <c r="I179" s="1">
        <v>0.37391564463057136</v>
      </c>
      <c r="K179" s="1">
        <v>1.0005226202465569</v>
      </c>
      <c r="L179" s="1">
        <v>2.0817659271858187</v>
      </c>
      <c r="M179" s="1">
        <v>0.46383405190939159</v>
      </c>
      <c r="O179" s="1">
        <v>6.302167826168336E-3</v>
      </c>
      <c r="P179" s="1">
        <v>0.91554995589617916</v>
      </c>
      <c r="R179" s="1">
        <v>9.1573840531888315E-2</v>
      </c>
      <c r="S179" s="2">
        <f t="shared" si="36"/>
        <v>0.34061867596068962</v>
      </c>
      <c r="T179" s="4">
        <f t="shared" si="37"/>
        <v>0.11602108241321328</v>
      </c>
      <c r="U179" s="1">
        <f t="shared" si="28"/>
        <v>6.1372234978296802E-2</v>
      </c>
      <c r="V179" s="6">
        <f>2*sigma/alpha*corel*(B179/12-1/alpha*(1-EXP(-alpha*Output!B179/12)))</f>
        <v>0.41002832452754645</v>
      </c>
      <c r="W179" s="5">
        <f t="shared" si="38"/>
        <v>-5.4648847434916478E-2</v>
      </c>
      <c r="X179" s="1">
        <f t="shared" si="34"/>
        <v>3.22845868327019</v>
      </c>
      <c r="Y179" s="3">
        <f t="shared" si="39"/>
        <v>4.9527246217192539E-2</v>
      </c>
      <c r="Z179" s="1">
        <f t="shared" si="29"/>
        <v>9.1034170355819566E-2</v>
      </c>
      <c r="AA179" s="8">
        <f t="shared" si="35"/>
        <v>13.916666666666696</v>
      </c>
      <c r="AB179" s="1">
        <v>14</v>
      </c>
      <c r="AC179">
        <v>6.359964563E-3</v>
      </c>
      <c r="AD179" s="8">
        <f t="shared" si="30"/>
        <v>0.57796736831663975</v>
      </c>
      <c r="AE179" s="3">
        <f t="shared" si="31"/>
        <v>9.0875878724080827E-3</v>
      </c>
      <c r="AF179" s="11">
        <f t="shared" si="32"/>
        <v>13.916666666666696</v>
      </c>
      <c r="AG179" s="1">
        <f t="shared" si="33"/>
        <v>9.1034170355819566E-2</v>
      </c>
    </row>
    <row r="180" spans="2:33" ht="15" x14ac:dyDescent="0.25">
      <c r="B180" s="1">
        <v>169</v>
      </c>
      <c r="C180" s="1">
        <v>0.9144592574031345</v>
      </c>
      <c r="D180" s="1">
        <v>2.1189583200898436</v>
      </c>
      <c r="E180" s="1">
        <v>0.37034293756018072</v>
      </c>
      <c r="G180" s="1">
        <v>0.9144592574031345</v>
      </c>
      <c r="H180" s="1">
        <v>2.1189583200898436</v>
      </c>
      <c r="I180" s="1">
        <v>0.37034293756018072</v>
      </c>
      <c r="K180" s="1">
        <v>1.0004764709575706</v>
      </c>
      <c r="L180" s="1">
        <v>2.0983553698843567</v>
      </c>
      <c r="M180" s="1">
        <v>0.46007572898604882</v>
      </c>
      <c r="O180" s="1">
        <v>6.3495169645332167E-3</v>
      </c>
      <c r="P180" s="1">
        <v>0.9144592574031345</v>
      </c>
      <c r="R180" s="1">
        <v>9.1801523525689044E-2</v>
      </c>
      <c r="S180" s="2">
        <f t="shared" si="36"/>
        <v>0.34263820830515146</v>
      </c>
      <c r="T180" s="4">
        <f t="shared" si="37"/>
        <v>0.11740094179056436</v>
      </c>
      <c r="U180" s="1">
        <f t="shared" si="28"/>
        <v>6.2334101628609861E-2</v>
      </c>
      <c r="V180" s="6">
        <f>2*sigma/alpha*corel*(B180/12-1/alpha*(1-EXP(-alpha*Output!B180/12)))</f>
        <v>0.41450480259362932</v>
      </c>
      <c r="W180" s="5">
        <f t="shared" si="38"/>
        <v>-5.5066840161954497E-2</v>
      </c>
      <c r="X180" s="1">
        <f t="shared" si="34"/>
        <v>3.2739128938299538</v>
      </c>
      <c r="Y180" s="3">
        <f t="shared" si="39"/>
        <v>4.9522754682671581E-2</v>
      </c>
      <c r="Z180" s="1">
        <f t="shared" si="29"/>
        <v>9.1302582369060123E-2</v>
      </c>
      <c r="AA180" s="8">
        <f t="shared" si="35"/>
        <v>14.00000000000003</v>
      </c>
      <c r="AB180" s="1">
        <v>14.08</v>
      </c>
      <c r="AC180">
        <v>6.4045926059999999E-3</v>
      </c>
      <c r="AD180" s="8">
        <f t="shared" si="30"/>
        <v>0.55075641466783254</v>
      </c>
      <c r="AE180" s="3">
        <f t="shared" si="31"/>
        <v>8.5993980967949257E-3</v>
      </c>
      <c r="AF180" s="11">
        <f t="shared" si="32"/>
        <v>14.00000000000003</v>
      </c>
      <c r="AG180" s="1">
        <f t="shared" si="33"/>
        <v>9.1302582369060123E-2</v>
      </c>
    </row>
    <row r="181" spans="2:33" ht="15" x14ac:dyDescent="0.25">
      <c r="B181" s="1">
        <v>170</v>
      </c>
      <c r="C181" s="1">
        <v>0.9133577220310406</v>
      </c>
      <c r="D181" s="1">
        <v>2.1321961620469083</v>
      </c>
      <c r="E181" s="1">
        <v>0.3667974911051608</v>
      </c>
      <c r="G181" s="1">
        <v>0.9133577220310406</v>
      </c>
      <c r="H181" s="1">
        <v>2.1321961620469083</v>
      </c>
      <c r="I181" s="1">
        <v>0.3667974911051608</v>
      </c>
      <c r="K181" s="1">
        <v>1.000471992029963</v>
      </c>
      <c r="L181" s="1">
        <v>2.1198167208762175</v>
      </c>
      <c r="M181" s="1">
        <v>0.45531784572470702</v>
      </c>
      <c r="O181" s="1">
        <v>6.3972469885379482E-3</v>
      </c>
      <c r="P181" s="1">
        <v>0.9133577220310406</v>
      </c>
      <c r="R181" s="1">
        <v>9.2131875601948632E-2</v>
      </c>
      <c r="S181" s="2">
        <f t="shared" si="36"/>
        <v>0.34495598182495191</v>
      </c>
      <c r="T181" s="4">
        <f t="shared" si="37"/>
        <v>0.11899462939681656</v>
      </c>
      <c r="U181" s="1">
        <f t="shared" si="28"/>
        <v>6.3304482018494479E-2</v>
      </c>
      <c r="V181" s="6">
        <f>2*sigma/alpha*corel*(B181/12-1/alpha*(1-EXP(-alpha*Output!B181/12)))</f>
        <v>0.41900104832397034</v>
      </c>
      <c r="W181" s="5">
        <f t="shared" si="38"/>
        <v>-5.5690147378322077E-2</v>
      </c>
      <c r="X181" s="1">
        <f t="shared" si="34"/>
        <v>3.3313368966015036</v>
      </c>
      <c r="Y181" s="3">
        <f t="shared" si="39"/>
        <v>4.9630375814817829E-2</v>
      </c>
      <c r="Z181" s="1">
        <f t="shared" si="29"/>
        <v>9.1649445708082797E-2</v>
      </c>
      <c r="AA181" s="8">
        <f t="shared" si="35"/>
        <v>14.083333333333364</v>
      </c>
      <c r="AB181" s="1">
        <v>14.17</v>
      </c>
      <c r="AC181">
        <v>6.4489010980000004E-3</v>
      </c>
      <c r="AD181" s="8">
        <f t="shared" si="30"/>
        <v>0.516541094620522</v>
      </c>
      <c r="AE181" s="3">
        <f t="shared" si="31"/>
        <v>8.009753704871005E-3</v>
      </c>
      <c r="AF181" s="11">
        <f t="shared" si="32"/>
        <v>14.083333333333364</v>
      </c>
      <c r="AG181" s="1">
        <f t="shared" si="33"/>
        <v>9.1649445708082797E-2</v>
      </c>
    </row>
    <row r="182" spans="2:33" ht="15" x14ac:dyDescent="0.25">
      <c r="B182" s="1">
        <v>171</v>
      </c>
      <c r="C182" s="1">
        <v>0.91224891385769424</v>
      </c>
      <c r="D182" s="1">
        <v>2.1449101282656255</v>
      </c>
      <c r="E182" s="1">
        <v>0.36337209302325585</v>
      </c>
      <c r="G182" s="1">
        <v>0.91224891385769424</v>
      </c>
      <c r="H182" s="1">
        <v>2.1449101282656255</v>
      </c>
      <c r="I182" s="1">
        <v>0.36337209302325585</v>
      </c>
      <c r="K182" s="1">
        <v>1.00046522048243</v>
      </c>
      <c r="L182" s="1">
        <v>2.090448293602873</v>
      </c>
      <c r="M182" s="1">
        <v>0.46162156231215973</v>
      </c>
      <c r="O182" s="1">
        <v>6.4450803007314846E-3</v>
      </c>
      <c r="P182" s="1">
        <v>0.91224891385769424</v>
      </c>
      <c r="R182" s="1">
        <v>9.2437943937684189E-2</v>
      </c>
      <c r="S182" s="2">
        <f t="shared" si="36"/>
        <v>0.34721828863681881</v>
      </c>
      <c r="T182" s="4">
        <f t="shared" si="37"/>
        <v>0.12056053996388122</v>
      </c>
      <c r="U182" s="1">
        <f t="shared" si="28"/>
        <v>6.4283385142065885E-2</v>
      </c>
      <c r="V182" s="6">
        <f>2*sigma/alpha*corel*(B182/12-1/alpha*(1-EXP(-alpha*Output!B182/12)))</f>
        <v>0.42351699593605341</v>
      </c>
      <c r="W182" s="5">
        <f t="shared" si="38"/>
        <v>-5.6277154821815334E-2</v>
      </c>
      <c r="X182" s="1">
        <f t="shared" si="34"/>
        <v>3.3871644706901733</v>
      </c>
      <c r="Y182" s="3">
        <f t="shared" si="39"/>
        <v>4.9716073083080736E-2</v>
      </c>
      <c r="Z182" s="1">
        <f t="shared" si="29"/>
        <v>9.1980371652843271E-2</v>
      </c>
      <c r="AA182" s="8">
        <f t="shared" si="35"/>
        <v>14.166666666666698</v>
      </c>
      <c r="AB182" s="1">
        <v>14.25</v>
      </c>
      <c r="AC182">
        <v>6.4928683449999997E-3</v>
      </c>
      <c r="AD182" s="8">
        <f t="shared" si="30"/>
        <v>0.47788044268515067</v>
      </c>
      <c r="AE182" s="3">
        <f t="shared" si="31"/>
        <v>7.3600821284656847E-3</v>
      </c>
      <c r="AF182" s="11">
        <f t="shared" si="32"/>
        <v>14.166666666666698</v>
      </c>
      <c r="AG182" s="1">
        <f t="shared" si="33"/>
        <v>9.1980371652843271E-2</v>
      </c>
    </row>
    <row r="183" spans="2:33" ht="15" x14ac:dyDescent="0.25">
      <c r="B183" s="1">
        <v>172</v>
      </c>
      <c r="C183" s="1">
        <v>0.91113601237071162</v>
      </c>
      <c r="D183" s="1">
        <v>2.1571249838215625</v>
      </c>
      <c r="E183" s="1">
        <v>0.36007489557828026</v>
      </c>
      <c r="G183" s="1">
        <v>0.91113601237071162</v>
      </c>
      <c r="H183" s="1">
        <v>2.1571249838215625</v>
      </c>
      <c r="I183" s="1">
        <v>0.36007489557828026</v>
      </c>
      <c r="K183" s="1">
        <v>1.0004847219407713</v>
      </c>
      <c r="L183" s="1">
        <v>2.1246031450389125</v>
      </c>
      <c r="M183" s="1">
        <v>0.45411625239263242</v>
      </c>
      <c r="O183" s="1">
        <v>6.4927739154911398E-3</v>
      </c>
      <c r="P183" s="1">
        <v>0.91113601237071162</v>
      </c>
      <c r="R183" s="1">
        <v>9.2621131741214252E-2</v>
      </c>
      <c r="S183" s="2">
        <f t="shared" si="36"/>
        <v>0.34914845366394021</v>
      </c>
      <c r="T183" s="4">
        <f t="shared" si="37"/>
        <v>0.12190464269592061</v>
      </c>
      <c r="U183" s="1">
        <f t="shared" si="28"/>
        <v>6.5270819715498973E-2</v>
      </c>
      <c r="V183" s="6">
        <f>2*sigma/alpha*corel*(B183/12-1/alpha*(1-EXP(-alpha*Output!B183/12)))</f>
        <v>0.42805257986627332</v>
      </c>
      <c r="W183" s="5">
        <f t="shared" si="38"/>
        <v>-5.6633822980421633E-2</v>
      </c>
      <c r="X183" s="1">
        <f t="shared" si="34"/>
        <v>3.430234862007679</v>
      </c>
      <c r="Y183" s="3">
        <f t="shared" si="39"/>
        <v>4.9675700357291228E-2</v>
      </c>
      <c r="Z183" s="1">
        <f t="shared" si="29"/>
        <v>9.2222421741181865E-2</v>
      </c>
      <c r="AA183" s="8">
        <f t="shared" si="35"/>
        <v>14.250000000000032</v>
      </c>
      <c r="AB183" s="1">
        <v>14.33</v>
      </c>
      <c r="AC183">
        <v>6.53647259E-3</v>
      </c>
      <c r="AD183" s="8">
        <f t="shared" si="30"/>
        <v>0.43698674508860225</v>
      </c>
      <c r="AE183" s="3">
        <f t="shared" si="31"/>
        <v>6.6853603235044277E-3</v>
      </c>
      <c r="AF183" s="11">
        <f t="shared" si="32"/>
        <v>14.250000000000032</v>
      </c>
      <c r="AG183" s="1">
        <f t="shared" si="33"/>
        <v>9.2222421741181865E-2</v>
      </c>
    </row>
    <row r="184" spans="2:33" ht="15" x14ac:dyDescent="0.25">
      <c r="B184" s="1">
        <v>173</v>
      </c>
      <c r="C184" s="1">
        <v>0.91002413091221102</v>
      </c>
      <c r="D184" s="1">
        <v>2.1697621940635305</v>
      </c>
      <c r="E184" s="1">
        <v>0.35672243427389144</v>
      </c>
      <c r="G184" s="1">
        <v>0.91002413091221102</v>
      </c>
      <c r="H184" s="1">
        <v>2.1697621940635305</v>
      </c>
      <c r="I184" s="1">
        <v>0.35672243427389144</v>
      </c>
      <c r="K184" s="1">
        <v>1.0005327903072383</v>
      </c>
      <c r="L184" s="1">
        <v>2.0719083244787981</v>
      </c>
      <c r="M184" s="1">
        <v>0.46555927475891418</v>
      </c>
      <c r="O184" s="1">
        <v>6.5399418961995942E-3</v>
      </c>
      <c r="P184" s="1">
        <v>0.91002413091221102</v>
      </c>
      <c r="R184" s="1">
        <v>9.2905752430998217E-2</v>
      </c>
      <c r="S184" s="2">
        <f t="shared" si="36"/>
        <v>0.3513591656270445</v>
      </c>
      <c r="T184" s="4">
        <f t="shared" si="37"/>
        <v>0.1234532632701329</v>
      </c>
      <c r="U184" s="1">
        <f t="shared" si="28"/>
        <v>6.6266794179596911E-2</v>
      </c>
      <c r="V184" s="6">
        <f>2*sigma/alpha*corel*(B184/12-1/alpha*(1-EXP(-alpha*Output!B184/12)))</f>
        <v>0.43260773476920567</v>
      </c>
      <c r="W184" s="5">
        <f t="shared" si="38"/>
        <v>-5.7186469090535985E-2</v>
      </c>
      <c r="X184" s="1">
        <f t="shared" si="34"/>
        <v>3.4849025030697187</v>
      </c>
      <c r="Y184" s="3">
        <f t="shared" si="39"/>
        <v>4.9740403080002174E-2</v>
      </c>
      <c r="Z184" s="1">
        <f t="shared" si="29"/>
        <v>9.2537733570389968E-2</v>
      </c>
      <c r="AA184" s="8">
        <f t="shared" si="35"/>
        <v>14.333333333333366</v>
      </c>
      <c r="AB184" s="1">
        <v>14.42</v>
      </c>
      <c r="AC184">
        <v>6.5796920800000004E-3</v>
      </c>
      <c r="AD184" s="8">
        <f t="shared" si="30"/>
        <v>0.39750183800406175</v>
      </c>
      <c r="AE184" s="3">
        <f t="shared" si="31"/>
        <v>6.0413440807105629E-3</v>
      </c>
      <c r="AF184" s="11">
        <f t="shared" si="32"/>
        <v>14.333333333333366</v>
      </c>
      <c r="AG184" s="1">
        <f t="shared" si="33"/>
        <v>9.2537733570389968E-2</v>
      </c>
    </row>
    <row r="185" spans="2:33" ht="15" x14ac:dyDescent="0.25">
      <c r="B185" s="1">
        <v>174</v>
      </c>
      <c r="C185" s="1">
        <v>0.90891535567744708</v>
      </c>
      <c r="D185" s="1">
        <v>2.1829771442292998</v>
      </c>
      <c r="E185" s="1">
        <v>0.35334440479135015</v>
      </c>
      <c r="G185" s="1">
        <v>0.90891535567744708</v>
      </c>
      <c r="H185" s="1">
        <v>2.1829771442292998</v>
      </c>
      <c r="I185" s="1">
        <v>0.35334440479135015</v>
      </c>
      <c r="K185" s="1">
        <v>1.0005123806326093</v>
      </c>
      <c r="L185" s="1">
        <v>2.1231794925668503</v>
      </c>
      <c r="M185" s="1">
        <v>0.45423638790358872</v>
      </c>
      <c r="O185" s="1">
        <v>6.5864349797951326E-3</v>
      </c>
      <c r="P185" s="1">
        <v>0.90891535567744708</v>
      </c>
      <c r="R185" s="1">
        <v>9.3019119319981011E-2</v>
      </c>
      <c r="S185" s="2">
        <f t="shared" si="36"/>
        <v>0.3530935405076735</v>
      </c>
      <c r="T185" s="4">
        <f t="shared" si="37"/>
        <v>0.12467504834824407</v>
      </c>
      <c r="U185" s="1">
        <f t="shared" ref="U185:U248" si="40">sigma*sigma/alpha/alpha*(B185/12+2/alpha*EXP(-alpha*B185/12)-1/2/alpha*EXP(-2*alpha*B185/12)-3/2/alpha)</f>
        <v>6.7271316702345985E-2</v>
      </c>
      <c r="V185" s="6">
        <f>2*sigma/alpha*corel*(B185/12-1/alpha*(1-EXP(-alpha*Output!B185/12)))</f>
        <v>0.43718239551688143</v>
      </c>
      <c r="W185" s="5">
        <f t="shared" si="38"/>
        <v>-5.7403731645898085E-2</v>
      </c>
      <c r="X185" s="1">
        <f t="shared" si="34"/>
        <v>3.5205448824119681</v>
      </c>
      <c r="Y185" s="3">
        <f t="shared" si="39"/>
        <v>4.9625141877381936E-2</v>
      </c>
      <c r="Z185" s="1">
        <f t="shared" si="29"/>
        <v>9.2726906539745108E-2</v>
      </c>
      <c r="AA185" s="8">
        <f t="shared" si="35"/>
        <v>14.4166666666667</v>
      </c>
      <c r="AB185" s="1">
        <v>14.5</v>
      </c>
      <c r="AC185">
        <v>6.6225050610000001E-3</v>
      </c>
      <c r="AD185" s="8">
        <f t="shared" si="30"/>
        <v>0.3607008120486751</v>
      </c>
      <c r="AE185" s="3">
        <f t="shared" si="31"/>
        <v>5.4465917160689816E-3</v>
      </c>
      <c r="AF185" s="11">
        <f t="shared" si="32"/>
        <v>14.4166666666667</v>
      </c>
      <c r="AG185" s="1">
        <f t="shared" si="33"/>
        <v>9.2726906539745108E-2</v>
      </c>
    </row>
    <row r="186" spans="2:33" ht="15" x14ac:dyDescent="0.25">
      <c r="B186" s="1">
        <v>175</v>
      </c>
      <c r="C186" s="1">
        <v>0.9078143741646012</v>
      </c>
      <c r="D186" s="1">
        <v>2.195678903917091</v>
      </c>
      <c r="E186" s="1">
        <v>0.35009102366615324</v>
      </c>
      <c r="G186" s="1">
        <v>0.9078143741646012</v>
      </c>
      <c r="H186" s="1">
        <v>2.195678903917091</v>
      </c>
      <c r="I186" s="1">
        <v>0.35009102366615324</v>
      </c>
      <c r="K186" s="1">
        <v>1.0005725510512433</v>
      </c>
      <c r="L186" s="1">
        <v>2.1421235568870687</v>
      </c>
      <c r="M186" s="1">
        <v>0.45011756967220107</v>
      </c>
      <c r="O186" s="1">
        <v>6.6319100584933764E-3</v>
      </c>
      <c r="P186" s="1">
        <v>0.9078143741646012</v>
      </c>
      <c r="R186" s="1">
        <v>9.3440797670808109E-2</v>
      </c>
      <c r="S186" s="2">
        <f t="shared" si="36"/>
        <v>0.35567383359684079</v>
      </c>
      <c r="T186" s="4">
        <f t="shared" si="37"/>
        <v>0.12650387590547318</v>
      </c>
      <c r="U186" s="1">
        <f t="shared" si="40"/>
        <v>6.8284395181450908E-2</v>
      </c>
      <c r="V186" s="6">
        <f>2*sigma/alpha*corel*(B186/12-1/alpha*(1-EXP(-alpha*Output!B186/12)))</f>
        <v>0.441776497198064</v>
      </c>
      <c r="W186" s="5">
        <f t="shared" si="38"/>
        <v>-5.8219480724022277E-2</v>
      </c>
      <c r="X186" s="1">
        <f t="shared" si="34"/>
        <v>3.5913028490445575</v>
      </c>
      <c r="Y186" s="3">
        <f t="shared" si="39"/>
        <v>4.9827319284941607E-2</v>
      </c>
      <c r="Z186" s="1">
        <f t="shared" si="29"/>
        <v>9.3137272295580026E-2</v>
      </c>
      <c r="AA186" s="8">
        <f t="shared" si="35"/>
        <v>14.500000000000034</v>
      </c>
      <c r="AB186" s="1">
        <v>14.58</v>
      </c>
      <c r="AC186">
        <v>6.6648897779999997E-3</v>
      </c>
      <c r="AD186" s="8">
        <f t="shared" si="30"/>
        <v>0.32979719506623373</v>
      </c>
      <c r="AE186" s="3">
        <f t="shared" si="31"/>
        <v>4.9482768065400671E-3</v>
      </c>
      <c r="AF186" s="11">
        <f t="shared" si="32"/>
        <v>14.500000000000034</v>
      </c>
      <c r="AG186" s="1">
        <f t="shared" si="33"/>
        <v>9.3137272295580026E-2</v>
      </c>
    </row>
    <row r="187" spans="2:33" ht="15" x14ac:dyDescent="0.25">
      <c r="B187" s="1">
        <v>176</v>
      </c>
      <c r="C187" s="1">
        <v>0.9067233652783887</v>
      </c>
      <c r="D187" s="1">
        <v>2.2080416878270661</v>
      </c>
      <c r="E187" s="1">
        <v>0.34693311129614207</v>
      </c>
      <c r="G187" s="1">
        <v>0.9067233652783887</v>
      </c>
      <c r="H187" s="1">
        <v>2.2080416878270661</v>
      </c>
      <c r="I187" s="1">
        <v>0.34693311129614207</v>
      </c>
      <c r="K187" s="1">
        <v>1.0004748678863027</v>
      </c>
      <c r="L187" s="1">
        <v>2.1259042436938791</v>
      </c>
      <c r="M187" s="1">
        <v>0.45344465873006962</v>
      </c>
      <c r="O187" s="1">
        <v>6.6762187555863394E-3</v>
      </c>
      <c r="P187" s="1">
        <v>0.9067233652783887</v>
      </c>
      <c r="R187" s="1">
        <v>9.3535279429713597E-2</v>
      </c>
      <c r="S187" s="2">
        <f t="shared" si="36"/>
        <v>0.35733570466204312</v>
      </c>
      <c r="T187" s="4">
        <f t="shared" si="37"/>
        <v>0.12768880582631889</v>
      </c>
      <c r="U187" s="1">
        <f t="shared" si="40"/>
        <v>6.9306037246847918E-2</v>
      </c>
      <c r="V187" s="6">
        <f>2*sigma/alpha*corel*(B187/12-1/alpha*(1-EXP(-alpha*Output!B187/12)))</f>
        <v>0.44638997511752643</v>
      </c>
      <c r="W187" s="5">
        <f t="shared" si="38"/>
        <v>-5.8382768579470973E-2</v>
      </c>
      <c r="X187" s="1">
        <f t="shared" si="34"/>
        <v>3.6243864332143891</v>
      </c>
      <c r="Y187" s="3">
        <f t="shared" si="39"/>
        <v>4.9683823772651028E-2</v>
      </c>
      <c r="Z187" s="1">
        <f t="shared" si="29"/>
        <v>9.3306242785268986E-2</v>
      </c>
      <c r="AA187" s="8">
        <f t="shared" si="35"/>
        <v>14.583333333333368</v>
      </c>
      <c r="AB187" s="1">
        <v>14.67</v>
      </c>
      <c r="AC187">
        <v>6.7068244149999998E-3</v>
      </c>
      <c r="AD187" s="8">
        <f t="shared" si="30"/>
        <v>0.30605659413660347</v>
      </c>
      <c r="AE187" s="3">
        <f t="shared" si="31"/>
        <v>4.5633607680573736E-3</v>
      </c>
      <c r="AF187" s="11">
        <f t="shared" si="32"/>
        <v>14.583333333333368</v>
      </c>
      <c r="AG187" s="1">
        <f t="shared" si="33"/>
        <v>9.3306242785268986E-2</v>
      </c>
    </row>
    <row r="188" spans="2:33" ht="15" x14ac:dyDescent="0.25">
      <c r="B188" s="1">
        <v>177</v>
      </c>
      <c r="C188" s="1">
        <v>0.9056477794369826</v>
      </c>
      <c r="D188" s="1">
        <v>2.2209883398112162</v>
      </c>
      <c r="E188" s="1">
        <v>0.34372529474444025</v>
      </c>
      <c r="G188" s="1">
        <v>0.9056477794369826</v>
      </c>
      <c r="H188" s="1">
        <v>2.2209883398112162</v>
      </c>
      <c r="I188" s="1">
        <v>0.34372529474444025</v>
      </c>
      <c r="K188" s="1">
        <v>1.0005629748593134</v>
      </c>
      <c r="L188" s="1">
        <v>2.1194029190708368</v>
      </c>
      <c r="M188" s="1">
        <v>0.45476062100792208</v>
      </c>
      <c r="O188" s="1">
        <v>6.7189703692187852E-3</v>
      </c>
      <c r="P188" s="1">
        <v>0.9056477794369826</v>
      </c>
      <c r="R188" s="1">
        <v>9.3828049609144343E-2</v>
      </c>
      <c r="S188" s="2">
        <f t="shared" si="36"/>
        <v>0.35952983029980357</v>
      </c>
      <c r="T188" s="4">
        <f t="shared" si="37"/>
        <v>0.12926169887540556</v>
      </c>
      <c r="U188" s="1">
        <f t="shared" si="40"/>
        <v>7.0336250263201006E-2</v>
      </c>
      <c r="V188" s="6">
        <f>2*sigma/alpha*corel*(B188/12-1/alpha*(1-EXP(-alpha*Output!B188/12)))</f>
        <v>0.45102276479533465</v>
      </c>
      <c r="W188" s="5">
        <f t="shared" si="38"/>
        <v>-5.8925448612204556E-2</v>
      </c>
      <c r="X188" s="1">
        <f t="shared" si="34"/>
        <v>3.6800230024836966</v>
      </c>
      <c r="Y188" s="3">
        <f t="shared" si="39"/>
        <v>4.9739519998547345E-2</v>
      </c>
      <c r="Z188" s="1">
        <f t="shared" si="29"/>
        <v>9.3613594143703682E-2</v>
      </c>
      <c r="AA188" s="8">
        <f t="shared" si="35"/>
        <v>14.666666666666702</v>
      </c>
      <c r="AB188" s="1">
        <v>14.75</v>
      </c>
      <c r="AC188">
        <v>6.7482868990000004E-3</v>
      </c>
      <c r="AD188" s="8">
        <f t="shared" si="30"/>
        <v>0.29316529781215139</v>
      </c>
      <c r="AE188" s="3">
        <f t="shared" si="31"/>
        <v>4.3442921470276301E-3</v>
      </c>
      <c r="AF188" s="11">
        <f t="shared" si="32"/>
        <v>14.666666666666702</v>
      </c>
      <c r="AG188" s="1">
        <f t="shared" si="33"/>
        <v>9.3613594143703682E-2</v>
      </c>
    </row>
    <row r="189" spans="2:33" ht="15" x14ac:dyDescent="0.25">
      <c r="B189" s="1">
        <v>178</v>
      </c>
      <c r="C189" s="1">
        <v>0.90459239686433868</v>
      </c>
      <c r="D189" s="1">
        <v>2.2342374547566917</v>
      </c>
      <c r="E189" s="1">
        <v>0.34052986446911393</v>
      </c>
      <c r="G189" s="1">
        <v>0.90459239686433868</v>
      </c>
      <c r="H189" s="1">
        <v>2.2342374547566917</v>
      </c>
      <c r="I189" s="1">
        <v>0.34052986446911393</v>
      </c>
      <c r="K189" s="1">
        <v>1.0006668027287275</v>
      </c>
      <c r="L189" s="1">
        <v>2.160070830545695</v>
      </c>
      <c r="M189" s="1">
        <v>0.44608376359791635</v>
      </c>
      <c r="O189" s="1">
        <v>6.7598310298984977E-3</v>
      </c>
      <c r="P189" s="1">
        <v>0.90459239686433868</v>
      </c>
      <c r="R189" s="1">
        <v>9.4019672530933282E-2</v>
      </c>
      <c r="S189" s="2">
        <f t="shared" si="36"/>
        <v>0.36141850009275722</v>
      </c>
      <c r="T189" s="4">
        <f t="shared" si="37"/>
        <v>0.13062333220929837</v>
      </c>
      <c r="U189" s="1">
        <f t="shared" si="40"/>
        <v>7.1375041332377709E-2</v>
      </c>
      <c r="V189" s="6">
        <f>2*sigma/alpha*corel*(B189/12-1/alpha*(1-EXP(-alpha*Output!B189/12)))</f>
        <v>0.45567480196612897</v>
      </c>
      <c r="W189" s="5">
        <f t="shared" si="38"/>
        <v>-5.9248290876920656E-2</v>
      </c>
      <c r="X189" s="1">
        <f t="shared" si="34"/>
        <v>3.723038117177496</v>
      </c>
      <c r="Y189" s="3">
        <f t="shared" si="39"/>
        <v>4.9680093865624914E-2</v>
      </c>
      <c r="Z189" s="1">
        <f t="shared" si="29"/>
        <v>9.3840648654795092E-2</v>
      </c>
      <c r="AA189" s="8">
        <f t="shared" si="35"/>
        <v>14.750000000000036</v>
      </c>
      <c r="AB189" s="1">
        <v>14.83</v>
      </c>
      <c r="AC189">
        <v>6.7892550959999997E-3</v>
      </c>
      <c r="AD189" s="8">
        <f t="shared" si="30"/>
        <v>0.29424066101501994</v>
      </c>
      <c r="AE189" s="3">
        <f t="shared" si="31"/>
        <v>4.3339167088945682E-3</v>
      </c>
      <c r="AF189" s="11">
        <f t="shared" si="32"/>
        <v>14.750000000000036</v>
      </c>
      <c r="AG189" s="1">
        <f t="shared" si="33"/>
        <v>9.3840648654795092E-2</v>
      </c>
    </row>
    <row r="190" spans="2:33" ht="15" x14ac:dyDescent="0.25">
      <c r="B190" s="1">
        <v>179</v>
      </c>
      <c r="C190" s="1">
        <v>0.90355911306009806</v>
      </c>
      <c r="D190" s="1">
        <v>2.2471405136963214</v>
      </c>
      <c r="E190" s="1">
        <v>0.33743883921039314</v>
      </c>
      <c r="G190" s="1">
        <v>0.90355911306009806</v>
      </c>
      <c r="H190" s="1">
        <v>2.2471405136963214</v>
      </c>
      <c r="I190" s="1">
        <v>0.33743883921039314</v>
      </c>
      <c r="K190" s="1">
        <v>1.0007667777649059</v>
      </c>
      <c r="L190" s="1">
        <v>2.1923116977021615</v>
      </c>
      <c r="M190" s="1">
        <v>0.43945042042388088</v>
      </c>
      <c r="O190" s="1">
        <v>6.7986867720353549E-3</v>
      </c>
      <c r="P190" s="1">
        <v>0.90355911306009806</v>
      </c>
      <c r="R190" s="1">
        <v>9.4595223065157857E-2</v>
      </c>
      <c r="S190" s="2">
        <f t="shared" si="36"/>
        <v>0.3643502381597632</v>
      </c>
      <c r="T190" s="4">
        <f t="shared" si="37"/>
        <v>0.13275109604707616</v>
      </c>
      <c r="U190" s="1">
        <f t="shared" si="40"/>
        <v>7.2422417295908037E-2</v>
      </c>
      <c r="V190" s="6">
        <f>2*sigma/alpha*corel*(B190/12-1/alpha*(1-EXP(-alpha*Output!B190/12)))</f>
        <v>0.46034602257841084</v>
      </c>
      <c r="W190" s="5">
        <f t="shared" si="38"/>
        <v>-6.0328678751168124E-2</v>
      </c>
      <c r="X190" s="1">
        <f t="shared" si="34"/>
        <v>3.8115296259901279</v>
      </c>
      <c r="Y190" s="3">
        <f t="shared" si="39"/>
        <v>5.0010096980900753E-2</v>
      </c>
      <c r="Z190" s="1">
        <f t="shared" si="29"/>
        <v>9.4337239830293962E-2</v>
      </c>
      <c r="AA190" s="8">
        <f t="shared" si="35"/>
        <v>14.833333333333369</v>
      </c>
      <c r="AB190" s="1">
        <v>14.92</v>
      </c>
      <c r="AC190">
        <v>6.8297068719999996E-3</v>
      </c>
      <c r="AD190" s="8">
        <f t="shared" si="30"/>
        <v>0.31020099964644726</v>
      </c>
      <c r="AE190" s="3">
        <f t="shared" si="31"/>
        <v>4.5419372377193774E-3</v>
      </c>
      <c r="AF190" s="11">
        <f t="shared" si="32"/>
        <v>14.833333333333369</v>
      </c>
      <c r="AG190" s="1">
        <f t="shared" si="33"/>
        <v>9.4337239830293962E-2</v>
      </c>
    </row>
    <row r="191" spans="2:33" ht="15" x14ac:dyDescent="0.25">
      <c r="B191" s="1">
        <v>180</v>
      </c>
      <c r="C191" s="1">
        <v>0.90255381126655976</v>
      </c>
      <c r="D191" s="1">
        <v>2.2594274610813621</v>
      </c>
      <c r="E191" s="1">
        <v>0.33450409767519651</v>
      </c>
      <c r="G191" s="1">
        <v>0.90255381126655976</v>
      </c>
      <c r="H191" s="1">
        <v>2.2594274610813621</v>
      </c>
      <c r="I191" s="1">
        <v>0.33450409767519651</v>
      </c>
      <c r="K191" s="1">
        <v>1.0006957166712571</v>
      </c>
      <c r="L191" s="1">
        <v>2.1758696629091672</v>
      </c>
      <c r="M191" s="1">
        <v>0.44267076701905966</v>
      </c>
      <c r="O191" s="1">
        <v>6.8351310586995204E-3</v>
      </c>
      <c r="P191" s="1">
        <v>0.90255381126655976</v>
      </c>
      <c r="R191" s="1">
        <v>9.481701395900681E-2</v>
      </c>
      <c r="S191" s="2">
        <f t="shared" si="36"/>
        <v>0.36626271910279229</v>
      </c>
      <c r="T191" s="4">
        <f t="shared" si="37"/>
        <v>0.13414837940457092</v>
      </c>
      <c r="U191" s="1">
        <f t="shared" si="40"/>
        <v>7.347838473742474E-2</v>
      </c>
      <c r="V191" s="6">
        <f>2*sigma/alpha*corel*(B191/12-1/alpha*(1-EXP(-alpha*Output!B191/12)))</f>
        <v>0.46503636279383254</v>
      </c>
      <c r="W191" s="5">
        <f t="shared" si="38"/>
        <v>-6.0669994667146177E-2</v>
      </c>
      <c r="X191" s="1">
        <f t="shared" si="34"/>
        <v>3.8564584987492876</v>
      </c>
      <c r="Y191" s="3">
        <f t="shared" si="39"/>
        <v>4.9958347082742105E-2</v>
      </c>
      <c r="Z191" s="1">
        <f t="shared" si="29"/>
        <v>9.4568627428117308E-2</v>
      </c>
      <c r="AA191" s="8">
        <f t="shared" si="35"/>
        <v>14.916666666666703</v>
      </c>
      <c r="AB191" s="1">
        <v>15</v>
      </c>
      <c r="AC191">
        <v>6.869620091E-3</v>
      </c>
      <c r="AD191" s="8">
        <f t="shared" si="30"/>
        <v>0.34489032300479527</v>
      </c>
      <c r="AE191" s="3">
        <f t="shared" si="31"/>
        <v>5.0205152313537926E-3</v>
      </c>
      <c r="AF191" s="11">
        <f t="shared" si="32"/>
        <v>14.916666666666703</v>
      </c>
      <c r="AG191" s="1">
        <f t="shared" si="33"/>
        <v>9.4568627428117308E-2</v>
      </c>
    </row>
    <row r="192" spans="2:33" ht="15" x14ac:dyDescent="0.25">
      <c r="B192" s="1">
        <v>181</v>
      </c>
      <c r="C192" s="1">
        <v>0.90157773783029482</v>
      </c>
      <c r="D192" s="1">
        <v>2.2714366837024418</v>
      </c>
      <c r="E192" s="1">
        <v>0.3316529583443884</v>
      </c>
      <c r="G192" s="1">
        <v>0.90157773783029482</v>
      </c>
      <c r="H192" s="1">
        <v>2.2714366837024418</v>
      </c>
      <c r="I192" s="1">
        <v>0.3316529583443884</v>
      </c>
      <c r="K192" s="1">
        <v>1.0007287683836701</v>
      </c>
      <c r="L192" s="1">
        <v>2.1448031899413125</v>
      </c>
      <c r="M192" s="1">
        <v>0.44898222156164258</v>
      </c>
      <c r="O192" s="1">
        <v>6.8691055298730347E-3</v>
      </c>
      <c r="P192" s="1">
        <v>0.90157773783029482</v>
      </c>
      <c r="R192" s="1">
        <v>9.5091181094561411E-2</v>
      </c>
      <c r="S192" s="2">
        <f t="shared" si="36"/>
        <v>0.36828540667329723</v>
      </c>
      <c r="T192" s="4">
        <f t="shared" si="37"/>
        <v>0.13563414076851593</v>
      </c>
      <c r="U192" s="1">
        <f t="shared" si="40"/>
        <v>7.4542949985080043E-2</v>
      </c>
      <c r="V192" s="6">
        <f>2*sigma/alpha*corel*(B192/12-1/alpha*(1-EXP(-alpha*Output!B192/12)))</f>
        <v>0.4697457589864853</v>
      </c>
      <c r="W192" s="5">
        <f t="shared" si="38"/>
        <v>-6.1091190783435889E-2</v>
      </c>
      <c r="X192" s="1">
        <f t="shared" si="34"/>
        <v>3.9064962553530878</v>
      </c>
      <c r="Y192" s="3">
        <f t="shared" si="39"/>
        <v>4.9947184835174012E-2</v>
      </c>
      <c r="Z192" s="1">
        <f t="shared" si="29"/>
        <v>9.4827837289397685E-2</v>
      </c>
      <c r="AA192" s="8">
        <f t="shared" si="35"/>
        <v>15.000000000000037</v>
      </c>
      <c r="AB192" s="1">
        <v>15.08</v>
      </c>
      <c r="AC192">
        <v>6.9089726189999999E-3</v>
      </c>
      <c r="AD192" s="8">
        <f t="shared" si="30"/>
        <v>0.39867089126965211</v>
      </c>
      <c r="AE192" s="3">
        <f t="shared" si="31"/>
        <v>5.7703353776983914E-3</v>
      </c>
      <c r="AF192" s="11">
        <f t="shared" si="32"/>
        <v>15.000000000000037</v>
      </c>
      <c r="AG192" s="1">
        <f t="shared" si="33"/>
        <v>9.4827837289397685E-2</v>
      </c>
    </row>
    <row r="193" spans="2:33" ht="15" x14ac:dyDescent="0.25">
      <c r="B193" s="1">
        <v>182</v>
      </c>
      <c r="C193" s="1">
        <v>0.90063126773487079</v>
      </c>
      <c r="D193" s="1">
        <v>2.2831571497066143</v>
      </c>
      <c r="E193" s="1">
        <v>0.32890409156689909</v>
      </c>
      <c r="G193" s="1">
        <v>0.90063126773487079</v>
      </c>
      <c r="H193" s="1">
        <v>2.2831571497066143</v>
      </c>
      <c r="I193" s="1">
        <v>0.32890409156689909</v>
      </c>
      <c r="K193" s="1">
        <v>1.0006647934315316</v>
      </c>
      <c r="L193" s="1">
        <v>2.1827712185836612</v>
      </c>
      <c r="M193" s="1">
        <v>0.44109281919009219</v>
      </c>
      <c r="O193" s="1">
        <v>6.9006166770704865E-3</v>
      </c>
      <c r="P193" s="1">
        <v>0.90063126773487079</v>
      </c>
      <c r="R193" s="1">
        <v>9.5406704287309976E-2</v>
      </c>
      <c r="S193" s="2">
        <f t="shared" si="36"/>
        <v>0.37038741997403368</v>
      </c>
      <c r="T193" s="4">
        <f t="shared" si="37"/>
        <v>0.1371868408750212</v>
      </c>
      <c r="U193" s="1">
        <f t="shared" si="40"/>
        <v>7.5616119113952163E-2</v>
      </c>
      <c r="V193" s="6">
        <f>2*sigma/alpha*corel*(B193/12-1/alpha*(1-EXP(-alpha*Output!B193/12)))</f>
        <v>0.47447414774219365</v>
      </c>
      <c r="W193" s="5">
        <f t="shared" si="38"/>
        <v>-6.1570721761069036E-2</v>
      </c>
      <c r="X193" s="1">
        <f t="shared" si="34"/>
        <v>3.9604161703805354</v>
      </c>
      <c r="Y193" s="3">
        <f t="shared" si="39"/>
        <v>4.9965009575814588E-2</v>
      </c>
      <c r="Z193" s="1">
        <f t="shared" si="29"/>
        <v>9.5106709603160283E-2</v>
      </c>
      <c r="AA193" s="8">
        <f t="shared" si="35"/>
        <v>15.083333333333371</v>
      </c>
      <c r="AB193" s="1">
        <v>15.17</v>
      </c>
      <c r="AC193">
        <v>6.9477473500000001E-3</v>
      </c>
      <c r="AD193" s="8">
        <f t="shared" si="30"/>
        <v>0.4713067292951359</v>
      </c>
      <c r="AE193" s="3">
        <f t="shared" si="31"/>
        <v>6.7835905013894308E-3</v>
      </c>
      <c r="AF193" s="11">
        <f t="shared" si="32"/>
        <v>15.083333333333371</v>
      </c>
      <c r="AG193" s="1">
        <f t="shared" si="33"/>
        <v>9.5106709603160283E-2</v>
      </c>
    </row>
    <row r="194" spans="2:33" ht="15" x14ac:dyDescent="0.25">
      <c r="B194" s="1">
        <v>183</v>
      </c>
      <c r="C194" s="1">
        <v>0.89971104930628953</v>
      </c>
      <c r="D194" s="1">
        <v>2.2948411969891684</v>
      </c>
      <c r="E194" s="1">
        <v>0.32620041753653445</v>
      </c>
      <c r="G194" s="1">
        <v>0.89971104930628953</v>
      </c>
      <c r="H194" s="1">
        <v>2.2948411969891684</v>
      </c>
      <c r="I194" s="1">
        <v>0.32620041753653445</v>
      </c>
      <c r="K194" s="1">
        <v>1.000726827595132</v>
      </c>
      <c r="L194" s="1">
        <v>2.1737028103653562</v>
      </c>
      <c r="M194" s="1">
        <v>0.4428294876782391</v>
      </c>
      <c r="O194" s="1">
        <v>6.929942526805735E-3</v>
      </c>
      <c r="P194" s="1">
        <v>0.89971104930628953</v>
      </c>
      <c r="R194" s="1">
        <v>9.5920534093015847E-2</v>
      </c>
      <c r="S194" s="2">
        <f t="shared" si="36"/>
        <v>0.37301270581891888</v>
      </c>
      <c r="T194" s="4">
        <f t="shared" si="37"/>
        <v>0.13913847870235133</v>
      </c>
      <c r="U194" s="1">
        <f t="shared" si="40"/>
        <v>7.6697897948425631E-2</v>
      </c>
      <c r="V194" s="6">
        <f>2*sigma/alpha*corel*(B194/12-1/alpha*(1-EXP(-alpha*Output!B194/12)))</f>
        <v>0.479221465857812</v>
      </c>
      <c r="W194" s="5">
        <f t="shared" si="38"/>
        <v>-6.2440580753925695E-2</v>
      </c>
      <c r="X194" s="1">
        <f t="shared" si="34"/>
        <v>4.0385286393283781</v>
      </c>
      <c r="Y194" s="3">
        <f t="shared" si="39"/>
        <v>5.0176642963531463E-2</v>
      </c>
      <c r="Z194" s="1">
        <f t="shared" si="29"/>
        <v>9.5518766056763127E-2</v>
      </c>
      <c r="AA194" s="8">
        <f t="shared" si="35"/>
        <v>15.166666666666705</v>
      </c>
      <c r="AB194" s="1">
        <v>15.25</v>
      </c>
      <c r="AC194">
        <v>6.9859472930000003E-3</v>
      </c>
      <c r="AD194" s="8">
        <f t="shared" si="30"/>
        <v>0.56004766194265276</v>
      </c>
      <c r="AE194" s="3">
        <f t="shared" si="31"/>
        <v>8.01677479736824E-3</v>
      </c>
      <c r="AF194" s="11">
        <f t="shared" si="32"/>
        <v>15.166666666666705</v>
      </c>
      <c r="AG194" s="1">
        <f t="shared" si="33"/>
        <v>9.5518766056763127E-2</v>
      </c>
    </row>
    <row r="195" spans="2:33" ht="15" x14ac:dyDescent="0.25">
      <c r="B195" s="1">
        <v>184</v>
      </c>
      <c r="C195" s="1">
        <v>0.89881220503368753</v>
      </c>
      <c r="D195" s="1">
        <v>2.3061666897283337</v>
      </c>
      <c r="E195" s="1">
        <v>0.32359317865579396</v>
      </c>
      <c r="G195" s="1">
        <v>0.89881220503368753</v>
      </c>
      <c r="H195" s="1">
        <v>2.3061666897283337</v>
      </c>
      <c r="I195" s="1">
        <v>0.32359317865579396</v>
      </c>
      <c r="K195" s="1">
        <v>1.0007610549564034</v>
      </c>
      <c r="L195" s="1">
        <v>2.0915952506938602</v>
      </c>
      <c r="M195" s="1">
        <v>0.46013398829489005</v>
      </c>
      <c r="O195" s="1">
        <v>6.9574669244964913E-3</v>
      </c>
      <c r="P195" s="1">
        <v>0.89881220503368753</v>
      </c>
      <c r="R195" s="1">
        <v>9.6274260536760844E-2</v>
      </c>
      <c r="S195" s="2">
        <f t="shared" si="36"/>
        <v>0.37516488187340402</v>
      </c>
      <c r="T195" s="4">
        <f t="shared" si="37"/>
        <v>0.14074868859108519</v>
      </c>
      <c r="U195" s="1">
        <f t="shared" si="40"/>
        <v>7.7788292064559172E-2</v>
      </c>
      <c r="V195" s="6">
        <f>2*sigma/alpha*corel*(B195/12-1/alpha*(1-EXP(-alpha*Output!B195/12)))</f>
        <v>0.48398765034051938</v>
      </c>
      <c r="W195" s="5">
        <f t="shared" si="38"/>
        <v>-6.2960396526526019E-2</v>
      </c>
      <c r="X195" s="1">
        <f t="shared" si="34"/>
        <v>4.0958150326423999</v>
      </c>
      <c r="Y195" s="3">
        <f t="shared" si="39"/>
        <v>5.0211663747437997E-2</v>
      </c>
      <c r="Z195" s="1">
        <f t="shared" si="29"/>
        <v>9.5808466741820891E-2</v>
      </c>
      <c r="AA195" s="8">
        <f t="shared" si="35"/>
        <v>15.250000000000039</v>
      </c>
      <c r="AB195" s="1">
        <v>15.33</v>
      </c>
      <c r="AC195">
        <v>7.023580483E-3</v>
      </c>
      <c r="AD195" s="8">
        <f t="shared" si="30"/>
        <v>0.66113558503508651</v>
      </c>
      <c r="AE195" s="3">
        <f t="shared" si="31"/>
        <v>9.4130847740025309E-3</v>
      </c>
      <c r="AF195" s="11">
        <f t="shared" si="32"/>
        <v>15.250000000000039</v>
      </c>
      <c r="AG195" s="1">
        <f t="shared" si="33"/>
        <v>9.5808466741820891E-2</v>
      </c>
    </row>
    <row r="196" spans="2:33" ht="15" x14ac:dyDescent="0.25">
      <c r="B196" s="1">
        <v>185</v>
      </c>
      <c r="C196" s="1">
        <v>0.89793376254351664</v>
      </c>
      <c r="D196" s="1">
        <v>2.3179268462287328</v>
      </c>
      <c r="E196" s="1">
        <v>0.32096546411606108</v>
      </c>
      <c r="G196" s="1">
        <v>0.89793376254351664</v>
      </c>
      <c r="H196" s="1">
        <v>2.3179268462287328</v>
      </c>
      <c r="I196" s="1">
        <v>0.32096546411606108</v>
      </c>
      <c r="K196" s="1">
        <v>1.0008270552813179</v>
      </c>
      <c r="L196" s="1">
        <v>2.1063451812765051</v>
      </c>
      <c r="M196" s="1">
        <v>0.45680932278351249</v>
      </c>
      <c r="O196" s="1">
        <v>6.9832848316422605E-3</v>
      </c>
      <c r="P196" s="1">
        <v>0.89793376254351664</v>
      </c>
      <c r="R196" s="1">
        <v>9.6660306892700304E-2</v>
      </c>
      <c r="S196" s="2">
        <f t="shared" si="36"/>
        <v>0.37738348492792817</v>
      </c>
      <c r="T196" s="4">
        <f t="shared" si="37"/>
        <v>0.14241829469634779</v>
      </c>
      <c r="U196" s="1">
        <f t="shared" si="40"/>
        <v>7.8887306792431833E-2</v>
      </c>
      <c r="V196" s="6">
        <f>2*sigma/alpha*corel*(B196/12-1/alpha*(1-EXP(-alpha*Output!B196/12)))</f>
        <v>0.48877263840712271</v>
      </c>
      <c r="W196" s="5">
        <f t="shared" si="38"/>
        <v>-6.3530987903915953E-2</v>
      </c>
      <c r="X196" s="1">
        <f t="shared" si="34"/>
        <v>4.156642946130277</v>
      </c>
      <c r="Y196" s="3">
        <f t="shared" si="39"/>
        <v>5.0270660607404205E-2</v>
      </c>
      <c r="Z196" s="1">
        <f t="shared" si="29"/>
        <v>9.611422079881364E-2</v>
      </c>
      <c r="AA196" s="8">
        <f t="shared" si="35"/>
        <v>15.333333333333373</v>
      </c>
      <c r="AB196" s="1">
        <v>15.42</v>
      </c>
      <c r="AC196">
        <v>7.0606549580000001E-3</v>
      </c>
      <c r="AD196" s="8">
        <f t="shared" si="30"/>
        <v>0.77370126357739588</v>
      </c>
      <c r="AE196" s="3">
        <f t="shared" si="31"/>
        <v>1.0957924840963399E-2</v>
      </c>
      <c r="AF196" s="11">
        <f t="shared" si="32"/>
        <v>15.333333333333373</v>
      </c>
      <c r="AG196" s="1">
        <f t="shared" si="33"/>
        <v>9.611422079881364E-2</v>
      </c>
    </row>
    <row r="197" spans="2:33" ht="15" x14ac:dyDescent="0.25">
      <c r="B197" s="1">
        <v>186</v>
      </c>
      <c r="C197" s="1">
        <v>0.89707120229633641</v>
      </c>
      <c r="D197" s="1">
        <v>2.330404791312251</v>
      </c>
      <c r="E197" s="1">
        <v>0.31826861871419482</v>
      </c>
      <c r="G197" s="1">
        <v>0.89707120229633641</v>
      </c>
      <c r="H197" s="1">
        <v>2.330404791312251</v>
      </c>
      <c r="I197" s="1">
        <v>0.31826861871419482</v>
      </c>
      <c r="K197" s="1">
        <v>1.0008432237038716</v>
      </c>
      <c r="L197" s="1">
        <v>2.1024106327119716</v>
      </c>
      <c r="M197" s="1">
        <v>0.45757183253301276</v>
      </c>
      <c r="O197" s="1">
        <v>7.0077446333446942E-3</v>
      </c>
      <c r="P197" s="1">
        <v>0.89707120229633641</v>
      </c>
      <c r="R197" s="1">
        <v>9.7110414106314782E-2</v>
      </c>
      <c r="S197" s="2">
        <f t="shared" si="36"/>
        <v>0.37976366038475573</v>
      </c>
      <c r="T197" s="4">
        <f t="shared" si="37"/>
        <v>0.14422043774882809</v>
      </c>
      <c r="U197" s="1">
        <f t="shared" si="40"/>
        <v>7.9994947218474444E-2</v>
      </c>
      <c r="V197" s="6">
        <f>2*sigma/alpha*corel*(B197/12-1/alpha*(1-EXP(-alpha*Output!B197/12)))</f>
        <v>0.49357636748335776</v>
      </c>
      <c r="W197" s="5">
        <f t="shared" si="38"/>
        <v>-6.4225490530353646E-2</v>
      </c>
      <c r="X197" s="1">
        <f t="shared" si="34"/>
        <v>4.2255980434199927</v>
      </c>
      <c r="Y197" s="3">
        <f t="shared" si="39"/>
        <v>5.0388696187511739E-2</v>
      </c>
      <c r="Z197" s="1">
        <f t="shared" si="29"/>
        <v>9.6460066197842378E-2</v>
      </c>
      <c r="AA197" s="8">
        <f t="shared" si="35"/>
        <v>15.416666666666707</v>
      </c>
      <c r="AB197" s="1">
        <v>15.5</v>
      </c>
      <c r="AC197">
        <v>7.0971787539999996E-3</v>
      </c>
      <c r="AD197" s="8">
        <f t="shared" si="30"/>
        <v>0.89434120655305405</v>
      </c>
      <c r="AE197" s="3">
        <f t="shared" si="31"/>
        <v>1.2601362281441757E-2</v>
      </c>
      <c r="AF197" s="11">
        <f t="shared" si="32"/>
        <v>15.416666666666707</v>
      </c>
      <c r="AG197" s="1">
        <f t="shared" si="33"/>
        <v>9.6460066197842378E-2</v>
      </c>
    </row>
    <row r="198" spans="2:33" ht="15" x14ac:dyDescent="0.25">
      <c r="B198" s="1">
        <v>187</v>
      </c>
      <c r="C198" s="1">
        <v>0.89622178309284684</v>
      </c>
      <c r="D198" s="1">
        <v>2.3443360840210055</v>
      </c>
      <c r="E198" s="1">
        <v>0.31541761291950543</v>
      </c>
      <c r="G198" s="1">
        <v>0.89622178309284684</v>
      </c>
      <c r="H198" s="1">
        <v>2.3443360840210055</v>
      </c>
      <c r="I198" s="1">
        <v>0.31541761291950543</v>
      </c>
      <c r="K198" s="1">
        <v>1.000921272434397</v>
      </c>
      <c r="L198" s="1">
        <v>2.1163245842533103</v>
      </c>
      <c r="M198" s="1">
        <v>0.45446174495318176</v>
      </c>
      <c r="O198" s="1">
        <v>7.0310612318752914E-3</v>
      </c>
      <c r="P198" s="1">
        <v>0.89622178309284684</v>
      </c>
      <c r="R198" s="1">
        <v>9.7512866038801604E-2</v>
      </c>
      <c r="S198" s="2">
        <f t="shared" si="36"/>
        <v>0.38199550401568905</v>
      </c>
      <c r="T198" s="4">
        <f t="shared" si="37"/>
        <v>0.14592056508820031</v>
      </c>
      <c r="U198" s="1">
        <f t="shared" si="40"/>
        <v>8.1111218187779333E-2</v>
      </c>
      <c r="V198" s="6">
        <f>2*sigma/alpha*corel*(B198/12-1/alpha*(1-EXP(-alpha*Output!B198/12)))</f>
        <v>0.49839877520319309</v>
      </c>
      <c r="W198" s="5">
        <f t="shared" si="38"/>
        <v>-6.4809346900420978E-2</v>
      </c>
      <c r="X198" s="1">
        <f t="shared" si="34"/>
        <v>4.2881839625836173</v>
      </c>
      <c r="Y198" s="3">
        <f t="shared" si="39"/>
        <v>5.0451154028313183E-2</v>
      </c>
      <c r="Z198" s="1">
        <f t="shared" si="29"/>
        <v>9.6767176923397341E-2</v>
      </c>
      <c r="AA198" s="8">
        <f t="shared" si="35"/>
        <v>15.500000000000041</v>
      </c>
      <c r="AB198" s="1">
        <v>15.58</v>
      </c>
      <c r="AC198">
        <v>7.1331599090000003E-3</v>
      </c>
      <c r="AD198" s="8">
        <f t="shared" si="30"/>
        <v>1.0209867712470886</v>
      </c>
      <c r="AE198" s="3">
        <f t="shared" si="31"/>
        <v>1.4313246643453155E-2</v>
      </c>
      <c r="AF198" s="11">
        <f t="shared" si="32"/>
        <v>15.500000000000041</v>
      </c>
      <c r="AG198" s="1">
        <f t="shared" si="33"/>
        <v>9.6767176923397341E-2</v>
      </c>
    </row>
    <row r="199" spans="2:33" ht="15" x14ac:dyDescent="0.25">
      <c r="B199" s="1">
        <v>188</v>
      </c>
      <c r="C199" s="1">
        <v>0.89537946904520327</v>
      </c>
      <c r="D199" s="1">
        <v>2.35882436193801</v>
      </c>
      <c r="E199" s="1">
        <v>0.31253906738342291</v>
      </c>
      <c r="G199" s="1">
        <v>0.89537946904520327</v>
      </c>
      <c r="H199" s="1">
        <v>2.35882436193801</v>
      </c>
      <c r="I199" s="1">
        <v>0.31253906738342291</v>
      </c>
      <c r="K199" s="1">
        <v>1.000911936179159</v>
      </c>
      <c r="L199" s="1">
        <v>2.1561475155135605</v>
      </c>
      <c r="M199" s="1">
        <v>0.44598892745242547</v>
      </c>
      <c r="O199" s="1">
        <v>7.0536806045546985E-3</v>
      </c>
      <c r="P199" s="1">
        <v>0.89537946904520327</v>
      </c>
      <c r="R199" s="1">
        <v>9.7963500257316635E-2</v>
      </c>
      <c r="S199" s="2">
        <f t="shared" si="36"/>
        <v>0.3843559651228089</v>
      </c>
      <c r="T199" s="4">
        <f t="shared" si="37"/>
        <v>0.14772950792548589</v>
      </c>
      <c r="U199" s="1">
        <f t="shared" si="40"/>
        <v>8.2236124306396263E-2</v>
      </c>
      <c r="V199" s="6">
        <f>2*sigma/alpha*corel*(B199/12-1/alpha*(1-EXP(-alpha*Output!B199/12)))</f>
        <v>0.50323979940813812</v>
      </c>
      <c r="W199" s="5">
        <f t="shared" si="38"/>
        <v>-6.5493383619089629E-2</v>
      </c>
      <c r="X199" s="1">
        <f t="shared" si="34"/>
        <v>4.3575023358379603</v>
      </c>
      <c r="Y199" s="3">
        <f t="shared" si="39"/>
        <v>5.0560319189322578E-2</v>
      </c>
      <c r="Z199" s="1">
        <f t="shared" si="29"/>
        <v>9.7105834320464837E-2</v>
      </c>
      <c r="AA199" s="8">
        <f t="shared" si="35"/>
        <v>15.583333333333375</v>
      </c>
      <c r="AB199" s="1">
        <v>15.67</v>
      </c>
      <c r="AC199">
        <v>7.1686064890000003E-3</v>
      </c>
      <c r="AD199" s="8">
        <f t="shared" si="30"/>
        <v>1.1492588444530181</v>
      </c>
      <c r="AE199" s="3">
        <f t="shared" si="31"/>
        <v>1.603183054079645E-2</v>
      </c>
      <c r="AF199" s="11">
        <f t="shared" si="32"/>
        <v>15.583333333333375</v>
      </c>
      <c r="AG199" s="1">
        <f t="shared" si="33"/>
        <v>9.7105834320464837E-2</v>
      </c>
    </row>
    <row r="200" spans="2:33" ht="15" x14ac:dyDescent="0.25">
      <c r="B200" s="1">
        <v>189</v>
      </c>
      <c r="C200" s="1">
        <v>0.89454201467852945</v>
      </c>
      <c r="D200" s="1">
        <v>2.3728170083523161</v>
      </c>
      <c r="E200" s="1">
        <v>0.30975096022797671</v>
      </c>
      <c r="G200" s="1">
        <v>0.89454201467852945</v>
      </c>
      <c r="H200" s="1">
        <v>2.3728170083523161</v>
      </c>
      <c r="I200" s="1">
        <v>0.30975096022797671</v>
      </c>
      <c r="K200" s="1">
        <v>1.0009299381703183</v>
      </c>
      <c r="L200" s="1">
        <v>2.1896680970440658</v>
      </c>
      <c r="M200" s="1">
        <v>0.43906340521088338</v>
      </c>
      <c r="O200" s="1">
        <v>7.0757718807171223E-3</v>
      </c>
      <c r="P200" s="1">
        <v>0.89454201467852945</v>
      </c>
      <c r="R200" s="1">
        <v>9.8332266315280012E-2</v>
      </c>
      <c r="S200" s="2">
        <f t="shared" si="36"/>
        <v>0.38648224006546694</v>
      </c>
      <c r="T200" s="4">
        <f t="shared" si="37"/>
        <v>0.14936852188602123</v>
      </c>
      <c r="U200" s="1">
        <f t="shared" si="40"/>
        <v>8.3369669943607949E-2</v>
      </c>
      <c r="V200" s="6">
        <f>2*sigma/alpha*corel*(B200/12-1/alpha*(1-EXP(-alpha*Output!B200/12)))</f>
        <v>0.5080993781465537</v>
      </c>
      <c r="W200" s="5">
        <f t="shared" si="38"/>
        <v>-6.5998851942413284E-2</v>
      </c>
      <c r="X200" s="1">
        <f t="shared" si="34"/>
        <v>4.416092650444952</v>
      </c>
      <c r="Y200" s="3">
        <f t="shared" si="39"/>
        <v>5.0582563562746236E-2</v>
      </c>
      <c r="Z200" s="1">
        <f t="shared" si="29"/>
        <v>9.7384370795846567E-2</v>
      </c>
      <c r="AA200" s="8">
        <f t="shared" si="35"/>
        <v>15.666666666666709</v>
      </c>
      <c r="AB200" s="1">
        <v>15.75</v>
      </c>
      <c r="AC200">
        <v>7.2035266899999999E-3</v>
      </c>
      <c r="AD200" s="8">
        <f t="shared" si="30"/>
        <v>1.2775480928287757</v>
      </c>
      <c r="AE200" s="3">
        <f t="shared" si="31"/>
        <v>1.773503657038266E-2</v>
      </c>
      <c r="AF200" s="11">
        <f t="shared" si="32"/>
        <v>15.666666666666709</v>
      </c>
      <c r="AG200" s="1">
        <f t="shared" si="33"/>
        <v>9.7384370795846567E-2</v>
      </c>
    </row>
    <row r="201" spans="2:33" ht="15" x14ac:dyDescent="0.25">
      <c r="B201" s="1">
        <v>190</v>
      </c>
      <c r="C201" s="1">
        <v>0.89370509500587392</v>
      </c>
      <c r="D201" s="1">
        <v>2.3868057378809939</v>
      </c>
      <c r="E201" s="1">
        <v>0.30700273232431768</v>
      </c>
      <c r="G201" s="1">
        <v>0.89370509500587392</v>
      </c>
      <c r="H201" s="1">
        <v>2.3868057378809939</v>
      </c>
      <c r="I201" s="1">
        <v>0.30700273232431768</v>
      </c>
      <c r="K201" s="1">
        <v>1.0009393068822667</v>
      </c>
      <c r="L201" s="1">
        <v>2.1800455509564749</v>
      </c>
      <c r="M201" s="1">
        <v>0.44090731949530471</v>
      </c>
      <c r="O201" s="1">
        <v>7.0976481843934855E-3</v>
      </c>
      <c r="P201" s="1">
        <v>0.89370509500587392</v>
      </c>
      <c r="R201" s="1">
        <v>9.8875856336419016E-2</v>
      </c>
      <c r="S201" s="2">
        <f t="shared" si="36"/>
        <v>0.38910251600652201</v>
      </c>
      <c r="T201" s="4">
        <f t="shared" si="37"/>
        <v>0.15140076796260571</v>
      </c>
      <c r="U201" s="1">
        <f t="shared" si="40"/>
        <v>8.4511859234190467E-2</v>
      </c>
      <c r="V201" s="6">
        <f>2*sigma/alpha*corel*(B201/12-1/alpha*(1-EXP(-alpha*Output!B201/12)))</f>
        <v>0.51297744967296</v>
      </c>
      <c r="W201" s="5">
        <f t="shared" si="38"/>
        <v>-6.6888908728415242E-2</v>
      </c>
      <c r="X201" s="1">
        <f t="shared" si="34"/>
        <v>4.4994434166726052</v>
      </c>
      <c r="Y201" s="3">
        <f t="shared" si="39"/>
        <v>5.0785632690996785E-2</v>
      </c>
      <c r="Z201" s="1">
        <f t="shared" si="29"/>
        <v>9.7786265733278255E-2</v>
      </c>
      <c r="AA201" s="8">
        <f t="shared" si="35"/>
        <v>15.750000000000043</v>
      </c>
      <c r="AB201" s="1">
        <v>15.83</v>
      </c>
      <c r="AC201">
        <v>7.2379287370000003E-3</v>
      </c>
      <c r="AD201" s="8">
        <f t="shared" si="30"/>
        <v>1.402805526065148</v>
      </c>
      <c r="AE201" s="3">
        <f t="shared" si="31"/>
        <v>1.9381311657492049E-2</v>
      </c>
      <c r="AF201" s="11">
        <f t="shared" si="32"/>
        <v>15.750000000000043</v>
      </c>
      <c r="AG201" s="1">
        <f t="shared" si="33"/>
        <v>9.7786265733278255E-2</v>
      </c>
    </row>
    <row r="202" spans="2:33" ht="15" x14ac:dyDescent="0.25">
      <c r="B202" s="1">
        <v>191</v>
      </c>
      <c r="C202" s="1">
        <v>0.89286396103239163</v>
      </c>
      <c r="D202" s="1">
        <v>2.401248649297635</v>
      </c>
      <c r="E202" s="1">
        <v>0.30421952480910225</v>
      </c>
      <c r="G202" s="1">
        <v>0.89286396103239163</v>
      </c>
      <c r="H202" s="1">
        <v>2.401248649297635</v>
      </c>
      <c r="I202" s="1">
        <v>0.30421952480910225</v>
      </c>
      <c r="K202" s="1">
        <v>1.0008973519438078</v>
      </c>
      <c r="L202" s="1">
        <v>2.1961269011543196</v>
      </c>
      <c r="M202" s="1">
        <v>0.43758231326999869</v>
      </c>
      <c r="O202" s="1">
        <v>7.1196470563276255E-3</v>
      </c>
      <c r="P202" s="1">
        <v>0.89286396103239163</v>
      </c>
      <c r="R202" s="1">
        <v>9.9147395573248018E-2</v>
      </c>
      <c r="S202" s="2">
        <f t="shared" si="36"/>
        <v>0.39096420094779838</v>
      </c>
      <c r="T202" s="4">
        <f t="shared" si="37"/>
        <v>0.15285300642275046</v>
      </c>
      <c r="U202" s="1">
        <f t="shared" si="40"/>
        <v>8.5662696080654133E-2</v>
      </c>
      <c r="V202" s="6">
        <f>2*sigma/alpha*corel*(B202/12-1/alpha*(1-EXP(-alpha*Output!B202/12)))</f>
        <v>0.51787395244735479</v>
      </c>
      <c r="W202" s="5">
        <f t="shared" si="38"/>
        <v>-6.7190310342096327E-2</v>
      </c>
      <c r="X202" s="1">
        <f t="shared" si="34"/>
        <v>4.5459765224035777</v>
      </c>
      <c r="Y202" s="3">
        <f t="shared" si="39"/>
        <v>5.0709600692355652E-2</v>
      </c>
      <c r="Z202" s="1">
        <f t="shared" si="29"/>
        <v>9.7996582830502457E-2</v>
      </c>
      <c r="AA202" s="8">
        <f t="shared" si="35"/>
        <v>15.833333333333377</v>
      </c>
      <c r="AB202" s="1">
        <v>15.92</v>
      </c>
      <c r="AC202">
        <v>7.2718208549999996E-3</v>
      </c>
      <c r="AD202" s="8">
        <f t="shared" si="30"/>
        <v>1.5217379867237413</v>
      </c>
      <c r="AE202" s="3">
        <f t="shared" si="31"/>
        <v>2.0926505438832642E-2</v>
      </c>
      <c r="AF202" s="11">
        <f t="shared" si="32"/>
        <v>15.833333333333377</v>
      </c>
      <c r="AG202" s="1">
        <f t="shared" si="33"/>
        <v>9.7996582830502457E-2</v>
      </c>
    </row>
    <row r="203" spans="2:33" ht="15" x14ac:dyDescent="0.25">
      <c r="B203" s="1">
        <v>192</v>
      </c>
      <c r="C203" s="1">
        <v>0.89201346382766389</v>
      </c>
      <c r="D203" s="1">
        <v>2.4151672503320856</v>
      </c>
      <c r="E203" s="1">
        <v>0.30153178144976484</v>
      </c>
      <c r="G203" s="1">
        <v>0.89201346382766389</v>
      </c>
      <c r="H203" s="1">
        <v>2.4151672503320856</v>
      </c>
      <c r="I203" s="1">
        <v>0.30153178144976484</v>
      </c>
      <c r="K203" s="1">
        <v>1.0008752450086318</v>
      </c>
      <c r="L203" s="1">
        <v>2.1974046287584783</v>
      </c>
      <c r="M203" s="1">
        <v>0.43722860784315526</v>
      </c>
      <c r="O203" s="1">
        <v>7.1421282836774333E-3</v>
      </c>
      <c r="P203" s="1">
        <v>0.89201346382766389</v>
      </c>
      <c r="R203" s="1">
        <v>9.9480842547830448E-2</v>
      </c>
      <c r="S203" s="2">
        <f t="shared" si="36"/>
        <v>0.39301452794535974</v>
      </c>
      <c r="T203" s="4">
        <f t="shared" si="37"/>
        <v>0.15446041917611394</v>
      </c>
      <c r="U203" s="1">
        <f t="shared" si="40"/>
        <v>8.6822184155468829E-2</v>
      </c>
      <c r="V203" s="6">
        <f>2*sigma/alpha*corel*(B203/12-1/alpha*(1-EXP(-alpha*Output!B203/12)))</f>
        <v>0.52278882513452674</v>
      </c>
      <c r="W203" s="5">
        <f t="shared" si="38"/>
        <v>-6.7638235020645116E-2</v>
      </c>
      <c r="X203" s="1">
        <f t="shared" si="34"/>
        <v>4.6021551970068266</v>
      </c>
      <c r="Y203" s="3">
        <f t="shared" si="39"/>
        <v>5.0702331496086508E-2</v>
      </c>
      <c r="Z203" s="1">
        <f t="shared" si="29"/>
        <v>9.8253631986339934E-2</v>
      </c>
      <c r="AA203" s="8">
        <f t="shared" si="35"/>
        <v>15.91666666666671</v>
      </c>
      <c r="AB203" s="1">
        <v>16</v>
      </c>
      <c r="AC203">
        <v>7.305211271E-3</v>
      </c>
      <c r="AD203" s="8">
        <f t="shared" si="30"/>
        <v>1.6308298732256674</v>
      </c>
      <c r="AE203" s="3">
        <f t="shared" si="31"/>
        <v>2.232419861284074E-2</v>
      </c>
      <c r="AF203" s="11">
        <f t="shared" si="32"/>
        <v>15.91666666666671</v>
      </c>
      <c r="AG203" s="1">
        <f t="shared" si="33"/>
        <v>9.8253631986339934E-2</v>
      </c>
    </row>
    <row r="204" spans="2:33" ht="15" x14ac:dyDescent="0.25">
      <c r="B204" s="1">
        <v>193</v>
      </c>
      <c r="C204" s="1">
        <v>0.89115264875195355</v>
      </c>
      <c r="D204" s="1">
        <v>2.4290121207704827</v>
      </c>
      <c r="E204" s="1">
        <v>0.29886431560071725</v>
      </c>
      <c r="G204" s="1">
        <v>0.89115264875195355</v>
      </c>
      <c r="H204" s="1">
        <v>2.4290121207704827</v>
      </c>
      <c r="I204" s="1">
        <v>0.29886431560071725</v>
      </c>
      <c r="K204" s="1">
        <v>1.0009093803636326</v>
      </c>
      <c r="L204" s="1">
        <v>2.2071036306304155</v>
      </c>
      <c r="M204" s="1">
        <v>0.43522784607479587</v>
      </c>
      <c r="O204" s="1">
        <v>7.1651529470360756E-3</v>
      </c>
      <c r="P204" s="1">
        <v>0.89115264875195355</v>
      </c>
      <c r="R204" s="1">
        <v>9.9772092644456231E-2</v>
      </c>
      <c r="S204" s="2">
        <f t="shared" si="36"/>
        <v>0.39496116279479665</v>
      </c>
      <c r="T204" s="4">
        <f t="shared" si="37"/>
        <v>0.15599432011621786</v>
      </c>
      <c r="U204" s="1">
        <f t="shared" si="40"/>
        <v>8.7990326903271576E-2</v>
      </c>
      <c r="V204" s="6">
        <f>2*sigma/alpha*corel*(B204/12-1/alpha*(1-EXP(-alpha*Output!B204/12)))</f>
        <v>0.52772200660337454</v>
      </c>
      <c r="W204" s="5">
        <f t="shared" si="38"/>
        <v>-6.8003993212946284E-2</v>
      </c>
      <c r="X204" s="1">
        <f t="shared" si="34"/>
        <v>4.6534140796197025</v>
      </c>
      <c r="Y204" s="3">
        <f t="shared" si="39"/>
        <v>5.0656642513587438E-2</v>
      </c>
      <c r="Z204" s="1">
        <f t="shared" si="29"/>
        <v>9.8484154623417447E-2</v>
      </c>
      <c r="AA204" s="8">
        <f t="shared" si="35"/>
        <v>16.000000000000043</v>
      </c>
      <c r="AB204" s="1">
        <v>16.079999999999998</v>
      </c>
      <c r="AC204">
        <v>7.3381082089999999E-3</v>
      </c>
      <c r="AD204" s="8">
        <f t="shared" si="30"/>
        <v>1.7295526196392432</v>
      </c>
      <c r="AE204" s="3">
        <f t="shared" si="31"/>
        <v>2.3569461915511028E-2</v>
      </c>
      <c r="AF204" s="11">
        <f t="shared" si="32"/>
        <v>16.000000000000043</v>
      </c>
      <c r="AG204" s="1">
        <f t="shared" si="33"/>
        <v>9.8484154623417447E-2</v>
      </c>
    </row>
    <row r="205" spans="2:33" ht="15" x14ac:dyDescent="0.25">
      <c r="B205" s="1">
        <v>194</v>
      </c>
      <c r="C205" s="1">
        <v>0.89027930857250159</v>
      </c>
      <c r="D205" s="1">
        <v>2.4437330466019893</v>
      </c>
      <c r="E205" s="1">
        <v>0.29612081729345574</v>
      </c>
      <c r="G205" s="1">
        <v>0.89027930857250159</v>
      </c>
      <c r="H205" s="1">
        <v>2.4437330466019893</v>
      </c>
      <c r="I205" s="1">
        <v>0.29612081729345574</v>
      </c>
      <c r="K205" s="1">
        <v>1.0009550456144098</v>
      </c>
      <c r="L205" s="1">
        <v>2.1946431157312136</v>
      </c>
      <c r="M205" s="1">
        <v>0.43761383283683919</v>
      </c>
      <c r="O205" s="1">
        <v>7.1888681835152865E-3</v>
      </c>
      <c r="P205" s="1">
        <v>0.89027930857250159</v>
      </c>
      <c r="R205" s="1">
        <v>0.10009217592428385</v>
      </c>
      <c r="S205" s="2">
        <f t="shared" si="36"/>
        <v>0.39700757607796455</v>
      </c>
      <c r="T205" s="4">
        <f t="shared" si="37"/>
        <v>0.15761501546330081</v>
      </c>
      <c r="U205" s="1">
        <f t="shared" si="40"/>
        <v>8.9167127543057223E-2</v>
      </c>
      <c r="V205" s="6">
        <f>2*sigma/alpha*corel*(B205/12-1/alpha*(1-EXP(-alpha*Output!B205/12)))</f>
        <v>0.53267343592622973</v>
      </c>
      <c r="W205" s="5">
        <f t="shared" si="38"/>
        <v>-6.8447887920243589E-2</v>
      </c>
      <c r="X205" s="1">
        <f t="shared" si="34"/>
        <v>4.7100377415172074</v>
      </c>
      <c r="Y205" s="3">
        <f t="shared" si="39"/>
        <v>5.06470732164125E-2</v>
      </c>
      <c r="Z205" s="1">
        <f t="shared" ref="Z205:Z268" si="41">S205/SQRT(B205/12)</f>
        <v>9.873896090091186E-2</v>
      </c>
      <c r="AA205" s="8">
        <f t="shared" si="35"/>
        <v>16.083333333333375</v>
      </c>
      <c r="AB205" s="1">
        <v>16.170000000000002</v>
      </c>
      <c r="AC205">
        <v>7.3705199179999997E-3</v>
      </c>
      <c r="AD205" s="8">
        <f t="shared" ref="AD205:AD268" si="42">(AC205-O205)*10000</f>
        <v>1.8165173448471319</v>
      </c>
      <c r="AE205" s="3">
        <f t="shared" ref="AE205:AE268" si="43">AD205/AC205/10000</f>
        <v>2.4645715160621209E-2</v>
      </c>
      <c r="AF205" s="11">
        <f t="shared" ref="AF205:AF268" si="44">AA205</f>
        <v>16.083333333333375</v>
      </c>
      <c r="AG205" s="1">
        <f t="shared" ref="AG205:AG268" si="45">Z205</f>
        <v>9.873896090091186E-2</v>
      </c>
    </row>
    <row r="206" spans="2:33" ht="15" x14ac:dyDescent="0.25">
      <c r="B206" s="1">
        <v>195</v>
      </c>
      <c r="C206" s="1">
        <v>0.88939356475825593</v>
      </c>
      <c r="D206" s="1">
        <v>2.4591171769334808</v>
      </c>
      <c r="E206" s="1">
        <v>0.293332551113197</v>
      </c>
      <c r="G206" s="1">
        <v>0.88939356475825593</v>
      </c>
      <c r="H206" s="1">
        <v>2.4591171769334808</v>
      </c>
      <c r="I206" s="1">
        <v>0.293332551113197</v>
      </c>
      <c r="K206" s="1">
        <v>1.0010144720402083</v>
      </c>
      <c r="L206" s="1">
        <v>2.2327200274392252</v>
      </c>
      <c r="M206" s="1">
        <v>0.43006401885741552</v>
      </c>
      <c r="O206" s="1">
        <v>7.2132576257399718E-3</v>
      </c>
      <c r="P206" s="1">
        <v>0.88939356475825593</v>
      </c>
      <c r="R206" s="1">
        <v>0.10049768602375762</v>
      </c>
      <c r="S206" s="2">
        <f t="shared" si="36"/>
        <v>0.39931411683853923</v>
      </c>
      <c r="T206" s="4">
        <f t="shared" si="37"/>
        <v>0.15945176390654256</v>
      </c>
      <c r="U206" s="1">
        <f t="shared" si="40"/>
        <v>9.0352589070352707E-2</v>
      </c>
      <c r="V206" s="6">
        <f>2*sigma/alpha*corel*(B206/12-1/alpha*(1-EXP(-alpha*Output!B206/12)))</f>
        <v>0.53764305237817522</v>
      </c>
      <c r="W206" s="5">
        <f t="shared" si="38"/>
        <v>-6.9099174836189853E-2</v>
      </c>
      <c r="X206" s="1">
        <f t="shared" ref="X206:X269" si="46">V206*V206-4*W206*B206/12</f>
        <v>4.7805064161228623</v>
      </c>
      <c r="Y206" s="3">
        <f t="shared" si="39"/>
        <v>5.0732119081034546E-2</v>
      </c>
      <c r="Z206" s="1">
        <f t="shared" si="41"/>
        <v>9.9057640999584778E-2</v>
      </c>
      <c r="AA206" s="8">
        <f t="shared" ref="AA206:AA269" si="47">AA205+1/12</f>
        <v>16.166666666666707</v>
      </c>
      <c r="AB206" s="1">
        <v>16.25</v>
      </c>
      <c r="AC206">
        <v>7.4024547310000003E-3</v>
      </c>
      <c r="AD206" s="8">
        <f t="shared" si="42"/>
        <v>1.8919710526002844</v>
      </c>
      <c r="AE206" s="3">
        <f t="shared" si="43"/>
        <v>2.5558698044813269E-2</v>
      </c>
      <c r="AF206" s="11">
        <f t="shared" si="44"/>
        <v>16.166666666666707</v>
      </c>
      <c r="AG206" s="1">
        <f t="shared" si="45"/>
        <v>9.9057640999584778E-2</v>
      </c>
    </row>
    <row r="207" spans="2:33" ht="15" x14ac:dyDescent="0.25">
      <c r="B207" s="1">
        <v>196</v>
      </c>
      <c r="C207" s="1">
        <v>0.8884974383473373</v>
      </c>
      <c r="D207" s="1">
        <v>2.474145182839329</v>
      </c>
      <c r="E207" s="1">
        <v>0.29060474848159018</v>
      </c>
      <c r="G207" s="1">
        <v>0.8884974383473373</v>
      </c>
      <c r="H207" s="1">
        <v>2.474145182839329</v>
      </c>
      <c r="I207" s="1">
        <v>0.29060474848159018</v>
      </c>
      <c r="K207" s="1">
        <v>1.0010379454372493</v>
      </c>
      <c r="L207" s="1">
        <v>2.2969509080004489</v>
      </c>
      <c r="M207" s="1">
        <v>0.4179316611563253</v>
      </c>
      <c r="O207" s="1">
        <v>7.2381743578896762E-3</v>
      </c>
      <c r="P207" s="1">
        <v>0.8884974383473373</v>
      </c>
      <c r="R207" s="1">
        <v>0.10073353782621143</v>
      </c>
      <c r="S207" s="2">
        <f t="shared" si="36"/>
        <v>0.40115609474995739</v>
      </c>
      <c r="T207" s="4">
        <f t="shared" si="37"/>
        <v>0.16092621235503679</v>
      </c>
      <c r="U207" s="1">
        <f t="shared" si="40"/>
        <v>9.1546714259375328E-2</v>
      </c>
      <c r="V207" s="6">
        <f>2*sigma/alpha*corel*(B207/12-1/alpha*(1-EXP(-alpha*Output!B207/12)))</f>
        <v>0.5426307954363756</v>
      </c>
      <c r="W207" s="5">
        <f t="shared" si="38"/>
        <v>-6.9379498095661463E-2</v>
      </c>
      <c r="X207" s="1">
        <f t="shared" si="46"/>
        <v>4.8272420557391289</v>
      </c>
      <c r="Y207" s="3">
        <f t="shared" si="39"/>
        <v>5.0646972199187318E-2</v>
      </c>
      <c r="Z207" s="1">
        <f t="shared" si="41"/>
        <v>9.9260391124691538E-2</v>
      </c>
      <c r="AA207" s="8">
        <f t="shared" si="47"/>
        <v>16.250000000000039</v>
      </c>
      <c r="AB207" s="1">
        <v>16.329999999999998</v>
      </c>
      <c r="AC207">
        <v>7.4339210060000004E-3</v>
      </c>
      <c r="AD207" s="8">
        <f t="shared" si="42"/>
        <v>1.9574664811032421</v>
      </c>
      <c r="AE207" s="3">
        <f t="shared" si="43"/>
        <v>2.6331548042054106E-2</v>
      </c>
      <c r="AF207" s="11">
        <f t="shared" si="44"/>
        <v>16.250000000000039</v>
      </c>
      <c r="AG207" s="1">
        <f t="shared" si="45"/>
        <v>9.9260391124691538E-2</v>
      </c>
    </row>
    <row r="208" spans="2:33" ht="15" x14ac:dyDescent="0.25">
      <c r="B208" s="1">
        <v>197</v>
      </c>
      <c r="C208" s="1">
        <v>0.88759075683459521</v>
      </c>
      <c r="D208" s="1">
        <v>2.4896058953867599</v>
      </c>
      <c r="E208" s="1">
        <v>0.28785261945883706</v>
      </c>
      <c r="G208" s="1">
        <v>0.88759075683459521</v>
      </c>
      <c r="H208" s="1">
        <v>2.4896058953867599</v>
      </c>
      <c r="I208" s="1">
        <v>0.28785261945883706</v>
      </c>
      <c r="K208" s="1">
        <v>1.0010371171029828</v>
      </c>
      <c r="L208" s="1">
        <v>2.2561436065911664</v>
      </c>
      <c r="M208" s="1">
        <v>0.42540728607304679</v>
      </c>
      <c r="O208" s="1">
        <v>7.2636244653081885E-3</v>
      </c>
      <c r="P208" s="1">
        <v>0.88759075683459521</v>
      </c>
      <c r="R208" s="1">
        <v>0.10089367863445099</v>
      </c>
      <c r="S208" s="2">
        <f t="shared" si="36"/>
        <v>0.40279880534639034</v>
      </c>
      <c r="T208" s="4">
        <f t="shared" si="37"/>
        <v>0.16224687758847925</v>
      </c>
      <c r="U208" s="1">
        <f t="shared" si="40"/>
        <v>9.2749505665170151E-2</v>
      </c>
      <c r="V208" s="6">
        <f>2*sigma/alpha*corel*(B208/12-1/alpha*(1-EXP(-alpha*Output!B208/12)))</f>
        <v>0.54763660477940146</v>
      </c>
      <c r="W208" s="5">
        <f t="shared" si="38"/>
        <v>-6.9497371923309098E-2</v>
      </c>
      <c r="X208" s="1">
        <f t="shared" si="46"/>
        <v>4.8635666071916077</v>
      </c>
      <c r="Y208" s="3">
        <f t="shared" si="39"/>
        <v>5.0488718933209567E-2</v>
      </c>
      <c r="Z208" s="1">
        <f t="shared" si="41"/>
        <v>9.9413573184492163E-2</v>
      </c>
      <c r="AA208" s="8">
        <f t="shared" si="47"/>
        <v>16.333333333333371</v>
      </c>
      <c r="AB208" s="1">
        <v>16.420000000000002</v>
      </c>
      <c r="AC208">
        <v>7.4649270989999997E-3</v>
      </c>
      <c r="AD208" s="8">
        <f t="shared" si="42"/>
        <v>2.0130263369181125</v>
      </c>
      <c r="AE208" s="3">
        <f t="shared" si="43"/>
        <v>2.6966456741255748E-2</v>
      </c>
      <c r="AF208" s="11">
        <f t="shared" si="44"/>
        <v>16.333333333333371</v>
      </c>
      <c r="AG208" s="1">
        <f t="shared" si="45"/>
        <v>9.9413573184492163E-2</v>
      </c>
    </row>
    <row r="209" spans="2:33" ht="15" x14ac:dyDescent="0.25">
      <c r="B209" s="1">
        <v>198</v>
      </c>
      <c r="C209" s="1">
        <v>0.886674780903146</v>
      </c>
      <c r="D209" s="1">
        <v>2.5072710861498346</v>
      </c>
      <c r="E209" s="1">
        <v>0.28487593652964133</v>
      </c>
      <c r="G209" s="1">
        <v>0.886674780903146</v>
      </c>
      <c r="H209" s="1">
        <v>2.5072710861498346</v>
      </c>
      <c r="I209" s="1">
        <v>0.28487593652964133</v>
      </c>
      <c r="K209" s="1">
        <v>1.0010482740370408</v>
      </c>
      <c r="L209" s="1">
        <v>2.2657632287476099</v>
      </c>
      <c r="M209" s="1">
        <v>0.42351562255036124</v>
      </c>
      <c r="O209" s="1">
        <v>7.2895160316272835E-3</v>
      </c>
      <c r="P209" s="1">
        <v>0.886674780903146</v>
      </c>
      <c r="R209" s="1">
        <v>0.10142860359484965</v>
      </c>
      <c r="S209" s="2">
        <f t="shared" si="36"/>
        <v>0.40551921024574389</v>
      </c>
      <c r="T209" s="4">
        <f t="shared" si="37"/>
        <v>0.16444582987833184</v>
      </c>
      <c r="U209" s="1">
        <f t="shared" si="40"/>
        <v>9.3960965625738968E-2</v>
      </c>
      <c r="V209" s="6">
        <f>2*sigma/alpha*corel*(B209/12-1/alpha*(1-EXP(-alpha*Output!B209/12)))</f>
        <v>0.55266042028655993</v>
      </c>
      <c r="W209" s="5">
        <f t="shared" si="38"/>
        <v>-7.0484864252592871E-2</v>
      </c>
      <c r="X209" s="1">
        <f t="shared" si="46"/>
        <v>4.9574345808224471</v>
      </c>
      <c r="Y209" s="3">
        <f t="shared" si="39"/>
        <v>5.0723312022560856E-2</v>
      </c>
      <c r="Z209" s="1">
        <f t="shared" si="41"/>
        <v>9.9831928419820234E-2</v>
      </c>
      <c r="AA209" s="8">
        <f t="shared" si="47"/>
        <v>16.416666666666703</v>
      </c>
      <c r="AB209" s="1">
        <v>16.5</v>
      </c>
      <c r="AC209">
        <v>7.4954813649999999E-3</v>
      </c>
      <c r="AD209" s="8">
        <f t="shared" si="42"/>
        <v>2.0596533337271636</v>
      </c>
      <c r="AE209" s="3">
        <f t="shared" si="43"/>
        <v>2.7478599884787569E-2</v>
      </c>
      <c r="AF209" s="11">
        <f t="shared" si="44"/>
        <v>16.416666666666703</v>
      </c>
      <c r="AG209" s="1">
        <f t="shared" si="45"/>
        <v>9.9831928419820234E-2</v>
      </c>
    </row>
    <row r="210" spans="2:33" ht="15" x14ac:dyDescent="0.25">
      <c r="B210" s="1">
        <v>199</v>
      </c>
      <c r="C210" s="1">
        <v>0.88575343791877781</v>
      </c>
      <c r="D210" s="1">
        <v>2.5244238002675892</v>
      </c>
      <c r="E210" s="1">
        <v>0.28199994360001129</v>
      </c>
      <c r="G210" s="1">
        <v>0.88575343791877781</v>
      </c>
      <c r="H210" s="1">
        <v>2.5244238002675892</v>
      </c>
      <c r="I210" s="1">
        <v>0.28199994360001129</v>
      </c>
      <c r="K210" s="1">
        <v>1.0009909262705647</v>
      </c>
      <c r="L210" s="1">
        <v>2.2737747941092499</v>
      </c>
      <c r="M210" s="1">
        <v>0.42194136705054164</v>
      </c>
      <c r="O210" s="1">
        <v>7.3155771183554194E-3</v>
      </c>
      <c r="P210" s="1">
        <v>0.88575343791877781</v>
      </c>
      <c r="R210" s="1">
        <v>0.10170882716668811</v>
      </c>
      <c r="S210" s="2">
        <f t="shared" si="36"/>
        <v>0.40752616738941971</v>
      </c>
      <c r="T210" s="4">
        <f t="shared" si="37"/>
        <v>0.16607757710710933</v>
      </c>
      <c r="U210" s="1">
        <f t="shared" si="40"/>
        <v>9.5181096264145282E-2</v>
      </c>
      <c r="V210" s="6">
        <f>2*sigma/alpha*corel*(B210/12-1/alpha*(1-EXP(-alpha*Output!B210/12)))</f>
        <v>0.55770218203722766</v>
      </c>
      <c r="W210" s="5">
        <f t="shared" si="38"/>
        <v>-7.0896480842964044E-2</v>
      </c>
      <c r="X210" s="1">
        <f t="shared" si="46"/>
        <v>5.0138316197657007</v>
      </c>
      <c r="Y210" s="3">
        <f t="shared" si="39"/>
        <v>5.0697181015092269E-2</v>
      </c>
      <c r="Z210" s="1">
        <f t="shared" si="41"/>
        <v>0.10007361424354268</v>
      </c>
      <c r="AA210" s="8">
        <f t="shared" si="47"/>
        <v>16.500000000000036</v>
      </c>
      <c r="AB210" s="1">
        <v>16.579999999999998</v>
      </c>
      <c r="AC210">
        <v>7.525592163E-3</v>
      </c>
      <c r="AD210" s="8">
        <f t="shared" si="42"/>
        <v>2.1001504464458058</v>
      </c>
      <c r="AE210" s="3">
        <f t="shared" si="43"/>
        <v>2.7906779971034235E-2</v>
      </c>
      <c r="AF210" s="11">
        <f t="shared" si="44"/>
        <v>16.500000000000036</v>
      </c>
      <c r="AG210" s="1">
        <f t="shared" si="45"/>
        <v>0.10007361424354268</v>
      </c>
    </row>
    <row r="211" spans="2:33" ht="15" x14ac:dyDescent="0.25">
      <c r="B211" s="1">
        <v>200</v>
      </c>
      <c r="C211" s="1">
        <v>0.88482226933652597</v>
      </c>
      <c r="D211" s="1">
        <v>2.5407149571889529</v>
      </c>
      <c r="E211" s="1">
        <v>0.2792594040604317</v>
      </c>
      <c r="G211" s="1">
        <v>0.88482226933652597</v>
      </c>
      <c r="H211" s="1">
        <v>2.5407149571889529</v>
      </c>
      <c r="I211" s="1">
        <v>0.2792594040604317</v>
      </c>
      <c r="K211" s="1">
        <v>1.0010130808959365</v>
      </c>
      <c r="L211" s="1">
        <v>2.3114506536142128</v>
      </c>
      <c r="M211" s="1">
        <v>0.41497520679114153</v>
      </c>
      <c r="O211" s="1">
        <v>7.3421087850489303E-3</v>
      </c>
      <c r="P211" s="1">
        <v>0.88482226933652597</v>
      </c>
      <c r="R211" s="1">
        <v>0.10179214446741358</v>
      </c>
      <c r="S211" s="2">
        <f t="shared" si="36"/>
        <v>0.40898776652460411</v>
      </c>
      <c r="T211" s="4">
        <f t="shared" si="37"/>
        <v>0.16727099316678409</v>
      </c>
      <c r="U211" s="1">
        <f t="shared" si="40"/>
        <v>9.6409899490605078E-2</v>
      </c>
      <c r="V211" s="6">
        <f>2*sigma/alpha*corel*(B211/12-1/alpha*(1-EXP(-alpha*Output!B211/12)))</f>
        <v>0.56276183031018356</v>
      </c>
      <c r="W211" s="5">
        <f t="shared" si="38"/>
        <v>-7.0861093676179016E-2</v>
      </c>
      <c r="X211" s="1">
        <f t="shared" si="46"/>
        <v>5.0407737893993358</v>
      </c>
      <c r="Y211" s="3">
        <f t="shared" si="39"/>
        <v>5.047214795209598E-2</v>
      </c>
      <c r="Z211" s="1">
        <f t="shared" si="41"/>
        <v>0.1001811339025819</v>
      </c>
      <c r="AA211" s="8">
        <f t="shared" si="47"/>
        <v>16.583333333333368</v>
      </c>
      <c r="AB211" s="1">
        <v>16.670000000000002</v>
      </c>
      <c r="AC211">
        <v>7.5552678700000001E-3</v>
      </c>
      <c r="AD211" s="8">
        <f t="shared" si="42"/>
        <v>2.131590849510697</v>
      </c>
      <c r="AE211" s="3">
        <f t="shared" si="43"/>
        <v>2.821330608243142E-2</v>
      </c>
      <c r="AF211" s="11">
        <f t="shared" si="44"/>
        <v>16.583333333333368</v>
      </c>
      <c r="AG211" s="1">
        <f t="shared" si="45"/>
        <v>0.1001811339025819</v>
      </c>
    </row>
    <row r="212" spans="2:33" ht="15" x14ac:dyDescent="0.25">
      <c r="B212" s="1">
        <v>201</v>
      </c>
      <c r="C212" s="1">
        <v>0.88388826804714371</v>
      </c>
      <c r="D212" s="1">
        <v>2.557610169058032</v>
      </c>
      <c r="E212" s="1">
        <v>0.27647985844231249</v>
      </c>
      <c r="G212" s="1">
        <v>0.88388826804714371</v>
      </c>
      <c r="H212" s="1">
        <v>2.557610169058032</v>
      </c>
      <c r="I212" s="1">
        <v>0.27647985844231249</v>
      </c>
      <c r="K212" s="1">
        <v>1.0009803796409926</v>
      </c>
      <c r="L212" s="1">
        <v>2.2613364488802969</v>
      </c>
      <c r="M212" s="1">
        <v>0.42408605343185379</v>
      </c>
      <c r="O212" s="1">
        <v>7.36863390714434E-3</v>
      </c>
      <c r="P212" s="1">
        <v>0.88388826804714371</v>
      </c>
      <c r="R212" s="1">
        <v>0.10199016457689573</v>
      </c>
      <c r="S212" s="2">
        <f t="shared" si="36"/>
        <v>0.41078069357311209</v>
      </c>
      <c r="T212" s="4">
        <f t="shared" si="37"/>
        <v>0.16874077821240702</v>
      </c>
      <c r="U212" s="1">
        <f t="shared" si="40"/>
        <v>9.7647377004565161E-2</v>
      </c>
      <c r="V212" s="6">
        <f>2*sigma/alpha*corel*(B212/12-1/alpha*(1-EXP(-alpha*Output!B212/12)))</f>
        <v>0.56783930558294515</v>
      </c>
      <c r="W212" s="5">
        <f t="shared" si="38"/>
        <v>-7.1093401207841855E-2</v>
      </c>
      <c r="X212" s="1">
        <f t="shared" si="46"/>
        <v>5.0856993578903253</v>
      </c>
      <c r="Y212" s="3">
        <f t="shared" si="39"/>
        <v>5.036746908928743E-2</v>
      </c>
      <c r="Z212" s="1">
        <f t="shared" si="41"/>
        <v>0.10036969817224957</v>
      </c>
      <c r="AA212" s="8">
        <f t="shared" si="47"/>
        <v>16.6666666666667</v>
      </c>
      <c r="AB212" s="1">
        <v>16.75</v>
      </c>
      <c r="AC212">
        <v>7.584516956E-3</v>
      </c>
      <c r="AD212" s="8">
        <f t="shared" si="42"/>
        <v>2.1588304885566001</v>
      </c>
      <c r="AE212" s="3">
        <f t="shared" si="43"/>
        <v>2.8463651687781925E-2</v>
      </c>
      <c r="AF212" s="11">
        <f t="shared" si="44"/>
        <v>16.6666666666667</v>
      </c>
      <c r="AG212" s="1">
        <f t="shared" si="45"/>
        <v>0.10036969817224957</v>
      </c>
    </row>
    <row r="213" spans="2:33" ht="15" x14ac:dyDescent="0.25">
      <c r="B213" s="1">
        <v>202</v>
      </c>
      <c r="C213" s="1">
        <v>0.88294982802564914</v>
      </c>
      <c r="D213" s="1">
        <v>2.5744001647616104</v>
      </c>
      <c r="E213" s="1">
        <v>0.27374011113848512</v>
      </c>
      <c r="G213" s="1">
        <v>0.88294982802564914</v>
      </c>
      <c r="H213" s="1">
        <v>2.5744001647616104</v>
      </c>
      <c r="I213" s="1">
        <v>0.27374011113848512</v>
      </c>
      <c r="K213" s="1">
        <v>1.000948701216845</v>
      </c>
      <c r="L213" s="1">
        <v>2.2107495625129516</v>
      </c>
      <c r="M213" s="1">
        <v>0.43368868745736</v>
      </c>
      <c r="O213" s="1">
        <v>7.395261379930157E-3</v>
      </c>
      <c r="P213" s="1">
        <v>0.88294982802564914</v>
      </c>
      <c r="R213" s="1">
        <v>0.10221312220700365</v>
      </c>
      <c r="S213" s="2">
        <f t="shared" si="36"/>
        <v>0.41265216074442068</v>
      </c>
      <c r="T213" s="4">
        <f t="shared" si="37"/>
        <v>0.17028180576703922</v>
      </c>
      <c r="U213" s="1">
        <f t="shared" si="40"/>
        <v>9.88935302967624E-2</v>
      </c>
      <c r="V213" s="6">
        <f>2*sigma/alpha*corel*(B213/12-1/alpha*(1-EXP(-alpha*Output!B213/12)))</f>
        <v>0.57293454853110948</v>
      </c>
      <c r="W213" s="5">
        <f t="shared" si="38"/>
        <v>-7.1388275470276819E-2</v>
      </c>
      <c r="X213" s="1">
        <f t="shared" si="46"/>
        <v>5.1350645452325185</v>
      </c>
      <c r="Y213" s="3">
        <f t="shared" si="39"/>
        <v>5.0291095007479809E-2</v>
      </c>
      <c r="Z213" s="1">
        <f t="shared" si="41"/>
        <v>0.10057708902948967</v>
      </c>
      <c r="AA213" s="8">
        <f t="shared" si="47"/>
        <v>16.750000000000032</v>
      </c>
      <c r="AB213" s="1">
        <v>16.829999999999998</v>
      </c>
      <c r="AC213">
        <v>7.6133479120000002E-3</v>
      </c>
      <c r="AD213" s="8">
        <f t="shared" si="42"/>
        <v>2.1808653206984321</v>
      </c>
      <c r="AE213" s="3">
        <f t="shared" si="43"/>
        <v>2.8645286487709275E-2</v>
      </c>
      <c r="AF213" s="11">
        <f t="shared" si="44"/>
        <v>16.750000000000032</v>
      </c>
      <c r="AG213" s="1">
        <f t="shared" si="45"/>
        <v>0.10057708902948967</v>
      </c>
    </row>
    <row r="214" spans="2:33" ht="15" x14ac:dyDescent="0.25">
      <c r="B214" s="1">
        <v>203</v>
      </c>
      <c r="C214" s="1">
        <v>0.88200753238801866</v>
      </c>
      <c r="D214" s="1">
        <v>2.5912777590629941</v>
      </c>
      <c r="E214" s="1">
        <v>0.2710320901994796</v>
      </c>
      <c r="G214" s="1">
        <v>0.88200753238801866</v>
      </c>
      <c r="H214" s="1">
        <v>2.5912777590629941</v>
      </c>
      <c r="I214" s="1">
        <v>0.2710320901994796</v>
      </c>
      <c r="K214" s="1">
        <v>1.0010158600426213</v>
      </c>
      <c r="L214" s="1">
        <v>2.1734719441635502</v>
      </c>
      <c r="M214" s="1">
        <v>0.44104207910823812</v>
      </c>
      <c r="O214" s="1">
        <v>7.4219516978921542E-3</v>
      </c>
      <c r="P214" s="1">
        <v>0.88200753238801866</v>
      </c>
      <c r="R214" s="1">
        <v>0.10261802846109569</v>
      </c>
      <c r="S214" s="2">
        <f t="shared" si="36"/>
        <v>0.41504990799632824</v>
      </c>
      <c r="T214" s="4">
        <f t="shared" si="37"/>
        <v>0.17226642612776052</v>
      </c>
      <c r="U214" s="1">
        <f t="shared" si="40"/>
        <v>0.10014836065126431</v>
      </c>
      <c r="V214" s="6">
        <f>2*sigma/alpha*corel*(B214/12-1/alpha*(1-EXP(-alpha*Output!B214/12)))</f>
        <v>0.57804750002769123</v>
      </c>
      <c r="W214" s="5">
        <f t="shared" si="38"/>
        <v>-7.2118065476496213E-2</v>
      </c>
      <c r="X214" s="1">
        <f t="shared" si="46"/>
        <v>5.2141280095311737</v>
      </c>
      <c r="Y214" s="3">
        <f t="shared" si="39"/>
        <v>5.0405882362620211E-2</v>
      </c>
      <c r="Z214" s="1">
        <f t="shared" si="41"/>
        <v>0.1009120261043175</v>
      </c>
      <c r="AA214" s="8">
        <f t="shared" si="47"/>
        <v>16.833333333333364</v>
      </c>
      <c r="AB214" s="1">
        <v>16.920000000000002</v>
      </c>
      <c r="AC214">
        <v>7.6417692319999996E-3</v>
      </c>
      <c r="AD214" s="8">
        <f t="shared" si="42"/>
        <v>2.1981753410784539</v>
      </c>
      <c r="AE214" s="3">
        <f t="shared" si="43"/>
        <v>2.8765267235152412E-2</v>
      </c>
      <c r="AF214" s="11">
        <f t="shared" si="44"/>
        <v>16.833333333333364</v>
      </c>
      <c r="AG214" s="1">
        <f t="shared" si="45"/>
        <v>0.1009120261043175</v>
      </c>
    </row>
    <row r="215" spans="2:33" ht="15" x14ac:dyDescent="0.25">
      <c r="B215" s="1">
        <v>204</v>
      </c>
      <c r="C215" s="1">
        <v>0.88106344829869887</v>
      </c>
      <c r="D215" s="1">
        <v>2.6084461486292616</v>
      </c>
      <c r="E215" s="1">
        <v>0.26831951487831707</v>
      </c>
      <c r="G215" s="1">
        <v>0.88106344829869887</v>
      </c>
      <c r="H215" s="1">
        <v>2.6084461486292616</v>
      </c>
      <c r="I215" s="1">
        <v>0.26831951487831707</v>
      </c>
      <c r="K215" s="1">
        <v>1.0010112863366509</v>
      </c>
      <c r="L215" s="1">
        <v>2.199614667132459</v>
      </c>
      <c r="M215" s="1">
        <v>0.43570795553329433</v>
      </c>
      <c r="O215" s="1">
        <v>7.4485668905258512E-3</v>
      </c>
      <c r="P215" s="1">
        <v>0.88106344829869887</v>
      </c>
      <c r="R215" s="1">
        <v>0.10289173237115669</v>
      </c>
      <c r="S215" s="2">
        <f t="shared" ref="S215:S278" si="48">optim_vol_implied(P215,R215)</f>
        <v>0.41707794172815926</v>
      </c>
      <c r="T215" s="4">
        <f t="shared" ref="T215:T278" si="49">S215*S215</f>
        <v>0.17395400947619782</v>
      </c>
      <c r="U215" s="1">
        <f t="shared" si="40"/>
        <v>0.10141186914750167</v>
      </c>
      <c r="V215" s="6">
        <f>2*sigma/alpha*corel*(B215/12-1/alpha*(1-EXP(-alpha*Output!B215/12)))</f>
        <v>0.58317810114246726</v>
      </c>
      <c r="W215" s="5">
        <f t="shared" ref="W215:W278" si="50">U215-T215</f>
        <v>-7.2542140328696159E-2</v>
      </c>
      <c r="X215" s="1">
        <f t="shared" si="46"/>
        <v>5.2729622400034728</v>
      </c>
      <c r="Y215" s="3">
        <f t="shared" ref="Y215:Y278" si="51">(-V215+SQRT(X215))/2/B215*12</f>
        <v>5.0385736790448582E-2</v>
      </c>
      <c r="Z215" s="1">
        <f t="shared" si="41"/>
        <v>0.10115625928590637</v>
      </c>
      <c r="AA215" s="8">
        <f t="shared" si="47"/>
        <v>16.916666666666696</v>
      </c>
      <c r="AB215" s="1">
        <v>17</v>
      </c>
      <c r="AC215">
        <v>7.6697894059999999E-3</v>
      </c>
      <c r="AD215" s="8">
        <f t="shared" si="42"/>
        <v>2.2122251547414868</v>
      </c>
      <c r="AE215" s="3">
        <f t="shared" si="43"/>
        <v>2.884336241371745E-2</v>
      </c>
      <c r="AF215" s="11">
        <f t="shared" si="44"/>
        <v>16.916666666666696</v>
      </c>
      <c r="AG215" s="1">
        <f t="shared" si="45"/>
        <v>0.10115625928590637</v>
      </c>
    </row>
    <row r="216" spans="2:33" ht="15" x14ac:dyDescent="0.25">
      <c r="B216" s="1">
        <v>205</v>
      </c>
      <c r="C216" s="1">
        <v>0.88011810433370452</v>
      </c>
      <c r="D216" s="1">
        <v>2.6253609871357311</v>
      </c>
      <c r="E216" s="1">
        <v>0.26567481402763021</v>
      </c>
      <c r="G216" s="1">
        <v>0.88011810433370452</v>
      </c>
      <c r="H216" s="1">
        <v>2.6253609871357311</v>
      </c>
      <c r="I216" s="1">
        <v>0.26567481402763021</v>
      </c>
      <c r="K216" s="1">
        <v>1.0011959686836716</v>
      </c>
      <c r="L216" s="1">
        <v>2.2182834192280128</v>
      </c>
      <c r="M216" s="1">
        <v>0.43196144664523317</v>
      </c>
      <c r="O216" s="1">
        <v>7.4750734270273948E-3</v>
      </c>
      <c r="P216" s="1">
        <v>0.88011810433370452</v>
      </c>
      <c r="R216" s="1">
        <v>0.10320252155024427</v>
      </c>
      <c r="S216" s="2">
        <f t="shared" si="48"/>
        <v>0.41921584685706026</v>
      </c>
      <c r="T216" s="4">
        <f t="shared" si="49"/>
        <v>0.1757419262560822</v>
      </c>
      <c r="U216" s="1">
        <f t="shared" si="40"/>
        <v>0.10268405666227798</v>
      </c>
      <c r="V216" s="6">
        <f>2*sigma/alpha*corel*(B216/12-1/alpha*(1-EXP(-alpha*Output!B216/12)))</f>
        <v>0.58832629314132201</v>
      </c>
      <c r="W216" s="5">
        <f t="shared" si="50"/>
        <v>-7.3057869593804226E-2</v>
      </c>
      <c r="X216" s="1">
        <f t="shared" si="46"/>
        <v>5.3384155827780306</v>
      </c>
      <c r="Y216" s="3">
        <f t="shared" si="51"/>
        <v>5.0405117879694386E-2</v>
      </c>
      <c r="Z216" s="1">
        <f t="shared" si="41"/>
        <v>0.10142648701719247</v>
      </c>
      <c r="AA216" s="8">
        <f t="shared" si="47"/>
        <v>17.000000000000028</v>
      </c>
      <c r="AB216" s="1">
        <v>17.079999999999998</v>
      </c>
      <c r="AC216">
        <v>7.6974169269999997E-3</v>
      </c>
      <c r="AD216" s="8">
        <f t="shared" si="42"/>
        <v>2.2234349997260483</v>
      </c>
      <c r="AE216" s="3">
        <f t="shared" si="43"/>
        <v>2.8885469253029181E-2</v>
      </c>
      <c r="AF216" s="11">
        <f t="shared" si="44"/>
        <v>17.000000000000028</v>
      </c>
      <c r="AG216" s="1">
        <f t="shared" si="45"/>
        <v>0.10142648701719247</v>
      </c>
    </row>
    <row r="217" spans="2:33" ht="15" x14ac:dyDescent="0.25">
      <c r="B217" s="1">
        <v>206</v>
      </c>
      <c r="C217" s="1">
        <v>0.87917437847270352</v>
      </c>
      <c r="D217" s="1">
        <v>2.6420079260237781</v>
      </c>
      <c r="E217" s="1">
        <v>0.26308866087871613</v>
      </c>
      <c r="G217" s="1">
        <v>0.87917437847270352</v>
      </c>
      <c r="H217" s="1">
        <v>2.6420079260237781</v>
      </c>
      <c r="I217" s="1">
        <v>0.26308866087871613</v>
      </c>
      <c r="K217" s="1">
        <v>1.0011688143158668</v>
      </c>
      <c r="L217" s="1">
        <v>2.1957348855340646</v>
      </c>
      <c r="M217" s="1">
        <v>0.43630253845642053</v>
      </c>
      <c r="O217" s="1">
        <v>7.5012826125372672E-3</v>
      </c>
      <c r="P217" s="1">
        <v>0.87917437847270352</v>
      </c>
      <c r="R217" s="1">
        <v>0.10348833158885001</v>
      </c>
      <c r="S217" s="2">
        <f t="shared" si="48"/>
        <v>0.42128242092574009</v>
      </c>
      <c r="T217" s="4">
        <f t="shared" si="49"/>
        <v>0.17747887818105246</v>
      </c>
      <c r="U217" s="1">
        <f t="shared" si="40"/>
        <v>0.10396492387176526</v>
      </c>
      <c r="V217" s="6">
        <f>2*sigma/alpha*corel*(B217/12-1/alpha*(1-EXP(-alpha*Output!B217/12)))</f>
        <v>0.59349201748559333</v>
      </c>
      <c r="W217" s="5">
        <f t="shared" si="50"/>
        <v>-7.3513954309287199E-2</v>
      </c>
      <c r="X217" s="1">
        <f t="shared" si="46"/>
        <v>5.4001909707235081</v>
      </c>
      <c r="Y217" s="3">
        <f t="shared" si="51"/>
        <v>5.0398225637851263E-2</v>
      </c>
      <c r="Z217" s="1">
        <f t="shared" si="41"/>
        <v>0.10167878553573736</v>
      </c>
      <c r="AA217" s="8">
        <f t="shared" si="47"/>
        <v>17.083333333333361</v>
      </c>
      <c r="AB217" s="1">
        <v>17.170000000000002</v>
      </c>
      <c r="AC217">
        <v>7.7246603069999996E-3</v>
      </c>
      <c r="AD217" s="8">
        <f t="shared" si="42"/>
        <v>2.2337769446273241</v>
      </c>
      <c r="AE217" s="3">
        <f t="shared" si="43"/>
        <v>2.8917477997098474E-2</v>
      </c>
      <c r="AF217" s="11">
        <f t="shared" si="44"/>
        <v>17.083333333333361</v>
      </c>
      <c r="AG217" s="1">
        <f t="shared" si="45"/>
        <v>0.10167878553573736</v>
      </c>
    </row>
    <row r="218" spans="2:33" ht="15" x14ac:dyDescent="0.25">
      <c r="B218" s="1">
        <v>207</v>
      </c>
      <c r="C218" s="1">
        <v>0.87823133801782882</v>
      </c>
      <c r="D218" s="1">
        <v>2.6578779502445244</v>
      </c>
      <c r="E218" s="1">
        <v>0.26061348414166952</v>
      </c>
      <c r="G218" s="1">
        <v>0.87823133801782882</v>
      </c>
      <c r="H218" s="1">
        <v>2.6578779502445244</v>
      </c>
      <c r="I218" s="1">
        <v>0.26061348414166952</v>
      </c>
      <c r="K218" s="1">
        <v>1.0011684014790638</v>
      </c>
      <c r="L218" s="1">
        <v>2.2737243687680775</v>
      </c>
      <c r="M218" s="1">
        <v>0.42124057578145918</v>
      </c>
      <c r="O218" s="1">
        <v>7.5272601226973566E-3</v>
      </c>
      <c r="P218" s="1">
        <v>0.87823133801782882</v>
      </c>
      <c r="R218" s="1">
        <v>0.10375226502782389</v>
      </c>
      <c r="S218" s="2">
        <f t="shared" si="48"/>
        <v>0.42328757148866347</v>
      </c>
      <c r="T218" s="4">
        <f t="shared" si="49"/>
        <v>0.1791723681767704</v>
      </c>
      <c r="U218" s="1">
        <f t="shared" si="40"/>
        <v>0.10525447125348908</v>
      </c>
      <c r="V218" s="6">
        <f>2*sigma/alpha*corel*(B218/12-1/alpha*(1-EXP(-alpha*Output!B218/12)))</f>
        <v>0.59867521583142369</v>
      </c>
      <c r="W218" s="5">
        <f t="shared" si="50"/>
        <v>-7.3917896923281323E-2</v>
      </c>
      <c r="X218" s="1">
        <f t="shared" si="46"/>
        <v>5.4587469017572126</v>
      </c>
      <c r="Y218" s="3">
        <f t="shared" si="51"/>
        <v>5.0368722307856266E-2</v>
      </c>
      <c r="Z218" s="1">
        <f t="shared" si="41"/>
        <v>0.10191567078853253</v>
      </c>
      <c r="AA218" s="8">
        <f t="shared" si="47"/>
        <v>17.166666666666693</v>
      </c>
      <c r="AB218" s="1">
        <v>17.25</v>
      </c>
      <c r="AC218">
        <v>7.7515281409999996E-3</v>
      </c>
      <c r="AD218" s="8">
        <f t="shared" si="42"/>
        <v>2.2426801830264296</v>
      </c>
      <c r="AE218" s="3">
        <f t="shared" si="43"/>
        <v>2.8932103995911042E-2</v>
      </c>
      <c r="AF218" s="11">
        <f t="shared" si="44"/>
        <v>17.166666666666693</v>
      </c>
      <c r="AG218" s="1">
        <f t="shared" si="45"/>
        <v>0.10191567078853253</v>
      </c>
    </row>
    <row r="219" spans="2:33" ht="15" x14ac:dyDescent="0.25">
      <c r="B219" s="1">
        <v>208</v>
      </c>
      <c r="C219" s="1">
        <v>0.87728817702462403</v>
      </c>
      <c r="D219" s="1">
        <v>2.6728677197765482</v>
      </c>
      <c r="E219" s="1">
        <v>0.25824445420034603</v>
      </c>
      <c r="G219" s="1">
        <v>0.87728817702462403</v>
      </c>
      <c r="H219" s="1">
        <v>2.6728677197765482</v>
      </c>
      <c r="I219" s="1">
        <v>0.25824445420034603</v>
      </c>
      <c r="K219" s="1">
        <v>1.0011121025406924</v>
      </c>
      <c r="L219" s="1">
        <v>2.2261581088957669</v>
      </c>
      <c r="M219" s="1">
        <v>0.4301478661180731</v>
      </c>
      <c r="O219" s="1">
        <v>7.5530622972921988E-3</v>
      </c>
      <c r="P219" s="1">
        <v>0.87728817702462403</v>
      </c>
      <c r="R219" s="1">
        <v>0.10413173039935755</v>
      </c>
      <c r="S219" s="2">
        <f t="shared" si="48"/>
        <v>0.42562656194868909</v>
      </c>
      <c r="T219" s="4">
        <f t="shared" si="49"/>
        <v>0.18115797023626126</v>
      </c>
      <c r="U219" s="1">
        <f t="shared" si="40"/>
        <v>0.10655269908829057</v>
      </c>
      <c r="V219" s="6">
        <f>2*sigma/alpha*corel*(B219/12-1/alpha*(1-EXP(-alpha*Output!B219/12)))</f>
        <v>0.60387583002911072</v>
      </c>
      <c r="W219" s="5">
        <f t="shared" si="50"/>
        <v>-7.4605271147970692E-2</v>
      </c>
      <c r="X219" s="1">
        <f t="shared" si="46"/>
        <v>5.537298151019316</v>
      </c>
      <c r="Y219" s="3">
        <f t="shared" si="51"/>
        <v>5.0459729029177412E-2</v>
      </c>
      <c r="Z219" s="1">
        <f t="shared" si="41"/>
        <v>0.1022321933628752</v>
      </c>
      <c r="AA219" s="8">
        <f t="shared" si="47"/>
        <v>17.250000000000025</v>
      </c>
      <c r="AB219" s="1">
        <v>17.329999999999998</v>
      </c>
      <c r="AC219">
        <v>7.7780290460000004E-3</v>
      </c>
      <c r="AD219" s="8">
        <f t="shared" si="42"/>
        <v>2.2496674870780153</v>
      </c>
      <c r="AE219" s="3">
        <f t="shared" si="43"/>
        <v>2.89233618667823E-2</v>
      </c>
      <c r="AF219" s="11">
        <f t="shared" si="44"/>
        <v>17.250000000000025</v>
      </c>
      <c r="AG219" s="1">
        <f t="shared" si="45"/>
        <v>0.1022321933628752</v>
      </c>
    </row>
    <row r="220" spans="2:33" ht="15" x14ac:dyDescent="0.25">
      <c r="B220" s="1">
        <v>209</v>
      </c>
      <c r="C220" s="1">
        <v>0.87634401663351635</v>
      </c>
      <c r="D220" s="1">
        <v>2.6877385367951407</v>
      </c>
      <c r="E220" s="1">
        <v>0.25591810620601407</v>
      </c>
      <c r="G220" s="1">
        <v>0.87634401663351635</v>
      </c>
      <c r="H220" s="1">
        <v>2.6877385367951407</v>
      </c>
      <c r="I220" s="1">
        <v>0.25591810620601407</v>
      </c>
      <c r="K220" s="1">
        <v>1.0010779882406997</v>
      </c>
      <c r="L220" s="1">
        <v>2.1449982203896583</v>
      </c>
      <c r="M220" s="1">
        <v>0.4463423594843956</v>
      </c>
      <c r="O220" s="1">
        <v>7.5787494020310604E-3</v>
      </c>
      <c r="P220" s="1">
        <v>0.87634401663351635</v>
      </c>
      <c r="R220" s="1">
        <v>0.10449156989033509</v>
      </c>
      <c r="S220" s="2">
        <f t="shared" si="48"/>
        <v>0.42791329505159137</v>
      </c>
      <c r="T220" s="4">
        <f t="shared" si="49"/>
        <v>0.18310978808191028</v>
      </c>
      <c r="U220" s="1">
        <f t="shared" si="40"/>
        <v>0.10785960746228129</v>
      </c>
      <c r="V220" s="6">
        <f>2*sigma/alpha*corel*(B220/12-1/alpha*(1-EXP(-alpha*Output!B220/12)))</f>
        <v>0.60909380212246367</v>
      </c>
      <c r="W220" s="5">
        <f t="shared" si="50"/>
        <v>-7.5250180619628987E-2</v>
      </c>
      <c r="X220" s="1">
        <f t="shared" si="46"/>
        <v>5.6134245096181523</v>
      </c>
      <c r="Y220" s="3">
        <f t="shared" si="51"/>
        <v>5.0531278237364065E-2</v>
      </c>
      <c r="Z220" s="1">
        <f t="shared" si="41"/>
        <v>0.10253526542327127</v>
      </c>
      <c r="AA220" s="8">
        <f t="shared" si="47"/>
        <v>17.333333333333357</v>
      </c>
      <c r="AB220" s="1">
        <v>17.420000000000002</v>
      </c>
      <c r="AC220">
        <v>7.8041716360000004E-3</v>
      </c>
      <c r="AD220" s="8">
        <f t="shared" si="42"/>
        <v>2.2542223396894001</v>
      </c>
      <c r="AE220" s="3">
        <f t="shared" si="43"/>
        <v>2.8884838069050893E-2</v>
      </c>
      <c r="AF220" s="11">
        <f t="shared" si="44"/>
        <v>17.333333333333357</v>
      </c>
      <c r="AG220" s="1">
        <f t="shared" si="45"/>
        <v>0.10253526542327127</v>
      </c>
    </row>
    <row r="221" spans="2:33" ht="15" x14ac:dyDescent="0.25">
      <c r="B221" s="1">
        <v>210</v>
      </c>
      <c r="C221" s="1">
        <v>0.87540147141765734</v>
      </c>
      <c r="D221" s="1">
        <v>2.7068727499120269</v>
      </c>
      <c r="E221" s="1">
        <v>0.25321584118302443</v>
      </c>
      <c r="G221" s="1">
        <v>0.87540147141765734</v>
      </c>
      <c r="H221" s="1">
        <v>2.7068727499120269</v>
      </c>
      <c r="I221" s="1">
        <v>0.25321584118302443</v>
      </c>
      <c r="K221" s="1">
        <v>1.0011367735322152</v>
      </c>
      <c r="L221" s="1">
        <v>2.0971564325623206</v>
      </c>
      <c r="M221" s="1">
        <v>0.45642488893658273</v>
      </c>
      <c r="O221" s="1">
        <v>7.604152764283674E-3</v>
      </c>
      <c r="P221" s="1">
        <v>0.87540147141765734</v>
      </c>
      <c r="R221" s="1">
        <v>0.10476613141596959</v>
      </c>
      <c r="S221" s="2">
        <f t="shared" si="48"/>
        <v>0.42995530669596949</v>
      </c>
      <c r="T221" s="4">
        <f t="shared" si="49"/>
        <v>0.18486156575602519</v>
      </c>
      <c r="U221" s="1">
        <f t="shared" si="40"/>
        <v>0.10917519626877503</v>
      </c>
      <c r="V221" s="6">
        <f>2*sigma/alpha*corel*(B221/12-1/alpha*(1-EXP(-alpha*Output!B221/12)))</f>
        <v>0.61432907434815442</v>
      </c>
      <c r="W221" s="5">
        <f t="shared" si="50"/>
        <v>-7.568636948725016E-2</v>
      </c>
      <c r="X221" s="1">
        <f t="shared" si="46"/>
        <v>5.6754460756969713</v>
      </c>
      <c r="Y221" s="3">
        <f t="shared" si="51"/>
        <v>5.0514011415609905E-2</v>
      </c>
      <c r="Z221" s="1">
        <f t="shared" si="41"/>
        <v>0.10277897665963326</v>
      </c>
      <c r="AA221" s="8">
        <f t="shared" si="47"/>
        <v>17.416666666666689</v>
      </c>
      <c r="AB221" s="1">
        <v>17.5</v>
      </c>
      <c r="AC221">
        <v>7.8299645279999996E-3</v>
      </c>
      <c r="AD221" s="8">
        <f t="shared" si="42"/>
        <v>2.2581176371632568</v>
      </c>
      <c r="AE221" s="3">
        <f t="shared" si="43"/>
        <v>2.8839436361278711E-2</v>
      </c>
      <c r="AF221" s="11">
        <f t="shared" si="44"/>
        <v>17.416666666666689</v>
      </c>
      <c r="AG221" s="1">
        <f t="shared" si="45"/>
        <v>0.10277897665963326</v>
      </c>
    </row>
    <row r="222" spans="2:33" ht="15" x14ac:dyDescent="0.25">
      <c r="B222" s="1">
        <v>211</v>
      </c>
      <c r="C222" s="1">
        <v>0.87445641260551077</v>
      </c>
      <c r="D222" s="1">
        <v>2.7253897307314943</v>
      </c>
      <c r="E222" s="1">
        <v>0.25061400431056086</v>
      </c>
      <c r="G222" s="1">
        <v>0.87445641260551077</v>
      </c>
      <c r="H222" s="1">
        <v>2.7253897307314943</v>
      </c>
      <c r="I222" s="1">
        <v>0.25061400431056086</v>
      </c>
      <c r="K222" s="1">
        <v>1.0010788920575642</v>
      </c>
      <c r="L222" s="1">
        <v>2.0962861458121673</v>
      </c>
      <c r="M222" s="1">
        <v>0.45652064085405586</v>
      </c>
      <c r="O222" s="1">
        <v>7.6295447438280116E-3</v>
      </c>
      <c r="P222" s="1">
        <v>0.87445641260551077</v>
      </c>
      <c r="R222" s="1">
        <v>0.10491057193769379</v>
      </c>
      <c r="S222" s="2">
        <f t="shared" si="48"/>
        <v>0.4316281828381483</v>
      </c>
      <c r="T222" s="4">
        <f t="shared" si="49"/>
        <v>0.18630288822016197</v>
      </c>
      <c r="U222" s="1">
        <f t="shared" si="40"/>
        <v>0.11049946521020981</v>
      </c>
      <c r="V222" s="6">
        <f>2*sigma/alpha*corel*(B222/12-1/alpha*(1-EXP(-alpha*Output!B222/12)))</f>
        <v>0.61958158913508177</v>
      </c>
      <c r="W222" s="5">
        <f t="shared" si="50"/>
        <v>-7.5803423009952159E-2</v>
      </c>
      <c r="X222" s="1">
        <f t="shared" si="46"/>
        <v>5.715388763961788</v>
      </c>
      <c r="Y222" s="3">
        <f t="shared" si="51"/>
        <v>5.0363213396969836E-2</v>
      </c>
      <c r="Z222" s="1">
        <f t="shared" si="41"/>
        <v>0.1029340804713078</v>
      </c>
      <c r="AA222" s="8">
        <f t="shared" si="47"/>
        <v>17.500000000000021</v>
      </c>
      <c r="AB222" s="1">
        <v>17.579999999999998</v>
      </c>
      <c r="AC222">
        <v>7.855416338E-3</v>
      </c>
      <c r="AD222" s="8">
        <f t="shared" si="42"/>
        <v>2.2587159417198839</v>
      </c>
      <c r="AE222" s="3">
        <f t="shared" si="43"/>
        <v>2.8753612087923479E-2</v>
      </c>
      <c r="AF222" s="11">
        <f t="shared" si="44"/>
        <v>17.500000000000021</v>
      </c>
      <c r="AG222" s="1">
        <f t="shared" si="45"/>
        <v>0.1029340804713078</v>
      </c>
    </row>
    <row r="223" spans="2:33" ht="15" x14ac:dyDescent="0.25">
      <c r="B223" s="1">
        <v>212</v>
      </c>
      <c r="C223" s="1">
        <v>0.87350921059797315</v>
      </c>
      <c r="D223" s="1">
        <v>2.7436347673397714</v>
      </c>
      <c r="E223" s="1">
        <v>0.24806509228021431</v>
      </c>
      <c r="G223" s="1">
        <v>0.87350921059797315</v>
      </c>
      <c r="H223" s="1">
        <v>2.7436347673397714</v>
      </c>
      <c r="I223" s="1">
        <v>0.24806509228021431</v>
      </c>
      <c r="K223" s="1">
        <v>1.0009378741123991</v>
      </c>
      <c r="L223" s="1">
        <v>2.1356707940332313</v>
      </c>
      <c r="M223" s="1">
        <v>0.44802007151786721</v>
      </c>
      <c r="O223" s="1">
        <v>7.6549021692279484E-3</v>
      </c>
      <c r="P223" s="1">
        <v>0.87350921059797315</v>
      </c>
      <c r="R223" s="1">
        <v>0.10514848758219011</v>
      </c>
      <c r="S223" s="2">
        <f t="shared" si="48"/>
        <v>0.43357475399598699</v>
      </c>
      <c r="T223" s="4">
        <f t="shared" si="49"/>
        <v>0.18798706730268064</v>
      </c>
      <c r="U223" s="1">
        <f t="shared" si="40"/>
        <v>0.11183241380005704</v>
      </c>
      <c r="V223" s="6">
        <f>2*sigma/alpha*corel*(B223/12-1/alpha*(1-EXP(-alpha*Output!B223/12)))</f>
        <v>0.62485128910372612</v>
      </c>
      <c r="W223" s="5">
        <f t="shared" si="50"/>
        <v>-7.6154653502623598E-2</v>
      </c>
      <c r="X223" s="1">
        <f t="shared" si="46"/>
        <v>5.7720346476799902</v>
      </c>
      <c r="Y223" s="3">
        <f t="shared" si="51"/>
        <v>5.0310979837246923E-2</v>
      </c>
      <c r="Z223" s="1">
        <f t="shared" si="41"/>
        <v>0.10315414385516151</v>
      </c>
      <c r="AA223" s="8">
        <f t="shared" si="47"/>
        <v>17.583333333333353</v>
      </c>
      <c r="AB223" s="1">
        <v>17.670000000000002</v>
      </c>
      <c r="AC223">
        <v>7.8805356999999999E-3</v>
      </c>
      <c r="AD223" s="8">
        <f t="shared" si="42"/>
        <v>2.2563353077205157</v>
      </c>
      <c r="AE223" s="3">
        <f t="shared" si="43"/>
        <v>2.8631750348145947E-2</v>
      </c>
      <c r="AF223" s="11">
        <f t="shared" si="44"/>
        <v>17.583333333333353</v>
      </c>
      <c r="AG223" s="1">
        <f t="shared" si="45"/>
        <v>0.10315414385516151</v>
      </c>
    </row>
    <row r="224" spans="2:33" ht="15" x14ac:dyDescent="0.25">
      <c r="B224" s="1">
        <v>213</v>
      </c>
      <c r="C224" s="1">
        <v>0.87255872216557995</v>
      </c>
      <c r="D224" s="1">
        <v>2.7614392621434289</v>
      </c>
      <c r="E224" s="1">
        <v>0.24559163023724154</v>
      </c>
      <c r="G224" s="1">
        <v>0.87255872216557995</v>
      </c>
      <c r="H224" s="1">
        <v>2.7614392621434289</v>
      </c>
      <c r="I224" s="1">
        <v>0.24559163023724154</v>
      </c>
      <c r="K224" s="1">
        <v>1.0008500927551134</v>
      </c>
      <c r="L224" s="1">
        <v>2.1719251634383787</v>
      </c>
      <c r="M224" s="1">
        <v>0.44044580907129616</v>
      </c>
      <c r="O224" s="1">
        <v>7.6802999340103775E-3</v>
      </c>
      <c r="P224" s="1">
        <v>0.87255872216557995</v>
      </c>
      <c r="R224" s="1">
        <v>0.10522117969441304</v>
      </c>
      <c r="S224" s="2">
        <f t="shared" si="48"/>
        <v>0.4350508905764231</v>
      </c>
      <c r="T224" s="4">
        <f t="shared" si="49"/>
        <v>0.18926927739133886</v>
      </c>
      <c r="U224" s="1">
        <f t="shared" si="40"/>
        <v>0.11317404136470621</v>
      </c>
      <c r="V224" s="6">
        <f>2*sigma/alpha*corel*(B224/12-1/alpha*(1-EXP(-alpha*Output!B224/12)))</f>
        <v>0.63013811706551603</v>
      </c>
      <c r="W224" s="5">
        <f t="shared" si="50"/>
        <v>-7.6095236026632651E-2</v>
      </c>
      <c r="X224" s="1">
        <f t="shared" si="46"/>
        <v>5.799835804469792</v>
      </c>
      <c r="Y224" s="3">
        <f t="shared" si="51"/>
        <v>5.0088639696061601E-2</v>
      </c>
      <c r="Z224" s="1">
        <f t="shared" si="41"/>
        <v>0.1032620834634</v>
      </c>
      <c r="AA224" s="8">
        <f t="shared" si="47"/>
        <v>17.666666666666686</v>
      </c>
      <c r="AB224" s="1">
        <v>17.75</v>
      </c>
      <c r="AC224">
        <v>7.9053313290000007E-3</v>
      </c>
      <c r="AD224" s="8">
        <f t="shared" si="42"/>
        <v>2.2503139498962312</v>
      </c>
      <c r="AE224" s="3">
        <f t="shared" si="43"/>
        <v>2.8465776527811754E-2</v>
      </c>
      <c r="AF224" s="11">
        <f t="shared" si="44"/>
        <v>17.666666666666686</v>
      </c>
      <c r="AG224" s="1">
        <f t="shared" si="45"/>
        <v>0.1032620834634</v>
      </c>
    </row>
    <row r="225" spans="2:33" ht="15" x14ac:dyDescent="0.25">
      <c r="B225" s="1">
        <v>214</v>
      </c>
      <c r="C225" s="1">
        <v>0.87160661027851716</v>
      </c>
      <c r="D225" s="1">
        <v>2.7789356676392942</v>
      </c>
      <c r="E225" s="1">
        <v>0.24317292026359943</v>
      </c>
      <c r="G225" s="1">
        <v>0.87160661027851716</v>
      </c>
      <c r="H225" s="1">
        <v>2.7789356676392942</v>
      </c>
      <c r="I225" s="1">
        <v>0.24317292026359943</v>
      </c>
      <c r="K225" s="1">
        <v>1.0008000731256996</v>
      </c>
      <c r="L225" s="1">
        <v>2.1510570382140259</v>
      </c>
      <c r="M225" s="1">
        <v>0.44461060120162232</v>
      </c>
      <c r="O225" s="1">
        <v>7.7056313196374911E-3</v>
      </c>
      <c r="P225" s="1">
        <v>0.87160661027851716</v>
      </c>
      <c r="R225" s="1">
        <v>0.10547453642950635</v>
      </c>
      <c r="S225" s="2">
        <f t="shared" si="48"/>
        <v>0.43705211474999084</v>
      </c>
      <c r="T225" s="4">
        <f t="shared" si="49"/>
        <v>0.19101455100743917</v>
      </c>
      <c r="U225" s="1">
        <f t="shared" si="40"/>
        <v>0.11452434704534697</v>
      </c>
      <c r="V225" s="6">
        <f>2*sigma/alpha*corel*(B225/12-1/alpha*(1-EXP(-alpha*Output!B225/12)))</f>
        <v>0.63544201602219097</v>
      </c>
      <c r="W225" s="5">
        <f t="shared" si="50"/>
        <v>-7.649020396209219E-2</v>
      </c>
      <c r="X225" s="1">
        <f t="shared" si="46"/>
        <v>5.8600877716889217</v>
      </c>
      <c r="Y225" s="3">
        <f t="shared" si="51"/>
        <v>5.0055695337398468E-2</v>
      </c>
      <c r="Z225" s="1">
        <f t="shared" si="41"/>
        <v>0.10349442650777943</v>
      </c>
      <c r="AA225" s="8">
        <f t="shared" si="47"/>
        <v>17.750000000000018</v>
      </c>
      <c r="AB225" s="1">
        <v>17.829999999999998</v>
      </c>
      <c r="AC225">
        <v>7.9298119570000002E-3</v>
      </c>
      <c r="AD225" s="8">
        <f t="shared" si="42"/>
        <v>2.2418063736250917</v>
      </c>
      <c r="AE225" s="3">
        <f t="shared" si="43"/>
        <v>2.827061203697458E-2</v>
      </c>
      <c r="AF225" s="11">
        <f t="shared" si="44"/>
        <v>17.750000000000018</v>
      </c>
      <c r="AG225" s="1">
        <f t="shared" si="45"/>
        <v>0.10349442650777943</v>
      </c>
    </row>
    <row r="226" spans="2:33" ht="15" x14ac:dyDescent="0.25">
      <c r="B226" s="1">
        <v>215</v>
      </c>
      <c r="C226" s="1">
        <v>0.87065297297497657</v>
      </c>
      <c r="D226" s="1">
        <v>2.7962641910407697</v>
      </c>
      <c r="E226" s="1">
        <v>0.24080138701598922</v>
      </c>
      <c r="G226" s="1">
        <v>0.87065297297497657</v>
      </c>
      <c r="H226" s="1">
        <v>2.7962641910407697</v>
      </c>
      <c r="I226" s="1">
        <v>0.24080138701598922</v>
      </c>
      <c r="K226" s="1">
        <v>1.0006854453399707</v>
      </c>
      <c r="L226" s="1">
        <v>2.1680942349807428</v>
      </c>
      <c r="M226" s="1">
        <v>0.44103765036541676</v>
      </c>
      <c r="O226" s="1">
        <v>7.730891453087016E-3</v>
      </c>
      <c r="P226" s="1">
        <v>0.87065297297497657</v>
      </c>
      <c r="R226" s="1">
        <v>0.10569416430112219</v>
      </c>
      <c r="S226" s="2">
        <f t="shared" si="48"/>
        <v>0.43895995665949139</v>
      </c>
      <c r="T226" s="4">
        <f t="shared" si="49"/>
        <v>0.19268584355050256</v>
      </c>
      <c r="U226" s="1">
        <f t="shared" si="40"/>
        <v>0.11588332979982763</v>
      </c>
      <c r="V226" s="6">
        <f>2*sigma/alpha*corel*(B226/12-1/alpha*(1-EXP(-alpha*Output!B226/12)))</f>
        <v>0.64076292916516819</v>
      </c>
      <c r="W226" s="5">
        <f t="shared" si="50"/>
        <v>-7.6802513750674928E-2</v>
      </c>
      <c r="X226" s="1">
        <f t="shared" si="46"/>
        <v>5.914757283524029</v>
      </c>
      <c r="Y226" s="3">
        <f t="shared" si="51"/>
        <v>4.9988775982904993E-2</v>
      </c>
      <c r="Z226" s="1">
        <f t="shared" si="41"/>
        <v>0.10370418848723272</v>
      </c>
      <c r="AA226" s="8">
        <f t="shared" si="47"/>
        <v>17.83333333333335</v>
      </c>
      <c r="AB226" s="1">
        <v>17.920000000000002</v>
      </c>
      <c r="AC226">
        <v>7.9539863179999993E-3</v>
      </c>
      <c r="AD226" s="8">
        <f t="shared" si="42"/>
        <v>2.2309486491298332</v>
      </c>
      <c r="AE226" s="3">
        <f t="shared" si="43"/>
        <v>2.8048183136563362E-2</v>
      </c>
      <c r="AF226" s="11">
        <f t="shared" si="44"/>
        <v>17.83333333333335</v>
      </c>
      <c r="AG226" s="1">
        <f t="shared" si="45"/>
        <v>0.10370418848723272</v>
      </c>
    </row>
    <row r="227" spans="2:33" ht="15" x14ac:dyDescent="0.25">
      <c r="B227" s="1">
        <v>216</v>
      </c>
      <c r="C227" s="1">
        <v>0.86969780448924772</v>
      </c>
      <c r="D227" s="1">
        <v>2.8148398356133533</v>
      </c>
      <c r="E227" s="1">
        <v>0.23835629498975067</v>
      </c>
      <c r="G227" s="1">
        <v>0.86969780448924772</v>
      </c>
      <c r="H227" s="1">
        <v>2.8148398356133533</v>
      </c>
      <c r="I227" s="1">
        <v>0.23835629498975067</v>
      </c>
      <c r="K227" s="1">
        <v>1.0006762691857065</v>
      </c>
      <c r="L227" s="1">
        <v>2.1592318079245945</v>
      </c>
      <c r="M227" s="1">
        <v>0.44275858241311478</v>
      </c>
      <c r="O227" s="1">
        <v>7.7560821575377754E-3</v>
      </c>
      <c r="P227" s="1">
        <v>0.86969780448924772</v>
      </c>
      <c r="R227" s="1">
        <v>0.10580021535736744</v>
      </c>
      <c r="S227" s="2">
        <f t="shared" si="48"/>
        <v>0.44054290696518583</v>
      </c>
      <c r="T227" s="4">
        <f t="shared" si="49"/>
        <v>0.19407805287733637</v>
      </c>
      <c r="U227" s="1">
        <f t="shared" si="40"/>
        <v>0.11725098840450388</v>
      </c>
      <c r="V227" s="6">
        <f>2*sigma/alpha*corel*(B227/12-1/alpha*(1-EXP(-alpha*Output!B227/12)))</f>
        <v>0.64610079987491131</v>
      </c>
      <c r="W227" s="5">
        <f t="shared" si="50"/>
        <v>-7.6827064472832496E-2</v>
      </c>
      <c r="X227" s="1">
        <f t="shared" si="46"/>
        <v>5.9489948856429402</v>
      </c>
      <c r="Y227" s="3">
        <f t="shared" si="51"/>
        <v>4.9804315183253026E-2</v>
      </c>
      <c r="Z227" s="1">
        <f t="shared" si="41"/>
        <v>0.10383695897290575</v>
      </c>
      <c r="AA227" s="8">
        <f t="shared" si="47"/>
        <v>17.916666666666682</v>
      </c>
      <c r="AB227" s="1">
        <v>18</v>
      </c>
      <c r="AC227">
        <v>7.9778631449999998E-3</v>
      </c>
      <c r="AD227" s="8">
        <f t="shared" si="42"/>
        <v>2.2178098746222439</v>
      </c>
      <c r="AE227" s="3">
        <f t="shared" si="43"/>
        <v>2.7799547752485842E-2</v>
      </c>
      <c r="AF227" s="11">
        <f t="shared" si="44"/>
        <v>17.916666666666682</v>
      </c>
      <c r="AG227" s="1">
        <f t="shared" si="45"/>
        <v>0.10383695897290575</v>
      </c>
    </row>
    <row r="228" spans="2:33" ht="15" x14ac:dyDescent="0.25">
      <c r="B228" s="1">
        <v>217</v>
      </c>
      <c r="C228" s="1">
        <v>0.86873942513154523</v>
      </c>
      <c r="D228" s="1">
        <v>2.832941443100371</v>
      </c>
      <c r="E228" s="1">
        <v>0.23597149464344708</v>
      </c>
      <c r="G228" s="1">
        <v>0.86873942513154523</v>
      </c>
      <c r="H228" s="1">
        <v>2.832941443100371</v>
      </c>
      <c r="I228" s="1">
        <v>0.23597149464344708</v>
      </c>
      <c r="K228" s="1">
        <v>1.0005119863201835</v>
      </c>
      <c r="L228" s="1">
        <v>2.1317689714118924</v>
      </c>
      <c r="M228" s="1">
        <v>0.4483627520148456</v>
      </c>
      <c r="O228" s="1">
        <v>7.7813117799634462E-3</v>
      </c>
      <c r="P228" s="1">
        <v>0.86873942513154523</v>
      </c>
      <c r="R228" s="1">
        <v>0.10596349857752131</v>
      </c>
      <c r="S228" s="2">
        <f t="shared" si="48"/>
        <v>0.44229727504117933</v>
      </c>
      <c r="T228" s="4">
        <f t="shared" si="49"/>
        <v>0.19562687950885263</v>
      </c>
      <c r="U228" s="1">
        <f t="shared" si="40"/>
        <v>0.11862732145607113</v>
      </c>
      <c r="V228" s="6">
        <f>2*sigma/alpha*corel*(B228/12-1/alpha*(1-EXP(-alpha*Output!B228/12)))</f>
        <v>0.65145557172030255</v>
      </c>
      <c r="W228" s="5">
        <f t="shared" si="50"/>
        <v>-7.6999558052781497E-2</v>
      </c>
      <c r="X228" s="1">
        <f t="shared" si="46"/>
        <v>5.9940290610766205</v>
      </c>
      <c r="Y228" s="3">
        <f t="shared" si="51"/>
        <v>4.9681522254762245E-2</v>
      </c>
      <c r="Z228" s="1">
        <f t="shared" si="41"/>
        <v>0.10400998166620276</v>
      </c>
      <c r="AA228" s="8">
        <f t="shared" si="47"/>
        <v>18.000000000000014</v>
      </c>
      <c r="AB228" s="1">
        <v>18.079999999999998</v>
      </c>
      <c r="AC228">
        <v>8.0014511710000003E-3</v>
      </c>
      <c r="AD228" s="8">
        <f t="shared" si="42"/>
        <v>2.2013939103655411</v>
      </c>
      <c r="AE228" s="3">
        <f t="shared" si="43"/>
        <v>2.7512433223915014E-2</v>
      </c>
      <c r="AF228" s="11">
        <f t="shared" si="44"/>
        <v>18.000000000000014</v>
      </c>
      <c r="AG228" s="1">
        <f t="shared" si="45"/>
        <v>0.10400998166620276</v>
      </c>
    </row>
    <row r="229" spans="2:33" ht="15" x14ac:dyDescent="0.25">
      <c r="B229" s="1">
        <v>218</v>
      </c>
      <c r="C229" s="1">
        <v>0.86777813501815204</v>
      </c>
      <c r="D229" s="1">
        <v>2.8511147858812795</v>
      </c>
      <c r="E229" s="1">
        <v>0.23361756804111669</v>
      </c>
      <c r="G229" s="1">
        <v>0.86777813501815204</v>
      </c>
      <c r="H229" s="1">
        <v>2.8511147858812795</v>
      </c>
      <c r="I229" s="1">
        <v>0.23361756804111669</v>
      </c>
      <c r="K229" s="1">
        <v>1.0004437116164695</v>
      </c>
      <c r="L229" s="1">
        <v>2.1305662811304962</v>
      </c>
      <c r="M229" s="1">
        <v>0.44852940012359105</v>
      </c>
      <c r="O229" s="1">
        <v>7.8065615676365021E-3</v>
      </c>
      <c r="P229" s="1">
        <v>0.86777813501815204</v>
      </c>
      <c r="R229" s="1">
        <v>0.10626002873383679</v>
      </c>
      <c r="S229" s="2">
        <f t="shared" si="48"/>
        <v>0.44444385680692278</v>
      </c>
      <c r="T229" s="4">
        <f t="shared" si="49"/>
        <v>0.19753034185341248</v>
      </c>
      <c r="U229" s="1">
        <f t="shared" si="40"/>
        <v>0.12001232737338396</v>
      </c>
      <c r="V229" s="6">
        <f>2*sigma/alpha*corel*(B229/12-1/alpha*(1-EXP(-alpha*Output!B229/12)))</f>
        <v>0.65682718845801369</v>
      </c>
      <c r="W229" s="5">
        <f t="shared" si="50"/>
        <v>-7.7518014480028513E-2</v>
      </c>
      <c r="X229" s="1">
        <f t="shared" si="46"/>
        <v>6.0643976743797312</v>
      </c>
      <c r="Y229" s="3">
        <f t="shared" si="51"/>
        <v>4.9700163058360072E-2</v>
      </c>
      <c r="Z229" s="1">
        <f t="shared" si="41"/>
        <v>0.10427478039676395</v>
      </c>
      <c r="AA229" s="8">
        <f t="shared" si="47"/>
        <v>18.083333333333346</v>
      </c>
      <c r="AB229" s="1">
        <v>18.170000000000002</v>
      </c>
      <c r="AC229">
        <v>8.0247591480000005E-3</v>
      </c>
      <c r="AD229" s="8">
        <f t="shared" si="42"/>
        <v>2.1819758036349843</v>
      </c>
      <c r="AE229" s="3">
        <f t="shared" si="43"/>
        <v>2.7190545702281854E-2</v>
      </c>
      <c r="AF229" s="11">
        <f t="shared" si="44"/>
        <v>18.083333333333346</v>
      </c>
      <c r="AG229" s="1">
        <f t="shared" si="45"/>
        <v>0.10427478039676395</v>
      </c>
    </row>
    <row r="230" spans="2:33" ht="15" x14ac:dyDescent="0.25">
      <c r="B230" s="1">
        <v>219</v>
      </c>
      <c r="C230" s="1">
        <v>0.8668139272330263</v>
      </c>
      <c r="D230" s="1">
        <v>2.8691111493659265</v>
      </c>
      <c r="E230" s="1">
        <v>0.23130479032220758</v>
      </c>
      <c r="G230" s="1">
        <v>0.8668139272330263</v>
      </c>
      <c r="H230" s="1">
        <v>2.8691111493659265</v>
      </c>
      <c r="I230" s="1">
        <v>0.23130479032220758</v>
      </c>
      <c r="K230" s="1">
        <v>1.0004214204113067</v>
      </c>
      <c r="L230" s="1">
        <v>2.1134804013019859</v>
      </c>
      <c r="M230" s="1">
        <v>0.45205450722344898</v>
      </c>
      <c r="O230" s="1">
        <v>7.8318324403649879E-3</v>
      </c>
      <c r="P230" s="1">
        <v>0.8668139272330263</v>
      </c>
      <c r="R230" s="1">
        <v>0.10651474831546222</v>
      </c>
      <c r="S230" s="2">
        <f t="shared" si="48"/>
        <v>0.44647536580687897</v>
      </c>
      <c r="T230" s="4">
        <f t="shared" si="49"/>
        <v>0.19934025227238639</v>
      </c>
      <c r="U230" s="1">
        <f t="shared" si="40"/>
        <v>0.12140600439925864</v>
      </c>
      <c r="V230" s="6">
        <f>2*sigma/alpha*corel*(B230/12-1/alpha*(1-EXP(-alpha*Output!B230/12)))</f>
        <v>0.66221559403188279</v>
      </c>
      <c r="W230" s="5">
        <f t="shared" si="50"/>
        <v>-7.7934247873127749E-2</v>
      </c>
      <c r="X230" s="1">
        <f t="shared" si="46"/>
        <v>6.127729587717325</v>
      </c>
      <c r="Y230" s="3">
        <f t="shared" si="51"/>
        <v>4.9676973662773891E-2</v>
      </c>
      <c r="Z230" s="1">
        <f t="shared" si="41"/>
        <v>0.10451197801769833</v>
      </c>
      <c r="AA230" s="8">
        <f t="shared" si="47"/>
        <v>18.166666666666679</v>
      </c>
      <c r="AB230" s="1">
        <v>18.25</v>
      </c>
      <c r="AC230">
        <v>8.0477959010000003E-3</v>
      </c>
      <c r="AD230" s="8">
        <f t="shared" si="42"/>
        <v>2.1596346063501235</v>
      </c>
      <c r="AE230" s="3">
        <f t="shared" si="43"/>
        <v>2.6835106567274801E-2</v>
      </c>
      <c r="AF230" s="11">
        <f t="shared" si="44"/>
        <v>18.166666666666679</v>
      </c>
      <c r="AG230" s="1">
        <f t="shared" si="45"/>
        <v>0.10451197801769833</v>
      </c>
    </row>
    <row r="231" spans="2:33" ht="15" x14ac:dyDescent="0.25">
      <c r="B231" s="1">
        <v>220</v>
      </c>
      <c r="C231" s="1">
        <v>0.86584819297590454</v>
      </c>
      <c r="D231" s="1">
        <v>2.8875028875028872</v>
      </c>
      <c r="E231" s="1">
        <v>0.22898490989443798</v>
      </c>
      <c r="G231" s="1">
        <v>0.86584819297590454</v>
      </c>
      <c r="H231" s="1">
        <v>2.8875028875028872</v>
      </c>
      <c r="I231" s="1">
        <v>0.22898490989443798</v>
      </c>
      <c r="K231" s="1">
        <v>1.0004527911035095</v>
      </c>
      <c r="L231" s="1">
        <v>2.1327924842697161</v>
      </c>
      <c r="M231" s="1">
        <v>0.44786931388206619</v>
      </c>
      <c r="O231" s="1">
        <v>7.8570372316662702E-3</v>
      </c>
      <c r="P231" s="1">
        <v>0.86584819297590454</v>
      </c>
      <c r="R231" s="1">
        <v>0.10680054914673597</v>
      </c>
      <c r="S231" s="2">
        <f t="shared" si="48"/>
        <v>0.44860157160618352</v>
      </c>
      <c r="T231" s="4">
        <f t="shared" si="49"/>
        <v>0.20124337004753781</v>
      </c>
      <c r="U231" s="1">
        <f t="shared" si="40"/>
        <v>0.1228083506022668</v>
      </c>
      <c r="V231" s="6">
        <f>2*sigma/alpha*corel*(B231/12-1/alpha*(1-EXP(-alpha*Output!B231/12)))</f>
        <v>0.66762073257228938</v>
      </c>
      <c r="W231" s="5">
        <f t="shared" si="50"/>
        <v>-7.8435019445271009E-2</v>
      </c>
      <c r="X231" s="1">
        <f t="shared" si="46"/>
        <v>6.1976188685469014</v>
      </c>
      <c r="Y231" s="3">
        <f t="shared" si="51"/>
        <v>4.9687663592907348E-2</v>
      </c>
      <c r="Z231" s="1">
        <f t="shared" si="41"/>
        <v>0.10477075495338412</v>
      </c>
      <c r="AA231" s="8">
        <f t="shared" si="47"/>
        <v>18.250000000000011</v>
      </c>
      <c r="AB231" s="1">
        <v>18.329999999999998</v>
      </c>
      <c r="AC231">
        <v>8.0705702749999993E-3</v>
      </c>
      <c r="AD231" s="8">
        <f t="shared" si="42"/>
        <v>2.1353304333372911</v>
      </c>
      <c r="AE231" s="3">
        <f t="shared" si="43"/>
        <v>2.6458234803454349E-2</v>
      </c>
      <c r="AF231" s="11">
        <f t="shared" si="44"/>
        <v>18.250000000000011</v>
      </c>
      <c r="AG231" s="1">
        <f t="shared" si="45"/>
        <v>0.10477075495338412</v>
      </c>
    </row>
    <row r="232" spans="2:33" ht="15" x14ac:dyDescent="0.25">
      <c r="B232" s="1">
        <v>221</v>
      </c>
      <c r="C232" s="1">
        <v>0.86487888040764049</v>
      </c>
      <c r="D232" s="1">
        <v>2.9057941535421632</v>
      </c>
      <c r="E232" s="1">
        <v>0.22670082292398719</v>
      </c>
      <c r="G232" s="1">
        <v>0.86487888040764049</v>
      </c>
      <c r="H232" s="1">
        <v>2.9057941535421632</v>
      </c>
      <c r="I232" s="1">
        <v>0.22670082292398719</v>
      </c>
      <c r="K232" s="1">
        <v>1.0004565106387571</v>
      </c>
      <c r="L232" s="1">
        <v>2.1320054392525054</v>
      </c>
      <c r="M232" s="1">
        <v>0.4479375114110738</v>
      </c>
      <c r="O232" s="1">
        <v>7.8823061269395912E-3</v>
      </c>
      <c r="P232" s="1">
        <v>0.86487888040764049</v>
      </c>
      <c r="R232" s="1">
        <v>0.10707866629944583</v>
      </c>
      <c r="S232" s="2">
        <f t="shared" si="48"/>
        <v>0.45071267619063771</v>
      </c>
      <c r="T232" s="4">
        <f t="shared" si="49"/>
        <v>0.20314191647892663</v>
      </c>
      <c r="U232" s="1">
        <f t="shared" si="40"/>
        <v>0.12421936387850874</v>
      </c>
      <c r="V232" s="6">
        <f>2*sigma/alpha*corel*(B232/12-1/alpha*(1-EXP(-alpha*Output!B232/12)))</f>
        <v>0.67304254839553779</v>
      </c>
      <c r="W232" s="5">
        <f t="shared" si="50"/>
        <v>-7.8922552600417889E-2</v>
      </c>
      <c r="X232" s="1">
        <f t="shared" si="46"/>
        <v>6.2669476468482115</v>
      </c>
      <c r="Y232" s="3">
        <f t="shared" si="51"/>
        <v>4.9692615917710174E-2</v>
      </c>
      <c r="Z232" s="1">
        <f t="shared" si="41"/>
        <v>0.10502537934493762</v>
      </c>
      <c r="AA232" s="8">
        <f t="shared" si="47"/>
        <v>18.333333333333343</v>
      </c>
      <c r="AB232" s="1">
        <v>18.420000000000002</v>
      </c>
      <c r="AC232">
        <v>8.0930911119999997E-3</v>
      </c>
      <c r="AD232" s="8">
        <f t="shared" si="42"/>
        <v>2.1078498506040857</v>
      </c>
      <c r="AE232" s="3">
        <f t="shared" si="43"/>
        <v>2.6045052767028402E-2</v>
      </c>
      <c r="AF232" s="11">
        <f t="shared" si="44"/>
        <v>18.333333333333343</v>
      </c>
      <c r="AG232" s="1">
        <f t="shared" si="45"/>
        <v>0.10502537934493762</v>
      </c>
    </row>
    <row r="233" spans="2:33" ht="15" x14ac:dyDescent="0.25">
      <c r="B233" s="1">
        <v>222</v>
      </c>
      <c r="C233" s="1">
        <v>0.86390449220318988</v>
      </c>
      <c r="D233" s="1">
        <v>2.924147610971402</v>
      </c>
      <c r="E233" s="1">
        <v>0.22444673878888541</v>
      </c>
      <c r="G233" s="1">
        <v>0.86390449220318988</v>
      </c>
      <c r="H233" s="1">
        <v>2.924147610971402</v>
      </c>
      <c r="I233" s="1">
        <v>0.22444673878888541</v>
      </c>
      <c r="K233" s="1">
        <v>1.0004272756539745</v>
      </c>
      <c r="L233" s="1">
        <v>2.092728054407679</v>
      </c>
      <c r="M233" s="1">
        <v>0.45624730904548078</v>
      </c>
      <c r="O233" s="1">
        <v>7.9077328497150785E-3</v>
      </c>
      <c r="P233" s="1">
        <v>0.86390449220318988</v>
      </c>
      <c r="R233" s="1">
        <v>0.10729974317178756</v>
      </c>
      <c r="S233" s="2">
        <f t="shared" si="48"/>
        <v>0.45266676928983296</v>
      </c>
      <c r="T233" s="4">
        <f t="shared" si="49"/>
        <v>0.20490720401929485</v>
      </c>
      <c r="U233" s="1">
        <f t="shared" si="40"/>
        <v>0.12563904195337861</v>
      </c>
      <c r="V233" s="6">
        <f>2*sigma/alpha*corel*(B233/12-1/alpha*(1-EXP(-alpha*Output!B233/12)))</f>
        <v>0.67848098600323237</v>
      </c>
      <c r="W233" s="5">
        <f t="shared" si="50"/>
        <v>-7.9268162065916248E-2</v>
      </c>
      <c r="X233" s="1">
        <f t="shared" si="46"/>
        <v>6.3261804412457208</v>
      </c>
      <c r="Y233" s="3">
        <f t="shared" si="51"/>
        <v>4.9640782577893353E-2</v>
      </c>
      <c r="Z233" s="1">
        <f t="shared" si="41"/>
        <v>0.10524288613547259</v>
      </c>
      <c r="AA233" s="8">
        <f t="shared" si="47"/>
        <v>18.416666666666675</v>
      </c>
      <c r="AB233" s="1">
        <v>18.5</v>
      </c>
      <c r="AC233">
        <v>8.1153672579999999E-3</v>
      </c>
      <c r="AD233" s="8">
        <f t="shared" si="42"/>
        <v>2.0763440828492143</v>
      </c>
      <c r="AE233" s="3">
        <f t="shared" si="43"/>
        <v>2.5585337260028342E-2</v>
      </c>
      <c r="AF233" s="11">
        <f t="shared" si="44"/>
        <v>18.416666666666675</v>
      </c>
      <c r="AG233" s="1">
        <f t="shared" si="45"/>
        <v>0.10524288613547259</v>
      </c>
    </row>
    <row r="234" spans="2:33" ht="15" x14ac:dyDescent="0.25">
      <c r="B234" s="1">
        <v>223</v>
      </c>
      <c r="C234" s="1">
        <v>0.8629264898925163</v>
      </c>
      <c r="D234" s="1">
        <v>2.9429075927015891</v>
      </c>
      <c r="E234" s="1">
        <v>0.22217778666488927</v>
      </c>
      <c r="G234" s="1">
        <v>0.8629264898925163</v>
      </c>
      <c r="H234" s="1">
        <v>2.9429075927015891</v>
      </c>
      <c r="I234" s="1">
        <v>0.22217778666488927</v>
      </c>
      <c r="K234" s="1">
        <v>1.0004790050416255</v>
      </c>
      <c r="L234" s="1">
        <v>2.0797090532497222</v>
      </c>
      <c r="M234" s="1">
        <v>0.45900662922090363</v>
      </c>
      <c r="O234" s="1">
        <v>7.9332253591361673E-3</v>
      </c>
      <c r="P234" s="1">
        <v>0.8629264898925163</v>
      </c>
      <c r="R234" s="1">
        <v>0.10774768773307923</v>
      </c>
      <c r="S234" s="2">
        <f t="shared" si="48"/>
        <v>0.4552899091426813</v>
      </c>
      <c r="T234" s="4">
        <f t="shared" si="49"/>
        <v>0.207288901367151</v>
      </c>
      <c r="U234" s="1">
        <f t="shared" si="40"/>
        <v>0.1270673823833115</v>
      </c>
      <c r="V234" s="6">
        <f>2*sigma/alpha*corel*(B234/12-1/alpha*(1-EXP(-alpha*Output!B234/12)))</f>
        <v>0.68393599008166639</v>
      </c>
      <c r="W234" s="5">
        <f t="shared" si="50"/>
        <v>-8.0221518983839502E-2</v>
      </c>
      <c r="X234" s="1">
        <f t="shared" si="46"/>
        <v>6.4309013496610596</v>
      </c>
      <c r="Y234" s="3">
        <f t="shared" si="51"/>
        <v>4.982922508830151E-2</v>
      </c>
      <c r="Z234" s="1">
        <f t="shared" si="41"/>
        <v>0.10561514907826561</v>
      </c>
      <c r="AA234" s="8">
        <f t="shared" si="47"/>
        <v>18.500000000000007</v>
      </c>
      <c r="AB234" s="1">
        <v>18.579999999999998</v>
      </c>
      <c r="AC234">
        <v>8.1374075560000005E-3</v>
      </c>
      <c r="AD234" s="8">
        <f t="shared" si="42"/>
        <v>2.0418219686383319</v>
      </c>
      <c r="AE234" s="3">
        <f t="shared" si="43"/>
        <v>2.5091799256543611E-2</v>
      </c>
      <c r="AF234" s="11">
        <f t="shared" si="44"/>
        <v>18.500000000000007</v>
      </c>
      <c r="AG234" s="1">
        <f t="shared" si="45"/>
        <v>0.10561514907826561</v>
      </c>
    </row>
    <row r="235" spans="2:33" ht="15" x14ac:dyDescent="0.25">
      <c r="B235" s="1">
        <v>224</v>
      </c>
      <c r="C235" s="1">
        <v>0.86194235354004189</v>
      </c>
      <c r="D235" s="1">
        <v>2.9620853080568721</v>
      </c>
      <c r="E235" s="1">
        <v>0.21991071624920283</v>
      </c>
      <c r="G235" s="1">
        <v>0.86194235354004189</v>
      </c>
      <c r="H235" s="1">
        <v>2.9620853080568721</v>
      </c>
      <c r="I235" s="1">
        <v>0.21991071624920283</v>
      </c>
      <c r="K235" s="1">
        <v>1.0004444538242101</v>
      </c>
      <c r="L235" s="1">
        <v>2.0914660802671223</v>
      </c>
      <c r="M235" s="1">
        <v>0.45633983064326272</v>
      </c>
      <c r="O235" s="1">
        <v>7.958940310621266E-3</v>
      </c>
      <c r="P235" s="1">
        <v>0.86194235354004189</v>
      </c>
      <c r="R235" s="1">
        <v>0.10813883988830941</v>
      </c>
      <c r="S235" s="2">
        <f t="shared" si="48"/>
        <v>0.45775899508089601</v>
      </c>
      <c r="T235" s="4">
        <f t="shared" si="49"/>
        <v>0.20954329757747178</v>
      </c>
      <c r="U235" s="1">
        <f t="shared" si="40"/>
        <v>0.1285043825575185</v>
      </c>
      <c r="V235" s="6">
        <f>2*sigma/alpha*corel*(B235/12-1/alpha*(1-EXP(-alpha*Output!B235/12)))</f>
        <v>0.68940750550120478</v>
      </c>
      <c r="W235" s="5">
        <f t="shared" si="50"/>
        <v>-8.1038915019953278E-2</v>
      </c>
      <c r="X235" s="1">
        <f t="shared" si="46"/>
        <v>6.5261883634645717</v>
      </c>
      <c r="Y235" s="3">
        <f t="shared" si="51"/>
        <v>4.9961599530782365E-2</v>
      </c>
      <c r="Z235" s="1">
        <f t="shared" si="41"/>
        <v>0.1059506196243945</v>
      </c>
      <c r="AA235" s="8">
        <f t="shared" si="47"/>
        <v>18.583333333333339</v>
      </c>
      <c r="AB235" s="1">
        <v>18.670000000000002</v>
      </c>
      <c r="AC235">
        <v>8.159220868E-3</v>
      </c>
      <c r="AD235" s="8">
        <f t="shared" si="42"/>
        <v>2.0028055737873403</v>
      </c>
      <c r="AE235" s="3">
        <f t="shared" si="43"/>
        <v>2.4546529701656071E-2</v>
      </c>
      <c r="AF235" s="11">
        <f t="shared" si="44"/>
        <v>18.583333333333339</v>
      </c>
      <c r="AG235" s="1">
        <f t="shared" si="45"/>
        <v>0.1059506196243945</v>
      </c>
    </row>
    <row r="236" spans="2:33" ht="15" x14ac:dyDescent="0.25">
      <c r="B236" s="1">
        <v>225</v>
      </c>
      <c r="C236" s="1">
        <v>0.86095419657363514</v>
      </c>
      <c r="D236" s="1">
        <v>2.9806259314456036</v>
      </c>
      <c r="E236" s="1">
        <v>0.21771314116520071</v>
      </c>
      <c r="G236" s="1">
        <v>0.86095419657363514</v>
      </c>
      <c r="H236" s="1">
        <v>2.9806259314456036</v>
      </c>
      <c r="I236" s="1">
        <v>0.21771314116520071</v>
      </c>
      <c r="K236" s="1">
        <v>1.0005121035697662</v>
      </c>
      <c r="L236" s="1">
        <v>2.061468901958722</v>
      </c>
      <c r="M236" s="1">
        <v>0.46287141236697182</v>
      </c>
      <c r="O236" s="1">
        <v>7.9847452751731045E-3</v>
      </c>
      <c r="P236" s="1">
        <v>0.86095419657363514</v>
      </c>
      <c r="R236" s="1">
        <v>0.10863720584672092</v>
      </c>
      <c r="S236" s="2">
        <f t="shared" si="48"/>
        <v>0.46055034198116962</v>
      </c>
      <c r="T236" s="4">
        <f t="shared" si="49"/>
        <v>0.21210661749897228</v>
      </c>
      <c r="U236" s="1">
        <f t="shared" si="40"/>
        <v>0.1299500396997102</v>
      </c>
      <c r="V236" s="6">
        <f>2*sigma/alpha*corel*(B236/12-1/alpha*(1-EXP(-alpha*Output!B236/12)))</f>
        <v>0.69489547731567081</v>
      </c>
      <c r="W236" s="5">
        <f t="shared" si="50"/>
        <v>-8.2156577799262082E-2</v>
      </c>
      <c r="X236" s="1">
        <f t="shared" si="46"/>
        <v>6.6446230593384303</v>
      </c>
      <c r="Y236" s="3">
        <f t="shared" si="51"/>
        <v>5.0208564251378818E-2</v>
      </c>
      <c r="Z236" s="1">
        <f t="shared" si="41"/>
        <v>0.10635954556728099</v>
      </c>
      <c r="AA236" s="8">
        <f t="shared" si="47"/>
        <v>18.666666666666671</v>
      </c>
      <c r="AB236" s="1">
        <v>18.75</v>
      </c>
      <c r="AC236">
        <v>8.1808161269999995E-3</v>
      </c>
      <c r="AD236" s="8">
        <f t="shared" si="42"/>
        <v>1.9607085182689505</v>
      </c>
      <c r="AE236" s="3">
        <f t="shared" si="43"/>
        <v>2.3967150560905776E-2</v>
      </c>
      <c r="AF236" s="11">
        <f t="shared" si="44"/>
        <v>18.666666666666671</v>
      </c>
      <c r="AG236" s="1">
        <f t="shared" si="45"/>
        <v>0.10635954556728099</v>
      </c>
    </row>
    <row r="237" spans="2:33" ht="15" x14ac:dyDescent="0.25">
      <c r="B237" s="1">
        <v>226</v>
      </c>
      <c r="C237" s="1">
        <v>0.85996150085841561</v>
      </c>
      <c r="D237" s="1">
        <v>2.9991302522268541</v>
      </c>
      <c r="E237" s="1">
        <v>0.21554511359227485</v>
      </c>
      <c r="G237" s="1">
        <v>0.85996150085841561</v>
      </c>
      <c r="H237" s="1">
        <v>2.9991302522268541</v>
      </c>
      <c r="I237" s="1">
        <v>0.21554511359227485</v>
      </c>
      <c r="K237" s="1">
        <v>1.0004928172025296</v>
      </c>
      <c r="L237" s="1">
        <v>2.0389851143885083</v>
      </c>
      <c r="M237" s="1">
        <v>0.46789119507663463</v>
      </c>
      <c r="O237" s="1">
        <v>8.0106720626725789E-3</v>
      </c>
      <c r="P237" s="1">
        <v>0.85996150085841561</v>
      </c>
      <c r="R237" s="1">
        <v>0.10859629699398807</v>
      </c>
      <c r="S237" s="2">
        <f t="shared" si="48"/>
        <v>0.46177283557230353</v>
      </c>
      <c r="T237" s="4">
        <f t="shared" si="49"/>
        <v>0.21323415167248566</v>
      </c>
      <c r="U237" s="1">
        <f t="shared" si="40"/>
        <v>0.13140435086980284</v>
      </c>
      <c r="V237" s="6">
        <f>2*sigma/alpha*corel*(B237/12-1/alpha*(1-EXP(-alpha*Output!B237/12)))</f>
        <v>0.70039985076173816</v>
      </c>
      <c r="W237" s="5">
        <f t="shared" si="50"/>
        <v>-8.1829800802682817E-2</v>
      </c>
      <c r="X237" s="1">
        <f t="shared" si="46"/>
        <v>6.6550716114158375</v>
      </c>
      <c r="Y237" s="3">
        <f t="shared" si="51"/>
        <v>4.9894053895881266E-2</v>
      </c>
      <c r="Z237" s="1">
        <f t="shared" si="41"/>
        <v>0.10640567346453722</v>
      </c>
      <c r="AA237" s="8">
        <f t="shared" si="47"/>
        <v>18.750000000000004</v>
      </c>
      <c r="AB237" s="1">
        <v>18.829999999999998</v>
      </c>
      <c r="AC237">
        <v>8.2022022820000002E-3</v>
      </c>
      <c r="AD237" s="8">
        <f t="shared" si="42"/>
        <v>1.9153021932742134</v>
      </c>
      <c r="AE237" s="3">
        <f t="shared" si="43"/>
        <v>2.3351072400121201E-2</v>
      </c>
      <c r="AF237" s="11">
        <f t="shared" si="44"/>
        <v>18.750000000000004</v>
      </c>
      <c r="AG237" s="1">
        <f t="shared" si="45"/>
        <v>0.10640567346453722</v>
      </c>
    </row>
    <row r="238" spans="2:33" ht="15" x14ac:dyDescent="0.25">
      <c r="B238" s="1">
        <v>227</v>
      </c>
      <c r="C238" s="1">
        <v>0.85896176439571248</v>
      </c>
      <c r="D238" s="1">
        <v>3.0174104583446488</v>
      </c>
      <c r="E238" s="1">
        <v>0.21341528480269759</v>
      </c>
      <c r="G238" s="1">
        <v>0.85896176439571248</v>
      </c>
      <c r="H238" s="1">
        <v>3.0174104583446488</v>
      </c>
      <c r="I238" s="1">
        <v>0.21341528480269759</v>
      </c>
      <c r="K238" s="1">
        <v>1.0005648281692501</v>
      </c>
      <c r="L238" s="1">
        <v>2.0665111071749784</v>
      </c>
      <c r="M238" s="1">
        <v>0.46156038230912805</v>
      </c>
      <c r="O238" s="1">
        <v>8.0368741718806445E-3</v>
      </c>
      <c r="P238" s="1">
        <v>0.85896176439571248</v>
      </c>
      <c r="R238" s="1">
        <v>0.10890532619379348</v>
      </c>
      <c r="S238" s="2">
        <f t="shared" si="48"/>
        <v>0.46403113754047476</v>
      </c>
      <c r="T238" s="4">
        <f t="shared" si="49"/>
        <v>0.21532489660710699</v>
      </c>
      <c r="U238" s="1">
        <f t="shared" si="40"/>
        <v>0.13286731296561571</v>
      </c>
      <c r="V238" s="6">
        <f>2*sigma/alpha*corel*(B238/12-1/alpha*(1-EXP(-alpha*Output!B238/12)))</f>
        <v>0.70592057125832097</v>
      </c>
      <c r="W238" s="5">
        <f t="shared" si="50"/>
        <v>-8.2457583641491278E-2</v>
      </c>
      <c r="X238" s="1">
        <f t="shared" si="46"/>
        <v>6.7376143484651809</v>
      </c>
      <c r="Y238" s="3">
        <f t="shared" si="51"/>
        <v>4.9949892314767458E-2</v>
      </c>
      <c r="Z238" s="1">
        <f t="shared" si="41"/>
        <v>0.10669027096017855</v>
      </c>
      <c r="AA238" s="8">
        <f t="shared" si="47"/>
        <v>18.833333333333336</v>
      </c>
      <c r="AB238" s="1">
        <v>18.920000000000002</v>
      </c>
      <c r="AC238">
        <v>8.2233882849999992E-3</v>
      </c>
      <c r="AD238" s="8">
        <f t="shared" si="42"/>
        <v>1.8651411311935464</v>
      </c>
      <c r="AE238" s="3">
        <f t="shared" si="43"/>
        <v>2.2680932318320496E-2</v>
      </c>
      <c r="AF238" s="11">
        <f t="shared" si="44"/>
        <v>18.833333333333336</v>
      </c>
      <c r="AG238" s="1">
        <f t="shared" si="45"/>
        <v>0.10669027096017855</v>
      </c>
    </row>
    <row r="239" spans="2:33" ht="15" x14ac:dyDescent="0.25">
      <c r="B239" s="1">
        <v>228</v>
      </c>
      <c r="C239" s="1">
        <v>0.85795515102644426</v>
      </c>
      <c r="D239" s="1">
        <v>3.035546246547066</v>
      </c>
      <c r="E239" s="1">
        <v>0.21131820295000212</v>
      </c>
      <c r="G239" s="1">
        <v>0.85795515102644426</v>
      </c>
      <c r="H239" s="1">
        <v>3.035546246547066</v>
      </c>
      <c r="I239" s="1">
        <v>0.21131820295000212</v>
      </c>
      <c r="K239" s="1">
        <v>1.0005534505536253</v>
      </c>
      <c r="L239" s="1">
        <v>2.0478559712014706</v>
      </c>
      <c r="M239" s="1">
        <v>0.46566013572574821</v>
      </c>
      <c r="O239" s="1">
        <v>8.0633395995436639E-3</v>
      </c>
      <c r="P239" s="1">
        <v>0.85795515102644426</v>
      </c>
      <c r="R239" s="1">
        <v>0.10933350037546334</v>
      </c>
      <c r="S239" s="2">
        <f t="shared" si="48"/>
        <v>0.46665127903498693</v>
      </c>
      <c r="T239" s="4">
        <f t="shared" si="49"/>
        <v>0.21776341622498924</v>
      </c>
      <c r="U239" s="1">
        <f t="shared" si="40"/>
        <v>0.13433892272454884</v>
      </c>
      <c r="V239" s="6">
        <f>2*sigma/alpha*corel*(B239/12-1/alpha*(1-EXP(-alpha*Output!B239/12)))</f>
        <v>0.71145758440596607</v>
      </c>
      <c r="W239" s="5">
        <f t="shared" si="50"/>
        <v>-8.34244935004404E-2</v>
      </c>
      <c r="X239" s="1">
        <f t="shared" si="46"/>
        <v>6.8464334004422422</v>
      </c>
      <c r="Y239" s="3">
        <f t="shared" si="51"/>
        <v>5.013451128206127E-2</v>
      </c>
      <c r="Z239" s="1">
        <f t="shared" si="41"/>
        <v>0.1070571456414478</v>
      </c>
      <c r="AA239" s="8">
        <f t="shared" si="47"/>
        <v>18.916666666666668</v>
      </c>
      <c r="AB239" s="1">
        <v>19</v>
      </c>
      <c r="AC239">
        <v>8.2443830859999997E-3</v>
      </c>
      <c r="AD239" s="8">
        <f t="shared" si="42"/>
        <v>1.8104348645633581</v>
      </c>
      <c r="AE239" s="3">
        <f t="shared" si="43"/>
        <v>2.1959615967357272E-2</v>
      </c>
      <c r="AF239" s="11">
        <f t="shared" si="44"/>
        <v>18.916666666666668</v>
      </c>
      <c r="AG239" s="1">
        <f t="shared" si="45"/>
        <v>0.1070571456414478</v>
      </c>
    </row>
    <row r="240" spans="2:33" ht="15" x14ac:dyDescent="0.25">
      <c r="B240" s="1">
        <v>229</v>
      </c>
      <c r="C240" s="1">
        <v>0.85694201010437987</v>
      </c>
      <c r="D240" s="1">
        <v>3.0533418826906047</v>
      </c>
      <c r="E240" s="1">
        <v>0.20926631230904449</v>
      </c>
      <c r="G240" s="1">
        <v>0.85694201010437987</v>
      </c>
      <c r="H240" s="1">
        <v>3.0533418826906047</v>
      </c>
      <c r="I240" s="1">
        <v>0.20926631230904449</v>
      </c>
      <c r="K240" s="1">
        <v>1.0005541564030254</v>
      </c>
      <c r="L240" s="1">
        <v>2.0739019594377335</v>
      </c>
      <c r="M240" s="1">
        <v>0.45970802674806338</v>
      </c>
      <c r="O240" s="1">
        <v>8.0900451788505322E-3</v>
      </c>
      <c r="P240" s="1">
        <v>0.85694201010437987</v>
      </c>
      <c r="R240" s="1">
        <v>0.10955561904484028</v>
      </c>
      <c r="S240" s="2">
        <f t="shared" si="48"/>
        <v>0.46867851836656227</v>
      </c>
      <c r="T240" s="4">
        <f t="shared" si="49"/>
        <v>0.21965955357827605</v>
      </c>
      <c r="U240" s="1">
        <f t="shared" si="40"/>
        <v>0.13581917672525323</v>
      </c>
      <c r="V240" s="6">
        <f>2*sigma/alpha*corel*(B240/12-1/alpha*(1-EXP(-alpha*Output!B240/12)))</f>
        <v>0.71701083598625148</v>
      </c>
      <c r="W240" s="5">
        <f t="shared" si="50"/>
        <v>-8.3840376853022813E-2</v>
      </c>
      <c r="X240" s="1">
        <f t="shared" si="46"/>
        <v>6.913919972035778</v>
      </c>
      <c r="Y240" s="3">
        <f t="shared" si="51"/>
        <v>5.0107141250794948E-2</v>
      </c>
      <c r="Z240" s="1">
        <f t="shared" si="41"/>
        <v>0.10728720469986815</v>
      </c>
      <c r="AA240" s="8">
        <f t="shared" si="47"/>
        <v>19</v>
      </c>
      <c r="AB240" s="1">
        <v>19.079999999999998</v>
      </c>
      <c r="AC240">
        <v>8.265195635E-3</v>
      </c>
      <c r="AD240" s="8">
        <f t="shared" si="42"/>
        <v>1.751504561494678</v>
      </c>
      <c r="AE240" s="3">
        <f t="shared" si="43"/>
        <v>2.1191326120312434E-2</v>
      </c>
      <c r="AF240" s="11">
        <f t="shared" si="44"/>
        <v>19</v>
      </c>
      <c r="AG240" s="1">
        <f t="shared" si="45"/>
        <v>0.10728720469986815</v>
      </c>
    </row>
    <row r="241" spans="2:33" ht="15" x14ac:dyDescent="0.25">
      <c r="B241" s="1">
        <v>230</v>
      </c>
      <c r="C241" s="1">
        <v>0.85592330296763031</v>
      </c>
      <c r="D241" s="1">
        <v>3.0711587481956943</v>
      </c>
      <c r="E241" s="1">
        <v>0.20723670576532516</v>
      </c>
      <c r="G241" s="1">
        <v>0.85592330296763031</v>
      </c>
      <c r="H241" s="1">
        <v>3.0711587481956943</v>
      </c>
      <c r="I241" s="1">
        <v>0.20723670576532516</v>
      </c>
      <c r="K241" s="1">
        <v>1.0005890564468993</v>
      </c>
      <c r="L241" s="1">
        <v>2.0742600902505011</v>
      </c>
      <c r="M241" s="1">
        <v>0.45954321355478384</v>
      </c>
      <c r="O241" s="1">
        <v>8.1169307578192601E-3</v>
      </c>
      <c r="P241" s="1">
        <v>0.85592330296763031</v>
      </c>
      <c r="R241" s="1">
        <v>0.10968351958854541</v>
      </c>
      <c r="S241" s="2">
        <f t="shared" si="48"/>
        <v>0.47043846000912537</v>
      </c>
      <c r="T241" s="4">
        <f t="shared" si="49"/>
        <v>0.22131234465575744</v>
      </c>
      <c r="U241" s="1">
        <f t="shared" si="40"/>
        <v>0.13730807138928913</v>
      </c>
      <c r="V241" s="6">
        <f>2*sigma/alpha*corel*(B241/12-1/alpha*(1-EXP(-alpha*Output!B241/12)))</f>
        <v>0.7225802719611818</v>
      </c>
      <c r="W241" s="5">
        <f t="shared" si="50"/>
        <v>-8.400427326646831E-2</v>
      </c>
      <c r="X241" s="1">
        <f t="shared" si="46"/>
        <v>6.9624498665233983</v>
      </c>
      <c r="Y241" s="3">
        <f t="shared" si="51"/>
        <v>4.9984309267743374E-2</v>
      </c>
      <c r="Z241" s="1">
        <f t="shared" si="41"/>
        <v>0.10745571657905306</v>
      </c>
      <c r="AA241" s="8">
        <f t="shared" si="47"/>
        <v>19.083333333333332</v>
      </c>
      <c r="AB241" s="1">
        <v>19.170000000000002</v>
      </c>
      <c r="AC241">
        <v>8.2858349009999992E-3</v>
      </c>
      <c r="AD241" s="8">
        <f t="shared" si="42"/>
        <v>1.6890414318073907</v>
      </c>
      <c r="AE241" s="3">
        <f t="shared" si="43"/>
        <v>2.0384686057449006E-2</v>
      </c>
      <c r="AF241" s="11">
        <f t="shared" si="44"/>
        <v>19.083333333333332</v>
      </c>
      <c r="AG241" s="1">
        <f t="shared" si="45"/>
        <v>0.10745571657905306</v>
      </c>
    </row>
    <row r="242" spans="2:33" ht="15" x14ac:dyDescent="0.25">
      <c r="B242" s="1">
        <v>231</v>
      </c>
      <c r="C242" s="1">
        <v>0.85490213810480109</v>
      </c>
      <c r="D242" s="1">
        <v>3.088516894187411</v>
      </c>
      <c r="E242" s="1">
        <v>0.20525451559934318</v>
      </c>
      <c r="G242" s="1">
        <v>0.85490213810480109</v>
      </c>
      <c r="H242" s="1">
        <v>3.088516894187411</v>
      </c>
      <c r="I242" s="1">
        <v>0.20525451559934318</v>
      </c>
      <c r="K242" s="1">
        <v>1.0005675437413089</v>
      </c>
      <c r="L242" s="1">
        <v>2.1147590239248202</v>
      </c>
      <c r="M242" s="1">
        <v>0.45064714441046844</v>
      </c>
      <c r="O242" s="1">
        <v>8.143806491074922E-3</v>
      </c>
      <c r="P242" s="1">
        <v>0.85490213810480109</v>
      </c>
      <c r="R242" s="1">
        <v>0.10988884681612918</v>
      </c>
      <c r="S242" s="2">
        <f t="shared" si="48"/>
        <v>0.47243148326682849</v>
      </c>
      <c r="T242" s="4">
        <f t="shared" si="49"/>
        <v>0.22319150638169566</v>
      </c>
      <c r="U242" s="1">
        <f t="shared" si="40"/>
        <v>0.13880560298276157</v>
      </c>
      <c r="V242" s="6">
        <f>2*sigma/alpha*corel*(B242/12-1/alpha*(1-EXP(-alpha*Output!B242/12)))</f>
        <v>0.72816583847258798</v>
      </c>
      <c r="W242" s="5">
        <f t="shared" si="50"/>
        <v>-8.4385903398934092E-2</v>
      </c>
      <c r="X242" s="1">
        <f t="shared" si="46"/>
        <v>7.0279400500364115</v>
      </c>
      <c r="Y242" s="3">
        <f t="shared" si="51"/>
        <v>4.9944425645637058E-2</v>
      </c>
      <c r="Z242" s="1">
        <f t="shared" si="41"/>
        <v>0.10767712834153914</v>
      </c>
      <c r="AA242" s="8">
        <f t="shared" si="47"/>
        <v>19.166666666666664</v>
      </c>
      <c r="AB242" s="1">
        <v>19.25</v>
      </c>
      <c r="AC242">
        <v>8.3063099159999994E-3</v>
      </c>
      <c r="AD242" s="8">
        <f t="shared" si="42"/>
        <v>1.6250342492507737</v>
      </c>
      <c r="AE242" s="3">
        <f t="shared" si="43"/>
        <v>1.9563852850235666E-2</v>
      </c>
      <c r="AF242" s="11">
        <f t="shared" si="44"/>
        <v>19.166666666666664</v>
      </c>
      <c r="AG242" s="1">
        <f t="shared" si="45"/>
        <v>0.10767712834153914</v>
      </c>
    </row>
    <row r="243" spans="2:33" ht="15" x14ac:dyDescent="0.25">
      <c r="B243" s="1">
        <v>232</v>
      </c>
      <c r="C243" s="1">
        <v>0.85387761579992927</v>
      </c>
      <c r="D243" s="1">
        <v>3.1062653371851026</v>
      </c>
      <c r="E243" s="1">
        <v>0.20327269031405629</v>
      </c>
      <c r="G243" s="1">
        <v>0.85387761579992927</v>
      </c>
      <c r="H243" s="1">
        <v>3.1062653371851026</v>
      </c>
      <c r="I243" s="1">
        <v>0.20327269031405629</v>
      </c>
      <c r="K243" s="1">
        <v>1.0005555015019685</v>
      </c>
      <c r="L243" s="1">
        <v>2.0837262461358823</v>
      </c>
      <c r="M243" s="1">
        <v>0.45725923410497427</v>
      </c>
      <c r="O243" s="1">
        <v>8.1707277149402121E-3</v>
      </c>
      <c r="P243" s="1">
        <v>0.85387761579992927</v>
      </c>
      <c r="R243" s="1">
        <v>0.11016973208719914</v>
      </c>
      <c r="S243" s="2">
        <f t="shared" si="48"/>
        <v>0.47465415391772658</v>
      </c>
      <c r="T243" s="4">
        <f t="shared" si="49"/>
        <v>0.22529656583135288</v>
      </c>
      <c r="U243" s="1">
        <f t="shared" si="40"/>
        <v>0.14031176761795594</v>
      </c>
      <c r="V243" s="6">
        <f>2*sigma/alpha*corel*(B243/12-1/alpha*(1-EXP(-alpha*Output!B243/12)))</f>
        <v>0.73376748184152918</v>
      </c>
      <c r="W243" s="5">
        <f t="shared" si="50"/>
        <v>-8.4984798213396939E-2</v>
      </c>
      <c r="X243" s="1">
        <f t="shared" si="46"/>
        <v>7.1105724459107549</v>
      </c>
      <c r="Y243" s="3">
        <f t="shared" si="51"/>
        <v>4.9986159910016939E-2</v>
      </c>
      <c r="Z243" s="1">
        <f t="shared" si="41"/>
        <v>0.10795031563848848</v>
      </c>
      <c r="AA243" s="8">
        <f t="shared" si="47"/>
        <v>19.249999999999996</v>
      </c>
      <c r="AB243" s="1">
        <v>19.329999999999998</v>
      </c>
      <c r="AC243">
        <v>8.3266297350000004E-3</v>
      </c>
      <c r="AD243" s="8">
        <f t="shared" si="42"/>
        <v>1.5590202005978833</v>
      </c>
      <c r="AE243" s="3">
        <f t="shared" si="43"/>
        <v>1.8723304028336059E-2</v>
      </c>
      <c r="AF243" s="11">
        <f t="shared" si="44"/>
        <v>19.249999999999996</v>
      </c>
      <c r="AG243" s="1">
        <f t="shared" si="45"/>
        <v>0.10795031563848848</v>
      </c>
    </row>
    <row r="244" spans="2:33" ht="15" x14ac:dyDescent="0.25">
      <c r="B244" s="1">
        <v>233</v>
      </c>
      <c r="C244" s="1">
        <v>0.85285597553502301</v>
      </c>
      <c r="D244" s="1">
        <v>3.1246094238220223</v>
      </c>
      <c r="E244" s="1">
        <v>0.20127203928830206</v>
      </c>
      <c r="G244" s="1">
        <v>0.85285597553502301</v>
      </c>
      <c r="H244" s="1">
        <v>3.1246094238220223</v>
      </c>
      <c r="I244" s="1">
        <v>0.20127203928830206</v>
      </c>
      <c r="K244" s="1">
        <v>1.0004912035273577</v>
      </c>
      <c r="L244" s="1">
        <v>2.0399390296191324</v>
      </c>
      <c r="M244" s="1">
        <v>0.46699210663790885</v>
      </c>
      <c r="O244" s="1">
        <v>8.1973179590288121E-3</v>
      </c>
      <c r="P244" s="1">
        <v>0.85285597553502301</v>
      </c>
      <c r="R244" s="1">
        <v>0.1103382845470928</v>
      </c>
      <c r="S244" s="2">
        <f t="shared" si="48"/>
        <v>0.47654403577752624</v>
      </c>
      <c r="T244" s="4">
        <f t="shared" si="49"/>
        <v>0.22709421803513222</v>
      </c>
      <c r="U244" s="1">
        <f t="shared" si="40"/>
        <v>0.14182656125495141</v>
      </c>
      <c r="V244" s="6">
        <f>2*sigma/alpha*corel*(B244/12-1/alpha*(1-EXP(-alpha*Output!B244/12)))</f>
        <v>0.73938514856769832</v>
      </c>
      <c r="W244" s="5">
        <f t="shared" si="50"/>
        <v>-8.5267656780180806E-2</v>
      </c>
      <c r="X244" s="1">
        <f t="shared" si="46"/>
        <v>7.1691450745165195</v>
      </c>
      <c r="Y244" s="3">
        <f t="shared" si="51"/>
        <v>4.9909204521534647E-2</v>
      </c>
      <c r="Z244" s="1">
        <f t="shared" si="41"/>
        <v>0.10814730489225079</v>
      </c>
      <c r="AA244" s="8">
        <f t="shared" si="47"/>
        <v>19.333333333333329</v>
      </c>
      <c r="AB244" s="1">
        <v>19.420000000000002</v>
      </c>
      <c r="AC244">
        <v>8.3468034100000008E-3</v>
      </c>
      <c r="AD244" s="8">
        <f t="shared" si="42"/>
        <v>1.4948545097118875</v>
      </c>
      <c r="AE244" s="3">
        <f t="shared" si="43"/>
        <v>1.7909305350608314E-2</v>
      </c>
      <c r="AF244" s="11">
        <f t="shared" si="44"/>
        <v>19.333333333333329</v>
      </c>
      <c r="AG244" s="1">
        <f t="shared" si="45"/>
        <v>0.10814730489225079</v>
      </c>
    </row>
    <row r="245" spans="2:33" ht="15" x14ac:dyDescent="0.25">
      <c r="B245" s="1">
        <v>234</v>
      </c>
      <c r="C245" s="1">
        <v>0.85183707971339973</v>
      </c>
      <c r="D245" s="1">
        <v>3.1430726678400807</v>
      </c>
      <c r="E245" s="1">
        <v>0.19929846938775511</v>
      </c>
      <c r="G245" s="1">
        <v>0.85183707971339973</v>
      </c>
      <c r="H245" s="1">
        <v>3.1430726678400807</v>
      </c>
      <c r="I245" s="1">
        <v>0.19929846938775511</v>
      </c>
      <c r="K245" s="1">
        <v>1.0004694054680423</v>
      </c>
      <c r="L245" s="1">
        <v>2.0132312074130856</v>
      </c>
      <c r="M245" s="1">
        <v>0.47307268873700209</v>
      </c>
      <c r="O245" s="1">
        <v>8.223589304181992E-3</v>
      </c>
      <c r="P245" s="1">
        <v>0.85183707971339973</v>
      </c>
      <c r="R245" s="1">
        <v>0.11059255543231916</v>
      </c>
      <c r="S245" s="2">
        <f t="shared" si="48"/>
        <v>0.47868558639607528</v>
      </c>
      <c r="T245" s="4">
        <f t="shared" si="49"/>
        <v>0.22913989062335446</v>
      </c>
      <c r="U245" s="1">
        <f t="shared" si="40"/>
        <v>0.14334997970322627</v>
      </c>
      <c r="V245" s="6">
        <f>2*sigma/alpha*corel*(B245/12-1/alpha*(1-EXP(-alpha*Output!B245/12)))</f>
        <v>0.74501878532882349</v>
      </c>
      <c r="W245" s="5">
        <f t="shared" si="50"/>
        <v>-8.5789910920128193E-2</v>
      </c>
      <c r="X245" s="1">
        <f t="shared" si="46"/>
        <v>7.2466660422628344</v>
      </c>
      <c r="Y245" s="3">
        <f t="shared" si="51"/>
        <v>4.9921652477904907E-2</v>
      </c>
      <c r="Z245" s="1">
        <f t="shared" si="41"/>
        <v>0.10840093921046294</v>
      </c>
      <c r="AA245" s="8">
        <f t="shared" si="47"/>
        <v>19.416666666666661</v>
      </c>
      <c r="AB245" s="1">
        <v>19.5</v>
      </c>
      <c r="AC245">
        <v>8.366839991E-3</v>
      </c>
      <c r="AD245" s="8">
        <f t="shared" si="42"/>
        <v>1.4325068681800799</v>
      </c>
      <c r="AE245" s="3">
        <f t="shared" si="43"/>
        <v>1.7121241349434095E-2</v>
      </c>
      <c r="AF245" s="11">
        <f t="shared" si="44"/>
        <v>19.416666666666661</v>
      </c>
      <c r="AG245" s="1">
        <f t="shared" si="45"/>
        <v>0.10840093921046294</v>
      </c>
    </row>
    <row r="246" spans="2:33" ht="15" x14ac:dyDescent="0.25">
      <c r="B246" s="1">
        <v>235</v>
      </c>
      <c r="C246" s="1">
        <v>0.85082342620046714</v>
      </c>
      <c r="D246" s="1">
        <v>3.161355589276682</v>
      </c>
      <c r="E246" s="1">
        <v>0.19735543714229326</v>
      </c>
      <c r="G246" s="1">
        <v>0.85082342620046714</v>
      </c>
      <c r="H246" s="1">
        <v>3.161355589276682</v>
      </c>
      <c r="I246" s="1">
        <v>0.19735543714229326</v>
      </c>
      <c r="K246" s="1">
        <v>1.0004931498172049</v>
      </c>
      <c r="L246" s="1">
        <v>1.9915979788138056</v>
      </c>
      <c r="M246" s="1">
        <v>0.47812276340575693</v>
      </c>
      <c r="O246" s="1">
        <v>8.2493954917750942E-3</v>
      </c>
      <c r="P246" s="1">
        <v>0.85082342620046714</v>
      </c>
      <c r="R246" s="1">
        <v>0.11082883779336281</v>
      </c>
      <c r="S246" s="2">
        <f t="shared" si="48"/>
        <v>0.48076936574638163</v>
      </c>
      <c r="T246" s="4">
        <f t="shared" si="49"/>
        <v>0.23113918304017808</v>
      </c>
      <c r="U246" s="1">
        <f t="shared" si="40"/>
        <v>0.14488201862324601</v>
      </c>
      <c r="V246" s="6">
        <f>2*sigma/alpha*corel*(B246/12-1/alpha*(1-EXP(-alpha*Output!B246/12)))</f>
        <v>0.75066833898007923</v>
      </c>
      <c r="W246" s="5">
        <f t="shared" si="50"/>
        <v>-8.6257164416932069E-2</v>
      </c>
      <c r="X246" s="1">
        <f t="shared" si="46"/>
        <v>7.3203141678067896</v>
      </c>
      <c r="Y246" s="3">
        <f t="shared" si="51"/>
        <v>4.9913350773754674E-2</v>
      </c>
      <c r="Z246" s="1">
        <f t="shared" si="41"/>
        <v>0.1086409310523616</v>
      </c>
      <c r="AA246" s="8">
        <f t="shared" si="47"/>
        <v>19.499999999999993</v>
      </c>
      <c r="AB246" s="1">
        <v>19.579999999999998</v>
      </c>
      <c r="AC246">
        <v>8.3867485310000003E-3</v>
      </c>
      <c r="AD246" s="8">
        <f t="shared" si="42"/>
        <v>1.3735303922490609</v>
      </c>
      <c r="AE246" s="3">
        <f t="shared" si="43"/>
        <v>1.6377388533495078E-2</v>
      </c>
      <c r="AF246" s="11">
        <f t="shared" si="44"/>
        <v>19.499999999999993</v>
      </c>
      <c r="AG246" s="1">
        <f t="shared" si="45"/>
        <v>0.1086409310523616</v>
      </c>
    </row>
    <row r="247" spans="2:33" ht="15" x14ac:dyDescent="0.25">
      <c r="B247" s="1">
        <v>236</v>
      </c>
      <c r="C247" s="1">
        <v>0.84981658311253172</v>
      </c>
      <c r="D247" s="1">
        <v>3.1795491399319573</v>
      </c>
      <c r="E247" s="1">
        <v>0.19544610573634319</v>
      </c>
      <c r="G247" s="1">
        <v>0.84981658311253172</v>
      </c>
      <c r="H247" s="1">
        <v>3.1795491399319573</v>
      </c>
      <c r="I247" s="1">
        <v>0.19544610573634319</v>
      </c>
      <c r="K247" s="1">
        <v>1.0004051994105196</v>
      </c>
      <c r="L247" s="1">
        <v>2.0123380692986039</v>
      </c>
      <c r="M247" s="1">
        <v>0.47309392625370011</v>
      </c>
      <c r="O247" s="1">
        <v>8.2746476621749741E-3</v>
      </c>
      <c r="P247" s="1">
        <v>0.84981658311253172</v>
      </c>
      <c r="R247" s="1">
        <v>0.11095982884542219</v>
      </c>
      <c r="S247" s="2">
        <f t="shared" si="48"/>
        <v>0.4825343319775085</v>
      </c>
      <c r="T247" s="4">
        <f t="shared" si="49"/>
        <v>0.23283938153698039</v>
      </c>
      <c r="U247" s="1">
        <f t="shared" si="40"/>
        <v>0.14642267352804694</v>
      </c>
      <c r="V247" s="6">
        <f>2*sigma/alpha*corel*(B247/12-1/alpha*(1-EXP(-alpha*Output!B247/12)))</f>
        <v>0.756333756553494</v>
      </c>
      <c r="W247" s="5">
        <f t="shared" si="50"/>
        <v>-8.6416708008933446E-2</v>
      </c>
      <c r="X247" s="1">
        <f t="shared" si="46"/>
        <v>7.3701551146717517</v>
      </c>
      <c r="Y247" s="3">
        <f t="shared" si="51"/>
        <v>4.9791589932398808E-2</v>
      </c>
      <c r="Z247" s="1">
        <f t="shared" si="41"/>
        <v>0.1088085042017678</v>
      </c>
      <c r="AA247" s="8">
        <f t="shared" si="47"/>
        <v>19.583333333333325</v>
      </c>
      <c r="AB247" s="1">
        <v>19.670000000000002</v>
      </c>
      <c r="AC247">
        <v>8.4065381009999999E-3</v>
      </c>
      <c r="AD247" s="8">
        <f t="shared" si="42"/>
        <v>1.3189043882502576</v>
      </c>
      <c r="AE247" s="3">
        <f t="shared" si="43"/>
        <v>1.568903123264697E-2</v>
      </c>
      <c r="AF247" s="11">
        <f t="shared" si="44"/>
        <v>19.583333333333325</v>
      </c>
      <c r="AG247" s="1">
        <f t="shared" si="45"/>
        <v>0.1088085042017678</v>
      </c>
    </row>
    <row r="248" spans="2:33" ht="15" x14ac:dyDescent="0.25">
      <c r="B248" s="1">
        <v>237</v>
      </c>
      <c r="C248" s="1">
        <v>0.84882175589713083</v>
      </c>
      <c r="D248" s="1">
        <v>3.1968287458840834</v>
      </c>
      <c r="E248" s="1">
        <v>0.19361459079556234</v>
      </c>
      <c r="G248" s="1">
        <v>0.84882175589713083</v>
      </c>
      <c r="H248" s="1">
        <v>3.1968287458840834</v>
      </c>
      <c r="I248" s="1">
        <v>0.19361459079556234</v>
      </c>
      <c r="K248" s="1">
        <v>1.0003714170278613</v>
      </c>
      <c r="L248" s="1">
        <v>2.030690485984564</v>
      </c>
      <c r="M248" s="1">
        <v>0.46869209253129701</v>
      </c>
      <c r="O248" s="1">
        <v>8.2990410456860193E-3</v>
      </c>
      <c r="P248" s="1">
        <v>0.84882175589713083</v>
      </c>
      <c r="R248" s="1">
        <v>0.11117454444915097</v>
      </c>
      <c r="S248" s="2">
        <f t="shared" si="48"/>
        <v>0.48453298068379946</v>
      </c>
      <c r="T248" s="4">
        <f t="shared" si="49"/>
        <v>0.2347722093703272</v>
      </c>
      <c r="U248" s="1">
        <f t="shared" si="40"/>
        <v>0.14797193978479628</v>
      </c>
      <c r="V248" s="6">
        <f>2*sigma/alpha*corel*(B248/12-1/alpha*(1-EXP(-alpha*Output!B248/12)))</f>
        <v>0.76201498525736211</v>
      </c>
      <c r="W248" s="5">
        <f t="shared" si="50"/>
        <v>-8.6800269585530915E-2</v>
      </c>
      <c r="X248" s="1">
        <f t="shared" si="46"/>
        <v>7.4378881350137194</v>
      </c>
      <c r="Y248" s="3">
        <f t="shared" si="51"/>
        <v>4.975276463366924E-2</v>
      </c>
      <c r="Z248" s="1">
        <f t="shared" si="41"/>
        <v>0.10902843883339312</v>
      </c>
      <c r="AA248" s="8">
        <f t="shared" si="47"/>
        <v>19.666666666666657</v>
      </c>
      <c r="AB248" s="1">
        <v>19.75</v>
      </c>
      <c r="AC248">
        <v>8.4262178429999994E-3</v>
      </c>
      <c r="AD248" s="8">
        <f t="shared" si="42"/>
        <v>1.2717679731398015</v>
      </c>
      <c r="AE248" s="3">
        <f t="shared" si="43"/>
        <v>1.5092987112792375E-2</v>
      </c>
      <c r="AF248" s="11">
        <f t="shared" si="44"/>
        <v>19.666666666666657</v>
      </c>
      <c r="AG248" s="1">
        <f t="shared" si="45"/>
        <v>0.10902843883339312</v>
      </c>
    </row>
    <row r="249" spans="2:33" ht="15" x14ac:dyDescent="0.25">
      <c r="B249" s="1">
        <v>238</v>
      </c>
      <c r="C249" s="1">
        <v>0.8478412010277967</v>
      </c>
      <c r="D249" s="1">
        <v>3.2133676092544992</v>
      </c>
      <c r="E249" s="1">
        <v>0.19186492709132771</v>
      </c>
      <c r="G249" s="1">
        <v>0.8478412010277967</v>
      </c>
      <c r="H249" s="1">
        <v>3.2133676092544992</v>
      </c>
      <c r="I249" s="1">
        <v>0.19186492709132771</v>
      </c>
      <c r="K249" s="1">
        <v>1.0004746122477377</v>
      </c>
      <c r="L249" s="1">
        <v>2.055036104516085</v>
      </c>
      <c r="M249" s="1">
        <v>0.46306107269375146</v>
      </c>
      <c r="O249" s="1">
        <v>8.3224499326914128E-3</v>
      </c>
      <c r="P249" s="1">
        <v>0.8478412010277967</v>
      </c>
      <c r="R249" s="1">
        <v>0.11156392361538162</v>
      </c>
      <c r="S249" s="2">
        <f t="shared" si="48"/>
        <v>0.48703313806129511</v>
      </c>
      <c r="T249" s="4">
        <f t="shared" si="49"/>
        <v>0.23720127756983256</v>
      </c>
      <c r="U249" s="1">
        <f t="shared" ref="U249:U312" si="52">sigma*sigma/alpha/alpha*(B249/12+2/alpha*EXP(-alpha*B249/12)-1/2/alpha*EXP(-2*alpha*B249/12)-3/2/alpha)</f>
        <v>0.14952981261635312</v>
      </c>
      <c r="V249" s="6">
        <f>2*sigma/alpha*corel*(B249/12-1/alpha*(1-EXP(-alpha*Output!B249/12)))</f>
        <v>0.76771197247565715</v>
      </c>
      <c r="W249" s="5">
        <f t="shared" si="50"/>
        <v>-8.7671464953479439E-2</v>
      </c>
      <c r="X249" s="1">
        <f t="shared" si="46"/>
        <v>7.544651225658499</v>
      </c>
      <c r="Y249" s="3">
        <f t="shared" si="51"/>
        <v>4.9891786858978548E-2</v>
      </c>
      <c r="Z249" s="1">
        <f t="shared" si="41"/>
        <v>0.10936054261401548</v>
      </c>
      <c r="AA249" s="8">
        <f t="shared" si="47"/>
        <v>19.749999999999989</v>
      </c>
      <c r="AB249" s="1">
        <v>19.829999999999998</v>
      </c>
      <c r="AC249">
        <v>8.445796916E-3</v>
      </c>
      <c r="AD249" s="8">
        <f t="shared" si="42"/>
        <v>1.233469833085872</v>
      </c>
      <c r="AE249" s="3">
        <f t="shared" si="43"/>
        <v>1.4604540522980674E-2</v>
      </c>
      <c r="AF249" s="11">
        <f t="shared" si="44"/>
        <v>19.749999999999989</v>
      </c>
      <c r="AG249" s="1">
        <f t="shared" si="45"/>
        <v>0.10936054261401548</v>
      </c>
    </row>
    <row r="250" spans="2:33" ht="15" x14ac:dyDescent="0.25">
      <c r="B250" s="1">
        <v>239</v>
      </c>
      <c r="C250" s="1">
        <v>0.8468749022731239</v>
      </c>
      <c r="D250" s="1">
        <v>3.2296612085392242</v>
      </c>
      <c r="E250" s="1">
        <v>0.19014298752662001</v>
      </c>
      <c r="G250" s="1">
        <v>0.8468749022731239</v>
      </c>
      <c r="H250" s="1">
        <v>3.2296612085392242</v>
      </c>
      <c r="I250" s="1">
        <v>0.19014298752662001</v>
      </c>
      <c r="K250" s="1">
        <v>1.0005769883316946</v>
      </c>
      <c r="L250" s="1">
        <v>2.0915578974224931</v>
      </c>
      <c r="M250" s="1">
        <v>0.45488783608122763</v>
      </c>
      <c r="O250" s="1">
        <v>8.3448848691779383E-3</v>
      </c>
      <c r="P250" s="1">
        <v>0.8468749022731239</v>
      </c>
      <c r="R250" s="1">
        <v>0.11202473521905594</v>
      </c>
      <c r="S250" s="2">
        <f t="shared" si="48"/>
        <v>0.48972954168808558</v>
      </c>
      <c r="T250" s="4">
        <f t="shared" si="49"/>
        <v>0.23983502400202236</v>
      </c>
      <c r="U250" s="1">
        <f t="shared" si="52"/>
        <v>0.15109628710280365</v>
      </c>
      <c r="V250" s="6">
        <f>2*sigma/alpha*corel*(B250/12-1/alpha*(1-EXP(-alpha*Output!B250/12)))</f>
        <v>0.77342466576744906</v>
      </c>
      <c r="W250" s="5">
        <f t="shared" si="50"/>
        <v>-8.8738736899218712E-2</v>
      </c>
      <c r="X250" s="1">
        <f t="shared" si="46"/>
        <v>7.6677050865885814</v>
      </c>
      <c r="Y250" s="3">
        <f t="shared" si="51"/>
        <v>5.0099685325313399E-2</v>
      </c>
      <c r="Z250" s="1">
        <f t="shared" si="41"/>
        <v>0.10973570928059348</v>
      </c>
      <c r="AA250" s="8">
        <f t="shared" si="47"/>
        <v>19.833333333333321</v>
      </c>
      <c r="AB250" s="1">
        <v>19.920000000000002</v>
      </c>
      <c r="AC250">
        <v>8.4652844810000002E-3</v>
      </c>
      <c r="AD250" s="8">
        <f t="shared" si="42"/>
        <v>1.2039961182206196</v>
      </c>
      <c r="AE250" s="3">
        <f t="shared" si="43"/>
        <v>1.4222748460762798E-2</v>
      </c>
      <c r="AF250" s="11">
        <f t="shared" si="44"/>
        <v>19.833333333333321</v>
      </c>
      <c r="AG250" s="1">
        <f t="shared" si="45"/>
        <v>0.10973570928059348</v>
      </c>
    </row>
    <row r="251" spans="2:33" ht="15" x14ac:dyDescent="0.25">
      <c r="B251" s="1">
        <v>240</v>
      </c>
      <c r="C251" s="1">
        <v>0.84592778333291041</v>
      </c>
      <c r="D251" s="1">
        <v>3.2468586642423456</v>
      </c>
      <c r="E251" s="1">
        <v>0.18839842498916709</v>
      </c>
      <c r="G251" s="1">
        <v>0.84592778333291041</v>
      </c>
      <c r="H251" s="1">
        <v>3.2468586642423456</v>
      </c>
      <c r="I251" s="1">
        <v>0.18839842498916709</v>
      </c>
      <c r="K251" s="1">
        <v>1.0006021466847193</v>
      </c>
      <c r="L251" s="1">
        <v>2.1146766383251401</v>
      </c>
      <c r="M251" s="1">
        <v>0.44982752241161111</v>
      </c>
      <c r="O251" s="1">
        <v>8.366064275507408E-3</v>
      </c>
      <c r="P251" s="1">
        <v>0.84592778333291041</v>
      </c>
      <c r="R251" s="1">
        <v>0.11247097062850132</v>
      </c>
      <c r="S251" s="2">
        <f t="shared" si="48"/>
        <v>0.49236001754514325</v>
      </c>
      <c r="T251" s="4">
        <f t="shared" si="49"/>
        <v>0.24241838687705378</v>
      </c>
      <c r="U251" s="1">
        <f t="shared" si="52"/>
        <v>0.15267135818299327</v>
      </c>
      <c r="V251" s="6">
        <f>2*sigma/alpha*corel*(B251/12-1/alpha*(1-EXP(-alpha*Output!B251/12)))</f>
        <v>0.77915301286631733</v>
      </c>
      <c r="W251" s="5">
        <f t="shared" si="50"/>
        <v>-8.974702869406051E-2</v>
      </c>
      <c r="X251" s="1">
        <f t="shared" si="46"/>
        <v>7.7868417129835006</v>
      </c>
      <c r="Y251" s="3">
        <f t="shared" si="51"/>
        <v>5.028345725721621E-2</v>
      </c>
      <c r="Z251" s="1">
        <f t="shared" si="41"/>
        <v>0.11009504686339294</v>
      </c>
      <c r="AA251" s="8">
        <f t="shared" si="47"/>
        <v>19.916666666666654</v>
      </c>
      <c r="AB251" s="1">
        <v>20</v>
      </c>
      <c r="AC251">
        <v>8.4846896990000004E-3</v>
      </c>
      <c r="AD251" s="8">
        <f t="shared" si="42"/>
        <v>1.1862542349259235</v>
      </c>
      <c r="AE251" s="3">
        <f t="shared" si="43"/>
        <v>1.3981115126293122E-2</v>
      </c>
      <c r="AF251" s="11">
        <f t="shared" si="44"/>
        <v>19.916666666666654</v>
      </c>
      <c r="AG251" s="1">
        <f t="shared" si="45"/>
        <v>0.11009504686339294</v>
      </c>
    </row>
    <row r="252" spans="2:33" ht="15" x14ac:dyDescent="0.25">
      <c r="B252" s="1">
        <v>241</v>
      </c>
      <c r="C252" s="1">
        <v>0.8450001091305569</v>
      </c>
      <c r="D252" s="1">
        <v>3.2651995036896757</v>
      </c>
      <c r="E252" s="1">
        <v>0.18662287249925352</v>
      </c>
      <c r="G252" s="1">
        <v>0.8450001091305569</v>
      </c>
      <c r="H252" s="1">
        <v>3.2651995036896757</v>
      </c>
      <c r="I252" s="1">
        <v>0.18662287249925352</v>
      </c>
      <c r="K252" s="1">
        <v>1.0005830488673899</v>
      </c>
      <c r="L252" s="1">
        <v>2.1528482208741195</v>
      </c>
      <c r="M252" s="1">
        <v>0.44175633070399156</v>
      </c>
      <c r="O252" s="1">
        <v>8.3859845216456511E-3</v>
      </c>
      <c r="P252" s="1">
        <v>0.8450001091305569</v>
      </c>
      <c r="R252" s="1">
        <v>0.11262051385898911</v>
      </c>
      <c r="S252" s="2">
        <f t="shared" si="48"/>
        <v>0.49408341102299969</v>
      </c>
      <c r="T252" s="4">
        <f t="shared" si="49"/>
        <v>0.24411841704812245</v>
      </c>
      <c r="U252" s="1">
        <f t="shared" si="52"/>
        <v>0.15425502065604357</v>
      </c>
      <c r="V252" s="6">
        <f>2*sigma/alpha*corel*(B252/12-1/alpha*(1-EXP(-alpha*Output!B252/12)))</f>
        <v>0.78489696167977474</v>
      </c>
      <c r="W252" s="5">
        <f t="shared" si="50"/>
        <v>-8.9863396392078881E-2</v>
      </c>
      <c r="X252" s="1">
        <f t="shared" si="46"/>
        <v>7.8350894172844781</v>
      </c>
      <c r="Y252" s="3">
        <f t="shared" si="51"/>
        <v>5.0146705672945303E-2</v>
      </c>
      <c r="Z252" s="1">
        <f t="shared" si="41"/>
        <v>0.11025095862583149</v>
      </c>
      <c r="AA252" s="8">
        <f t="shared" si="47"/>
        <v>19.999999999999986</v>
      </c>
      <c r="AB252" s="1">
        <v>20.079999999999998</v>
      </c>
      <c r="AC252">
        <v>8.5040217289999998E-3</v>
      </c>
      <c r="AD252" s="8">
        <f t="shared" si="42"/>
        <v>1.1803720735434862</v>
      </c>
      <c r="AE252" s="3">
        <f t="shared" si="43"/>
        <v>1.3880162952997157E-2</v>
      </c>
      <c r="AF252" s="11">
        <f t="shared" si="44"/>
        <v>19.999999999999986</v>
      </c>
      <c r="AG252" s="1">
        <f t="shared" si="45"/>
        <v>0.11025095862583149</v>
      </c>
    </row>
    <row r="253" spans="2:33" ht="15" x14ac:dyDescent="0.25">
      <c r="B253" s="1">
        <v>242</v>
      </c>
      <c r="C253" s="1">
        <v>0.84408975179133217</v>
      </c>
      <c r="D253" s="1">
        <v>3.2837487275473678</v>
      </c>
      <c r="E253" s="1">
        <v>0.18485655131617865</v>
      </c>
      <c r="G253" s="1">
        <v>0.84408975179133217</v>
      </c>
      <c r="H253" s="1">
        <v>3.2837487275473678</v>
      </c>
      <c r="I253" s="1">
        <v>0.18485655131617865</v>
      </c>
      <c r="K253" s="1">
        <v>1.0005810563866031</v>
      </c>
      <c r="L253" s="1">
        <v>2.2019845613721745</v>
      </c>
      <c r="M253" s="1">
        <v>0.43182553457653333</v>
      </c>
      <c r="O253" s="1">
        <v>8.404782597768147E-3</v>
      </c>
      <c r="P253" s="1">
        <v>0.84408975179133217</v>
      </c>
      <c r="R253" s="1">
        <v>0.11297664438233965</v>
      </c>
      <c r="S253" s="2">
        <f t="shared" si="48"/>
        <v>0.49640082744786695</v>
      </c>
      <c r="T253" s="4">
        <f t="shared" si="49"/>
        <v>0.24641378149092699</v>
      </c>
      <c r="U253" s="1">
        <f t="shared" si="52"/>
        <v>0.15584726918285874</v>
      </c>
      <c r="V253" s="6">
        <f>2*sigma/alpha*corel*(B253/12-1/alpha*(1-EXP(-alpha*Output!B253/12)))</f>
        <v>0.7906564602886863</v>
      </c>
      <c r="W253" s="5">
        <f t="shared" si="50"/>
        <v>-9.0566512308068253E-2</v>
      </c>
      <c r="X253" s="1">
        <f t="shared" si="46"/>
        <v>7.930836297713741</v>
      </c>
      <c r="Y253" s="3">
        <f t="shared" si="51"/>
        <v>5.0219444451452253E-2</v>
      </c>
      <c r="Z253" s="1">
        <f t="shared" si="41"/>
        <v>0.11053897592205748</v>
      </c>
      <c r="AA253" s="8">
        <f t="shared" si="47"/>
        <v>20.083333333333318</v>
      </c>
      <c r="AB253" s="1">
        <v>20.170000000000002</v>
      </c>
      <c r="AC253">
        <v>8.5232884089999992E-3</v>
      </c>
      <c r="AD253" s="8">
        <f t="shared" si="42"/>
        <v>1.1850581123185218</v>
      </c>
      <c r="AE253" s="3">
        <f t="shared" si="43"/>
        <v>1.3903766427370718E-2</v>
      </c>
      <c r="AF253" s="11">
        <f t="shared" si="44"/>
        <v>20.083333333333318</v>
      </c>
      <c r="AG253" s="1">
        <f t="shared" si="45"/>
        <v>0.11053897592205748</v>
      </c>
    </row>
    <row r="254" spans="2:33" ht="15" x14ac:dyDescent="0.25">
      <c r="B254" s="1">
        <v>243</v>
      </c>
      <c r="C254" s="1">
        <v>0.84319554691710763</v>
      </c>
      <c r="D254" s="1">
        <v>3.302291790502609</v>
      </c>
      <c r="E254" s="1">
        <v>0.183123351889833</v>
      </c>
      <c r="G254" s="1">
        <v>0.84319554691710763</v>
      </c>
      <c r="H254" s="1">
        <v>3.302291790502609</v>
      </c>
      <c r="I254" s="1">
        <v>0.183123351889833</v>
      </c>
      <c r="K254" s="1">
        <v>1.0006577723409991</v>
      </c>
      <c r="L254" s="1">
        <v>2.1915974897613553</v>
      </c>
      <c r="M254" s="1">
        <v>0.43375304032287554</v>
      </c>
      <c r="O254" s="1">
        <v>8.4225374014517407E-3</v>
      </c>
      <c r="P254" s="1">
        <v>0.84319554691710763</v>
      </c>
      <c r="R254" s="1">
        <v>0.11354236667305904</v>
      </c>
      <c r="S254" s="2">
        <f t="shared" si="48"/>
        <v>0.4993246428175907</v>
      </c>
      <c r="T254" s="4">
        <f t="shared" si="49"/>
        <v>0.24932509892491453</v>
      </c>
      <c r="U254" s="1">
        <f t="shared" si="52"/>
        <v>0.15744809828761719</v>
      </c>
      <c r="V254" s="6">
        <f>2*sigma/alpha*corel*(B254/12-1/alpha*(1-EXP(-alpha*Output!B254/12)))</f>
        <v>0.79643145694669104</v>
      </c>
      <c r="W254" s="5">
        <f t="shared" si="50"/>
        <v>-9.187700063729734E-2</v>
      </c>
      <c r="X254" s="1">
        <f t="shared" si="46"/>
        <v>8.0763401172353131</v>
      </c>
      <c r="Y254" s="3">
        <f t="shared" si="51"/>
        <v>5.0505155054701233E-2</v>
      </c>
      <c r="Z254" s="1">
        <f t="shared" si="41"/>
        <v>0.11096103173724238</v>
      </c>
      <c r="AA254" s="8">
        <f t="shared" si="47"/>
        <v>20.16666666666665</v>
      </c>
      <c r="AB254" s="1">
        <v>20.25</v>
      </c>
      <c r="AC254">
        <v>8.5424922820000002E-3</v>
      </c>
      <c r="AD254" s="8">
        <f t="shared" si="42"/>
        <v>1.1995488054825956</v>
      </c>
      <c r="AE254" s="3">
        <f t="shared" si="43"/>
        <v>1.404214093362637E-2</v>
      </c>
      <c r="AF254" s="11">
        <f t="shared" si="44"/>
        <v>20.16666666666665</v>
      </c>
      <c r="AG254" s="1">
        <f t="shared" si="45"/>
        <v>0.11096103173724238</v>
      </c>
    </row>
    <row r="255" spans="2:33" ht="15" x14ac:dyDescent="0.25">
      <c r="B255" s="1">
        <v>244</v>
      </c>
      <c r="C255" s="1">
        <v>0.84231427005795756</v>
      </c>
      <c r="D255" s="1">
        <v>3.3215970238490669</v>
      </c>
      <c r="E255" s="1">
        <v>0.18136641456735042</v>
      </c>
      <c r="G255" s="1">
        <v>0.84231427005795756</v>
      </c>
      <c r="H255" s="1">
        <v>3.3215970238490669</v>
      </c>
      <c r="I255" s="1">
        <v>0.18136641456735042</v>
      </c>
      <c r="K255" s="1">
        <v>1.0005969820751279</v>
      </c>
      <c r="L255" s="1">
        <v>2.1672084294407052</v>
      </c>
      <c r="M255" s="1">
        <v>0.43854991245601932</v>
      </c>
      <c r="O255" s="1">
        <v>8.4394471489323154E-3</v>
      </c>
      <c r="P255" s="1">
        <v>0.84231427005795756</v>
      </c>
      <c r="R255" s="1">
        <v>0.11361113039564398</v>
      </c>
      <c r="S255" s="2">
        <f t="shared" si="48"/>
        <v>0.50074961253633687</v>
      </c>
      <c r="T255" s="4">
        <f t="shared" si="49"/>
        <v>0.25075017445529152</v>
      </c>
      <c r="U255" s="1">
        <f t="shared" si="52"/>
        <v>0.15905750235925309</v>
      </c>
      <c r="V255" s="6">
        <f>2*sigma/alpha*corel*(B255/12-1/alpha*(1-EXP(-alpha*Output!B255/12)))</f>
        <v>0.8022219000796309</v>
      </c>
      <c r="W255" s="5">
        <f t="shared" si="50"/>
        <v>-9.169267209603843E-2</v>
      </c>
      <c r="X255" s="1">
        <f t="shared" si="46"/>
        <v>8.101230640778498</v>
      </c>
      <c r="Y255" s="3">
        <f t="shared" si="51"/>
        <v>5.0263381657558018E-2</v>
      </c>
      <c r="Z255" s="1">
        <f t="shared" si="41"/>
        <v>0.11104942950273625</v>
      </c>
      <c r="AA255" s="8">
        <f t="shared" si="47"/>
        <v>20.249999999999982</v>
      </c>
      <c r="AB255" s="1">
        <v>20.329999999999998</v>
      </c>
      <c r="AC255">
        <v>8.5616345700000006E-3</v>
      </c>
      <c r="AD255" s="8">
        <f t="shared" si="42"/>
        <v>1.2218742106768523</v>
      </c>
      <c r="AE255" s="3">
        <f t="shared" si="43"/>
        <v>1.4271506225672187E-2</v>
      </c>
      <c r="AF255" s="11">
        <f t="shared" si="44"/>
        <v>20.249999999999982</v>
      </c>
      <c r="AG255" s="1">
        <f t="shared" si="45"/>
        <v>0.11104942950273625</v>
      </c>
    </row>
    <row r="256" spans="2:33" ht="15" x14ac:dyDescent="0.25">
      <c r="B256" s="1">
        <v>245</v>
      </c>
      <c r="C256" s="1">
        <v>0.8414446377638074</v>
      </c>
      <c r="D256" s="1">
        <v>3.3416875522138678</v>
      </c>
      <c r="E256" s="1">
        <v>0.17960092674078199</v>
      </c>
      <c r="G256" s="1">
        <v>0.8414446377638074</v>
      </c>
      <c r="H256" s="1">
        <v>3.3416875522138678</v>
      </c>
      <c r="I256" s="1">
        <v>0.17960092674078199</v>
      </c>
      <c r="K256" s="1">
        <v>1.0007080912760369</v>
      </c>
      <c r="L256" s="1">
        <v>2.1939149176418504</v>
      </c>
      <c r="M256" s="1">
        <v>0.43311196104610039</v>
      </c>
      <c r="O256" s="1">
        <v>8.4555946509810125E-3</v>
      </c>
      <c r="P256" s="1">
        <v>0.8414446377638074</v>
      </c>
      <c r="R256" s="1">
        <v>0.11397158702167599</v>
      </c>
      <c r="S256" s="2">
        <f t="shared" si="48"/>
        <v>0.50303221729570269</v>
      </c>
      <c r="T256" s="4">
        <f t="shared" si="49"/>
        <v>0.25304141163743105</v>
      </c>
      <c r="U256" s="1">
        <f t="shared" si="52"/>
        <v>0.16067547565292895</v>
      </c>
      <c r="V256" s="6">
        <f>2*sigma/alpha*corel*(B256/12-1/alpha*(1-EXP(-alpha*Output!B256/12)))</f>
        <v>0.80802773828497498</v>
      </c>
      <c r="W256" s="5">
        <f t="shared" si="50"/>
        <v>-9.2365935984502101E-2</v>
      </c>
      <c r="X256" s="1">
        <f t="shared" si="46"/>
        <v>8.196126931238938</v>
      </c>
      <c r="Y256" s="3">
        <f t="shared" si="51"/>
        <v>5.0323105159758449E-2</v>
      </c>
      <c r="Z256" s="1">
        <f t="shared" si="41"/>
        <v>0.11132773715383126</v>
      </c>
      <c r="AA256" s="8">
        <f t="shared" si="47"/>
        <v>20.333333333333314</v>
      </c>
      <c r="AB256" s="1">
        <v>20.420000000000002</v>
      </c>
      <c r="AC256">
        <v>8.5807164930000006E-3</v>
      </c>
      <c r="AD256" s="8">
        <f t="shared" si="42"/>
        <v>1.2512184201898813</v>
      </c>
      <c r="AE256" s="3">
        <f t="shared" si="43"/>
        <v>1.4581747587286019E-2</v>
      </c>
      <c r="AF256" s="11">
        <f t="shared" si="44"/>
        <v>20.333333333333314</v>
      </c>
      <c r="AG256" s="1">
        <f t="shared" si="45"/>
        <v>0.11132773715383126</v>
      </c>
    </row>
    <row r="257" spans="2:33" ht="15" x14ac:dyDescent="0.25">
      <c r="B257" s="1">
        <v>246</v>
      </c>
      <c r="C257" s="1">
        <v>0.84058491849721617</v>
      </c>
      <c r="D257" s="1">
        <v>3.3622486719117743</v>
      </c>
      <c r="E257" s="1">
        <v>0.17783152241566338</v>
      </c>
      <c r="G257" s="1">
        <v>0.84058491849721617</v>
      </c>
      <c r="H257" s="1">
        <v>3.3622486719117743</v>
      </c>
      <c r="I257" s="1">
        <v>0.17783152241566338</v>
      </c>
      <c r="K257" s="1">
        <v>1.0006108264673557</v>
      </c>
      <c r="L257" s="1">
        <v>2.1903210556150778</v>
      </c>
      <c r="M257" s="1">
        <v>0.43372935395094464</v>
      </c>
      <c r="O257" s="1">
        <v>8.471087703746152E-3</v>
      </c>
      <c r="P257" s="1">
        <v>0.84058491849721617</v>
      </c>
      <c r="R257" s="1">
        <v>0.11426349804638086</v>
      </c>
      <c r="S257" s="2">
        <f t="shared" si="48"/>
        <v>0.50509869511689209</v>
      </c>
      <c r="T257" s="4">
        <f t="shared" si="49"/>
        <v>0.25512469180878711</v>
      </c>
      <c r="U257" s="1">
        <f t="shared" si="52"/>
        <v>0.16230201229148866</v>
      </c>
      <c r="V257" s="6">
        <f>2*sigma/alpha*corel*(B257/12-1/alpha*(1-EXP(-alpha*Output!B257/12)))</f>
        <v>0.81384892033124778</v>
      </c>
      <c r="W257" s="5">
        <f t="shared" si="50"/>
        <v>-9.2822679517298445E-2</v>
      </c>
      <c r="X257" s="1">
        <f t="shared" si="46"/>
        <v>8.2738097855428094</v>
      </c>
      <c r="Y257" s="3">
        <f t="shared" si="51"/>
        <v>5.0306687034810268E-2</v>
      </c>
      <c r="Z257" s="1">
        <f t="shared" si="41"/>
        <v>0.11155763944034405</v>
      </c>
      <c r="AA257" s="8">
        <f t="shared" si="47"/>
        <v>20.416666666666647</v>
      </c>
      <c r="AB257" s="1">
        <v>20.5</v>
      </c>
      <c r="AC257">
        <v>8.5997392710000006E-3</v>
      </c>
      <c r="AD257" s="8">
        <f t="shared" si="42"/>
        <v>1.2865156725384852</v>
      </c>
      <c r="AE257" s="3">
        <f t="shared" si="43"/>
        <v>1.4959938109715338E-2</v>
      </c>
      <c r="AF257" s="11">
        <f t="shared" si="44"/>
        <v>20.416666666666647</v>
      </c>
      <c r="AG257" s="1">
        <f t="shared" si="45"/>
        <v>0.11155763944034405</v>
      </c>
    </row>
    <row r="258" spans="2:33" ht="15" x14ac:dyDescent="0.25">
      <c r="B258" s="1">
        <v>247</v>
      </c>
      <c r="C258" s="1">
        <v>0.83973271882109746</v>
      </c>
      <c r="D258" s="1">
        <v>3.382721060821325</v>
      </c>
      <c r="E258" s="1">
        <v>0.17609664183704016</v>
      </c>
      <c r="G258" s="1">
        <v>0.83973271882109746</v>
      </c>
      <c r="H258" s="1">
        <v>3.382721060821325</v>
      </c>
      <c r="I258" s="1">
        <v>0.17609664183704016</v>
      </c>
      <c r="K258" s="1">
        <v>1.0007088115955347</v>
      </c>
      <c r="L258" s="1">
        <v>2.2387349536605776</v>
      </c>
      <c r="M258" s="1">
        <v>0.42429119559161971</v>
      </c>
      <c r="O258" s="1">
        <v>8.4860710765117843E-3</v>
      </c>
      <c r="P258" s="1">
        <v>0.83973271882109746</v>
      </c>
      <c r="R258" s="1">
        <v>0.11466759531692844</v>
      </c>
      <c r="S258" s="2">
        <f t="shared" si="48"/>
        <v>0.50749343951964576</v>
      </c>
      <c r="T258" s="4">
        <f t="shared" si="49"/>
        <v>0.25754959115548037</v>
      </c>
      <c r="U258" s="1">
        <f t="shared" si="52"/>
        <v>0.16393710626690838</v>
      </c>
      <c r="V258" s="6">
        <f>2*sigma/alpha*corel*(B258/12-1/alpha*(1-EXP(-alpha*Output!B258/12)))</f>
        <v>0.81968539515746164</v>
      </c>
      <c r="W258" s="5">
        <f t="shared" si="50"/>
        <v>-9.361248488857199E-2</v>
      </c>
      <c r="X258" s="1">
        <f t="shared" si="46"/>
        <v>8.3793120695268719</v>
      </c>
      <c r="Y258" s="3">
        <f t="shared" si="51"/>
        <v>5.0405313687706135E-2</v>
      </c>
      <c r="Z258" s="1">
        <f t="shared" si="41"/>
        <v>0.11185942403032392</v>
      </c>
      <c r="AA258" s="8">
        <f t="shared" si="47"/>
        <v>20.499999999999979</v>
      </c>
      <c r="AB258" s="1">
        <v>20.58</v>
      </c>
      <c r="AC258">
        <v>8.6187041270000004E-3</v>
      </c>
      <c r="AD258" s="8">
        <f t="shared" si="42"/>
        <v>1.326330504882161</v>
      </c>
      <c r="AE258" s="3">
        <f t="shared" si="43"/>
        <v>1.538897826562043E-2</v>
      </c>
      <c r="AF258" s="11">
        <f t="shared" si="44"/>
        <v>20.499999999999979</v>
      </c>
      <c r="AG258" s="1">
        <f t="shared" si="45"/>
        <v>0.11185942403032392</v>
      </c>
    </row>
    <row r="259" spans="2:33" ht="15" x14ac:dyDescent="0.25">
      <c r="B259" s="1">
        <v>248</v>
      </c>
      <c r="C259" s="1">
        <v>0.8388853412334123</v>
      </c>
      <c r="D259" s="1">
        <v>3.4042553191489362</v>
      </c>
      <c r="E259" s="1">
        <v>0.17432839983961787</v>
      </c>
      <c r="G259" s="1">
        <v>0.8388853412334123</v>
      </c>
      <c r="H259" s="1">
        <v>3.4042553191489362</v>
      </c>
      <c r="I259" s="1">
        <v>0.17432839983961787</v>
      </c>
      <c r="K259" s="1">
        <v>1.0008120369178926</v>
      </c>
      <c r="L259" s="1">
        <v>2.2142398299276134</v>
      </c>
      <c r="M259" s="1">
        <v>0.42886559497237414</v>
      </c>
      <c r="O259" s="1">
        <v>8.5007053102021755E-3</v>
      </c>
      <c r="P259" s="1">
        <v>0.8388853412334123</v>
      </c>
      <c r="R259" s="1">
        <v>0.11509689916210557</v>
      </c>
      <c r="S259" s="2">
        <f t="shared" si="48"/>
        <v>0.50996017754216316</v>
      </c>
      <c r="T259" s="4">
        <f t="shared" si="49"/>
        <v>0.26005938267883455</v>
      </c>
      <c r="U259" s="1">
        <f t="shared" si="52"/>
        <v>0.16558075144173001</v>
      </c>
      <c r="V259" s="6">
        <f>2*sigma/alpha*corel*(B259/12-1/alpha*(1-EXP(-alpha*Output!B259/12)))</f>
        <v>0.82553711187255008</v>
      </c>
      <c r="W259" s="5">
        <f t="shared" si="50"/>
        <v>-9.4478631237104538E-2</v>
      </c>
      <c r="X259" s="1">
        <f t="shared" si="46"/>
        <v>8.4917450386795146</v>
      </c>
      <c r="Y259" s="3">
        <f t="shared" si="51"/>
        <v>5.0528776874292455E-2</v>
      </c>
      <c r="Z259" s="1">
        <f t="shared" si="41"/>
        <v>0.11217628321850302</v>
      </c>
      <c r="AA259" s="8">
        <f t="shared" si="47"/>
        <v>20.583333333333311</v>
      </c>
      <c r="AB259" s="1">
        <v>20.67</v>
      </c>
      <c r="AC259">
        <v>8.6376122739999991E-3</v>
      </c>
      <c r="AD259" s="8">
        <f t="shared" si="42"/>
        <v>1.3690696379782368</v>
      </c>
      <c r="AE259" s="3">
        <f t="shared" si="43"/>
        <v>1.5850093689656126E-2</v>
      </c>
      <c r="AF259" s="11">
        <f t="shared" si="44"/>
        <v>20.583333333333311</v>
      </c>
      <c r="AG259" s="1">
        <f t="shared" si="45"/>
        <v>0.11217628321850302</v>
      </c>
    </row>
    <row r="260" spans="2:33" ht="15" x14ac:dyDescent="0.25">
      <c r="B260" s="1">
        <v>249</v>
      </c>
      <c r="C260" s="1">
        <v>0.83804118954291318</v>
      </c>
      <c r="D260" s="1">
        <v>3.4263002809566228</v>
      </c>
      <c r="E260" s="1">
        <v>0.17255659856432909</v>
      </c>
      <c r="G260" s="1">
        <v>0.83804118954291318</v>
      </c>
      <c r="H260" s="1">
        <v>3.4263002809566228</v>
      </c>
      <c r="I260" s="1">
        <v>0.17255659856432909</v>
      </c>
      <c r="K260" s="1">
        <v>1.0007750614325353</v>
      </c>
      <c r="L260" s="1">
        <v>2.225430902024764</v>
      </c>
      <c r="M260" s="1">
        <v>0.42663800834882398</v>
      </c>
      <c r="O260" s="1">
        <v>8.515085663074861E-3</v>
      </c>
      <c r="P260" s="1">
        <v>0.83804118954291318</v>
      </c>
      <c r="R260" s="1">
        <v>0.11535687947413455</v>
      </c>
      <c r="S260" s="2">
        <f t="shared" si="48"/>
        <v>0.5119171722016278</v>
      </c>
      <c r="T260" s="4">
        <f t="shared" si="49"/>
        <v>0.26205919119491106</v>
      </c>
      <c r="U260" s="1">
        <f t="shared" si="52"/>
        <v>0.16723294155048585</v>
      </c>
      <c r="V260" s="6">
        <f>2*sigma/alpha*corel*(B260/12-1/alpha*(1-EXP(-alpha*Output!B260/12)))</f>
        <v>0.8314040197547985</v>
      </c>
      <c r="W260" s="5">
        <f t="shared" si="50"/>
        <v>-9.4826249644425209E-2</v>
      </c>
      <c r="X260" s="1">
        <f t="shared" si="46"/>
        <v>8.5618113645517298</v>
      </c>
      <c r="Y260" s="3">
        <f t="shared" si="51"/>
        <v>5.0473573189528637E-2</v>
      </c>
      <c r="Z260" s="1">
        <f t="shared" si="41"/>
        <v>0.11238041916545312</v>
      </c>
      <c r="AA260" s="8">
        <f t="shared" si="47"/>
        <v>20.666666666666643</v>
      </c>
      <c r="AB260" s="1">
        <v>20.75</v>
      </c>
      <c r="AC260">
        <v>8.6564649070000003E-3</v>
      </c>
      <c r="AD260" s="8">
        <f t="shared" si="42"/>
        <v>1.4137924392513928</v>
      </c>
      <c r="AE260" s="3">
        <f t="shared" si="43"/>
        <v>1.63322147601862E-2</v>
      </c>
      <c r="AF260" s="11">
        <f t="shared" si="44"/>
        <v>20.666666666666643</v>
      </c>
      <c r="AG260" s="1">
        <f t="shared" si="45"/>
        <v>0.11238041916545312</v>
      </c>
    </row>
    <row r="261" spans="2:33" ht="15" x14ac:dyDescent="0.25">
      <c r="B261" s="1">
        <v>250</v>
      </c>
      <c r="C261" s="1">
        <v>0.83719917988600323</v>
      </c>
      <c r="D261" s="1">
        <v>3.4488704949129163</v>
      </c>
      <c r="E261" s="1">
        <v>0.17077960891469557</v>
      </c>
      <c r="G261" s="1">
        <v>0.83719917988600323</v>
      </c>
      <c r="H261" s="1">
        <v>3.4488704949129163</v>
      </c>
      <c r="I261" s="1">
        <v>0.17077960891469557</v>
      </c>
      <c r="K261" s="1">
        <v>1.0006493758434669</v>
      </c>
      <c r="L261" s="1">
        <v>2.1739562871462659</v>
      </c>
      <c r="M261" s="1">
        <v>0.43662115615204178</v>
      </c>
      <c r="O261" s="1">
        <v>8.5292768641086619E-3</v>
      </c>
      <c r="P261" s="1">
        <v>0.83719917988600323</v>
      </c>
      <c r="R261" s="1">
        <v>0.11562406749435301</v>
      </c>
      <c r="S261" s="2">
        <f t="shared" si="48"/>
        <v>0.51389508966447361</v>
      </c>
      <c r="T261" s="4">
        <f t="shared" si="49"/>
        <v>0.26408816318125738</v>
      </c>
      <c r="U261" s="1">
        <f t="shared" si="52"/>
        <v>0.16889367020110768</v>
      </c>
      <c r="V261" s="6">
        <f>2*sigma/alpha*corel*(B261/12-1/alpha*(1-EXP(-alpha*Output!B261/12)))</f>
        <v>0.83728606825128593</v>
      </c>
      <c r="W261" s="5">
        <f t="shared" si="50"/>
        <v>-9.5194492980149703E-2</v>
      </c>
      <c r="X261" s="1">
        <f t="shared" si="46"/>
        <v>8.6339223751001715</v>
      </c>
      <c r="Y261" s="3">
        <f t="shared" si="51"/>
        <v>5.0425622789501308E-2</v>
      </c>
      <c r="Z261" s="1">
        <f t="shared" si="41"/>
        <v>0.11258877312014887</v>
      </c>
      <c r="AA261" s="8">
        <f t="shared" si="47"/>
        <v>20.749999999999975</v>
      </c>
      <c r="AB261" s="1">
        <v>20.83</v>
      </c>
      <c r="AC261">
        <v>8.6752632109999995E-3</v>
      </c>
      <c r="AD261" s="8">
        <f t="shared" si="42"/>
        <v>1.4598634689133756</v>
      </c>
      <c r="AE261" s="3">
        <f t="shared" si="43"/>
        <v>1.6827886755785209E-2</v>
      </c>
      <c r="AF261" s="11">
        <f t="shared" si="44"/>
        <v>20.749999999999975</v>
      </c>
      <c r="AG261" s="1">
        <f t="shared" si="45"/>
        <v>0.11258877312014887</v>
      </c>
    </row>
    <row r="262" spans="2:33" ht="15" x14ac:dyDescent="0.25">
      <c r="B262" s="1">
        <v>251</v>
      </c>
      <c r="C262" s="1">
        <v>0.83635482638574721</v>
      </c>
      <c r="D262" s="1">
        <v>3.4717400361060959</v>
      </c>
      <c r="E262" s="1">
        <v>0.16901884560128455</v>
      </c>
      <c r="G262" s="1">
        <v>0.83635482638574721</v>
      </c>
      <c r="H262" s="1">
        <v>3.4717400361060959</v>
      </c>
      <c r="I262" s="1">
        <v>0.16901884560128455</v>
      </c>
      <c r="K262" s="1">
        <v>1.0005627180935788</v>
      </c>
      <c r="L262" s="1">
        <v>2.1529311874886572</v>
      </c>
      <c r="M262" s="1">
        <v>0.44082483827234015</v>
      </c>
      <c r="O262" s="1">
        <v>8.5435373291507903E-3</v>
      </c>
      <c r="P262" s="1">
        <v>0.83635482638574721</v>
      </c>
      <c r="R262" s="1">
        <v>0.11597662329139719</v>
      </c>
      <c r="S262" s="2">
        <f t="shared" si="48"/>
        <v>0.51613543203281798</v>
      </c>
      <c r="T262" s="4">
        <f t="shared" si="49"/>
        <v>0.26639578419970367</v>
      </c>
      <c r="U262" s="1">
        <f t="shared" si="52"/>
        <v>0.17056293087633145</v>
      </c>
      <c r="V262" s="6">
        <f>2*sigma/alpha*corel*(B262/12-1/alpha*(1-EXP(-alpha*Output!B262/12)))</f>
        <v>0.84318320697731886</v>
      </c>
      <c r="W262" s="5">
        <f t="shared" si="50"/>
        <v>-9.5832853323372214E-2</v>
      </c>
      <c r="X262" s="1">
        <f t="shared" si="46"/>
        <v>8.7289733152506983</v>
      </c>
      <c r="Y262" s="3">
        <f t="shared" si="51"/>
        <v>5.0469331993208855E-2</v>
      </c>
      <c r="Z262" s="1">
        <f t="shared" si="41"/>
        <v>0.11285412454967819</v>
      </c>
      <c r="AA262" s="8">
        <f t="shared" si="47"/>
        <v>20.833333333333307</v>
      </c>
      <c r="AB262" s="1">
        <v>20.92</v>
      </c>
      <c r="AC262">
        <v>8.6940083749999994E-3</v>
      </c>
      <c r="AD262" s="8">
        <f t="shared" si="42"/>
        <v>1.504710458492091</v>
      </c>
      <c r="AE262" s="3">
        <f t="shared" si="43"/>
        <v>1.7307442017412262E-2</v>
      </c>
      <c r="AF262" s="11">
        <f t="shared" si="44"/>
        <v>20.833333333333307</v>
      </c>
      <c r="AG262" s="1">
        <f t="shared" si="45"/>
        <v>0.11285412454967819</v>
      </c>
    </row>
    <row r="263" spans="2:33" ht="15" x14ac:dyDescent="0.25">
      <c r="B263" s="1">
        <v>252</v>
      </c>
      <c r="C263" s="1">
        <v>0.83550389957403481</v>
      </c>
      <c r="D263" s="1">
        <v>3.4947927587894037</v>
      </c>
      <c r="E263" s="1">
        <v>0.16726044123304398</v>
      </c>
      <c r="G263" s="1">
        <v>0.83550389957403481</v>
      </c>
      <c r="H263" s="1">
        <v>3.4947927587894037</v>
      </c>
      <c r="I263" s="1">
        <v>0.16726044123304398</v>
      </c>
      <c r="K263" s="1">
        <v>1.0005367412034538</v>
      </c>
      <c r="L263" s="1">
        <v>2.0774808643029914</v>
      </c>
      <c r="M263" s="1">
        <v>0.45674278817420377</v>
      </c>
      <c r="O263" s="1">
        <v>8.5581077906599339E-3</v>
      </c>
      <c r="P263" s="1">
        <v>0.83550389957403481</v>
      </c>
      <c r="R263" s="1">
        <v>0.11624318651353346</v>
      </c>
      <c r="S263" s="2">
        <f t="shared" si="48"/>
        <v>0.51812880558369034</v>
      </c>
      <c r="T263" s="4">
        <f t="shared" si="49"/>
        <v>0.26845745917558156</v>
      </c>
      <c r="U263" s="1">
        <f t="shared" si="52"/>
        <v>0.17224071693508503</v>
      </c>
      <c r="V263" s="6">
        <f>2*sigma/alpha*corel*(B263/12-1/alpha*(1-EXP(-alpha*Output!B263/12)))</f>
        <v>0.84909538571587406</v>
      </c>
      <c r="W263" s="5">
        <f t="shared" si="50"/>
        <v>-9.6216742240496533E-2</v>
      </c>
      <c r="X263" s="1">
        <f t="shared" si="46"/>
        <v>8.8031693222456973</v>
      </c>
      <c r="Y263" s="3">
        <f t="shared" si="51"/>
        <v>5.0426622623559472E-2</v>
      </c>
      <c r="Z263" s="1">
        <f t="shared" si="41"/>
        <v>0.11306497482496758</v>
      </c>
      <c r="AA263" s="8">
        <f t="shared" si="47"/>
        <v>20.916666666666639</v>
      </c>
      <c r="AB263" s="1">
        <v>21</v>
      </c>
      <c r="AC263">
        <v>8.7127015849999996E-3</v>
      </c>
      <c r="AD263" s="8">
        <f t="shared" si="42"/>
        <v>1.5459379434006568</v>
      </c>
      <c r="AE263" s="3">
        <f t="shared" si="43"/>
        <v>1.7743496989064578E-2</v>
      </c>
      <c r="AF263" s="11">
        <f t="shared" si="44"/>
        <v>20.916666666666639</v>
      </c>
      <c r="AG263" s="1">
        <f t="shared" si="45"/>
        <v>0.11306497482496758</v>
      </c>
    </row>
    <row r="264" spans="2:33" ht="15" x14ac:dyDescent="0.25">
      <c r="B264" s="1">
        <v>253</v>
      </c>
      <c r="C264" s="1">
        <v>0.83464724608499341</v>
      </c>
      <c r="D264" s="1">
        <v>3.5184012384772361</v>
      </c>
      <c r="E264" s="1">
        <v>0.16550263149184072</v>
      </c>
      <c r="G264" s="1">
        <v>0.83464724608499341</v>
      </c>
      <c r="H264" s="1">
        <v>3.5184012384772361</v>
      </c>
      <c r="I264" s="1">
        <v>0.16550263149184072</v>
      </c>
      <c r="K264" s="1">
        <v>1.0005530269832013</v>
      </c>
      <c r="L264" s="1">
        <v>2.0647138196518213</v>
      </c>
      <c r="M264" s="1">
        <v>0.45946901611939817</v>
      </c>
      <c r="O264" s="1">
        <v>8.572937699810523E-3</v>
      </c>
      <c r="P264" s="1">
        <v>0.83464724608499341</v>
      </c>
      <c r="R264" s="1">
        <v>0.11669074874249306</v>
      </c>
      <c r="S264" s="2">
        <f t="shared" si="48"/>
        <v>0.52067819758609368</v>
      </c>
      <c r="T264" s="4">
        <f t="shared" si="49"/>
        <v>0.27110578544150321</v>
      </c>
      <c r="U264" s="1">
        <f t="shared" si="52"/>
        <v>0.17392702161386797</v>
      </c>
      <c r="V264" s="6">
        <f>2*sigma/alpha*corel*(B264/12-1/alpha*(1-EXP(-alpha*Output!B264/12)))</f>
        <v>0.85502255441703845</v>
      </c>
      <c r="W264" s="5">
        <f t="shared" si="50"/>
        <v>-9.7178763827635239E-2</v>
      </c>
      <c r="X264" s="1">
        <f t="shared" si="46"/>
        <v>8.9264726513590773</v>
      </c>
      <c r="Y264" s="3">
        <f t="shared" si="51"/>
        <v>5.0577812387639143E-2</v>
      </c>
      <c r="Z264" s="1">
        <f t="shared" si="41"/>
        <v>0.11339652742482045</v>
      </c>
      <c r="AA264" s="8">
        <f t="shared" si="47"/>
        <v>20.999999999999972</v>
      </c>
      <c r="AB264" s="1">
        <v>21.08</v>
      </c>
      <c r="AC264">
        <v>8.7313440290000006E-3</v>
      </c>
      <c r="AD264" s="8">
        <f t="shared" si="42"/>
        <v>1.5840632918947759</v>
      </c>
      <c r="AE264" s="3">
        <f t="shared" si="43"/>
        <v>1.8142261794215415E-2</v>
      </c>
      <c r="AF264" s="11">
        <f t="shared" si="44"/>
        <v>20.999999999999972</v>
      </c>
      <c r="AG264" s="1">
        <f t="shared" si="45"/>
        <v>0.11339652742482045</v>
      </c>
    </row>
    <row r="265" spans="2:33" ht="15" x14ac:dyDescent="0.25">
      <c r="B265" s="1">
        <v>254</v>
      </c>
      <c r="C265" s="1">
        <v>0.8337835867882204</v>
      </c>
      <c r="D265" s="1">
        <v>3.5435861091424519</v>
      </c>
      <c r="E265" s="1">
        <v>0.1636929120969062</v>
      </c>
      <c r="G265" s="1">
        <v>0.8337835867882204</v>
      </c>
      <c r="H265" s="1">
        <v>3.5435861091424519</v>
      </c>
      <c r="I265" s="1">
        <v>0.1636929120969062</v>
      </c>
      <c r="K265" s="1">
        <v>1.0004734113766809</v>
      </c>
      <c r="L265" s="1">
        <v>2.0559048156203446</v>
      </c>
      <c r="M265" s="1">
        <v>0.46132970458009193</v>
      </c>
      <c r="O265" s="1">
        <v>8.5880975697552632E-3</v>
      </c>
      <c r="P265" s="1">
        <v>0.8337835867882204</v>
      </c>
      <c r="R265" s="1">
        <v>0.11696787705388752</v>
      </c>
      <c r="S265" s="2">
        <f t="shared" si="48"/>
        <v>0.52272658037964859</v>
      </c>
      <c r="T265" s="4">
        <f t="shared" si="49"/>
        <v>0.27324307783540119</v>
      </c>
      <c r="U265" s="1">
        <f t="shared" si="52"/>
        <v>0.17562183802811893</v>
      </c>
      <c r="V265" s="6">
        <f>2*sigma/alpha*corel*(B265/12-1/alpha*(1-EXP(-alpha*Output!B265/12)))</f>
        <v>0.86096466319745635</v>
      </c>
      <c r="W265" s="5">
        <f t="shared" si="50"/>
        <v>-9.7621239807282267E-2</v>
      </c>
      <c r="X265" s="1">
        <f t="shared" si="46"/>
        <v>9.0065251216246072</v>
      </c>
      <c r="Y265" s="3">
        <f t="shared" si="51"/>
        <v>5.0554078583338852E-2</v>
      </c>
      <c r="Z265" s="1">
        <f t="shared" si="41"/>
        <v>0.11361831625006273</v>
      </c>
      <c r="AA265" s="8">
        <f t="shared" si="47"/>
        <v>21.083333333333304</v>
      </c>
      <c r="AB265" s="1">
        <v>21.17</v>
      </c>
      <c r="AC265">
        <v>8.7499369199999996E-3</v>
      </c>
      <c r="AD265" s="8">
        <f t="shared" si="42"/>
        <v>1.6183935024473641</v>
      </c>
      <c r="AE265" s="3">
        <f t="shared" si="43"/>
        <v>1.8496059082987813E-2</v>
      </c>
      <c r="AF265" s="11">
        <f t="shared" si="44"/>
        <v>21.083333333333304</v>
      </c>
      <c r="AG265" s="1">
        <f t="shared" si="45"/>
        <v>0.11361831625006273</v>
      </c>
    </row>
    <row r="266" spans="2:33" ht="15" x14ac:dyDescent="0.25">
      <c r="B266" s="1">
        <v>255</v>
      </c>
      <c r="C266" s="1">
        <v>0.83291414685237397</v>
      </c>
      <c r="D266" s="1">
        <v>3.5687520074230039</v>
      </c>
      <c r="E266" s="1">
        <v>0.16190923368359697</v>
      </c>
      <c r="G266" s="1">
        <v>0.83291414685237397</v>
      </c>
      <c r="H266" s="1">
        <v>3.5687520074230039</v>
      </c>
      <c r="I266" s="1">
        <v>0.16190923368359697</v>
      </c>
      <c r="K266" s="1">
        <v>1.0005052948718969</v>
      </c>
      <c r="L266" s="1">
        <v>2.0676069833252386</v>
      </c>
      <c r="M266" s="1">
        <v>0.45862540909599547</v>
      </c>
      <c r="O266" s="1">
        <v>8.6035156296474947E-3</v>
      </c>
      <c r="P266" s="1">
        <v>0.83291414685237397</v>
      </c>
      <c r="R266" s="1">
        <v>0.11734304815630112</v>
      </c>
      <c r="S266" s="2">
        <f t="shared" si="48"/>
        <v>0.52508171329073838</v>
      </c>
      <c r="T266" s="4">
        <f t="shared" si="49"/>
        <v>0.27571080563233719</v>
      </c>
      <c r="U266" s="1">
        <f t="shared" si="52"/>
        <v>0.17732515917357228</v>
      </c>
      <c r="V266" s="6">
        <f>2*sigma/alpha*corel*(B266/12-1/alpha*(1-EXP(-alpha*Output!B266/12)))</f>
        <v>0.86692166233977064</v>
      </c>
      <c r="W266" s="5">
        <f t="shared" si="50"/>
        <v>-9.8385646458764908E-2</v>
      </c>
      <c r="X266" s="1">
        <f t="shared" si="46"/>
        <v>9.1143331176289681</v>
      </c>
      <c r="Y266" s="3">
        <f t="shared" si="51"/>
        <v>5.0637028702141776E-2</v>
      </c>
      <c r="Z266" s="1">
        <f t="shared" si="41"/>
        <v>0.11390621645636424</v>
      </c>
      <c r="AA266" s="8">
        <f t="shared" si="47"/>
        <v>21.166666666666636</v>
      </c>
      <c r="AB266" s="1">
        <v>21.25</v>
      </c>
      <c r="AC266">
        <v>8.7684815790000006E-3</v>
      </c>
      <c r="AD266" s="8">
        <f t="shared" si="42"/>
        <v>1.6496594935250588</v>
      </c>
      <c r="AE266" s="3">
        <f t="shared" si="43"/>
        <v>1.8813513818354784E-2</v>
      </c>
      <c r="AF266" s="11">
        <f t="shared" si="44"/>
        <v>21.166666666666636</v>
      </c>
      <c r="AG266" s="1">
        <f t="shared" si="45"/>
        <v>0.11390621645636424</v>
      </c>
    </row>
    <row r="267" spans="2:33" ht="15" x14ac:dyDescent="0.25">
      <c r="B267" s="1">
        <v>256</v>
      </c>
      <c r="C267" s="1">
        <v>0.83203866275077776</v>
      </c>
      <c r="D267" s="1">
        <v>3.5933738186783573</v>
      </c>
      <c r="E267" s="1">
        <v>0.16017170406675957</v>
      </c>
      <c r="G267" s="1">
        <v>0.83203866275077776</v>
      </c>
      <c r="H267" s="1">
        <v>3.5933738186783573</v>
      </c>
      <c r="I267" s="1">
        <v>0.16017170406675957</v>
      </c>
      <c r="K267" s="1">
        <v>1.0005613469105428</v>
      </c>
      <c r="L267" s="1">
        <v>2.1062410497235162</v>
      </c>
      <c r="M267" s="1">
        <v>0.45013045888116238</v>
      </c>
      <c r="O267" s="1">
        <v>8.6192048244483847E-3</v>
      </c>
      <c r="P267" s="1">
        <v>0.83203866275077776</v>
      </c>
      <c r="R267" s="1">
        <v>0.11767931754953025</v>
      </c>
      <c r="S267" s="2">
        <f t="shared" si="48"/>
        <v>0.52733083893983923</v>
      </c>
      <c r="T267" s="4">
        <f t="shared" si="49"/>
        <v>0.27807781369699464</v>
      </c>
      <c r="U267" s="1">
        <f t="shared" si="52"/>
        <v>0.17903697792760287</v>
      </c>
      <c r="V267" s="6">
        <f>2*sigma/alpha*corel*(B267/12-1/alpha*(1-EXP(-alpha*Output!B267/12)))</f>
        <v>0.87289350229207496</v>
      </c>
      <c r="W267" s="5">
        <f t="shared" si="50"/>
        <v>-9.9040835769391766E-2</v>
      </c>
      <c r="X267" s="1">
        <f t="shared" si="46"/>
        <v>9.2134277186651552</v>
      </c>
      <c r="Y267" s="3">
        <f t="shared" si="51"/>
        <v>5.068287567473876E-2</v>
      </c>
      <c r="Z267" s="1">
        <f t="shared" si="41"/>
        <v>0.11417047568021527</v>
      </c>
      <c r="AA267" s="8">
        <f t="shared" si="47"/>
        <v>21.249999999999968</v>
      </c>
      <c r="AB267" s="1">
        <v>21.33</v>
      </c>
      <c r="AC267">
        <v>8.7869793539999998E-3</v>
      </c>
      <c r="AD267" s="8">
        <f t="shared" si="42"/>
        <v>1.6777452955161511</v>
      </c>
      <c r="AE267" s="3">
        <f t="shared" si="43"/>
        <v>1.9093538608946539E-2</v>
      </c>
      <c r="AF267" s="11">
        <f t="shared" si="44"/>
        <v>21.249999999999968</v>
      </c>
      <c r="AG267" s="1">
        <f t="shared" si="45"/>
        <v>0.11417047568021527</v>
      </c>
    </row>
    <row r="268" spans="2:33" ht="15" x14ac:dyDescent="0.25">
      <c r="B268" s="1">
        <v>257</v>
      </c>
      <c r="C268" s="1">
        <v>0.83115888427637852</v>
      </c>
      <c r="D268" s="1">
        <v>3.6184686640613695</v>
      </c>
      <c r="E268" s="1">
        <v>0.15843341043759307</v>
      </c>
      <c r="G268" s="1">
        <v>0.83115888427637852</v>
      </c>
      <c r="H268" s="1">
        <v>3.6184686640613695</v>
      </c>
      <c r="I268" s="1">
        <v>0.15843341043759307</v>
      </c>
      <c r="K268" s="1">
        <v>1.0007099151942727</v>
      </c>
      <c r="L268" s="1">
        <v>2.1578636088991829</v>
      </c>
      <c r="M268" s="1">
        <v>0.43928659530799957</v>
      </c>
      <c r="O268" s="1">
        <v>8.6350648678880995E-3</v>
      </c>
      <c r="P268" s="1">
        <v>0.83115888427637852</v>
      </c>
      <c r="R268" s="1">
        <v>0.11815571968165584</v>
      </c>
      <c r="S268" s="2">
        <f t="shared" si="48"/>
        <v>0.53001304181466713</v>
      </c>
      <c r="T268" s="4">
        <f t="shared" si="49"/>
        <v>0.28091382449363611</v>
      </c>
      <c r="U268" s="1">
        <f t="shared" si="52"/>
        <v>0.18075728705056449</v>
      </c>
      <c r="V268" s="6">
        <f>2*sigma/alpha*corel*(B268/12-1/alpha*(1-EXP(-alpha*Output!B268/12)))</f>
        <v>0.87888013366735995</v>
      </c>
      <c r="W268" s="5">
        <f t="shared" si="50"/>
        <v>-0.10015653744307162</v>
      </c>
      <c r="X268" s="1">
        <f t="shared" si="46"/>
        <v>9.3525069969782937</v>
      </c>
      <c r="Y268" s="3">
        <f t="shared" si="51"/>
        <v>5.087875673888867E-2</v>
      </c>
      <c r="Z268" s="1">
        <f t="shared" si="41"/>
        <v>0.1145277207013279</v>
      </c>
      <c r="AA268" s="8">
        <f t="shared" si="47"/>
        <v>21.3333333333333</v>
      </c>
      <c r="AB268" s="1">
        <v>21.42</v>
      </c>
      <c r="AC268">
        <v>8.8054315909999997E-3</v>
      </c>
      <c r="AD268" s="8">
        <f t="shared" si="42"/>
        <v>1.7036672311190013</v>
      </c>
      <c r="AE268" s="3">
        <f t="shared" si="43"/>
        <v>1.9347912859380041E-2</v>
      </c>
      <c r="AF268" s="11">
        <f t="shared" si="44"/>
        <v>21.3333333333333</v>
      </c>
      <c r="AG268" s="1">
        <f t="shared" si="45"/>
        <v>0.1145277207013279</v>
      </c>
    </row>
    <row r="269" spans="2:33" ht="15" x14ac:dyDescent="0.25">
      <c r="B269" s="1">
        <v>258</v>
      </c>
      <c r="C269" s="1">
        <v>0.83027777949241865</v>
      </c>
      <c r="D269" s="1">
        <v>3.6447133432955496</v>
      </c>
      <c r="E269" s="1">
        <v>0.15667350807651934</v>
      </c>
      <c r="G269" s="1">
        <v>0.83027777949241865</v>
      </c>
      <c r="H269" s="1">
        <v>3.6447133432955496</v>
      </c>
      <c r="I269" s="1">
        <v>0.15667350807651934</v>
      </c>
      <c r="K269" s="1">
        <v>1.0009255962546173</v>
      </c>
      <c r="L269" s="1">
        <v>2.1696347237003493</v>
      </c>
      <c r="M269" s="1">
        <v>0.43680627668621042</v>
      </c>
      <c r="O269" s="1">
        <v>8.650928376517316E-3</v>
      </c>
      <c r="P269" s="1">
        <v>0.83027777949241865</v>
      </c>
      <c r="R269" s="1">
        <v>0.11866322965347877</v>
      </c>
      <c r="S269" s="2">
        <f t="shared" si="48"/>
        <v>0.53279512618165392</v>
      </c>
      <c r="T269" s="4">
        <f t="shared" si="49"/>
        <v>0.28387064648292454</v>
      </c>
      <c r="U269" s="1">
        <f t="shared" si="52"/>
        <v>0.18248607918711102</v>
      </c>
      <c r="V269" s="6">
        <f>2*sigma/alpha*corel*(B269/12-1/alpha*(1-EXP(-alpha*Output!B269/12)))</f>
        <v>0.88488150724296522</v>
      </c>
      <c r="W269" s="5">
        <f t="shared" si="50"/>
        <v>-0.10138456729581352</v>
      </c>
      <c r="X269" s="1">
        <f t="shared" si="46"/>
        <v>9.5020880693005445</v>
      </c>
      <c r="Y269" s="3">
        <f t="shared" si="51"/>
        <v>5.1108469888372227E-2</v>
      </c>
      <c r="Z269" s="1">
        <f t="shared" ref="Z269:Z332" si="53">S269/SQRT(B269/12)</f>
        <v>0.11490555201088729</v>
      </c>
      <c r="AA269" s="8">
        <f t="shared" si="47"/>
        <v>21.416666666666632</v>
      </c>
      <c r="AB269" s="1">
        <v>21.5</v>
      </c>
      <c r="AC269">
        <v>8.823839638E-3</v>
      </c>
      <c r="AD269" s="8">
        <f t="shared" ref="AD269:AD332" si="54">(AC269-O269)*10000</f>
        <v>1.7291126148268401</v>
      </c>
      <c r="AE269" s="3">
        <f t="shared" ref="AE269:AE332" si="55">AD269/AC269/10000</f>
        <v>1.9595920662252179E-2</v>
      </c>
      <c r="AF269" s="11">
        <f t="shared" ref="AF269:AF332" si="56">AA269</f>
        <v>21.416666666666632</v>
      </c>
      <c r="AG269" s="1">
        <f t="shared" ref="AG269:AG332" si="57">Z269</f>
        <v>0.11490555201088729</v>
      </c>
    </row>
    <row r="270" spans="2:33" ht="15" x14ac:dyDescent="0.25">
      <c r="B270" s="1">
        <v>259</v>
      </c>
      <c r="C270" s="1">
        <v>0.82939180057783102</v>
      </c>
      <c r="D270" s="1">
        <v>3.6705329613859932</v>
      </c>
      <c r="E270" s="1">
        <v>0.1549522746993926</v>
      </c>
      <c r="G270" s="1">
        <v>0.82939180057783102</v>
      </c>
      <c r="H270" s="1">
        <v>3.6705329613859932</v>
      </c>
      <c r="I270" s="1">
        <v>0.1549522746993926</v>
      </c>
      <c r="K270" s="1">
        <v>1.000927960333464</v>
      </c>
      <c r="L270" s="1">
        <v>2.1739946583846956</v>
      </c>
      <c r="M270" s="1">
        <v>0.43581197010830974</v>
      </c>
      <c r="O270" s="1">
        <v>8.6669938465063837E-3</v>
      </c>
      <c r="P270" s="1">
        <v>0.82939180057783102</v>
      </c>
      <c r="R270" s="1">
        <v>0.11904354045352102</v>
      </c>
      <c r="S270" s="2">
        <f t="shared" si="48"/>
        <v>0.53520237956100081</v>
      </c>
      <c r="T270" s="4">
        <f t="shared" si="49"/>
        <v>0.28644158708775758</v>
      </c>
      <c r="U270" s="1">
        <f t="shared" si="52"/>
        <v>0.18422334686751229</v>
      </c>
      <c r="V270" s="6">
        <f>2*sigma/alpha*corel*(B270/12-1/alpha*(1-EXP(-alpha*Output!B270/12)))</f>
        <v>0.89089757396003311</v>
      </c>
      <c r="W270" s="5">
        <f t="shared" si="50"/>
        <v>-0.10221824022024528</v>
      </c>
      <c r="X270" s="1">
        <f t="shared" ref="X270:X333" si="58">V270*V270-4*W270*B270/12</f>
        <v>9.6185398929690482</v>
      </c>
      <c r="Y270" s="3">
        <f t="shared" si="51"/>
        <v>5.1208019820735487E-2</v>
      </c>
      <c r="Z270" s="1">
        <f t="shared" si="53"/>
        <v>0.11520167049298752</v>
      </c>
      <c r="AA270" s="8">
        <f t="shared" ref="AA270:AA333" si="59">AA269+1/12</f>
        <v>21.499999999999964</v>
      </c>
      <c r="AB270" s="1">
        <v>21.58</v>
      </c>
      <c r="AC270">
        <v>8.8422048430000007E-3</v>
      </c>
      <c r="AD270" s="8">
        <f t="shared" si="54"/>
        <v>1.7521099649361709</v>
      </c>
      <c r="AE270" s="3">
        <f t="shared" si="55"/>
        <v>1.9815306205253118E-2</v>
      </c>
      <c r="AF270" s="11">
        <f t="shared" si="56"/>
        <v>21.499999999999964</v>
      </c>
      <c r="AG270" s="1">
        <f t="shared" si="57"/>
        <v>0.11520167049298752</v>
      </c>
    </row>
    <row r="271" spans="2:33" ht="15" x14ac:dyDescent="0.25">
      <c r="B271" s="1">
        <v>260</v>
      </c>
      <c r="C271" s="1">
        <v>0.82850149636079184</v>
      </c>
      <c r="D271" s="1">
        <v>3.695491500369549</v>
      </c>
      <c r="E271" s="1">
        <v>0.1532872449683462</v>
      </c>
      <c r="G271" s="1">
        <v>0.82850149636079184</v>
      </c>
      <c r="H271" s="1">
        <v>3.695491500369549</v>
      </c>
      <c r="I271" s="1">
        <v>0.1532872449683462</v>
      </c>
      <c r="K271" s="1">
        <v>1.0008198372275849</v>
      </c>
      <c r="L271" s="1">
        <v>2.2180732526106808</v>
      </c>
      <c r="M271" s="1">
        <v>0.42707730163671109</v>
      </c>
      <c r="O271" s="1">
        <v>8.683229354250999E-3</v>
      </c>
      <c r="P271" s="1">
        <v>0.82850149636079184</v>
      </c>
      <c r="R271" s="1">
        <v>0.11931371706530867</v>
      </c>
      <c r="S271" s="2">
        <f t="shared" si="48"/>
        <v>0.53728471231522668</v>
      </c>
      <c r="T271" s="4">
        <f t="shared" si="49"/>
        <v>0.28867486208765591</v>
      </c>
      <c r="U271" s="1">
        <f t="shared" si="52"/>
        <v>0.18596908250895661</v>
      </c>
      <c r="V271" s="6">
        <f>2*sigma/alpha*corel*(B271/12-1/alpha*(1-EXP(-alpha*Output!B271/12)))</f>
        <v>0.8969282849229645</v>
      </c>
      <c r="W271" s="5">
        <f t="shared" si="50"/>
        <v>-0.10270577957869931</v>
      </c>
      <c r="X271" s="1">
        <f t="shared" si="58"/>
        <v>9.7056479117821244</v>
      </c>
      <c r="Y271" s="3">
        <f t="shared" si="51"/>
        <v>5.1195244643090401E-2</v>
      </c>
      <c r="Z271" s="1">
        <f t="shared" si="53"/>
        <v>0.11542727222487945</v>
      </c>
      <c r="AA271" s="8">
        <f t="shared" si="59"/>
        <v>21.583333333333297</v>
      </c>
      <c r="AB271" s="1">
        <v>21.67</v>
      </c>
      <c r="AC271">
        <v>8.8605284639999993E-3</v>
      </c>
      <c r="AD271" s="8">
        <f t="shared" si="54"/>
        <v>1.7729910974900038</v>
      </c>
      <c r="AE271" s="3">
        <f t="shared" si="55"/>
        <v>2.0009992684901372E-2</v>
      </c>
      <c r="AF271" s="11">
        <f t="shared" si="56"/>
        <v>21.583333333333297</v>
      </c>
      <c r="AG271" s="1">
        <f t="shared" si="57"/>
        <v>0.11542727222487945</v>
      </c>
    </row>
    <row r="272" spans="2:33" ht="15" x14ac:dyDescent="0.25">
      <c r="B272" s="1">
        <v>261</v>
      </c>
      <c r="C272" s="1">
        <v>0.8276099053542908</v>
      </c>
      <c r="D272" s="1">
        <v>3.7202380952380953</v>
      </c>
      <c r="E272" s="1">
        <v>0.15165991780032456</v>
      </c>
      <c r="G272" s="1">
        <v>0.8276099053542908</v>
      </c>
      <c r="H272" s="1">
        <v>3.7202380952380953</v>
      </c>
      <c r="I272" s="1">
        <v>0.15165991780032456</v>
      </c>
      <c r="K272" s="1">
        <v>1.0008382635534403</v>
      </c>
      <c r="L272" s="1">
        <v>2.2035864539097139</v>
      </c>
      <c r="M272" s="1">
        <v>0.42976861118692589</v>
      </c>
      <c r="O272" s="1">
        <v>8.6994650304407211E-3</v>
      </c>
      <c r="P272" s="1">
        <v>0.8276099053542908</v>
      </c>
      <c r="R272" s="1">
        <v>0.1196464789349395</v>
      </c>
      <c r="S272" s="2">
        <f t="shared" si="48"/>
        <v>0.53956165316055849</v>
      </c>
      <c r="T272" s="4">
        <f t="shared" si="49"/>
        <v>0.2911267775613548</v>
      </c>
      <c r="U272" s="1">
        <f t="shared" si="52"/>
        <v>0.187723278416843</v>
      </c>
      <c r="V272" s="6">
        <f>2*sigma/alpha*corel*(B272/12-1/alpha*(1-EXP(-alpha*Output!B272/12)))</f>
        <v>0.9029735913988719</v>
      </c>
      <c r="W272" s="5">
        <f t="shared" si="50"/>
        <v>-0.1034034991445118</v>
      </c>
      <c r="X272" s="1">
        <f t="shared" si="58"/>
        <v>9.8114657323363037</v>
      </c>
      <c r="Y272" s="3">
        <f t="shared" si="51"/>
        <v>5.1249479050451935E-2</v>
      </c>
      <c r="Z272" s="1">
        <f t="shared" si="53"/>
        <v>0.11569416233424748</v>
      </c>
      <c r="AA272" s="8">
        <f t="shared" si="59"/>
        <v>21.666666666666629</v>
      </c>
      <c r="AB272" s="1">
        <v>21.75</v>
      </c>
      <c r="AC272">
        <v>8.8788114139999996E-3</v>
      </c>
      <c r="AD272" s="8">
        <f t="shared" si="54"/>
        <v>1.7934638355927845</v>
      </c>
      <c r="AE272" s="3">
        <f t="shared" si="55"/>
        <v>2.0199368496157864E-2</v>
      </c>
      <c r="AF272" s="11">
        <f t="shared" si="56"/>
        <v>21.666666666666629</v>
      </c>
      <c r="AG272" s="1">
        <f t="shared" si="57"/>
        <v>0.11569416233424748</v>
      </c>
    </row>
    <row r="273" spans="2:33" ht="15" x14ac:dyDescent="0.25">
      <c r="B273" s="1">
        <v>262</v>
      </c>
      <c r="C273" s="1">
        <v>0.82671657738772175</v>
      </c>
      <c r="D273" s="1">
        <v>3.74573922163539</v>
      </c>
      <c r="E273" s="1">
        <v>0.15001950253532959</v>
      </c>
      <c r="G273" s="1">
        <v>0.82671657738772175</v>
      </c>
      <c r="H273" s="1">
        <v>3.74573922163539</v>
      </c>
      <c r="I273" s="1">
        <v>0.15001950253532959</v>
      </c>
      <c r="K273" s="1">
        <v>1.0008265270024148</v>
      </c>
      <c r="L273" s="1">
        <v>2.2893934290086726</v>
      </c>
      <c r="M273" s="1">
        <v>0.41358264015009866</v>
      </c>
      <c r="O273" s="1">
        <v>8.7157261576270746E-3</v>
      </c>
      <c r="P273" s="1">
        <v>0.82671657738772175</v>
      </c>
      <c r="R273" s="1">
        <v>0.11991705888118365</v>
      </c>
      <c r="S273" s="2">
        <f t="shared" si="48"/>
        <v>0.54165493039140755</v>
      </c>
      <c r="T273" s="4">
        <f t="shared" si="49"/>
        <v>0.29339006361732056</v>
      </c>
      <c r="U273" s="1">
        <f t="shared" si="52"/>
        <v>0.18948592678606557</v>
      </c>
      <c r="V273" s="6">
        <f>2*sigma/alpha*corel*(B273/12-1/alpha*(1-EXP(-alpha*Output!B273/12)))</f>
        <v>0.90903344481704162</v>
      </c>
      <c r="W273" s="5">
        <f t="shared" si="50"/>
        <v>-0.10390413683125499</v>
      </c>
      <c r="X273" s="1">
        <f t="shared" si="58"/>
        <v>9.9006364203922068</v>
      </c>
      <c r="Y273" s="3">
        <f t="shared" si="51"/>
        <v>5.1240325921540944E-2</v>
      </c>
      <c r="Z273" s="1">
        <f t="shared" si="53"/>
        <v>0.11592114922409341</v>
      </c>
      <c r="AA273" s="8">
        <f t="shared" si="59"/>
        <v>21.749999999999961</v>
      </c>
      <c r="AB273" s="1">
        <v>21.83</v>
      </c>
      <c r="AC273">
        <v>8.8970545150000007E-3</v>
      </c>
      <c r="AD273" s="8">
        <f t="shared" si="54"/>
        <v>1.813283573729261</v>
      </c>
      <c r="AE273" s="3">
        <f t="shared" si="55"/>
        <v>2.0380717805787894E-2</v>
      </c>
      <c r="AF273" s="11">
        <f t="shared" si="56"/>
        <v>21.749999999999961</v>
      </c>
      <c r="AG273" s="1">
        <f t="shared" si="57"/>
        <v>0.11592114922409341</v>
      </c>
    </row>
    <row r="274" spans="2:33" ht="15" x14ac:dyDescent="0.25">
      <c r="B274" s="1">
        <v>263</v>
      </c>
      <c r="C274" s="1">
        <v>0.82581929212415361</v>
      </c>
      <c r="D274" s="1">
        <v>3.771592366297051</v>
      </c>
      <c r="E274" s="1">
        <v>0.14838996883810654</v>
      </c>
      <c r="G274" s="1">
        <v>0.82581929212415361</v>
      </c>
      <c r="H274" s="1">
        <v>3.771592366297051</v>
      </c>
      <c r="I274" s="1">
        <v>0.14838996883810654</v>
      </c>
      <c r="K274" s="1">
        <v>1.0008678318588657</v>
      </c>
      <c r="L274" s="1">
        <v>2.3124943202734936</v>
      </c>
      <c r="M274" s="1">
        <v>0.40937574397571241</v>
      </c>
      <c r="O274" s="1">
        <v>8.732135546642851E-3</v>
      </c>
      <c r="P274" s="1">
        <v>0.82581929212415361</v>
      </c>
      <c r="R274" s="1">
        <v>0.1202610770976739</v>
      </c>
      <c r="S274" s="2">
        <f t="shared" si="48"/>
        <v>0.54398010897885074</v>
      </c>
      <c r="T274" s="4">
        <f t="shared" si="49"/>
        <v>0.29591435896464235</v>
      </c>
      <c r="U274" s="1">
        <f t="shared" si="52"/>
        <v>0.19125701970228315</v>
      </c>
      <c r="V274" s="6">
        <f>2*sigma/alpha*corel*(B274/12-1/alpha*(1-EXP(-alpha*Output!B274/12)))</f>
        <v>0.91510779676839404</v>
      </c>
      <c r="W274" s="5">
        <f t="shared" si="50"/>
        <v>-0.10465733926235921</v>
      </c>
      <c r="X274" s="1">
        <f t="shared" si="58"/>
        <v>10.012382355039794</v>
      </c>
      <c r="Y274" s="3">
        <f t="shared" si="51"/>
        <v>5.1310883953227339E-2</v>
      </c>
      <c r="Z274" s="1">
        <f t="shared" si="53"/>
        <v>0.11619722822122509</v>
      </c>
      <c r="AA274" s="8">
        <f t="shared" si="59"/>
        <v>21.833333333333293</v>
      </c>
      <c r="AB274" s="1">
        <v>21.92</v>
      </c>
      <c r="AC274">
        <v>8.9152585909999995E-3</v>
      </c>
      <c r="AD274" s="8">
        <f t="shared" si="54"/>
        <v>1.8312304435714848</v>
      </c>
      <c r="AE274" s="3">
        <f t="shared" si="55"/>
        <v>2.0540407492163171E-2</v>
      </c>
      <c r="AF274" s="11">
        <f t="shared" si="56"/>
        <v>21.833333333333293</v>
      </c>
      <c r="AG274" s="1">
        <f t="shared" si="57"/>
        <v>0.11619722822122509</v>
      </c>
    </row>
    <row r="275" spans="2:33" ht="15" x14ac:dyDescent="0.25">
      <c r="B275" s="1">
        <v>264</v>
      </c>
      <c r="C275" s="1">
        <v>0.82491912443053805</v>
      </c>
      <c r="D275" s="1">
        <v>3.797228023542814</v>
      </c>
      <c r="E275" s="1">
        <v>0.14678683615653348</v>
      </c>
      <c r="G275" s="1">
        <v>0.82491912443053805</v>
      </c>
      <c r="H275" s="1">
        <v>3.797228023542814</v>
      </c>
      <c r="I275" s="1">
        <v>0.14678683615653348</v>
      </c>
      <c r="K275" s="1">
        <v>1.0009524442486244</v>
      </c>
      <c r="L275" s="1">
        <v>2.2876964701733447</v>
      </c>
      <c r="M275" s="1">
        <v>0.41372923899543512</v>
      </c>
      <c r="O275" s="1">
        <v>8.7486331111861423E-3</v>
      </c>
      <c r="P275" s="1">
        <v>0.82491912443053805</v>
      </c>
      <c r="R275" s="1">
        <v>0.12055280117181119</v>
      </c>
      <c r="S275" s="2">
        <f t="shared" si="48"/>
        <v>0.54615313316138936</v>
      </c>
      <c r="T275" s="4">
        <f t="shared" si="49"/>
        <v>0.29828324486200231</v>
      </c>
      <c r="U275" s="1">
        <f t="shared" si="52"/>
        <v>0.19303654914318358</v>
      </c>
      <c r="V275" s="6">
        <f>2*sigma/alpha*corel*(B275/12-1/alpha*(1-EXP(-alpha*Output!B275/12)))</f>
        <v>0.92119659900494155</v>
      </c>
      <c r="W275" s="5">
        <f t="shared" si="50"/>
        <v>-0.10524669571881873</v>
      </c>
      <c r="X275" s="1">
        <f t="shared" si="58"/>
        <v>10.110312397274319</v>
      </c>
      <c r="Y275" s="3">
        <f t="shared" si="51"/>
        <v>5.1328980559786477E-2</v>
      </c>
      <c r="Z275" s="1">
        <f t="shared" si="53"/>
        <v>0.11644023922986931</v>
      </c>
      <c r="AA275" s="8">
        <f t="shared" si="59"/>
        <v>21.916666666666625</v>
      </c>
      <c r="AB275" s="1">
        <v>22</v>
      </c>
      <c r="AC275">
        <v>8.9334244659999996E-3</v>
      </c>
      <c r="AD275" s="8">
        <f t="shared" si="54"/>
        <v>1.8479135481385724</v>
      </c>
      <c r="AE275" s="3">
        <f t="shared" si="55"/>
        <v>2.0685388399169932E-2</v>
      </c>
      <c r="AF275" s="11">
        <f t="shared" si="56"/>
        <v>21.916666666666625</v>
      </c>
      <c r="AG275" s="1">
        <f t="shared" si="57"/>
        <v>0.11644023922986931</v>
      </c>
    </row>
    <row r="276" spans="2:33" ht="15" x14ac:dyDescent="0.25">
      <c r="B276" s="1">
        <v>265</v>
      </c>
      <c r="C276" s="1">
        <v>0.82401830862356618</v>
      </c>
      <c r="D276" s="1">
        <v>3.8230683946935806</v>
      </c>
      <c r="E276" s="1">
        <v>0.14520321189504712</v>
      </c>
      <c r="G276" s="1">
        <v>0.82401830862356618</v>
      </c>
      <c r="H276" s="1">
        <v>3.8230683946935806</v>
      </c>
      <c r="I276" s="1">
        <v>0.14520321189504712</v>
      </c>
      <c r="K276" s="1">
        <v>1.000954349389207</v>
      </c>
      <c r="L276" s="1">
        <v>2.2669701680397054</v>
      </c>
      <c r="M276" s="1">
        <v>0.41742855012826652</v>
      </c>
      <c r="O276" s="1">
        <v>8.7650957033728848E-3</v>
      </c>
      <c r="P276" s="1">
        <v>0.82401830862356618</v>
      </c>
      <c r="R276" s="1">
        <v>0.12079418425805531</v>
      </c>
      <c r="S276" s="2">
        <f t="shared" si="48"/>
        <v>0.5481762961259169</v>
      </c>
      <c r="T276" s="4">
        <f t="shared" si="49"/>
        <v>0.30049725163432894</v>
      </c>
      <c r="U276" s="1">
        <f t="shared" si="52"/>
        <v>0.19482450697973341</v>
      </c>
      <c r="V276" s="6">
        <f>2*sigma/alpha*corel*(B276/12-1/alpha*(1-EXP(-alpha*Output!B276/12)))</f>
        <v>0.92729980343925833</v>
      </c>
      <c r="W276" s="5">
        <f t="shared" si="50"/>
        <v>-0.10567274465459553</v>
      </c>
      <c r="X276" s="1">
        <f t="shared" si="58"/>
        <v>10.194310703281092</v>
      </c>
      <c r="Y276" s="3">
        <f t="shared" si="51"/>
        <v>5.1295545575268379E-2</v>
      </c>
      <c r="Z276" s="1">
        <f t="shared" si="53"/>
        <v>0.11665085818594213</v>
      </c>
      <c r="AA276" s="8">
        <f t="shared" si="59"/>
        <v>21.999999999999957</v>
      </c>
      <c r="AB276" s="1">
        <v>22.08</v>
      </c>
      <c r="AC276">
        <v>8.9515529620000003E-3</v>
      </c>
      <c r="AD276" s="8">
        <f t="shared" si="54"/>
        <v>1.8645725862711551</v>
      </c>
      <c r="AE276" s="3">
        <f t="shared" si="55"/>
        <v>2.0829599000155644E-2</v>
      </c>
      <c r="AF276" s="11">
        <f t="shared" si="56"/>
        <v>21.999999999999957</v>
      </c>
      <c r="AG276" s="1">
        <f t="shared" si="57"/>
        <v>0.11665085818594213</v>
      </c>
    </row>
    <row r="277" spans="2:33" ht="15" x14ac:dyDescent="0.25">
      <c r="B277" s="1">
        <v>266</v>
      </c>
      <c r="C277" s="1">
        <v>0.8231146427010666</v>
      </c>
      <c r="D277" s="1">
        <v>3.8497074222359102</v>
      </c>
      <c r="E277" s="1">
        <v>0.14360594528613485</v>
      </c>
      <c r="G277" s="1">
        <v>0.8231146427010666</v>
      </c>
      <c r="H277" s="1">
        <v>3.8497074222359102</v>
      </c>
      <c r="I277" s="1">
        <v>0.14360594528613485</v>
      </c>
      <c r="K277" s="1">
        <v>1.0009630566544541</v>
      </c>
      <c r="L277" s="1">
        <v>2.2694565678777492</v>
      </c>
      <c r="M277" s="1">
        <v>0.4168748565820608</v>
      </c>
      <c r="O277" s="1">
        <v>8.7816446374282386E-3</v>
      </c>
      <c r="P277" s="1">
        <v>0.8231146427010666</v>
      </c>
      <c r="R277" s="1">
        <v>0.12101389384836717</v>
      </c>
      <c r="S277" s="2">
        <f t="shared" si="48"/>
        <v>0.55013984566312812</v>
      </c>
      <c r="T277" s="4">
        <f t="shared" si="49"/>
        <v>0.30265384978625043</v>
      </c>
      <c r="U277" s="1">
        <f t="shared" si="52"/>
        <v>0.19662088497742181</v>
      </c>
      <c r="V277" s="6">
        <f>2*sigma/alpha*corel*(B277/12-1/alpha*(1-EXP(-alpha*Output!B277/12)))</f>
        <v>0.93341736214394122</v>
      </c>
      <c r="W277" s="5">
        <f t="shared" si="50"/>
        <v>-0.10603296480882862</v>
      </c>
      <c r="X277" s="1">
        <f t="shared" si="58"/>
        <v>10.272857518334558</v>
      </c>
      <c r="Y277" s="3">
        <f t="shared" si="51"/>
        <v>5.1241635637892871E-2</v>
      </c>
      <c r="Z277" s="1">
        <f t="shared" si="53"/>
        <v>0.11684843658866088</v>
      </c>
      <c r="AA277" s="8">
        <f t="shared" si="59"/>
        <v>22.08333333333329</v>
      </c>
      <c r="AB277" s="1">
        <v>22.17</v>
      </c>
      <c r="AC277">
        <v>8.9696452400000008E-3</v>
      </c>
      <c r="AD277" s="8">
        <f t="shared" si="54"/>
        <v>1.8800060257176225</v>
      </c>
      <c r="AE277" s="3">
        <f t="shared" si="55"/>
        <v>2.0959647515754173E-2</v>
      </c>
      <c r="AF277" s="11">
        <f t="shared" si="56"/>
        <v>22.08333333333329</v>
      </c>
      <c r="AG277" s="1">
        <f t="shared" si="57"/>
        <v>0.11684843658866088</v>
      </c>
    </row>
    <row r="278" spans="2:33" ht="15" x14ac:dyDescent="0.25">
      <c r="B278" s="1">
        <v>267</v>
      </c>
      <c r="C278" s="1">
        <v>0.82221040023969294</v>
      </c>
      <c r="D278" s="1">
        <v>3.8765700108543957</v>
      </c>
      <c r="E278" s="1">
        <v>0.14202729764660768</v>
      </c>
      <c r="G278" s="1">
        <v>0.82221040023969294</v>
      </c>
      <c r="H278" s="1">
        <v>3.8765700108543957</v>
      </c>
      <c r="I278" s="1">
        <v>0.14202729764660768</v>
      </c>
      <c r="K278" s="1">
        <v>1.0009550032345049</v>
      </c>
      <c r="L278" s="1">
        <v>2.3110217915808349</v>
      </c>
      <c r="M278" s="1">
        <v>0.40929707624105088</v>
      </c>
      <c r="O278" s="1">
        <v>8.7981552951155468E-3</v>
      </c>
      <c r="P278" s="1">
        <v>0.82221040023969294</v>
      </c>
      <c r="R278" s="1">
        <v>0.12128751265524529</v>
      </c>
      <c r="S278" s="2">
        <f t="shared" si="48"/>
        <v>0.55227147120995768</v>
      </c>
      <c r="T278" s="4">
        <f t="shared" si="49"/>
        <v>0.30500377791241112</v>
      </c>
      <c r="U278" s="1">
        <f t="shared" si="52"/>
        <v>0.19842567479748929</v>
      </c>
      <c r="V278" s="6">
        <f>2*sigma/alpha*corel*(B278/12-1/alpha*(1-EXP(-alpha*Output!B278/12)))</f>
        <v>0.93954922735107993</v>
      </c>
      <c r="W278" s="5">
        <f t="shared" si="50"/>
        <v>-0.10657810311492183</v>
      </c>
      <c r="X278" s="1">
        <f t="shared" si="58"/>
        <v>10.368203927844055</v>
      </c>
      <c r="Y278" s="3">
        <f t="shared" si="51"/>
        <v>5.1245400595910866E-2</v>
      </c>
      <c r="Z278" s="1">
        <f t="shared" si="53"/>
        <v>0.11708131773410974</v>
      </c>
      <c r="AA278" s="8">
        <f t="shared" si="59"/>
        <v>22.166666666666622</v>
      </c>
      <c r="AB278" s="1">
        <v>22.25</v>
      </c>
      <c r="AC278">
        <v>8.9877038090000003E-3</v>
      </c>
      <c r="AD278" s="8">
        <f t="shared" si="54"/>
        <v>1.8954851388445353</v>
      </c>
      <c r="AE278" s="3">
        <f t="shared" si="55"/>
        <v>2.1089759733141814E-2</v>
      </c>
      <c r="AF278" s="11">
        <f t="shared" si="56"/>
        <v>22.166666666666622</v>
      </c>
      <c r="AG278" s="1">
        <f t="shared" si="57"/>
        <v>0.11708131773410974</v>
      </c>
    </row>
    <row r="279" spans="2:33" ht="15" x14ac:dyDescent="0.25">
      <c r="B279" s="1">
        <v>268</v>
      </c>
      <c r="C279" s="1">
        <v>0.82130415939702339</v>
      </c>
      <c r="D279" s="1">
        <v>3.9025913206369025</v>
      </c>
      <c r="E279" s="1">
        <v>0.14050074465394666</v>
      </c>
      <c r="G279" s="1">
        <v>0.82130415939702339</v>
      </c>
      <c r="H279" s="1">
        <v>3.9025913206369025</v>
      </c>
      <c r="I279" s="1">
        <v>0.14050074465394666</v>
      </c>
      <c r="K279" s="1">
        <v>1.000998940575041</v>
      </c>
      <c r="L279" s="1">
        <v>2.3092917895031913</v>
      </c>
      <c r="M279" s="1">
        <v>0.40950509572509564</v>
      </c>
      <c r="O279" s="1">
        <v>8.8147058436876362E-3</v>
      </c>
      <c r="P279" s="1">
        <v>0.82130415939702339</v>
      </c>
      <c r="R279" s="1">
        <v>0.12150188701365519</v>
      </c>
      <c r="S279" s="2">
        <f t="shared" ref="S279:S342" si="60">optim_vol_implied(P279,R279)</f>
        <v>0.55422736034075815</v>
      </c>
      <c r="T279" s="4">
        <f t="shared" ref="T279:T342" si="61">S279*S279</f>
        <v>0.30716796695028459</v>
      </c>
      <c r="U279" s="1">
        <f t="shared" si="52"/>
        <v>0.20023886799815171</v>
      </c>
      <c r="V279" s="6">
        <f>2*sigma/alpha*corel*(B279/12-1/alpha*(1-EXP(-alpha*Output!B279/12)))</f>
        <v>0.94569535145172434</v>
      </c>
      <c r="W279" s="5">
        <f t="shared" ref="W279:W342" si="62">U279-T279</f>
        <v>-0.10692909895213287</v>
      </c>
      <c r="X279" s="1">
        <f t="shared" si="58"/>
        <v>10.44667253748127</v>
      </c>
      <c r="Y279" s="3">
        <f t="shared" ref="Y279:Y342" si="63">(-V279+SQRT(X279))/2/B279*12</f>
        <v>5.1188863816819724E-2</v>
      </c>
      <c r="Z279" s="1">
        <f t="shared" si="53"/>
        <v>0.11727655164157121</v>
      </c>
      <c r="AA279" s="8">
        <f t="shared" si="59"/>
        <v>22.249999999999954</v>
      </c>
      <c r="AB279" s="1">
        <v>22.33</v>
      </c>
      <c r="AC279">
        <v>9.0057315129999996E-3</v>
      </c>
      <c r="AD279" s="8">
        <f t="shared" si="54"/>
        <v>1.910256693123634</v>
      </c>
      <c r="AE279" s="3">
        <f t="shared" si="55"/>
        <v>2.121156610505355E-2</v>
      </c>
      <c r="AF279" s="11">
        <f t="shared" si="56"/>
        <v>22.249999999999954</v>
      </c>
      <c r="AG279" s="1">
        <f t="shared" si="57"/>
        <v>0.11727655164157121</v>
      </c>
    </row>
    <row r="280" spans="2:33" ht="15" x14ac:dyDescent="0.25">
      <c r="B280" s="1">
        <v>269</v>
      </c>
      <c r="C280" s="1">
        <v>0.82039714135521846</v>
      </c>
      <c r="D280" s="1">
        <v>3.9283469516027654</v>
      </c>
      <c r="E280" s="1">
        <v>0.13900472616068946</v>
      </c>
      <c r="G280" s="1">
        <v>0.82039714135521846</v>
      </c>
      <c r="H280" s="1">
        <v>3.9283469516027654</v>
      </c>
      <c r="I280" s="1">
        <v>0.13900472616068946</v>
      </c>
      <c r="K280" s="1">
        <v>1.0010056207979829</v>
      </c>
      <c r="L280" s="1">
        <v>2.3413503528804855</v>
      </c>
      <c r="M280" s="1">
        <v>0.40380675128686022</v>
      </c>
      <c r="O280" s="1">
        <v>8.8312299141600874E-3</v>
      </c>
      <c r="P280" s="1">
        <v>0.82039714135521846</v>
      </c>
      <c r="R280" s="1">
        <v>0.12178974914705609</v>
      </c>
      <c r="S280" s="2">
        <f t="shared" si="60"/>
        <v>0.55641196859779085</v>
      </c>
      <c r="T280" s="4">
        <f t="shared" si="61"/>
        <v>0.30959427879886897</v>
      </c>
      <c r="U280" s="1">
        <f t="shared" si="52"/>
        <v>0.20206045603581169</v>
      </c>
      <c r="V280" s="6">
        <f>2*sigma/alpha*corel*(B280/12-1/alpha*(1-EXP(-alpha*Output!B280/12)))</f>
        <v>0.95185568699535983</v>
      </c>
      <c r="W280" s="5">
        <f t="shared" si="62"/>
        <v>-0.10753382276305729</v>
      </c>
      <c r="X280" s="1">
        <f t="shared" si="58"/>
        <v>10.548228689952879</v>
      </c>
      <c r="Y280" s="3">
        <f t="shared" si="63"/>
        <v>5.1210735718473212E-2</v>
      </c>
      <c r="Z280" s="1">
        <f t="shared" si="53"/>
        <v>0.11751977363613571</v>
      </c>
      <c r="AA280" s="8">
        <f t="shared" si="59"/>
        <v>22.333333333333286</v>
      </c>
      <c r="AB280" s="1">
        <v>22.42</v>
      </c>
      <c r="AC280">
        <v>9.0237311959999993E-3</v>
      </c>
      <c r="AD280" s="8">
        <f t="shared" si="54"/>
        <v>1.9250128183991195</v>
      </c>
      <c r="AE280" s="3">
        <f t="shared" si="55"/>
        <v>2.1332781047959749E-2</v>
      </c>
      <c r="AF280" s="11">
        <f t="shared" si="56"/>
        <v>22.333333333333286</v>
      </c>
      <c r="AG280" s="1">
        <f t="shared" si="57"/>
        <v>0.11751977363613571</v>
      </c>
    </row>
    <row r="281" spans="2:33" ht="15" x14ac:dyDescent="0.25">
      <c r="B281" s="1">
        <v>270</v>
      </c>
      <c r="C281" s="1">
        <v>0.81948871119056077</v>
      </c>
      <c r="D281" s="1">
        <v>3.9536630688332743</v>
      </c>
      <c r="E281" s="1">
        <v>0.13754212227494669</v>
      </c>
      <c r="G281" s="1">
        <v>0.81948871119056077</v>
      </c>
      <c r="H281" s="1">
        <v>3.9536630688332743</v>
      </c>
      <c r="I281" s="1">
        <v>0.13754212227494669</v>
      </c>
      <c r="K281" s="1">
        <v>1.0010525537191004</v>
      </c>
      <c r="L281" s="1">
        <v>2.350421636486316</v>
      </c>
      <c r="M281" s="1">
        <v>0.40219300867572244</v>
      </c>
      <c r="O281" s="1">
        <v>8.8477624948199336E-3</v>
      </c>
      <c r="P281" s="1">
        <v>0.81948871119056077</v>
      </c>
      <c r="R281" s="1">
        <v>0.12191745292380629</v>
      </c>
      <c r="S281" s="2">
        <f t="shared" si="60"/>
        <v>0.55811014215581722</v>
      </c>
      <c r="T281" s="4">
        <f t="shared" si="61"/>
        <v>0.31148693077718653</v>
      </c>
      <c r="U281" s="1">
        <f t="shared" si="52"/>
        <v>0.20389043026625764</v>
      </c>
      <c r="V281" s="6">
        <f>2*sigma/alpha*corel*(B281/12-1/alpha*(1-EXP(-alpha*Output!B281/12)))</f>
        <v>0.95803018668937212</v>
      </c>
      <c r="W281" s="5">
        <f t="shared" si="62"/>
        <v>-0.10759650051092889</v>
      </c>
      <c r="X281" s="1">
        <f t="shared" si="58"/>
        <v>10.601506884591673</v>
      </c>
      <c r="Y281" s="3">
        <f t="shared" si="63"/>
        <v>5.1065896494848786E-2</v>
      </c>
      <c r="Z281" s="1">
        <f t="shared" si="53"/>
        <v>0.11765994896351595</v>
      </c>
      <c r="AA281" s="8">
        <f t="shared" si="59"/>
        <v>22.416666666666618</v>
      </c>
      <c r="AB281" s="1">
        <v>22.5</v>
      </c>
      <c r="AC281">
        <v>9.0417057049999999E-3</v>
      </c>
      <c r="AD281" s="8">
        <f t="shared" si="54"/>
        <v>1.9394321018006631</v>
      </c>
      <c r="AE281" s="3">
        <f t="shared" si="55"/>
        <v>2.1449847684471422E-2</v>
      </c>
      <c r="AF281" s="11">
        <f t="shared" si="56"/>
        <v>22.416666666666618</v>
      </c>
      <c r="AG281" s="1">
        <f t="shared" si="57"/>
        <v>0.11765994896351595</v>
      </c>
    </row>
    <row r="282" spans="2:33" ht="15" x14ac:dyDescent="0.25">
      <c r="B282" s="1">
        <v>271</v>
      </c>
      <c r="C282" s="1">
        <v>0.81858074433792749</v>
      </c>
      <c r="D282" s="1">
        <v>3.9783577339274352</v>
      </c>
      <c r="E282" s="1">
        <v>0.13612294624504853</v>
      </c>
      <c r="G282" s="1">
        <v>0.81858074433792749</v>
      </c>
      <c r="H282" s="1">
        <v>3.9783577339274352</v>
      </c>
      <c r="I282" s="1">
        <v>0.13612294624504853</v>
      </c>
      <c r="K282" s="1">
        <v>1.0009602495087109</v>
      </c>
      <c r="L282" s="1">
        <v>2.3451617513823511</v>
      </c>
      <c r="M282" s="1">
        <v>0.40300688011280339</v>
      </c>
      <c r="O282" s="1">
        <v>8.8642024151683301E-3</v>
      </c>
      <c r="P282" s="1">
        <v>0.81858074433792749</v>
      </c>
      <c r="R282" s="1">
        <v>0.12224523856558488</v>
      </c>
      <c r="S282" s="2">
        <f t="shared" si="60"/>
        <v>0.56042400117264091</v>
      </c>
      <c r="T282" s="4">
        <f t="shared" si="61"/>
        <v>0.31407506109035221</v>
      </c>
      <c r="U282" s="1">
        <f t="shared" si="52"/>
        <v>0.20572878194586242</v>
      </c>
      <c r="V282" s="6">
        <f>2*sigma/alpha*corel*(B282/12-1/alpha*(1-EXP(-alpha*Output!B282/12)))</f>
        <v>0.96421880339853017</v>
      </c>
      <c r="W282" s="5">
        <f t="shared" si="62"/>
        <v>-0.1083462791444898</v>
      </c>
      <c r="X282" s="1">
        <f t="shared" si="58"/>
        <v>10.716998450212872</v>
      </c>
      <c r="Y282" s="3">
        <f t="shared" si="63"/>
        <v>5.1132042092398258E-2</v>
      </c>
      <c r="Z282" s="1">
        <f t="shared" si="53"/>
        <v>0.11792956702586756</v>
      </c>
      <c r="AA282" s="8">
        <f t="shared" si="59"/>
        <v>22.49999999999995</v>
      </c>
      <c r="AB282" s="1">
        <v>22.58</v>
      </c>
      <c r="AC282">
        <v>9.0596578840000004E-3</v>
      </c>
      <c r="AD282" s="8">
        <f t="shared" si="54"/>
        <v>1.9545546883167029</v>
      </c>
      <c r="AE282" s="3">
        <f t="shared" si="55"/>
        <v>2.1574265974972247E-2</v>
      </c>
      <c r="AF282" s="11">
        <f t="shared" si="56"/>
        <v>22.49999999999995</v>
      </c>
      <c r="AG282" s="1">
        <f t="shared" si="57"/>
        <v>0.11792956702586756</v>
      </c>
    </row>
    <row r="283" spans="2:33" ht="15" x14ac:dyDescent="0.25">
      <c r="B283" s="1">
        <v>272</v>
      </c>
      <c r="C283" s="1">
        <v>0.81767436130759941</v>
      </c>
      <c r="D283" s="1">
        <v>4.0027218508585838</v>
      </c>
      <c r="E283" s="1">
        <v>0.1347363882563764</v>
      </c>
      <c r="G283" s="1">
        <v>0.81767436130759941</v>
      </c>
      <c r="H283" s="1">
        <v>4.0027218508585838</v>
      </c>
      <c r="I283" s="1">
        <v>0.1347363882563764</v>
      </c>
      <c r="K283" s="1">
        <v>1.0009437298838415</v>
      </c>
      <c r="L283" s="1">
        <v>2.3736531956176492</v>
      </c>
      <c r="M283" s="1">
        <v>0.39808270988975558</v>
      </c>
      <c r="O283" s="1">
        <v>8.8804902771959463E-3</v>
      </c>
      <c r="P283" s="1">
        <v>0.81767436130759941</v>
      </c>
      <c r="R283" s="1">
        <v>0.12252798793613515</v>
      </c>
      <c r="S283" s="2">
        <f t="shared" si="60"/>
        <v>0.5626002859958541</v>
      </c>
      <c r="T283" s="4">
        <f t="shared" si="61"/>
        <v>0.31651908180261684</v>
      </c>
      <c r="U283" s="1">
        <f t="shared" si="52"/>
        <v>0.20757550223275922</v>
      </c>
      <c r="V283" s="6">
        <f>2*sigma/alpha*corel*(B283/12-1/alpha*(1-EXP(-alpha*Output!B283/12)))</f>
        <v>0.97042149014445811</v>
      </c>
      <c r="W283" s="5">
        <f t="shared" si="62"/>
        <v>-0.10894357956985762</v>
      </c>
      <c r="X283" s="1">
        <f t="shared" si="58"/>
        <v>10.819269082867949</v>
      </c>
      <c r="Y283" s="3">
        <f t="shared" si="63"/>
        <v>5.1150976014350466E-2</v>
      </c>
      <c r="Z283" s="1">
        <f t="shared" si="53"/>
        <v>0.11816969636226854</v>
      </c>
      <c r="AA283" s="8">
        <f t="shared" si="59"/>
        <v>22.583333333333282</v>
      </c>
      <c r="AB283" s="1">
        <v>22.67</v>
      </c>
      <c r="AC283">
        <v>9.0775893319999992E-3</v>
      </c>
      <c r="AD283" s="8">
        <f t="shared" si="54"/>
        <v>1.9709905480405285</v>
      </c>
      <c r="AE283" s="3">
        <f t="shared" si="55"/>
        <v>2.1712708913725166E-2</v>
      </c>
      <c r="AF283" s="11">
        <f t="shared" si="56"/>
        <v>22.583333333333282</v>
      </c>
      <c r="AG283" s="1">
        <f t="shared" si="57"/>
        <v>0.11816969636226854</v>
      </c>
    </row>
    <row r="284" spans="2:33" ht="15" x14ac:dyDescent="0.25">
      <c r="B284" s="1">
        <v>273</v>
      </c>
      <c r="C284" s="1">
        <v>0.81677128049768732</v>
      </c>
      <c r="D284" s="1">
        <v>4.0268996899287242</v>
      </c>
      <c r="E284" s="1">
        <v>0.13336889837289945</v>
      </c>
      <c r="G284" s="1">
        <v>0.81677128049768732</v>
      </c>
      <c r="H284" s="1">
        <v>4.0268996899287242</v>
      </c>
      <c r="I284" s="1">
        <v>0.13336889837289945</v>
      </c>
      <c r="K284" s="1">
        <v>1.0009275296552342</v>
      </c>
      <c r="L284" s="1">
        <v>2.3349566526415995</v>
      </c>
      <c r="M284" s="1">
        <v>0.40459543086147026</v>
      </c>
      <c r="O284" s="1">
        <v>8.8965351097493803E-3</v>
      </c>
      <c r="P284" s="1">
        <v>0.81677128049768732</v>
      </c>
      <c r="R284" s="1">
        <v>0.12280616290675885</v>
      </c>
      <c r="S284" s="2">
        <f t="shared" si="60"/>
        <v>0.56476060584847021</v>
      </c>
      <c r="T284" s="4">
        <f t="shared" si="61"/>
        <v>0.31895454191833111</v>
      </c>
      <c r="U284" s="1">
        <f t="shared" si="52"/>
        <v>0.20943058218801802</v>
      </c>
      <c r="V284" s="6">
        <f>2*sigma/alpha*corel*(B284/12-1/alpha*(1-EXP(-alpha*Output!B284/12)))</f>
        <v>0.97663820010511238</v>
      </c>
      <c r="W284" s="5">
        <f t="shared" si="62"/>
        <v>-0.10952395973031309</v>
      </c>
      <c r="X284" s="1">
        <f t="shared" si="58"/>
        <v>10.920502509363045</v>
      </c>
      <c r="Y284" s="3">
        <f t="shared" si="63"/>
        <v>5.1164399132249301E-2</v>
      </c>
      <c r="Z284" s="1">
        <f t="shared" si="53"/>
        <v>0.11840599589776706</v>
      </c>
      <c r="AA284" s="8">
        <f t="shared" si="59"/>
        <v>22.666666666666615</v>
      </c>
      <c r="AB284" s="1">
        <v>22.75</v>
      </c>
      <c r="AC284">
        <v>9.0954966670000002E-3</v>
      </c>
      <c r="AD284" s="8">
        <f t="shared" si="54"/>
        <v>1.9896155725061988</v>
      </c>
      <c r="AE284" s="3">
        <f t="shared" si="55"/>
        <v>2.1874732577549728E-2</v>
      </c>
      <c r="AF284" s="11">
        <f t="shared" si="56"/>
        <v>22.666666666666615</v>
      </c>
      <c r="AG284" s="1">
        <f t="shared" si="57"/>
        <v>0.11840599589776706</v>
      </c>
    </row>
    <row r="285" spans="2:33" ht="15" x14ac:dyDescent="0.25">
      <c r="B285" s="1">
        <v>274</v>
      </c>
      <c r="C285" s="1">
        <v>0.81586759413066312</v>
      </c>
      <c r="D285" s="1">
        <v>4.0512072597634097</v>
      </c>
      <c r="E285" s="1">
        <v>0.13201668690922533</v>
      </c>
      <c r="G285" s="1">
        <v>0.81586759413066312</v>
      </c>
      <c r="H285" s="1">
        <v>4.0512072597634097</v>
      </c>
      <c r="I285" s="1">
        <v>0.13201668690922533</v>
      </c>
      <c r="K285" s="1">
        <v>1.0009549520814682</v>
      </c>
      <c r="L285" s="1">
        <v>2.3323762079331325</v>
      </c>
      <c r="M285" s="1">
        <v>0.40497410714050053</v>
      </c>
      <c r="O285" s="1">
        <v>8.9125488735207412E-3</v>
      </c>
      <c r="P285" s="1">
        <v>0.81586759413066312</v>
      </c>
      <c r="R285" s="1">
        <v>0.12301820550513018</v>
      </c>
      <c r="S285" s="2">
        <f t="shared" si="60"/>
        <v>0.56672089510952439</v>
      </c>
      <c r="T285" s="4">
        <f t="shared" si="61"/>
        <v>0.32117257295374052</v>
      </c>
      <c r="U285" s="1">
        <f t="shared" si="52"/>
        <v>0.21129401277680859</v>
      </c>
      <c r="V285" s="6">
        <f>2*sigma/alpha*corel*(B285/12-1/alpha*(1-EXP(-alpha*Output!B285/12)))</f>
        <v>0.98286888661426453</v>
      </c>
      <c r="W285" s="5">
        <f t="shared" si="62"/>
        <v>-0.10987856017693193</v>
      </c>
      <c r="X285" s="1">
        <f t="shared" si="58"/>
        <v>11.001606411100813</v>
      </c>
      <c r="Y285" s="3">
        <f t="shared" si="63"/>
        <v>5.1109446798954405E-2</v>
      </c>
      <c r="Z285" s="1">
        <f t="shared" si="53"/>
        <v>0.11859996669545832</v>
      </c>
      <c r="AA285" s="8">
        <f t="shared" si="59"/>
        <v>22.749999999999947</v>
      </c>
      <c r="AB285" s="1">
        <v>22.83</v>
      </c>
      <c r="AC285">
        <v>9.1133752630000002E-3</v>
      </c>
      <c r="AD285" s="8">
        <f t="shared" si="54"/>
        <v>2.0082638947925906</v>
      </c>
      <c r="AE285" s="3">
        <f t="shared" si="55"/>
        <v>2.2036444641384132E-2</v>
      </c>
      <c r="AF285" s="11">
        <f t="shared" si="56"/>
        <v>22.749999999999947</v>
      </c>
      <c r="AG285" s="1">
        <f t="shared" si="57"/>
        <v>0.11859996669545832</v>
      </c>
    </row>
    <row r="286" spans="2:33" ht="15" x14ac:dyDescent="0.25">
      <c r="B286" s="1">
        <v>275</v>
      </c>
      <c r="C286" s="1">
        <v>0.81496249867158232</v>
      </c>
      <c r="D286" s="1">
        <v>4.0761423388904738</v>
      </c>
      <c r="E286" s="1">
        <v>0.13066088274492382</v>
      </c>
      <c r="G286" s="1">
        <v>0.81496249867158232</v>
      </c>
      <c r="H286" s="1">
        <v>4.0761423388904738</v>
      </c>
      <c r="I286" s="1">
        <v>0.13066088274492382</v>
      </c>
      <c r="K286" s="1">
        <v>1.0010746469755307</v>
      </c>
      <c r="L286" s="1">
        <v>2.2928920080692969</v>
      </c>
      <c r="M286" s="1">
        <v>0.41182963509886644</v>
      </c>
      <c r="O286" s="1">
        <v>8.9285751578114317E-3</v>
      </c>
      <c r="P286" s="1">
        <v>0.81496249867158232</v>
      </c>
      <c r="R286" s="1">
        <v>0.1233125676876811</v>
      </c>
      <c r="S286" s="2">
        <f t="shared" si="60"/>
        <v>0.56893957213495905</v>
      </c>
      <c r="T286" s="4">
        <f t="shared" si="61"/>
        <v>0.32369223674111025</v>
      </c>
      <c r="U286" s="1">
        <f t="shared" si="52"/>
        <v>0.21316578486955429</v>
      </c>
      <c r="V286" s="6">
        <f>2*sigma/alpha*corel*(B286/12-1/alpha*(1-EXP(-alpha*Output!B286/12)))</f>
        <v>0.98911350316098146</v>
      </c>
      <c r="W286" s="5">
        <f t="shared" si="62"/>
        <v>-0.11052645187155596</v>
      </c>
      <c r="X286" s="1">
        <f t="shared" si="58"/>
        <v>11.109936943694684</v>
      </c>
      <c r="Y286" s="3">
        <f t="shared" si="63"/>
        <v>5.1142771645235639E-2</v>
      </c>
      <c r="Z286" s="1">
        <f t="shared" si="53"/>
        <v>0.1188476005172296</v>
      </c>
      <c r="AA286" s="8">
        <f t="shared" si="59"/>
        <v>22.833333333333279</v>
      </c>
      <c r="AB286" s="1">
        <v>22.92</v>
      </c>
      <c r="AC286">
        <v>9.131220491E-3</v>
      </c>
      <c r="AD286" s="8">
        <f t="shared" si="54"/>
        <v>2.026453331885683</v>
      </c>
      <c r="AE286" s="3">
        <f t="shared" si="55"/>
        <v>2.2192579117797179E-2</v>
      </c>
      <c r="AF286" s="11">
        <f t="shared" si="56"/>
        <v>22.833333333333279</v>
      </c>
      <c r="AG286" s="1">
        <f t="shared" si="57"/>
        <v>0.1188476005172296</v>
      </c>
    </row>
    <row r="287" spans="2:33" ht="15" x14ac:dyDescent="0.25">
      <c r="B287" s="1">
        <v>276</v>
      </c>
      <c r="C287" s="1">
        <v>0.81405921356014743</v>
      </c>
      <c r="D287" s="1">
        <v>4.1023957991467013</v>
      </c>
      <c r="E287" s="1">
        <v>0.12928081084924564</v>
      </c>
      <c r="G287" s="1">
        <v>0.81405921356014743</v>
      </c>
      <c r="H287" s="1">
        <v>4.1023957991467013</v>
      </c>
      <c r="I287" s="1">
        <v>0.12928081084924564</v>
      </c>
      <c r="K287" s="1">
        <v>1.0009688521305777</v>
      </c>
      <c r="L287" s="1">
        <v>2.3390026228287328</v>
      </c>
      <c r="M287" s="1">
        <v>0.40363936668775008</v>
      </c>
      <c r="O287" s="1">
        <v>8.9444422475618776E-3</v>
      </c>
      <c r="P287" s="1">
        <v>0.81405921356014743</v>
      </c>
      <c r="R287" s="1">
        <v>0.12348082364469533</v>
      </c>
      <c r="S287" s="2">
        <f t="shared" si="60"/>
        <v>0.57076922445597145</v>
      </c>
      <c r="T287" s="4">
        <f t="shared" si="61"/>
        <v>0.3257775075860711</v>
      </c>
      <c r="U287" s="1">
        <f t="shared" si="52"/>
        <v>0.21504588924307466</v>
      </c>
      <c r="V287" s="6">
        <f>2*sigma/alpha*corel*(B287/12-1/alpha*(1-EXP(-alpha*Output!B287/12)))</f>
        <v>0.99537200338910647</v>
      </c>
      <c r="W287" s="5">
        <f t="shared" si="62"/>
        <v>-0.11073161834299644</v>
      </c>
      <c r="X287" s="1">
        <f t="shared" si="58"/>
        <v>11.178074312686515</v>
      </c>
      <c r="Y287" s="3">
        <f t="shared" si="63"/>
        <v>5.1043276562503515E-2</v>
      </c>
      <c r="Z287" s="1">
        <f t="shared" si="53"/>
        <v>0.11901361039924789</v>
      </c>
      <c r="AA287" s="8">
        <f t="shared" si="59"/>
        <v>22.916666666666611</v>
      </c>
      <c r="AB287" s="1">
        <v>23</v>
      </c>
      <c r="AC287">
        <v>9.1490277249999998E-3</v>
      </c>
      <c r="AD287" s="8">
        <f t="shared" si="54"/>
        <v>2.0458547743812221</v>
      </c>
      <c r="AE287" s="3">
        <f t="shared" si="55"/>
        <v>2.2361444689809617E-2</v>
      </c>
      <c r="AF287" s="11">
        <f t="shared" si="56"/>
        <v>22.916666666666611</v>
      </c>
      <c r="AG287" s="1">
        <f t="shared" si="57"/>
        <v>0.11901361039924789</v>
      </c>
    </row>
    <row r="288" spans="2:33" ht="15" x14ac:dyDescent="0.25">
      <c r="B288" s="1">
        <v>277</v>
      </c>
      <c r="C288" s="1">
        <v>0.81315794503195593</v>
      </c>
      <c r="D288" s="1">
        <v>4.1286486932826882</v>
      </c>
      <c r="E288" s="1">
        <v>0.12791813239526703</v>
      </c>
      <c r="G288" s="1">
        <v>0.81315794503195593</v>
      </c>
      <c r="H288" s="1">
        <v>4.1286486932826882</v>
      </c>
      <c r="I288" s="1">
        <v>0.12791813239526703</v>
      </c>
      <c r="K288" s="1">
        <v>1.0008646560500332</v>
      </c>
      <c r="L288" s="1">
        <v>2.3572336082467817</v>
      </c>
      <c r="M288" s="1">
        <v>0.40042791739765005</v>
      </c>
      <c r="O288" s="1">
        <v>8.9601406774480127E-3</v>
      </c>
      <c r="P288" s="1">
        <v>0.81315794503195593</v>
      </c>
      <c r="R288" s="1">
        <v>0.12368011946969398</v>
      </c>
      <c r="S288" s="2">
        <f t="shared" si="60"/>
        <v>0.57269405286272246</v>
      </c>
      <c r="T288" s="4">
        <f t="shared" si="61"/>
        <v>0.32797847818433074</v>
      </c>
      <c r="U288" s="1">
        <f t="shared" si="52"/>
        <v>0.21693431658172679</v>
      </c>
      <c r="V288" s="6">
        <f>2*sigma/alpha*corel*(B288/12-1/alpha*(1-EXP(-alpha*Output!B288/12)))</f>
        <v>1.0016443410967488</v>
      </c>
      <c r="W288" s="5">
        <f t="shared" si="62"/>
        <v>-0.11104416160260394</v>
      </c>
      <c r="X288" s="1">
        <f t="shared" si="58"/>
        <v>11.256368974024905</v>
      </c>
      <c r="Y288" s="3">
        <f t="shared" si="63"/>
        <v>5.0976323207361868E-2</v>
      </c>
      <c r="Z288" s="1">
        <f t="shared" si="53"/>
        <v>0.11919921949645083</v>
      </c>
      <c r="AA288" s="8">
        <f t="shared" si="59"/>
        <v>22.999999999999943</v>
      </c>
      <c r="AB288" s="1">
        <v>23.08</v>
      </c>
      <c r="AC288">
        <v>9.1667923370000008E-3</v>
      </c>
      <c r="AD288" s="8">
        <f t="shared" si="54"/>
        <v>2.066516595519881</v>
      </c>
      <c r="AE288" s="3">
        <f t="shared" si="55"/>
        <v>2.2543508345648704E-2</v>
      </c>
      <c r="AF288" s="11">
        <f t="shared" si="56"/>
        <v>22.999999999999943</v>
      </c>
      <c r="AG288" s="1">
        <f t="shared" si="57"/>
        <v>0.11919921949645083</v>
      </c>
    </row>
    <row r="289" spans="2:33" ht="15" x14ac:dyDescent="0.25">
      <c r="B289" s="1">
        <v>278</v>
      </c>
      <c r="C289" s="1">
        <v>0.8122568859546162</v>
      </c>
      <c r="D289" s="1">
        <v>4.1542040545031576</v>
      </c>
      <c r="E289" s="1">
        <v>0.126598303582732</v>
      </c>
      <c r="G289" s="1">
        <v>0.8122568859546162</v>
      </c>
      <c r="H289" s="1">
        <v>4.1542040545031576</v>
      </c>
      <c r="I289" s="1">
        <v>0.126598303582732</v>
      </c>
      <c r="K289" s="1">
        <v>1.0008931642330094</v>
      </c>
      <c r="L289" s="1">
        <v>2.3366969955348864</v>
      </c>
      <c r="M289" s="1">
        <v>0.40386632677279</v>
      </c>
      <c r="O289" s="1">
        <v>8.975768065005529E-3</v>
      </c>
      <c r="P289" s="1">
        <v>0.8122568859546162</v>
      </c>
      <c r="R289" s="1">
        <v>0.12384373369888634</v>
      </c>
      <c r="S289" s="2">
        <f t="shared" si="60"/>
        <v>0.57451052413045045</v>
      </c>
      <c r="T289" s="4">
        <f t="shared" si="61"/>
        <v>0.33006234233664489</v>
      </c>
      <c r="U289" s="1">
        <f t="shared" si="52"/>
        <v>0.21883105747852305</v>
      </c>
      <c r="V289" s="6">
        <f>2*sigma/alpha*corel*(B289/12-1/alpha*(1-EXP(-alpha*Output!B289/12)))</f>
        <v>1.0079304702357661</v>
      </c>
      <c r="W289" s="5">
        <f t="shared" si="62"/>
        <v>-0.11123128485812184</v>
      </c>
      <c r="X289" s="1">
        <f t="shared" si="58"/>
        <v>11.323356229682316</v>
      </c>
      <c r="Y289" s="3">
        <f t="shared" si="63"/>
        <v>5.0872425084552343E-2</v>
      </c>
      <c r="Z289" s="1">
        <f t="shared" si="53"/>
        <v>0.1193620348044592</v>
      </c>
      <c r="AA289" s="8">
        <f t="shared" si="59"/>
        <v>23.083333333333275</v>
      </c>
      <c r="AB289" s="1">
        <v>23.17</v>
      </c>
      <c r="AC289">
        <v>9.1845143610000003E-3</v>
      </c>
      <c r="AD289" s="8">
        <f t="shared" si="54"/>
        <v>2.0874629599447121</v>
      </c>
      <c r="AE289" s="3">
        <f t="shared" si="55"/>
        <v>2.2728071163007374E-2</v>
      </c>
      <c r="AF289" s="11">
        <f t="shared" si="56"/>
        <v>23.083333333333275</v>
      </c>
      <c r="AG289" s="1">
        <f t="shared" si="57"/>
        <v>0.1193620348044592</v>
      </c>
    </row>
    <row r="290" spans="2:33" ht="15" x14ac:dyDescent="0.25">
      <c r="B290" s="1">
        <v>279</v>
      </c>
      <c r="C290" s="1">
        <v>0.81135465094516535</v>
      </c>
      <c r="D290" s="1">
        <v>4.1799030262497912</v>
      </c>
      <c r="E290" s="1">
        <v>0.12528816277438107</v>
      </c>
      <c r="G290" s="1">
        <v>0.81135465094516535</v>
      </c>
      <c r="H290" s="1">
        <v>4.1799030262497912</v>
      </c>
      <c r="I290" s="1">
        <v>0.12528816277438107</v>
      </c>
      <c r="K290" s="1">
        <v>1.0008453433389592</v>
      </c>
      <c r="L290" s="1">
        <v>2.2760398436930651</v>
      </c>
      <c r="M290" s="1">
        <v>0.4145374806884895</v>
      </c>
      <c r="O290" s="1">
        <v>8.9913986950250543E-3</v>
      </c>
      <c r="P290" s="1">
        <v>0.81135465094516535</v>
      </c>
      <c r="R290" s="1">
        <v>0.12405722665642996</v>
      </c>
      <c r="S290" s="2">
        <f t="shared" si="60"/>
        <v>0.57648536977518616</v>
      </c>
      <c r="T290" s="4">
        <f t="shared" si="61"/>
        <v>0.33233538156483311</v>
      </c>
      <c r="U290" s="1">
        <f t="shared" si="52"/>
        <v>0.22073610243625552</v>
      </c>
      <c r="V290" s="6">
        <f>2*sigma/alpha*corel*(B290/12-1/alpha*(1-EXP(-alpha*Output!B290/12)))</f>
        <v>1.0142303449112533</v>
      </c>
      <c r="W290" s="5">
        <f t="shared" si="62"/>
        <v>-0.11159927912857759</v>
      </c>
      <c r="X290" s="1">
        <f t="shared" si="58"/>
        <v>11.407396151496517</v>
      </c>
      <c r="Y290" s="3">
        <f t="shared" si="63"/>
        <v>5.0822652822219615E-2</v>
      </c>
      <c r="Z290" s="1">
        <f t="shared" si="53"/>
        <v>0.11955749623513504</v>
      </c>
      <c r="AA290" s="8">
        <f t="shared" si="59"/>
        <v>23.166666666666607</v>
      </c>
      <c r="AB290" s="1">
        <v>23.25</v>
      </c>
      <c r="AC290">
        <v>9.2022124689999998E-3</v>
      </c>
      <c r="AD290" s="8">
        <f t="shared" si="54"/>
        <v>2.1081377397494556</v>
      </c>
      <c r="AE290" s="3">
        <f t="shared" si="55"/>
        <v>2.2909031353614745E-2</v>
      </c>
      <c r="AF290" s="11">
        <f t="shared" si="56"/>
        <v>23.166666666666607</v>
      </c>
      <c r="AG290" s="1">
        <f t="shared" si="57"/>
        <v>0.11955749623513504</v>
      </c>
    </row>
    <row r="291" spans="2:33" ht="15" x14ac:dyDescent="0.25">
      <c r="B291" s="1">
        <v>280</v>
      </c>
      <c r="C291" s="1">
        <v>0.81044898281635402</v>
      </c>
      <c r="D291" s="1">
        <v>4.2068066130999959</v>
      </c>
      <c r="E291" s="1">
        <v>0.12396181975951406</v>
      </c>
      <c r="G291" s="1">
        <v>0.81044898281635402</v>
      </c>
      <c r="H291" s="1">
        <v>4.2068066130999959</v>
      </c>
      <c r="I291" s="1">
        <v>0.12396181975951406</v>
      </c>
      <c r="K291" s="1">
        <v>1.0009118314492835</v>
      </c>
      <c r="L291" s="1">
        <v>2.2889774097023499</v>
      </c>
      <c r="M291" s="1">
        <v>0.41212713192637074</v>
      </c>
      <c r="O291" s="1">
        <v>9.0071522189892738E-3</v>
      </c>
      <c r="P291" s="1">
        <v>0.81044898281635402</v>
      </c>
      <c r="R291" s="1">
        <v>0.12419099160483636</v>
      </c>
      <c r="S291" s="2">
        <f t="shared" si="60"/>
        <v>0.57822044357818236</v>
      </c>
      <c r="T291" s="4">
        <f t="shared" si="61"/>
        <v>0.33433888137175</v>
      </c>
      <c r="U291" s="1">
        <f t="shared" si="52"/>
        <v>0.22264944186859736</v>
      </c>
      <c r="V291" s="6">
        <f>2*sigma/alpha*corel*(B291/12-1/alpha*(1-EXP(-alpha*Output!B291/12)))</f>
        <v>1.0205439193810357</v>
      </c>
      <c r="W291" s="5">
        <f t="shared" si="62"/>
        <v>-0.11168943950315263</v>
      </c>
      <c r="X291" s="1">
        <f t="shared" si="58"/>
        <v>11.465857578346519</v>
      </c>
      <c r="Y291" s="3">
        <f t="shared" si="63"/>
        <v>5.0691070817163592E-2</v>
      </c>
      <c r="Z291" s="1">
        <f t="shared" si="53"/>
        <v>0.11970300414628877</v>
      </c>
      <c r="AA291" s="8">
        <f t="shared" si="59"/>
        <v>23.24999999999994</v>
      </c>
      <c r="AB291" s="1">
        <v>23.33</v>
      </c>
      <c r="AC291">
        <v>9.2199099959999996E-3</v>
      </c>
      <c r="AD291" s="8">
        <f t="shared" si="54"/>
        <v>2.1275777701072576</v>
      </c>
      <c r="AE291" s="3">
        <f t="shared" si="55"/>
        <v>2.3075906066656767E-2</v>
      </c>
      <c r="AF291" s="11">
        <f t="shared" si="56"/>
        <v>23.24999999999994</v>
      </c>
      <c r="AG291" s="1">
        <f t="shared" si="57"/>
        <v>0.11970300414628877</v>
      </c>
    </row>
    <row r="292" spans="2:33" ht="15" x14ac:dyDescent="0.25">
      <c r="B292" s="1">
        <v>281</v>
      </c>
      <c r="C292" s="1">
        <v>0.80953676209553393</v>
      </c>
      <c r="D292" s="1">
        <v>4.2328042328042335</v>
      </c>
      <c r="E292" s="1">
        <v>0.12267831292784061</v>
      </c>
      <c r="G292" s="1">
        <v>0.80953676209553393</v>
      </c>
      <c r="H292" s="1">
        <v>4.2328042328042335</v>
      </c>
      <c r="I292" s="1">
        <v>0.12267831292784061</v>
      </c>
      <c r="K292" s="1">
        <v>1.0009583131103783</v>
      </c>
      <c r="L292" s="1">
        <v>2.3092141761964502</v>
      </c>
      <c r="M292" s="1">
        <v>0.40842194821030886</v>
      </c>
      <c r="O292" s="1">
        <v>9.0231926075252551E-3</v>
      </c>
      <c r="P292" s="1">
        <v>0.80953676209553393</v>
      </c>
      <c r="R292" s="1">
        <v>0.12444011535090378</v>
      </c>
      <c r="S292" s="2">
        <f t="shared" si="60"/>
        <v>0.58032523073846853</v>
      </c>
      <c r="T292" s="4">
        <f t="shared" si="61"/>
        <v>0.33677737343165676</v>
      </c>
      <c r="U292" s="1">
        <f t="shared" si="52"/>
        <v>0.22457106610120725</v>
      </c>
      <c r="V292" s="6">
        <f>2*sigma/alpha*corel*(B292/12-1/alpha*(1-EXP(-alpha*Output!B292/12)))</f>
        <v>1.0268711480551587</v>
      </c>
      <c r="W292" s="5">
        <f t="shared" si="62"/>
        <v>-0.11220630733044951</v>
      </c>
      <c r="X292" s="1">
        <f t="shared" si="58"/>
        <v>11.56445514132689</v>
      </c>
      <c r="Y292" s="3">
        <f t="shared" si="63"/>
        <v>5.0685778434340398E-2</v>
      </c>
      <c r="Z292" s="1">
        <f t="shared" si="53"/>
        <v>0.11992477596526858</v>
      </c>
      <c r="AA292" s="8">
        <f t="shared" si="59"/>
        <v>23.333333333333272</v>
      </c>
      <c r="AB292" s="1">
        <v>23.42</v>
      </c>
      <c r="AC292">
        <v>9.2376302750000003E-3</v>
      </c>
      <c r="AD292" s="8">
        <f t="shared" si="54"/>
        <v>2.1443766747474524</v>
      </c>
      <c r="AE292" s="3">
        <f t="shared" si="55"/>
        <v>2.3213493189382407E-2</v>
      </c>
      <c r="AF292" s="11">
        <f t="shared" si="56"/>
        <v>23.333333333333272</v>
      </c>
      <c r="AG292" s="1">
        <f t="shared" si="57"/>
        <v>0.11992477596526858</v>
      </c>
    </row>
    <row r="293" spans="2:33" ht="15" x14ac:dyDescent="0.25">
      <c r="B293" s="1">
        <v>282</v>
      </c>
      <c r="C293" s="1">
        <v>0.80861887560184709</v>
      </c>
      <c r="D293" s="1">
        <v>4.2591251756889132</v>
      </c>
      <c r="E293" s="1">
        <v>0.12139900210020274</v>
      </c>
      <c r="G293" s="1">
        <v>0.80861887560184709</v>
      </c>
      <c r="H293" s="1">
        <v>4.2591251756889132</v>
      </c>
      <c r="I293" s="1">
        <v>0.12139900210020274</v>
      </c>
      <c r="K293" s="1">
        <v>1.0009769343334121</v>
      </c>
      <c r="L293" s="1">
        <v>2.3569254982308658</v>
      </c>
      <c r="M293" s="1">
        <v>0.40006998281225631</v>
      </c>
      <c r="O293" s="1">
        <v>9.0394714250584731E-3</v>
      </c>
      <c r="P293" s="1">
        <v>0.80861887560184709</v>
      </c>
      <c r="R293" s="1">
        <v>0.12487514911118951</v>
      </c>
      <c r="S293" s="2">
        <f t="shared" si="60"/>
        <v>0.58301894655215336</v>
      </c>
      <c r="T293" s="4">
        <f t="shared" si="61"/>
        <v>0.33991109203878267</v>
      </c>
      <c r="U293" s="1">
        <f t="shared" si="52"/>
        <v>0.22650096537281295</v>
      </c>
      <c r="V293" s="6">
        <f>2*sigma/alpha*corel*(B293/12-1/alpha*(1-EXP(-alpha*Output!B293/12)))</f>
        <v>1.0332119854953783</v>
      </c>
      <c r="W293" s="5">
        <f t="shared" si="62"/>
        <v>-0.11341012666596972</v>
      </c>
      <c r="X293" s="1">
        <f t="shared" si="58"/>
        <v>11.728078913572457</v>
      </c>
      <c r="Y293" s="3">
        <f t="shared" si="63"/>
        <v>5.0881197933715129E-2</v>
      </c>
      <c r="Z293" s="1">
        <f t="shared" si="53"/>
        <v>0.12026762568906217</v>
      </c>
      <c r="AA293" s="8">
        <f t="shared" si="59"/>
        <v>23.416666666666604</v>
      </c>
      <c r="AB293" s="1">
        <v>23.5</v>
      </c>
      <c r="AC293">
        <v>9.2553966410000004E-3</v>
      </c>
      <c r="AD293" s="8">
        <f t="shared" si="54"/>
        <v>2.1592521594152729</v>
      </c>
      <c r="AE293" s="3">
        <f t="shared" si="55"/>
        <v>2.3329655585478788E-2</v>
      </c>
      <c r="AF293" s="11">
        <f t="shared" si="56"/>
        <v>23.416666666666604</v>
      </c>
      <c r="AG293" s="1">
        <f t="shared" si="57"/>
        <v>0.12026762568906217</v>
      </c>
    </row>
    <row r="294" spans="2:33" ht="15" x14ac:dyDescent="0.25">
      <c r="B294" s="1">
        <v>283</v>
      </c>
      <c r="C294" s="1">
        <v>0.80769464961873882</v>
      </c>
      <c r="D294" s="1">
        <v>4.2855918402331366</v>
      </c>
      <c r="E294" s="1">
        <v>0.12013022115973716</v>
      </c>
      <c r="G294" s="1">
        <v>0.80769464961873882</v>
      </c>
      <c r="H294" s="1">
        <v>4.2855918402331366</v>
      </c>
      <c r="I294" s="1">
        <v>0.12013022115973716</v>
      </c>
      <c r="K294" s="1">
        <v>1.0010846378065112</v>
      </c>
      <c r="L294" s="1">
        <v>2.3465789295467392</v>
      </c>
      <c r="M294" s="1">
        <v>0.40175337769843128</v>
      </c>
      <c r="O294" s="1">
        <v>9.0560226476735107E-3</v>
      </c>
      <c r="P294" s="1">
        <v>0.80769464961873882</v>
      </c>
      <c r="R294" s="1">
        <v>0.12509581153960897</v>
      </c>
      <c r="S294" s="2">
        <f t="shared" si="60"/>
        <v>0.58505901839020957</v>
      </c>
      <c r="T294" s="4">
        <f t="shared" si="61"/>
        <v>0.3422940549997156</v>
      </c>
      <c r="U294" s="1">
        <f t="shared" si="52"/>
        <v>0.22843912983629888</v>
      </c>
      <c r="V294" s="6">
        <f>2*sigma/alpha*corel*(B294/12-1/alpha*(1-EXP(-alpha*Output!B294/12)))</f>
        <v>1.0395663864146627</v>
      </c>
      <c r="W294" s="5">
        <f t="shared" si="62"/>
        <v>-0.11385492516341672</v>
      </c>
      <c r="X294" s="1">
        <f t="shared" si="58"/>
        <v>11.821012878845551</v>
      </c>
      <c r="Y294" s="3">
        <f t="shared" si="63"/>
        <v>5.0853786644471766E-2</v>
      </c>
      <c r="Z294" s="1">
        <f t="shared" si="53"/>
        <v>0.12047504118152905</v>
      </c>
      <c r="AA294" s="8">
        <f t="shared" si="59"/>
        <v>23.499999999999936</v>
      </c>
      <c r="AB294" s="1">
        <v>23.58</v>
      </c>
      <c r="AC294">
        <v>9.2732324279999993E-3</v>
      </c>
      <c r="AD294" s="8">
        <f t="shared" si="54"/>
        <v>2.1720978032648866</v>
      </c>
      <c r="AE294" s="3">
        <f t="shared" si="55"/>
        <v>2.3423308108900198E-2</v>
      </c>
      <c r="AF294" s="11">
        <f t="shared" si="56"/>
        <v>23.499999999999936</v>
      </c>
      <c r="AG294" s="1">
        <f t="shared" si="57"/>
        <v>0.12047504118152905</v>
      </c>
    </row>
    <row r="295" spans="2:33" ht="15" x14ac:dyDescent="0.25">
      <c r="B295" s="1">
        <v>284</v>
      </c>
      <c r="C295" s="1">
        <v>0.80676029260895887</v>
      </c>
      <c r="D295" s="1">
        <v>4.3112739814615217</v>
      </c>
      <c r="E295" s="1">
        <v>0.11889616797650611</v>
      </c>
      <c r="G295" s="1">
        <v>0.80676029260895887</v>
      </c>
      <c r="H295" s="1">
        <v>4.3112739814615217</v>
      </c>
      <c r="I295" s="1">
        <v>0.11889616797650611</v>
      </c>
      <c r="K295" s="1">
        <v>1.0010650632394447</v>
      </c>
      <c r="L295" s="1">
        <v>2.3945807785476174</v>
      </c>
      <c r="M295" s="1">
        <v>0.39360063498592235</v>
      </c>
      <c r="O295" s="1">
        <v>9.0730432401483086E-3</v>
      </c>
      <c r="P295" s="1">
        <v>0.80676029260895887</v>
      </c>
      <c r="R295" s="1">
        <v>0.12518008469048886</v>
      </c>
      <c r="S295" s="2">
        <f t="shared" si="60"/>
        <v>0.58669175690337583</v>
      </c>
      <c r="T295" s="4">
        <f t="shared" si="61"/>
        <v>0.34420721761836987</v>
      </c>
      <c r="U295" s="1">
        <f t="shared" si="52"/>
        <v>0.23038554955977375</v>
      </c>
      <c r="V295" s="6">
        <f>2*sigma/alpha*corel*(B295/12-1/alpha*(1-EXP(-alpha*Output!B295/12)))</f>
        <v>1.0459343056766834</v>
      </c>
      <c r="W295" s="5">
        <f t="shared" si="62"/>
        <v>-0.11382166805859611</v>
      </c>
      <c r="X295" s="1">
        <f t="shared" si="58"/>
        <v>11.869096481338465</v>
      </c>
      <c r="Y295" s="3">
        <f t="shared" si="63"/>
        <v>5.0687771901642698E-2</v>
      </c>
      <c r="Z295" s="1">
        <f t="shared" si="53"/>
        <v>0.12059837039372158</v>
      </c>
      <c r="AA295" s="8">
        <f t="shared" si="59"/>
        <v>23.583333333333268</v>
      </c>
      <c r="AB295" s="1">
        <v>23.67</v>
      </c>
      <c r="AC295">
        <v>9.2911435889999998E-3</v>
      </c>
      <c r="AD295" s="8">
        <f t="shared" si="54"/>
        <v>2.1810034885169118</v>
      </c>
      <c r="AE295" s="3">
        <f t="shared" si="55"/>
        <v>2.3474004761900917E-2</v>
      </c>
      <c r="AF295" s="11">
        <f t="shared" si="56"/>
        <v>23.583333333333268</v>
      </c>
      <c r="AG295" s="1">
        <f t="shared" si="57"/>
        <v>0.12059837039372158</v>
      </c>
    </row>
    <row r="296" spans="2:33" ht="15" x14ac:dyDescent="0.25">
      <c r="B296" s="1">
        <v>285</v>
      </c>
      <c r="C296" s="1">
        <v>0.80581773364179654</v>
      </c>
      <c r="D296" s="1">
        <v>4.336701504835422</v>
      </c>
      <c r="E296" s="1">
        <v>0.11767751653369107</v>
      </c>
      <c r="G296" s="1">
        <v>0.80581773364179654</v>
      </c>
      <c r="H296" s="1">
        <v>4.336701504835422</v>
      </c>
      <c r="I296" s="1">
        <v>0.11767751653369107</v>
      </c>
      <c r="K296" s="1">
        <v>1.001043773279936</v>
      </c>
      <c r="L296" s="1">
        <v>2.3333531914369505</v>
      </c>
      <c r="M296" s="1">
        <v>0.40386483557103414</v>
      </c>
      <c r="O296" s="1">
        <v>9.0904294302806554E-3</v>
      </c>
      <c r="P296" s="1">
        <v>0.80581773364179654</v>
      </c>
      <c r="R296" s="1">
        <v>0.12546283360345636</v>
      </c>
      <c r="S296" s="2">
        <f t="shared" si="60"/>
        <v>0.5889573061969211</v>
      </c>
      <c r="T296" s="4">
        <f t="shared" si="61"/>
        <v>0.34687070852273388</v>
      </c>
      <c r="U296" s="1">
        <f t="shared" si="52"/>
        <v>0.23234021452763232</v>
      </c>
      <c r="V296" s="6">
        <f>2*sigma/alpha*corel*(B296/12-1/alpha*(1-EXP(-alpha*Output!B296/12)))</f>
        <v>1.0523156982953163</v>
      </c>
      <c r="W296" s="5">
        <f t="shared" si="62"/>
        <v>-0.11453049399510157</v>
      </c>
      <c r="X296" s="1">
        <f t="shared" si="58"/>
        <v>11.987765258413409</v>
      </c>
      <c r="Y296" s="3">
        <f t="shared" si="63"/>
        <v>5.0737253340132488E-2</v>
      </c>
      <c r="Z296" s="1">
        <f t="shared" si="53"/>
        <v>0.12085148929208574</v>
      </c>
      <c r="AA296" s="8">
        <f t="shared" si="59"/>
        <v>23.6666666666666</v>
      </c>
      <c r="AB296" s="1">
        <v>23.75</v>
      </c>
      <c r="AC296">
        <v>9.3090665649999994E-3</v>
      </c>
      <c r="AD296" s="8">
        <f t="shared" si="54"/>
        <v>2.1863713471934401</v>
      </c>
      <c r="AE296" s="3">
        <f t="shared" si="55"/>
        <v>2.3486472375369036E-2</v>
      </c>
      <c r="AF296" s="11">
        <f t="shared" si="56"/>
        <v>23.6666666666666</v>
      </c>
      <c r="AG296" s="1">
        <f t="shared" si="57"/>
        <v>0.12085148929208574</v>
      </c>
    </row>
    <row r="297" spans="2:33" ht="15" x14ac:dyDescent="0.25">
      <c r="B297" s="1">
        <v>286</v>
      </c>
      <c r="C297" s="1">
        <v>0.80486679424316743</v>
      </c>
      <c r="D297" s="1">
        <v>4.3639537420903336</v>
      </c>
      <c r="E297" s="1">
        <v>0.11642798928862498</v>
      </c>
      <c r="G297" s="1">
        <v>0.80486679424316743</v>
      </c>
      <c r="H297" s="1">
        <v>4.3639537420903336</v>
      </c>
      <c r="I297" s="1">
        <v>0.11642798928862498</v>
      </c>
      <c r="K297" s="1">
        <v>1.0011464153595848</v>
      </c>
      <c r="L297" s="1">
        <v>2.2988037924373601</v>
      </c>
      <c r="M297" s="1">
        <v>0.40984891229893244</v>
      </c>
      <c r="O297" s="1">
        <v>9.1081883179969306E-3</v>
      </c>
      <c r="P297" s="1">
        <v>0.80486679424316743</v>
      </c>
      <c r="R297" s="1">
        <v>0.12583570531965158</v>
      </c>
      <c r="S297" s="2">
        <f t="shared" si="60"/>
        <v>0.59151979559741852</v>
      </c>
      <c r="T297" s="4">
        <f t="shared" si="61"/>
        <v>0.34989566858361176</v>
      </c>
      <c r="U297" s="1">
        <f t="shared" si="52"/>
        <v>0.23430311464161546</v>
      </c>
      <c r="V297" s="6">
        <f>2*sigma/alpha*corel*(B297/12-1/alpha*(1-EXP(-alpha*Output!B297/12)))</f>
        <v>1.0587105194341417</v>
      </c>
      <c r="W297" s="5">
        <f t="shared" si="62"/>
        <v>-0.1155925539419963</v>
      </c>
      <c r="X297" s="1">
        <f t="shared" si="58"/>
        <v>12.140691439764158</v>
      </c>
      <c r="Y297" s="3">
        <f t="shared" si="63"/>
        <v>5.0887531065680815E-2</v>
      </c>
      <c r="Z297" s="1">
        <f t="shared" si="53"/>
        <v>0.12116491713102572</v>
      </c>
      <c r="AA297" s="8">
        <f t="shared" si="59"/>
        <v>23.749999999999932</v>
      </c>
      <c r="AB297" s="1">
        <v>23.83</v>
      </c>
      <c r="AC297">
        <v>9.3269204129999995E-3</v>
      </c>
      <c r="AD297" s="8">
        <f t="shared" si="54"/>
        <v>2.1873209500306889</v>
      </c>
      <c r="AE297" s="3">
        <f t="shared" si="55"/>
        <v>2.3451695234602502E-2</v>
      </c>
      <c r="AF297" s="11">
        <f t="shared" si="56"/>
        <v>23.749999999999932</v>
      </c>
      <c r="AG297" s="1">
        <f t="shared" si="57"/>
        <v>0.12116491713102572</v>
      </c>
    </row>
    <row r="298" spans="2:33" ht="15" x14ac:dyDescent="0.25">
      <c r="B298" s="1">
        <v>287</v>
      </c>
      <c r="C298" s="1">
        <v>0.80390546316033107</v>
      </c>
      <c r="D298" s="1">
        <v>4.392515154177282</v>
      </c>
      <c r="E298" s="1">
        <v>0.11515695893502845</v>
      </c>
      <c r="G298" s="1">
        <v>0.80390546316033107</v>
      </c>
      <c r="H298" s="1">
        <v>4.392515154177282</v>
      </c>
      <c r="I298" s="1">
        <v>0.11515695893502845</v>
      </c>
      <c r="K298" s="1">
        <v>1.0011792838654647</v>
      </c>
      <c r="L298" s="1">
        <v>2.3318209897308071</v>
      </c>
      <c r="M298" s="1">
        <v>0.4039672705191526</v>
      </c>
      <c r="O298" s="1">
        <v>9.1264222934017807E-3</v>
      </c>
      <c r="P298" s="1">
        <v>0.80390546316033107</v>
      </c>
      <c r="R298" s="1">
        <v>0.12604084714765976</v>
      </c>
      <c r="S298" s="2">
        <f t="shared" si="60"/>
        <v>0.59357722048939143</v>
      </c>
      <c r="T298" s="4">
        <f t="shared" si="61"/>
        <v>0.35233391668391162</v>
      </c>
      <c r="U298" s="1">
        <f t="shared" si="52"/>
        <v>0.23627423972185024</v>
      </c>
      <c r="V298" s="6">
        <f>2*sigma/alpha*corel*(B298/12-1/alpha*(1-EXP(-alpha*Output!B298/12)))</f>
        <v>1.0651187244059463</v>
      </c>
      <c r="W298" s="5">
        <f t="shared" si="62"/>
        <v>-0.11605967696206138</v>
      </c>
      <c r="X298" s="1">
        <f t="shared" si="58"/>
        <v>12.23752032645069</v>
      </c>
      <c r="Y298" s="3">
        <f t="shared" si="63"/>
        <v>5.0866160504457129E-2</v>
      </c>
      <c r="Z298" s="1">
        <f t="shared" si="53"/>
        <v>0.12137434534545641</v>
      </c>
      <c r="AA298" s="8">
        <f t="shared" si="59"/>
        <v>23.833333333333265</v>
      </c>
      <c r="AB298" s="1">
        <v>23.92</v>
      </c>
      <c r="AC298">
        <v>9.3446241930000007E-3</v>
      </c>
      <c r="AD298" s="8">
        <f t="shared" si="54"/>
        <v>2.1820189959822005</v>
      </c>
      <c r="AE298" s="3">
        <f t="shared" si="55"/>
        <v>2.3350527007996075E-2</v>
      </c>
      <c r="AF298" s="11">
        <f t="shared" si="56"/>
        <v>23.833333333333265</v>
      </c>
      <c r="AG298" s="1">
        <f t="shared" si="57"/>
        <v>0.12137434534545641</v>
      </c>
    </row>
    <row r="299" spans="2:33" ht="15" x14ac:dyDescent="0.25">
      <c r="B299" s="1">
        <v>288</v>
      </c>
      <c r="C299" s="1">
        <v>0.80292761516837585</v>
      </c>
      <c r="D299" s="1">
        <v>4.4202802457675823</v>
      </c>
      <c r="E299" s="1">
        <v>0.11391727327614687</v>
      </c>
      <c r="G299" s="1">
        <v>0.80292761516837585</v>
      </c>
      <c r="H299" s="1">
        <v>4.4202802457675823</v>
      </c>
      <c r="I299" s="1">
        <v>0.11391727327614687</v>
      </c>
      <c r="K299" s="1">
        <v>1.0011350865677744</v>
      </c>
      <c r="L299" s="1">
        <v>2.3567324058392543</v>
      </c>
      <c r="M299" s="1">
        <v>0.39960384638170271</v>
      </c>
      <c r="O299" s="1">
        <v>9.1454463375736667E-3</v>
      </c>
      <c r="P299" s="1">
        <v>0.80292761516837585</v>
      </c>
      <c r="R299" s="1">
        <v>0.12634533814501742</v>
      </c>
      <c r="S299" s="2">
        <f t="shared" si="60"/>
        <v>0.59597272791729194</v>
      </c>
      <c r="T299" s="4">
        <f t="shared" si="61"/>
        <v>0.35518349242117847</v>
      </c>
      <c r="U299" s="1">
        <f t="shared" si="52"/>
        <v>0.2382535795078895</v>
      </c>
      <c r="V299" s="6">
        <f>2*sigma/alpha*corel*(B299/12-1/alpha*(1-EXP(-alpha*Output!B299/12)))</f>
        <v>1.0715402686722253</v>
      </c>
      <c r="W299" s="5">
        <f t="shared" si="62"/>
        <v>-0.11692991291328897</v>
      </c>
      <c r="X299" s="1">
        <f t="shared" si="58"/>
        <v>12.373470187061885</v>
      </c>
      <c r="Y299" s="3">
        <f t="shared" si="63"/>
        <v>5.095946054858487E-2</v>
      </c>
      <c r="Z299" s="1">
        <f t="shared" si="53"/>
        <v>0.12165242366765971</v>
      </c>
      <c r="AA299" s="8">
        <f t="shared" si="59"/>
        <v>23.916666666666597</v>
      </c>
      <c r="AB299" s="1">
        <v>24</v>
      </c>
      <c r="AC299">
        <v>9.3620969650000004E-3</v>
      </c>
      <c r="AD299" s="8">
        <f t="shared" si="54"/>
        <v>2.1665062742633365</v>
      </c>
      <c r="AE299" s="3">
        <f t="shared" si="55"/>
        <v>2.3141250110555085E-2</v>
      </c>
      <c r="AF299" s="11">
        <f t="shared" si="56"/>
        <v>23.916666666666597</v>
      </c>
      <c r="AG299" s="1">
        <f t="shared" si="57"/>
        <v>0.12165242366765971</v>
      </c>
    </row>
    <row r="300" spans="2:33" ht="15" x14ac:dyDescent="0.25">
      <c r="B300" s="1">
        <v>289</v>
      </c>
      <c r="C300" s="1">
        <v>0.80193600196137738</v>
      </c>
      <c r="D300" s="1">
        <v>4.4480028467218222</v>
      </c>
      <c r="E300" s="1">
        <v>0.11269383339343672</v>
      </c>
      <c r="G300" s="1">
        <v>0.80193600196137738</v>
      </c>
      <c r="H300" s="1">
        <v>4.4480028467218222</v>
      </c>
      <c r="I300" s="1">
        <v>0.11269383339343672</v>
      </c>
      <c r="K300" s="1">
        <v>1.0011607996327199</v>
      </c>
      <c r="L300" s="1">
        <v>2.3534929731617358</v>
      </c>
      <c r="M300" s="1">
        <v>0.40007548399491355</v>
      </c>
      <c r="O300" s="1">
        <v>9.1651130388706713E-3</v>
      </c>
      <c r="P300" s="1">
        <v>0.80193600196137738</v>
      </c>
      <c r="R300" s="1">
        <v>0.12658207172059169</v>
      </c>
      <c r="S300" s="2">
        <f t="shared" si="60"/>
        <v>0.5981798830926115</v>
      </c>
      <c r="T300" s="4">
        <f t="shared" si="61"/>
        <v>0.35781917253669038</v>
      </c>
      <c r="U300" s="1">
        <f t="shared" si="52"/>
        <v>0.24024112365973993</v>
      </c>
      <c r="V300" s="6">
        <f>2*sigma/alpha*corel*(B300/12-1/alpha*(1-EXP(-alpha*Output!B300/12)))</f>
        <v>1.0779751078426878</v>
      </c>
      <c r="W300" s="5">
        <f t="shared" si="62"/>
        <v>-0.11757804887695045</v>
      </c>
      <c r="X300" s="1">
        <f t="shared" si="58"/>
        <v>12.488715708274681</v>
      </c>
      <c r="Y300" s="3">
        <f t="shared" si="63"/>
        <v>5.098884286357732E-2</v>
      </c>
      <c r="Z300" s="1">
        <f t="shared" si="53"/>
        <v>0.12189152348023699</v>
      </c>
      <c r="AA300" s="8">
        <f t="shared" si="59"/>
        <v>23.999999999999929</v>
      </c>
      <c r="AB300" s="1">
        <v>24.08</v>
      </c>
      <c r="AC300">
        <v>9.3792577880000005E-3</v>
      </c>
      <c r="AD300" s="8">
        <f t="shared" si="54"/>
        <v>2.1414474912932921</v>
      </c>
      <c r="AE300" s="3">
        <f t="shared" si="55"/>
        <v>2.2831737219474877E-2</v>
      </c>
      <c r="AF300" s="11">
        <f t="shared" si="56"/>
        <v>23.999999999999929</v>
      </c>
      <c r="AG300" s="1">
        <f t="shared" si="57"/>
        <v>0.12189152348023699</v>
      </c>
    </row>
    <row r="301" spans="2:33" ht="15" x14ac:dyDescent="0.25">
      <c r="B301" s="1">
        <v>290</v>
      </c>
      <c r="C301" s="1">
        <v>0.80093623892848786</v>
      </c>
      <c r="D301" s="1">
        <v>4.4760753771093507</v>
      </c>
      <c r="E301" s="1">
        <v>0.11147650632629175</v>
      </c>
      <c r="G301" s="1">
        <v>0.80093623892848786</v>
      </c>
      <c r="H301" s="1">
        <v>4.4760753771093507</v>
      </c>
      <c r="I301" s="1">
        <v>0.11147650632629175</v>
      </c>
      <c r="K301" s="1">
        <v>1.0011657975706183</v>
      </c>
      <c r="L301" s="1">
        <v>2.3730872033528225</v>
      </c>
      <c r="M301" s="1">
        <v>0.39667821920115287</v>
      </c>
      <c r="O301" s="1">
        <v>9.1851284242454902E-3</v>
      </c>
      <c r="P301" s="1">
        <v>0.80093623892848786</v>
      </c>
      <c r="R301" s="1">
        <v>0.12686245040918395</v>
      </c>
      <c r="S301" s="2">
        <f t="shared" si="60"/>
        <v>0.60053919973601944</v>
      </c>
      <c r="T301" s="4">
        <f t="shared" si="61"/>
        <v>0.36064733041957864</v>
      </c>
      <c r="U301" s="1">
        <f t="shared" si="52"/>
        <v>0.24223686175888481</v>
      </c>
      <c r="V301" s="6">
        <f>2*sigma/alpha*corel*(B301/12-1/alpha*(1-EXP(-alpha*Output!B301/12)))</f>
        <v>1.0844231976747662</v>
      </c>
      <c r="W301" s="5">
        <f t="shared" si="62"/>
        <v>-0.11841046866069382</v>
      </c>
      <c r="X301" s="1">
        <f t="shared" si="58"/>
        <v>12.622318975522234</v>
      </c>
      <c r="Y301" s="3">
        <f t="shared" si="63"/>
        <v>5.1069664360010807E-2</v>
      </c>
      <c r="Z301" s="1">
        <f t="shared" si="53"/>
        <v>0.12216111415039289</v>
      </c>
      <c r="AA301" s="8">
        <f t="shared" si="59"/>
        <v>24.083333333333261</v>
      </c>
      <c r="AB301" s="1">
        <v>24.17</v>
      </c>
      <c r="AC301">
        <v>9.396090595E-3</v>
      </c>
      <c r="AD301" s="8">
        <f t="shared" si="54"/>
        <v>2.1096217075450978</v>
      </c>
      <c r="AE301" s="3">
        <f t="shared" si="55"/>
        <v>2.2452121828920039E-2</v>
      </c>
      <c r="AF301" s="11">
        <f t="shared" si="56"/>
        <v>24.083333333333261</v>
      </c>
      <c r="AG301" s="1">
        <f t="shared" si="57"/>
        <v>0.12216111415039289</v>
      </c>
    </row>
    <row r="302" spans="2:33" ht="15" x14ac:dyDescent="0.25">
      <c r="B302" s="1">
        <v>291</v>
      </c>
      <c r="C302" s="1">
        <v>0.79993133910474479</v>
      </c>
      <c r="D302" s="1">
        <v>4.5028818443804033</v>
      </c>
      <c r="E302" s="1">
        <v>0.11029857825132634</v>
      </c>
      <c r="G302" s="1">
        <v>0.79993133910474479</v>
      </c>
      <c r="H302" s="1">
        <v>4.5028818443804033</v>
      </c>
      <c r="I302" s="1">
        <v>0.11029857825132634</v>
      </c>
      <c r="K302" s="1">
        <v>1.0010703968943448</v>
      </c>
      <c r="L302" s="1">
        <v>2.3532535216714123</v>
      </c>
      <c r="M302" s="1">
        <v>0.39993563770320695</v>
      </c>
      <c r="O302" s="1">
        <v>9.2053353037752934E-3</v>
      </c>
      <c r="P302" s="1">
        <v>0.79993133910474479</v>
      </c>
      <c r="R302" s="1">
        <v>0.12699806247715345</v>
      </c>
      <c r="S302" s="2">
        <f t="shared" si="60"/>
        <v>0.60245497350018828</v>
      </c>
      <c r="T302" s="4">
        <f t="shared" si="61"/>
        <v>0.36295199509511256</v>
      </c>
      <c r="U302" s="1">
        <f t="shared" si="52"/>
        <v>0.24424078330929078</v>
      </c>
      <c r="V302" s="6">
        <f>2*sigma/alpha*corel*(B302/12-1/alpha*(1-EXP(-alpha*Output!B302/12)))</f>
        <v>1.090884494073121</v>
      </c>
      <c r="W302" s="5">
        <f t="shared" si="62"/>
        <v>-0.11871121178582178</v>
      </c>
      <c r="X302" s="1">
        <f t="shared" si="58"/>
        <v>12.705016522633882</v>
      </c>
      <c r="Y302" s="3">
        <f t="shared" si="63"/>
        <v>5.1000519747952236E-2</v>
      </c>
      <c r="Z302" s="1">
        <f t="shared" si="53"/>
        <v>0.12234006940181846</v>
      </c>
      <c r="AA302" s="8">
        <f t="shared" si="59"/>
        <v>24.166666666666593</v>
      </c>
      <c r="AB302" s="1">
        <v>24.25</v>
      </c>
      <c r="AC302">
        <v>9.4128388109999996E-3</v>
      </c>
      <c r="AD302" s="8">
        <f t="shared" si="54"/>
        <v>2.0750350722470619</v>
      </c>
      <c r="AE302" s="3">
        <f t="shared" si="55"/>
        <v>2.2044731816953472E-2</v>
      </c>
      <c r="AF302" s="11">
        <f t="shared" si="56"/>
        <v>24.166666666666593</v>
      </c>
      <c r="AG302" s="1">
        <f t="shared" si="57"/>
        <v>0.12234006940181846</v>
      </c>
    </row>
    <row r="303" spans="2:33" ht="15" x14ac:dyDescent="0.25">
      <c r="B303" s="1">
        <v>292</v>
      </c>
      <c r="C303" s="1">
        <v>0.79892685932760765</v>
      </c>
      <c r="D303" s="1">
        <v>4.5289855072463769</v>
      </c>
      <c r="E303" s="1">
        <v>0.10915600576343712</v>
      </c>
      <c r="G303" s="1">
        <v>0.79892685932760765</v>
      </c>
      <c r="H303" s="1">
        <v>4.5289855072463769</v>
      </c>
      <c r="I303" s="1">
        <v>0.10915600576343712</v>
      </c>
      <c r="K303" s="1">
        <v>1.0010954031508188</v>
      </c>
      <c r="L303" s="1">
        <v>2.3214448202574989</v>
      </c>
      <c r="M303" s="1">
        <v>0.40533639368625501</v>
      </c>
      <c r="O303" s="1">
        <v>9.2254470276062032E-3</v>
      </c>
      <c r="P303" s="1">
        <v>0.79892685932760765</v>
      </c>
      <c r="R303" s="1">
        <v>0.12712946453159241</v>
      </c>
      <c r="S303" s="2">
        <f t="shared" si="60"/>
        <v>0.60435934963604332</v>
      </c>
      <c r="T303" s="4">
        <f t="shared" si="61"/>
        <v>0.36525022349250125</v>
      </c>
      <c r="U303" s="1">
        <f t="shared" si="52"/>
        <v>0.24625287773841542</v>
      </c>
      <c r="V303" s="6">
        <f>2*sigma/alpha*corel*(B303/12-1/alpha*(1-EXP(-alpha*Output!B303/12)))</f>
        <v>1.0973589530891534</v>
      </c>
      <c r="W303" s="5">
        <f t="shared" si="62"/>
        <v>-0.11899734575408583</v>
      </c>
      <c r="X303" s="1">
        <f t="shared" si="58"/>
        <v>12.786604991989275</v>
      </c>
      <c r="Y303" s="3">
        <f t="shared" si="63"/>
        <v>5.092761599213478E-2</v>
      </c>
      <c r="Z303" s="1">
        <f t="shared" si="53"/>
        <v>0.12251646076028348</v>
      </c>
      <c r="AA303" s="8">
        <f t="shared" si="59"/>
        <v>24.249999999999925</v>
      </c>
      <c r="AB303" s="1">
        <v>24.33</v>
      </c>
      <c r="AC303">
        <v>9.4298107360000008E-3</v>
      </c>
      <c r="AD303" s="8">
        <f t="shared" si="54"/>
        <v>2.0436370839379756</v>
      </c>
      <c r="AE303" s="3">
        <f t="shared" si="55"/>
        <v>2.1672090152732578E-2</v>
      </c>
      <c r="AF303" s="11">
        <f t="shared" si="56"/>
        <v>24.249999999999925</v>
      </c>
      <c r="AG303" s="1">
        <f t="shared" si="57"/>
        <v>0.12251646076028348</v>
      </c>
    </row>
    <row r="304" spans="2:33" ht="15" x14ac:dyDescent="0.25">
      <c r="B304" s="1">
        <v>293</v>
      </c>
      <c r="C304" s="1">
        <v>0.7979288083845838</v>
      </c>
      <c r="D304" s="1">
        <v>4.5551860793513415</v>
      </c>
      <c r="E304" s="1">
        <v>0.10802985945315284</v>
      </c>
      <c r="G304" s="1">
        <v>0.7979288083845838</v>
      </c>
      <c r="H304" s="1">
        <v>4.5551860793513415</v>
      </c>
      <c r="I304" s="1">
        <v>0.10802985945315284</v>
      </c>
      <c r="K304" s="1">
        <v>1.0010589035132735</v>
      </c>
      <c r="L304" s="1">
        <v>2.2876964090602416</v>
      </c>
      <c r="M304" s="1">
        <v>0.41123794268950892</v>
      </c>
      <c r="O304" s="1">
        <v>9.2451562346478403E-3</v>
      </c>
      <c r="P304" s="1">
        <v>0.7979288083845838</v>
      </c>
      <c r="R304" s="1">
        <v>0.12746732946910999</v>
      </c>
      <c r="S304" s="2">
        <f t="shared" si="60"/>
        <v>0.60690673303901854</v>
      </c>
      <c r="T304" s="4">
        <f t="shared" si="61"/>
        <v>0.36833578260809452</v>
      </c>
      <c r="U304" s="1">
        <f t="shared" si="52"/>
        <v>0.24827313439819987</v>
      </c>
      <c r="V304" s="6">
        <f>2*sigma/alpha*corel*(B304/12-1/alpha*(1-EXP(-alpha*Output!B304/12)))</f>
        <v>1.1038465309205157</v>
      </c>
      <c r="W304" s="5">
        <f t="shared" si="62"/>
        <v>-0.12006264820989465</v>
      </c>
      <c r="X304" s="1">
        <f t="shared" si="58"/>
        <v>12.944595805658302</v>
      </c>
      <c r="Y304" s="3">
        <f t="shared" si="63"/>
        <v>5.1071945969767468E-2</v>
      </c>
      <c r="Z304" s="1">
        <f t="shared" si="53"/>
        <v>0.12282273626522178</v>
      </c>
      <c r="AA304" s="8">
        <f t="shared" si="59"/>
        <v>24.333333333333258</v>
      </c>
      <c r="AB304" s="1">
        <v>24.42</v>
      </c>
      <c r="AC304">
        <v>9.4473146689999996E-3</v>
      </c>
      <c r="AD304" s="8">
        <f t="shared" si="54"/>
        <v>2.0215843435215932</v>
      </c>
      <c r="AE304" s="3">
        <f t="shared" si="55"/>
        <v>2.1398507558503695E-2</v>
      </c>
      <c r="AF304" s="11">
        <f t="shared" si="56"/>
        <v>24.333333333333258</v>
      </c>
      <c r="AG304" s="1">
        <f t="shared" si="57"/>
        <v>0.12282273626522178</v>
      </c>
    </row>
    <row r="305" spans="2:33" ht="15" x14ac:dyDescent="0.25">
      <c r="B305" s="1">
        <v>294</v>
      </c>
      <c r="C305" s="1">
        <v>0.79694323131669065</v>
      </c>
      <c r="D305" s="1">
        <v>4.5808520384791569</v>
      </c>
      <c r="E305" s="1">
        <v>0.10693014253788</v>
      </c>
      <c r="G305" s="1">
        <v>0.79694323131669065</v>
      </c>
      <c r="H305" s="1">
        <v>4.5808520384791569</v>
      </c>
      <c r="I305" s="1">
        <v>0.10693014253788</v>
      </c>
      <c r="K305" s="1">
        <v>1.0011588850270146</v>
      </c>
      <c r="L305" s="1">
        <v>2.3031736034917056</v>
      </c>
      <c r="M305" s="1">
        <v>0.40839682945196848</v>
      </c>
      <c r="O305" s="1">
        <v>9.2641563546014861E-3</v>
      </c>
      <c r="P305" s="1">
        <v>0.79694323131669065</v>
      </c>
      <c r="R305" s="1">
        <v>0.12779329267527292</v>
      </c>
      <c r="S305" s="2">
        <f t="shared" si="60"/>
        <v>0.60940201921310488</v>
      </c>
      <c r="T305" s="4">
        <f t="shared" si="61"/>
        <v>0.37137082102100943</v>
      </c>
      <c r="U305" s="1">
        <f t="shared" si="52"/>
        <v>0.2503015425660573</v>
      </c>
      <c r="V305" s="6">
        <f>2*sigma/alpha*corel*(B305/12-1/alpha*(1-EXP(-alpha*Output!B305/12)))</f>
        <v>1.1103471839106236</v>
      </c>
      <c r="W305" s="5">
        <f t="shared" si="62"/>
        <v>-0.12106927845495213</v>
      </c>
      <c r="X305" s="1">
        <f t="shared" si="58"/>
        <v>13.09766015740356</v>
      </c>
      <c r="Y305" s="3">
        <f t="shared" si="63"/>
        <v>5.119840365052529E-2</v>
      </c>
      <c r="Z305" s="1">
        <f t="shared" si="53"/>
        <v>0.12311780007267463</v>
      </c>
      <c r="AA305" s="8">
        <f t="shared" si="59"/>
        <v>24.41666666666659</v>
      </c>
      <c r="AB305" s="1">
        <v>24.5</v>
      </c>
      <c r="AC305">
        <v>9.4656589090000003E-3</v>
      </c>
      <c r="AD305" s="8">
        <f t="shared" si="54"/>
        <v>2.0150255439851419</v>
      </c>
      <c r="AE305" s="3">
        <f t="shared" si="55"/>
        <v>2.1287747248839112E-2</v>
      </c>
      <c r="AF305" s="11">
        <f t="shared" si="56"/>
        <v>24.41666666666659</v>
      </c>
      <c r="AG305" s="1">
        <f t="shared" si="57"/>
        <v>0.12311780007267463</v>
      </c>
    </row>
    <row r="306" spans="2:33" ht="15" x14ac:dyDescent="0.25">
      <c r="B306" s="1">
        <v>295</v>
      </c>
      <c r="C306" s="1">
        <v>0.79597426416775774</v>
      </c>
      <c r="D306" s="1">
        <v>4.606384448846101</v>
      </c>
      <c r="E306" s="1">
        <v>0.10585483068519833</v>
      </c>
      <c r="G306" s="1">
        <v>0.79597426416775774</v>
      </c>
      <c r="H306" s="1">
        <v>4.606384448846101</v>
      </c>
      <c r="I306" s="1">
        <v>0.10585483068519833</v>
      </c>
      <c r="K306" s="1">
        <v>1.0011679154969604</v>
      </c>
      <c r="L306" s="1">
        <v>2.3045399570085534</v>
      </c>
      <c r="M306" s="1">
        <v>0.40806632273707572</v>
      </c>
      <c r="O306" s="1">
        <v>9.2822410213410332E-3</v>
      </c>
      <c r="P306" s="1">
        <v>0.79597426416775774</v>
      </c>
      <c r="R306" s="1">
        <v>0.12810670376653424</v>
      </c>
      <c r="S306" s="2">
        <f t="shared" si="60"/>
        <v>0.61183676011339783</v>
      </c>
      <c r="T306" s="4">
        <f t="shared" si="61"/>
        <v>0.37434422102605952</v>
      </c>
      <c r="U306" s="1">
        <f t="shared" si="52"/>
        <v>0.25233809144584995</v>
      </c>
      <c r="V306" s="6">
        <f>2*sigma/alpha*corel*(B306/12-1/alpha*(1-EXP(-alpha*Output!B306/12)))</f>
        <v>1.1168608685481747</v>
      </c>
      <c r="W306" s="5">
        <f t="shared" si="62"/>
        <v>-0.12200612958020957</v>
      </c>
      <c r="X306" s="1">
        <f t="shared" si="58"/>
        <v>13.244647608414789</v>
      </c>
      <c r="Y306" s="3">
        <f t="shared" si="63"/>
        <v>5.1304246663788716E-2</v>
      </c>
      <c r="Z306" s="1">
        <f t="shared" si="53"/>
        <v>0.12340000621257456</v>
      </c>
      <c r="AA306" s="8">
        <f t="shared" si="59"/>
        <v>24.499999999999922</v>
      </c>
      <c r="AB306" s="1">
        <v>24.58</v>
      </c>
      <c r="AC306">
        <v>9.4851517550000007E-3</v>
      </c>
      <c r="AD306" s="8">
        <f t="shared" si="54"/>
        <v>2.029107336589675</v>
      </c>
      <c r="AE306" s="3">
        <f t="shared" si="55"/>
        <v>2.1392460437125338E-2</v>
      </c>
      <c r="AF306" s="11">
        <f t="shared" si="56"/>
        <v>24.499999999999922</v>
      </c>
      <c r="AG306" s="1">
        <f t="shared" si="57"/>
        <v>0.12340000621257456</v>
      </c>
    </row>
    <row r="307" spans="2:33" ht="15" x14ac:dyDescent="0.25">
      <c r="B307" s="1">
        <v>296</v>
      </c>
      <c r="C307" s="1">
        <v>0.79502785833332434</v>
      </c>
      <c r="D307" s="1">
        <v>4.6311304589450284</v>
      </c>
      <c r="E307" s="1">
        <v>0.10481411217206285</v>
      </c>
      <c r="G307" s="1">
        <v>0.79502785833332434</v>
      </c>
      <c r="H307" s="1">
        <v>4.6311304589450284</v>
      </c>
      <c r="I307" s="1">
        <v>0.10481411217206285</v>
      </c>
      <c r="K307" s="1">
        <v>1.0010845439914626</v>
      </c>
      <c r="L307" s="1">
        <v>2.295920960566455</v>
      </c>
      <c r="M307" s="1">
        <v>0.40950087101887928</v>
      </c>
      <c r="O307" s="1">
        <v>9.299113095123622E-3</v>
      </c>
      <c r="P307" s="1">
        <v>0.79502785833332434</v>
      </c>
      <c r="R307" s="1">
        <v>0.12832078120314105</v>
      </c>
      <c r="S307" s="2">
        <f t="shared" si="60"/>
        <v>0.61392757880249738</v>
      </c>
      <c r="T307" s="4">
        <f t="shared" si="61"/>
        <v>0.37690707201429663</v>
      </c>
      <c r="U307" s="1">
        <f t="shared" si="52"/>
        <v>0.25438277016886168</v>
      </c>
      <c r="V307" s="6">
        <f>2*sigma/alpha*corel*(B307/12-1/alpha*(1-EXP(-alpha*Output!B307/12)))</f>
        <v>1.1233875414666623</v>
      </c>
      <c r="W307" s="5">
        <f t="shared" si="62"/>
        <v>-0.12252430184543495</v>
      </c>
      <c r="X307" s="1">
        <f t="shared" si="58"/>
        <v>13.351064017072094</v>
      </c>
      <c r="Y307" s="3">
        <f t="shared" si="63"/>
        <v>5.1294390050354542E-2</v>
      </c>
      <c r="Z307" s="1">
        <f t="shared" si="53"/>
        <v>0.12361236359285435</v>
      </c>
      <c r="AA307" s="8">
        <f t="shared" si="59"/>
        <v>24.583333333333254</v>
      </c>
      <c r="AB307" s="1">
        <v>24.67</v>
      </c>
      <c r="AC307">
        <v>9.5058594120000003E-3</v>
      </c>
      <c r="AD307" s="8">
        <f t="shared" si="54"/>
        <v>2.0674631687637826</v>
      </c>
      <c r="AE307" s="3">
        <f t="shared" si="55"/>
        <v>2.1749355625372072E-2</v>
      </c>
      <c r="AF307" s="11">
        <f t="shared" si="56"/>
        <v>24.583333333333254</v>
      </c>
      <c r="AG307" s="1">
        <f t="shared" si="57"/>
        <v>0.12361236359285435</v>
      </c>
    </row>
    <row r="308" spans="2:33" ht="15" x14ac:dyDescent="0.25">
      <c r="B308" s="1">
        <v>297</v>
      </c>
      <c r="C308" s="1">
        <v>0.79411304861538246</v>
      </c>
      <c r="D308" s="1">
        <v>4.6570111302566009</v>
      </c>
      <c r="E308" s="1">
        <v>0.10376457892333874</v>
      </c>
      <c r="G308" s="1">
        <v>0.79411304861538246</v>
      </c>
      <c r="H308" s="1">
        <v>4.6570111302566009</v>
      </c>
      <c r="I308" s="1">
        <v>0.10376457892333874</v>
      </c>
      <c r="K308" s="1">
        <v>1.0010984138701176</v>
      </c>
      <c r="L308" s="1">
        <v>2.2809799180119543</v>
      </c>
      <c r="M308" s="1">
        <v>0.41210680016511964</v>
      </c>
      <c r="O308" s="1">
        <v>9.3143211822658348E-3</v>
      </c>
      <c r="P308" s="1">
        <v>0.79411304861538246</v>
      </c>
      <c r="R308" s="1">
        <v>0.12851770043367317</v>
      </c>
      <c r="S308" s="2">
        <f t="shared" si="60"/>
        <v>0.61591967205105869</v>
      </c>
      <c r="T308" s="4">
        <f t="shared" si="61"/>
        <v>0.3793570424194837</v>
      </c>
      <c r="U308" s="1">
        <f t="shared" si="52"/>
        <v>0.25643556779475762</v>
      </c>
      <c r="V308" s="6">
        <f>2*sigma/alpha*corel*(B308/12-1/alpha*(1-EXP(-alpha*Output!B308/12)))</f>
        <v>1.1299271594438929</v>
      </c>
      <c r="W308" s="5">
        <f t="shared" si="62"/>
        <v>-0.12292147462472608</v>
      </c>
      <c r="X308" s="1">
        <f t="shared" si="58"/>
        <v>13.445961373496825</v>
      </c>
      <c r="Y308" s="3">
        <f t="shared" si="63"/>
        <v>5.1251441522221962E-2</v>
      </c>
      <c r="Z308" s="1">
        <f t="shared" si="53"/>
        <v>0.12380451231467328</v>
      </c>
      <c r="AA308" s="8">
        <f t="shared" si="59"/>
        <v>24.666666666666586</v>
      </c>
      <c r="AB308" s="1">
        <v>24.75</v>
      </c>
      <c r="AC308">
        <v>9.5268796959999992E-3</v>
      </c>
      <c r="AD308" s="8">
        <f t="shared" si="54"/>
        <v>2.1255851373416443</v>
      </c>
      <c r="AE308" s="3">
        <f t="shared" si="55"/>
        <v>2.2311451442323792E-2</v>
      </c>
      <c r="AF308" s="11">
        <f t="shared" si="56"/>
        <v>24.666666666666586</v>
      </c>
      <c r="AG308" s="1">
        <f t="shared" si="57"/>
        <v>0.12380451231467328</v>
      </c>
    </row>
    <row r="309" spans="2:33" ht="15" x14ac:dyDescent="0.25">
      <c r="B309" s="1">
        <v>298</v>
      </c>
      <c r="C309" s="1">
        <v>0.79323577284685132</v>
      </c>
      <c r="D309" s="1">
        <v>4.6855964764314502</v>
      </c>
      <c r="E309" s="1">
        <v>0.10268416404822048</v>
      </c>
      <c r="G309" s="1">
        <v>0.79323577284685132</v>
      </c>
      <c r="H309" s="1">
        <v>4.6855964764314502</v>
      </c>
      <c r="I309" s="1">
        <v>0.10268416404822048</v>
      </c>
      <c r="K309" s="1">
        <v>1.000848621698804</v>
      </c>
      <c r="L309" s="1">
        <v>2.2780289100262352</v>
      </c>
      <c r="M309" s="1">
        <v>0.41253430701457411</v>
      </c>
      <c r="O309" s="1">
        <v>9.3275751926154282E-3</v>
      </c>
      <c r="P309" s="1">
        <v>0.79323577284685132</v>
      </c>
      <c r="R309" s="1">
        <v>0.1287830916749747</v>
      </c>
      <c r="S309" s="2">
        <f t="shared" si="60"/>
        <v>0.61807493980569683</v>
      </c>
      <c r="T309" s="4">
        <f t="shared" si="61"/>
        <v>0.38201663121581575</v>
      </c>
      <c r="U309" s="1">
        <f t="shared" si="52"/>
        <v>0.258496473312543</v>
      </c>
      <c r="V309" s="6">
        <f>2*sigma/alpha*corel*(B309/12-1/alpha*(1-EXP(-alpha*Output!B309/12)))</f>
        <v>1.1364796794015075</v>
      </c>
      <c r="W309" s="5">
        <f t="shared" si="62"/>
        <v>-0.12352015790327275</v>
      </c>
      <c r="X309" s="1">
        <f t="shared" si="58"/>
        <v>13.561255080084313</v>
      </c>
      <c r="Y309" s="3">
        <f t="shared" si="63"/>
        <v>5.1263381094816693E-2</v>
      </c>
      <c r="Z309" s="1">
        <f t="shared" si="53"/>
        <v>0.12402910968381183</v>
      </c>
      <c r="AA309" s="8">
        <f t="shared" si="59"/>
        <v>24.749999999999918</v>
      </c>
      <c r="AB309" s="1">
        <v>24.83</v>
      </c>
      <c r="AC309">
        <v>9.5470683310000005E-3</v>
      </c>
      <c r="AD309" s="8">
        <f t="shared" si="54"/>
        <v>2.1949313838457232</v>
      </c>
      <c r="AE309" s="3">
        <f t="shared" si="55"/>
        <v>2.2990632388359755E-2</v>
      </c>
      <c r="AF309" s="11">
        <f t="shared" si="56"/>
        <v>24.749999999999918</v>
      </c>
      <c r="AG309" s="1">
        <f t="shared" si="57"/>
        <v>0.12402910968381183</v>
      </c>
    </row>
    <row r="310" spans="2:33" ht="15" x14ac:dyDescent="0.25">
      <c r="B310" s="1">
        <v>299</v>
      </c>
      <c r="C310" s="1">
        <v>0.79239720726940588</v>
      </c>
      <c r="D310" s="1">
        <v>4.7129795456687713</v>
      </c>
      <c r="E310" s="1">
        <v>0.10165287575985524</v>
      </c>
      <c r="G310" s="1">
        <v>0.79239720726940588</v>
      </c>
      <c r="H310" s="1">
        <v>4.7129795456687713</v>
      </c>
      <c r="I310" s="1">
        <v>0.10165287575985524</v>
      </c>
      <c r="K310" s="1">
        <v>1.0008176148342878</v>
      </c>
      <c r="L310" s="1">
        <v>2.2859633578321539</v>
      </c>
      <c r="M310" s="1">
        <v>0.41101435546028597</v>
      </c>
      <c r="O310" s="1">
        <v>9.33882897226543E-3</v>
      </c>
      <c r="P310" s="1">
        <v>0.79239720726940588</v>
      </c>
      <c r="R310" s="1">
        <v>0.12915221890464021</v>
      </c>
      <c r="S310" s="2">
        <f t="shared" si="60"/>
        <v>0.62050384154054194</v>
      </c>
      <c r="T310" s="4">
        <f t="shared" si="61"/>
        <v>0.38502501736656997</v>
      </c>
      <c r="U310" s="1">
        <f t="shared" si="52"/>
        <v>0.26056547564150456</v>
      </c>
      <c r="V310" s="6">
        <f>2*sigma/alpha*corel*(B310/12-1/alpha*(1-EXP(-alpha*Output!B310/12)))</f>
        <v>1.1430450584045044</v>
      </c>
      <c r="W310" s="5">
        <f t="shared" si="62"/>
        <v>-0.1244595417250654</v>
      </c>
      <c r="X310" s="1">
        <f t="shared" si="58"/>
        <v>13.711019664141142</v>
      </c>
      <c r="Y310" s="3">
        <f t="shared" si="63"/>
        <v>5.1367110647355912E-2</v>
      </c>
      <c r="Z310" s="1">
        <f t="shared" si="53"/>
        <v>0.1243081214490433</v>
      </c>
      <c r="AA310" s="8">
        <f t="shared" si="59"/>
        <v>24.83333333333325</v>
      </c>
      <c r="AB310" s="1">
        <v>24.92</v>
      </c>
      <c r="AC310">
        <v>9.5652810380000008E-3</v>
      </c>
      <c r="AD310" s="8">
        <f t="shared" si="54"/>
        <v>2.2645206573457082</v>
      </c>
      <c r="AE310" s="3">
        <f t="shared" si="55"/>
        <v>2.3674376616321515E-2</v>
      </c>
      <c r="AF310" s="11">
        <f t="shared" si="56"/>
        <v>24.83333333333325</v>
      </c>
      <c r="AG310" s="1">
        <f t="shared" si="57"/>
        <v>0.1243081214490433</v>
      </c>
    </row>
    <row r="311" spans="2:33" ht="15" x14ac:dyDescent="0.25">
      <c r="B311" s="1">
        <v>300</v>
      </c>
      <c r="C311" s="1">
        <v>0.79160571982081029</v>
      </c>
      <c r="D311" s="1">
        <v>4.7379891973846302</v>
      </c>
      <c r="E311" s="1">
        <v>0.10069175233856595</v>
      </c>
      <c r="G311" s="1">
        <v>0.79160571982081029</v>
      </c>
      <c r="H311" s="1">
        <v>4.7379891973846302</v>
      </c>
      <c r="I311" s="1">
        <v>0.10069175233856595</v>
      </c>
      <c r="K311" s="1">
        <v>1.0007625705145142</v>
      </c>
      <c r="L311" s="1">
        <v>2.2705923071984935</v>
      </c>
      <c r="M311" s="1">
        <v>0.41373180810785998</v>
      </c>
      <c r="O311" s="1">
        <v>9.3476735853817144E-3</v>
      </c>
      <c r="P311" s="1">
        <v>0.79160571982081029</v>
      </c>
      <c r="R311" s="1">
        <v>0.12930298762559717</v>
      </c>
      <c r="S311" s="2">
        <f t="shared" si="60"/>
        <v>0.62217244583001285</v>
      </c>
      <c r="T311" s="4">
        <f t="shared" si="61"/>
        <v>0.38709855235010027</v>
      </c>
      <c r="U311" s="1">
        <f t="shared" si="52"/>
        <v>0.26264256363215388</v>
      </c>
      <c r="V311" s="6">
        <f>2*sigma/alpha*corel*(B311/12-1/alpha*(1-EXP(-alpha*Output!B311/12)))</f>
        <v>1.1496232536607573</v>
      </c>
      <c r="W311" s="5">
        <f t="shared" si="62"/>
        <v>-0.12445598871794639</v>
      </c>
      <c r="X311" s="1">
        <f t="shared" si="58"/>
        <v>13.767232497152184</v>
      </c>
      <c r="Y311" s="3">
        <f t="shared" si="63"/>
        <v>5.1215977834993577E-2</v>
      </c>
      <c r="Z311" s="1">
        <f t="shared" si="53"/>
        <v>0.12443448916600257</v>
      </c>
      <c r="AA311" s="8">
        <f t="shared" si="59"/>
        <v>24.916666666666583</v>
      </c>
      <c r="AB311" s="1">
        <v>25</v>
      </c>
      <c r="AC311">
        <v>9.5803735409999997E-3</v>
      </c>
      <c r="AD311" s="8">
        <f t="shared" si="54"/>
        <v>2.3269995561828529</v>
      </c>
      <c r="AE311" s="3">
        <f t="shared" si="55"/>
        <v>2.4289236178780153E-2</v>
      </c>
      <c r="AF311" s="11">
        <f t="shared" si="56"/>
        <v>24.916666666666583</v>
      </c>
      <c r="AG311" s="1">
        <f t="shared" si="57"/>
        <v>0.12443448916600257</v>
      </c>
    </row>
    <row r="312" spans="2:33" ht="15" x14ac:dyDescent="0.25">
      <c r="B312" s="1">
        <v>301</v>
      </c>
      <c r="C312" s="1">
        <v>0.79087064528388018</v>
      </c>
      <c r="D312" s="1">
        <v>4.7628119641836539</v>
      </c>
      <c r="E312" s="1">
        <v>9.9770527786091995E-2</v>
      </c>
      <c r="G312" s="1">
        <v>0.79087064528388018</v>
      </c>
      <c r="H312" s="1">
        <v>4.7628119641836539</v>
      </c>
      <c r="I312" s="1">
        <v>9.9770527786091995E-2</v>
      </c>
      <c r="K312" s="1">
        <v>1.0007813165674835</v>
      </c>
      <c r="L312" s="1">
        <v>2.2433432754171307</v>
      </c>
      <c r="M312" s="1">
        <v>0.41867161166322642</v>
      </c>
      <c r="O312" s="1">
        <v>9.3536554576941211E-3</v>
      </c>
      <c r="P312" s="1">
        <v>0.79087064528388018</v>
      </c>
      <c r="R312" s="1">
        <v>0.1297953753003081</v>
      </c>
      <c r="S312" s="2">
        <f t="shared" si="60"/>
        <v>0.6248428757380895</v>
      </c>
      <c r="T312" s="4">
        <f t="shared" si="61"/>
        <v>0.39042861936064555</v>
      </c>
      <c r="U312" s="1">
        <f t="shared" si="52"/>
        <v>0.26472772606715367</v>
      </c>
      <c r="V312" s="6">
        <f>2*sigma/alpha*corel*(B312/12-1/alpha*(1-EXP(-alpha*Output!B312/12)))</f>
        <v>1.1562142225205445</v>
      </c>
      <c r="W312" s="5">
        <f t="shared" si="62"/>
        <v>-0.12570089329349188</v>
      </c>
      <c r="X312" s="1">
        <f t="shared" si="58"/>
        <v>13.948820955472472</v>
      </c>
      <c r="Y312" s="3">
        <f t="shared" si="63"/>
        <v>5.1400620896647327E-2</v>
      </c>
      <c r="Z312" s="1">
        <f t="shared" si="53"/>
        <v>0.12476081344924547</v>
      </c>
      <c r="AA312" s="8">
        <f t="shared" si="59"/>
        <v>24.999999999999915</v>
      </c>
      <c r="AB312" s="1">
        <v>25.08</v>
      </c>
      <c r="AC312">
        <v>9.5912015600000001E-3</v>
      </c>
      <c r="AD312" s="8">
        <f t="shared" si="54"/>
        <v>2.37546102305879</v>
      </c>
      <c r="AE312" s="3">
        <f t="shared" si="55"/>
        <v>2.4767084793271617E-2</v>
      </c>
      <c r="AF312" s="11">
        <f t="shared" si="56"/>
        <v>24.999999999999915</v>
      </c>
      <c r="AG312" s="1">
        <f t="shared" si="57"/>
        <v>0.12476081344924547</v>
      </c>
    </row>
    <row r="313" spans="2:33" ht="15" x14ac:dyDescent="0.25">
      <c r="B313" s="1">
        <v>302</v>
      </c>
      <c r="C313" s="1">
        <v>0.79018569028411922</v>
      </c>
      <c r="D313" s="1">
        <v>4.7885840157065562</v>
      </c>
      <c r="E313" s="1">
        <v>9.8843530690916268E-2</v>
      </c>
      <c r="G313" s="1">
        <v>0.79018569028411922</v>
      </c>
      <c r="H313" s="1">
        <v>4.7885840157065562</v>
      </c>
      <c r="I313" s="1">
        <v>9.8843530690916268E-2</v>
      </c>
      <c r="K313" s="1">
        <v>1.000805034584124</v>
      </c>
      <c r="L313" s="1">
        <v>2.3103802695394906</v>
      </c>
      <c r="M313" s="1">
        <v>0.40642471566349231</v>
      </c>
      <c r="O313" s="1">
        <v>9.3571116615365733E-3</v>
      </c>
      <c r="P313" s="1">
        <v>0.79018569028411922</v>
      </c>
      <c r="R313" s="1">
        <v>0.13009593327618083</v>
      </c>
      <c r="S313" s="2">
        <f t="shared" si="60"/>
        <v>0.62683146981098425</v>
      </c>
      <c r="T313" s="4">
        <f t="shared" si="61"/>
        <v>0.39291769154539885</v>
      </c>
      <c r="U313" s="1">
        <f t="shared" ref="U313:U376" si="64">sigma*sigma/alpha/alpha*(B313/12+2/alpha*EXP(-alpha*B313/12)-1/2/alpha*EXP(-2*alpha*B313/12)-3/2/alpha)</f>
        <v>0.26682095166224684</v>
      </c>
      <c r="V313" s="6">
        <f>2*sigma/alpha*corel*(B313/12-1/alpha*(1-EXP(-alpha*Output!B313/12)))</f>
        <v>1.1628179224760751</v>
      </c>
      <c r="W313" s="5">
        <f t="shared" si="62"/>
        <v>-0.12609673988315201</v>
      </c>
      <c r="X313" s="1">
        <f t="shared" si="58"/>
        <v>14.045884002402211</v>
      </c>
      <c r="Y313" s="3">
        <f t="shared" si="63"/>
        <v>5.1356939530168483E-2</v>
      </c>
      <c r="Z313" s="1">
        <f t="shared" si="53"/>
        <v>0.12495048421320819</v>
      </c>
      <c r="AA313" s="8">
        <f t="shared" si="59"/>
        <v>25.083333333333247</v>
      </c>
      <c r="AB313" s="1">
        <v>25.17</v>
      </c>
      <c r="AC313">
        <v>9.5970022710000005E-3</v>
      </c>
      <c r="AD313" s="8">
        <f t="shared" si="54"/>
        <v>2.3989060946342717</v>
      </c>
      <c r="AE313" s="3">
        <f t="shared" si="55"/>
        <v>2.4996410617544925E-2</v>
      </c>
      <c r="AF313" s="11">
        <f t="shared" si="56"/>
        <v>25.083333333333247</v>
      </c>
      <c r="AG313" s="1">
        <f t="shared" si="57"/>
        <v>0.12495048421320819</v>
      </c>
    </row>
    <row r="314" spans="2:33" ht="15" x14ac:dyDescent="0.25">
      <c r="B314" s="1">
        <v>303</v>
      </c>
      <c r="C314" s="1">
        <v>0.78954313175516511</v>
      </c>
      <c r="D314" s="1">
        <v>4.8148683133516297</v>
      </c>
      <c r="E314" s="1">
        <v>9.7924010967489233E-2</v>
      </c>
      <c r="G314" s="1">
        <v>0.78954313175516511</v>
      </c>
      <c r="H314" s="1">
        <v>4.8148683133516297</v>
      </c>
      <c r="I314" s="1">
        <v>9.7924010967489233E-2</v>
      </c>
      <c r="K314" s="1">
        <v>1.000783498944148</v>
      </c>
      <c r="L314" s="1">
        <v>2.3295722230766178</v>
      </c>
      <c r="M314" s="1">
        <v>0.40300647488946911</v>
      </c>
      <c r="O314" s="1">
        <v>9.3584481205233484E-3</v>
      </c>
      <c r="P314" s="1">
        <v>0.78954313175516511</v>
      </c>
      <c r="R314" s="1">
        <v>0.13044498638385643</v>
      </c>
      <c r="S314" s="2">
        <f t="shared" si="60"/>
        <v>0.62891251310959051</v>
      </c>
      <c r="T314" s="4">
        <f t="shared" si="61"/>
        <v>0.39553094914582088</v>
      </c>
      <c r="U314" s="1">
        <f t="shared" si="64"/>
        <v>0.26892222906716556</v>
      </c>
      <c r="V314" s="6">
        <f>2*sigma/alpha*corel*(B314/12-1/alpha*(1-EXP(-alpha*Output!B314/12)))</f>
        <v>1.1694343111610106</v>
      </c>
      <c r="W314" s="5">
        <f t="shared" si="62"/>
        <v>-0.12660872007865531</v>
      </c>
      <c r="X314" s="1">
        <f t="shared" si="58"/>
        <v>14.155057336064814</v>
      </c>
      <c r="Y314" s="3">
        <f t="shared" si="63"/>
        <v>5.1344285681243038E-2</v>
      </c>
      <c r="Z314" s="1">
        <f t="shared" si="53"/>
        <v>0.12515826798649399</v>
      </c>
      <c r="AA314" s="8">
        <f t="shared" si="59"/>
        <v>25.166666666666579</v>
      </c>
      <c r="AB314" s="1">
        <v>25.25</v>
      </c>
      <c r="AC314">
        <v>9.5985386599999993E-3</v>
      </c>
      <c r="AD314" s="8">
        <f t="shared" si="54"/>
        <v>2.4009053947665095</v>
      </c>
      <c r="AE314" s="3">
        <f t="shared" si="55"/>
        <v>2.5013238783647404E-2</v>
      </c>
      <c r="AF314" s="11">
        <f t="shared" si="56"/>
        <v>25.166666666666579</v>
      </c>
      <c r="AG314" s="1">
        <f t="shared" si="57"/>
        <v>0.12515826798649399</v>
      </c>
    </row>
    <row r="315" spans="2:33" ht="15" x14ac:dyDescent="0.25">
      <c r="B315" s="1">
        <v>304</v>
      </c>
      <c r="C315" s="1">
        <v>0.78893859510855402</v>
      </c>
      <c r="D315" s="1">
        <v>4.8416771569671733</v>
      </c>
      <c r="E315" s="1">
        <v>9.7021441738624231E-2</v>
      </c>
      <c r="G315" s="1">
        <v>0.78893859510855402</v>
      </c>
      <c r="H315" s="1">
        <v>4.8416771569671733</v>
      </c>
      <c r="I315" s="1">
        <v>9.7021441738624231E-2</v>
      </c>
      <c r="K315" s="1">
        <v>1.0008488094607875</v>
      </c>
      <c r="L315" s="1">
        <v>2.3123870408070504</v>
      </c>
      <c r="M315" s="1">
        <v>0.40591405605348629</v>
      </c>
      <c r="O315" s="1">
        <v>9.3578995022281751E-3</v>
      </c>
      <c r="P315" s="1">
        <v>0.78893859510855402</v>
      </c>
      <c r="R315" s="1">
        <v>0.13089935324261717</v>
      </c>
      <c r="S315" s="2">
        <f t="shared" si="60"/>
        <v>0.63127353534452846</v>
      </c>
      <c r="T315" s="4">
        <f t="shared" si="61"/>
        <v>0.39850627642637965</v>
      </c>
      <c r="U315" s="1">
        <f t="shared" si="64"/>
        <v>0.27103154686654207</v>
      </c>
      <c r="V315" s="6">
        <f>2*sigma/alpha*corel*(B315/12-1/alpha*(1-EXP(-alpha*Output!B315/12)))</f>
        <v>1.1760633463500019</v>
      </c>
      <c r="W315" s="5">
        <f t="shared" si="62"/>
        <v>-0.12747472955983757</v>
      </c>
      <c r="X315" s="1">
        <f t="shared" si="58"/>
        <v>14.300564256691505</v>
      </c>
      <c r="Y315" s="3">
        <f t="shared" si="63"/>
        <v>5.1425236973720007E-2</v>
      </c>
      <c r="Z315" s="1">
        <f t="shared" si="53"/>
        <v>0.12542133355840074</v>
      </c>
      <c r="AA315" s="8">
        <f t="shared" si="59"/>
        <v>25.249999999999911</v>
      </c>
      <c r="AB315" s="1">
        <v>25.33</v>
      </c>
      <c r="AC315">
        <v>9.5969551669999997E-3</v>
      </c>
      <c r="AD315" s="8">
        <f t="shared" si="54"/>
        <v>2.3905566477182458</v>
      </c>
      <c r="AE315" s="3">
        <f t="shared" si="55"/>
        <v>2.4909532306021304E-2</v>
      </c>
      <c r="AF315" s="11">
        <f t="shared" si="56"/>
        <v>25.249999999999911</v>
      </c>
      <c r="AG315" s="1">
        <f t="shared" si="57"/>
        <v>0.12542133355840074</v>
      </c>
    </row>
    <row r="316" spans="2:33" ht="15" x14ac:dyDescent="0.25">
      <c r="B316" s="1">
        <v>305</v>
      </c>
      <c r="C316" s="1">
        <v>0.78836793716400178</v>
      </c>
      <c r="D316" s="1">
        <v>4.8680751630805181</v>
      </c>
      <c r="E316" s="1">
        <v>9.6144601480626868E-2</v>
      </c>
      <c r="G316" s="1">
        <v>0.78836793716400178</v>
      </c>
      <c r="H316" s="1">
        <v>4.8680751630805181</v>
      </c>
      <c r="I316" s="1">
        <v>9.6144601480626868E-2</v>
      </c>
      <c r="K316" s="1">
        <v>1.0006710279768183</v>
      </c>
      <c r="L316" s="1">
        <v>2.2872152067478773</v>
      </c>
      <c r="M316" s="1">
        <v>0.41031951573627107</v>
      </c>
      <c r="O316" s="1">
        <v>9.3556867973092518E-3</v>
      </c>
      <c r="P316" s="1">
        <v>0.78836793716400178</v>
      </c>
      <c r="R316" s="1">
        <v>0.13121056785131432</v>
      </c>
      <c r="S316" s="2">
        <f t="shared" si="60"/>
        <v>0.63312984942046069</v>
      </c>
      <c r="T316" s="4">
        <f t="shared" si="61"/>
        <v>0.40085340622717525</v>
      </c>
      <c r="U316" s="1">
        <f t="shared" si="64"/>
        <v>0.27314889358081196</v>
      </c>
      <c r="V316" s="6">
        <f>2*sigma/alpha*corel*(B316/12-1/alpha*(1-EXP(-alpha*Output!B316/12)))</f>
        <v>1.1827049859582166</v>
      </c>
      <c r="W316" s="5">
        <f t="shared" si="62"/>
        <v>-0.12770451264636329</v>
      </c>
      <c r="X316" s="1">
        <f t="shared" si="58"/>
        <v>14.382083202857359</v>
      </c>
      <c r="Y316" s="3">
        <f t="shared" si="63"/>
        <v>5.1337706088349103E-2</v>
      </c>
      <c r="Z316" s="1">
        <f t="shared" si="53"/>
        <v>0.12558376310844896</v>
      </c>
      <c r="AA316" s="8">
        <f t="shared" si="59"/>
        <v>25.333333333333243</v>
      </c>
      <c r="AB316" s="1">
        <v>25.42</v>
      </c>
      <c r="AC316">
        <v>9.5933962309999992E-3</v>
      </c>
      <c r="AD316" s="8">
        <f t="shared" si="54"/>
        <v>2.377094336907474</v>
      </c>
      <c r="AE316" s="3">
        <f t="shared" si="55"/>
        <v>2.4778444251329437E-2</v>
      </c>
      <c r="AF316" s="11">
        <f t="shared" si="56"/>
        <v>25.333333333333243</v>
      </c>
      <c r="AG316" s="1">
        <f t="shared" si="57"/>
        <v>0.12558376310844896</v>
      </c>
    </row>
    <row r="317" spans="2:33" ht="15" x14ac:dyDescent="0.25">
      <c r="B317" s="1">
        <v>306</v>
      </c>
      <c r="C317" s="1">
        <v>0.78782254089732129</v>
      </c>
      <c r="D317" s="1">
        <v>4.8928466581857322</v>
      </c>
      <c r="E317" s="1">
        <v>9.5310712924132665E-2</v>
      </c>
      <c r="G317" s="1">
        <v>0.78782254089732129</v>
      </c>
      <c r="H317" s="1">
        <v>4.8928466581857322</v>
      </c>
      <c r="I317" s="1">
        <v>9.5310712924132665E-2</v>
      </c>
      <c r="K317" s="1">
        <v>1.0007107309888728</v>
      </c>
      <c r="L317" s="1">
        <v>2.2873828093301674</v>
      </c>
      <c r="M317" s="1">
        <v>0.41016834638509575</v>
      </c>
      <c r="O317" s="1">
        <v>9.3522516232536386E-3</v>
      </c>
      <c r="P317" s="1">
        <v>0.78782254089732129</v>
      </c>
      <c r="R317" s="1">
        <v>0.13170083110069944</v>
      </c>
      <c r="S317" s="2">
        <f t="shared" si="60"/>
        <v>0.63552029667492849</v>
      </c>
      <c r="T317" s="4">
        <f t="shared" si="61"/>
        <v>0.4038860474857891</v>
      </c>
      <c r="U317" s="1">
        <f t="shared" si="64"/>
        <v>0.27527425766709923</v>
      </c>
      <c r="V317" s="6">
        <f>2*sigma/alpha*corel*(B317/12-1/alpha*(1-EXP(-alpha*Output!B317/12)))</f>
        <v>1.1893591880408698</v>
      </c>
      <c r="W317" s="5">
        <f t="shared" si="62"/>
        <v>-0.12861178981868987</v>
      </c>
      <c r="X317" s="1">
        <f t="shared" si="58"/>
        <v>14.532977839683603</v>
      </c>
      <c r="Y317" s="3">
        <f t="shared" si="63"/>
        <v>5.1428531531328259E-2</v>
      </c>
      <c r="Z317" s="1">
        <f t="shared" si="53"/>
        <v>0.12585177205289752</v>
      </c>
      <c r="AA317" s="8">
        <f t="shared" si="59"/>
        <v>25.416666666666575</v>
      </c>
      <c r="AB317" s="1">
        <v>25.5</v>
      </c>
      <c r="AC317">
        <v>9.5890062900000003E-3</v>
      </c>
      <c r="AD317" s="8">
        <f t="shared" si="54"/>
        <v>2.3675466674636172</v>
      </c>
      <c r="AE317" s="3">
        <f t="shared" si="55"/>
        <v>2.4690219151619903E-2</v>
      </c>
      <c r="AF317" s="11">
        <f t="shared" si="56"/>
        <v>25.416666666666575</v>
      </c>
      <c r="AG317" s="1">
        <f t="shared" si="57"/>
        <v>0.12585177205289752</v>
      </c>
    </row>
    <row r="318" spans="2:33" ht="15" x14ac:dyDescent="0.25">
      <c r="B318" s="1">
        <v>307</v>
      </c>
      <c r="C318" s="1">
        <v>0.7872989145852991</v>
      </c>
      <c r="D318" s="1">
        <v>4.9161791455680639</v>
      </c>
      <c r="E318" s="1">
        <v>9.4517958412098299E-2</v>
      </c>
      <c r="G318" s="1">
        <v>0.7872989145852991</v>
      </c>
      <c r="H318" s="1">
        <v>4.9161791455680639</v>
      </c>
      <c r="I318" s="1">
        <v>9.4517958412098299E-2</v>
      </c>
      <c r="K318" s="1">
        <v>1.0007285942732029</v>
      </c>
      <c r="L318" s="1">
        <v>2.2969078808590351</v>
      </c>
      <c r="M318" s="1">
        <v>0.40839888124173429</v>
      </c>
      <c r="O318" s="1">
        <v>9.3477767080331897E-3</v>
      </c>
      <c r="P318" s="1">
        <v>0.7872989145852991</v>
      </c>
      <c r="R318" s="1">
        <v>0.13204202130473244</v>
      </c>
      <c r="S318" s="2">
        <f t="shared" si="60"/>
        <v>0.63740470640175961</v>
      </c>
      <c r="T318" s="4">
        <f t="shared" si="61"/>
        <v>0.4062847597431134</v>
      </c>
      <c r="U318" s="1">
        <f t="shared" si="64"/>
        <v>0.27740762752010895</v>
      </c>
      <c r="V318" s="6">
        <f>2*sigma/alpha*corel*(B318/12-1/alpha*(1-EXP(-alpha*Output!B318/12)))</f>
        <v>1.1960259107927609</v>
      </c>
      <c r="W318" s="5">
        <f t="shared" si="62"/>
        <v>-0.12887713222300445</v>
      </c>
      <c r="X318" s="1">
        <f t="shared" si="58"/>
        <v>14.618904510108443</v>
      </c>
      <c r="Y318" s="3">
        <f t="shared" si="63"/>
        <v>5.1350651962196639E-2</v>
      </c>
      <c r="Z318" s="1">
        <f t="shared" si="53"/>
        <v>0.1260191950235709</v>
      </c>
      <c r="AA318" s="8">
        <f t="shared" si="59"/>
        <v>25.499999999999908</v>
      </c>
      <c r="AB318" s="1">
        <v>25.58</v>
      </c>
      <c r="AC318">
        <v>9.5849297830000006E-3</v>
      </c>
      <c r="AD318" s="8">
        <f t="shared" si="54"/>
        <v>2.3715307496681088</v>
      </c>
      <c r="AE318" s="3">
        <f t="shared" si="55"/>
        <v>2.4742286102860108E-2</v>
      </c>
      <c r="AF318" s="11">
        <f t="shared" si="56"/>
        <v>25.499999999999908</v>
      </c>
      <c r="AG318" s="1">
        <f t="shared" si="57"/>
        <v>0.1260191950235709</v>
      </c>
    </row>
    <row r="319" spans="2:33" ht="15" x14ac:dyDescent="0.25">
      <c r="B319" s="1">
        <v>308</v>
      </c>
      <c r="C319" s="1">
        <v>0.78679295297851937</v>
      </c>
      <c r="D319" s="1">
        <v>4.9390033091322172</v>
      </c>
      <c r="E319" s="1">
        <v>9.3755859741233821E-2</v>
      </c>
      <c r="G319" s="1">
        <v>0.78679295297851937</v>
      </c>
      <c r="H319" s="1">
        <v>4.9390033091322172</v>
      </c>
      <c r="I319" s="1">
        <v>9.3755859741233821E-2</v>
      </c>
      <c r="K319" s="1">
        <v>1.0006776478040824</v>
      </c>
      <c r="L319" s="1">
        <v>2.3106869765604046</v>
      </c>
      <c r="M319" s="1">
        <v>0.40588426385654419</v>
      </c>
      <c r="O319" s="1">
        <v>9.3424733402896979E-3</v>
      </c>
      <c r="P319" s="1">
        <v>0.78679295297851937</v>
      </c>
      <c r="R319" s="1">
        <v>0.13253277795742041</v>
      </c>
      <c r="S319" s="2">
        <f t="shared" si="60"/>
        <v>0.63974122525826815</v>
      </c>
      <c r="T319" s="4">
        <f t="shared" si="61"/>
        <v>0.40926883529495017</v>
      </c>
      <c r="U319" s="1">
        <f t="shared" si="64"/>
        <v>0.27954899147299939</v>
      </c>
      <c r="V319" s="6">
        <f>2*sigma/alpha*corel*(B319/12-1/alpha*(1-EXP(-alpha*Output!B319/12)))</f>
        <v>1.2027051125478088</v>
      </c>
      <c r="W319" s="5">
        <f t="shared" si="62"/>
        <v>-0.12971984382195079</v>
      </c>
      <c r="X319" s="1">
        <f t="shared" si="58"/>
        <v>14.764403553468918</v>
      </c>
      <c r="Y319" s="3">
        <f t="shared" si="63"/>
        <v>5.1423554936991051E-2</v>
      </c>
      <c r="Z319" s="1">
        <f t="shared" si="53"/>
        <v>0.12627564704829505</v>
      </c>
      <c r="AA319" s="8">
        <f t="shared" si="59"/>
        <v>25.58333333333324</v>
      </c>
      <c r="AB319" s="1">
        <v>25.67</v>
      </c>
      <c r="AC319">
        <v>9.5820692879999992E-3</v>
      </c>
      <c r="AD319" s="8">
        <f t="shared" si="54"/>
        <v>2.395959477103013</v>
      </c>
      <c r="AE319" s="3">
        <f t="shared" si="55"/>
        <v>2.5004614401020531E-2</v>
      </c>
      <c r="AF319" s="11">
        <f t="shared" si="56"/>
        <v>25.58333333333324</v>
      </c>
      <c r="AG319" s="1">
        <f t="shared" si="57"/>
        <v>0.12627564704829505</v>
      </c>
    </row>
    <row r="320" spans="2:33" ht="15" x14ac:dyDescent="0.25">
      <c r="B320" s="1">
        <v>309</v>
      </c>
      <c r="C320" s="1">
        <v>0.78629506523071013</v>
      </c>
      <c r="D320" s="1">
        <v>4.9600714250285201</v>
      </c>
      <c r="E320" s="1">
        <v>9.3023255813953487E-2</v>
      </c>
      <c r="G320" s="1">
        <v>0.78629506523071013</v>
      </c>
      <c r="H320" s="1">
        <v>4.9600714250285201</v>
      </c>
      <c r="I320" s="1">
        <v>9.3023255813953487E-2</v>
      </c>
      <c r="K320" s="1">
        <v>1.0007334818029918</v>
      </c>
      <c r="L320" s="1">
        <v>2.2900929665471814</v>
      </c>
      <c r="M320" s="1">
        <v>0.40943757366230887</v>
      </c>
      <c r="O320" s="1">
        <v>9.3368215899570697E-3</v>
      </c>
      <c r="P320" s="1">
        <v>0.78629506523071013</v>
      </c>
      <c r="R320" s="1">
        <v>0.13295313248506893</v>
      </c>
      <c r="S320" s="2">
        <f t="shared" si="60"/>
        <v>0.64184294104897344</v>
      </c>
      <c r="T320" s="4">
        <f t="shared" si="61"/>
        <v>0.41196236097439598</v>
      </c>
      <c r="U320" s="1">
        <f t="shared" si="64"/>
        <v>0.28169833779825693</v>
      </c>
      <c r="V320" s="6">
        <f>2*sigma/alpha*corel*(B320/12-1/alpha*(1-EXP(-alpha*Output!B320/12)))</f>
        <v>1.2093967517785855</v>
      </c>
      <c r="W320" s="5">
        <f t="shared" si="62"/>
        <v>-0.13026402317613905</v>
      </c>
      <c r="X320" s="1">
        <f t="shared" si="58"/>
        <v>14.879834890354916</v>
      </c>
      <c r="Y320" s="3">
        <f t="shared" si="63"/>
        <v>5.1418294198416356E-2</v>
      </c>
      <c r="Z320" s="1">
        <f t="shared" si="53"/>
        <v>0.1264853283597264</v>
      </c>
      <c r="AA320" s="8">
        <f t="shared" si="59"/>
        <v>25.666666666666572</v>
      </c>
      <c r="AB320" s="1">
        <v>25.75</v>
      </c>
      <c r="AC320">
        <v>9.5803599340000007E-3</v>
      </c>
      <c r="AD320" s="8">
        <f t="shared" si="54"/>
        <v>2.4353834404293102</v>
      </c>
      <c r="AE320" s="3">
        <f t="shared" si="55"/>
        <v>2.5420583957251035E-2</v>
      </c>
      <c r="AF320" s="11">
        <f t="shared" si="56"/>
        <v>25.666666666666572</v>
      </c>
      <c r="AG320" s="1">
        <f t="shared" si="57"/>
        <v>0.1264853283597264</v>
      </c>
    </row>
    <row r="321" spans="2:33" ht="15" x14ac:dyDescent="0.25">
      <c r="B321" s="1">
        <v>310</v>
      </c>
      <c r="C321" s="1">
        <v>0.78579797053644129</v>
      </c>
      <c r="D321" s="1">
        <v>4.9803277055630257</v>
      </c>
      <c r="E321" s="1">
        <v>9.2327578247622569E-2</v>
      </c>
      <c r="G321" s="1">
        <v>0.78579797053644129</v>
      </c>
      <c r="H321" s="1">
        <v>4.9803277055630257</v>
      </c>
      <c r="I321" s="1">
        <v>9.2327578247622569E-2</v>
      </c>
      <c r="K321" s="1">
        <v>1.0008254015948788</v>
      </c>
      <c r="L321" s="1">
        <v>2.272907558120119</v>
      </c>
      <c r="M321" s="1">
        <v>0.41244388334863602</v>
      </c>
      <c r="O321" s="1">
        <v>9.3311827561156219E-3</v>
      </c>
      <c r="P321" s="1">
        <v>0.78579797053644129</v>
      </c>
      <c r="R321" s="1">
        <v>0.13347263524356001</v>
      </c>
      <c r="S321" s="2">
        <f t="shared" si="60"/>
        <v>0.64426215202324322</v>
      </c>
      <c r="T321" s="4">
        <f t="shared" si="61"/>
        <v>0.41507372052962055</v>
      </c>
      <c r="U321" s="1">
        <f t="shared" si="64"/>
        <v>0.28385565470855489</v>
      </c>
      <c r="V321" s="6">
        <f>2*sigma/alpha*corel*(B321/12-1/alpha*(1-EXP(-alpha*Output!B321/12)))</f>
        <v>1.21610078709586</v>
      </c>
      <c r="W321" s="5">
        <f t="shared" si="62"/>
        <v>-0.13121806582106565</v>
      </c>
      <c r="X321" s="1">
        <f t="shared" si="58"/>
        <v>15.038101259218621</v>
      </c>
      <c r="Y321" s="3">
        <f t="shared" si="63"/>
        <v>5.1518676598307785E-2</v>
      </c>
      <c r="Z321" s="1">
        <f t="shared" si="53"/>
        <v>0.12675712929438351</v>
      </c>
      <c r="AA321" s="8">
        <f t="shared" si="59"/>
        <v>25.749999999999904</v>
      </c>
      <c r="AB321" s="1">
        <v>25.83</v>
      </c>
      <c r="AC321">
        <v>9.5794949880000004E-3</v>
      </c>
      <c r="AD321" s="8">
        <f t="shared" si="54"/>
        <v>2.4831223188437854</v>
      </c>
      <c r="AE321" s="3">
        <f t="shared" si="55"/>
        <v>2.5921223633963295E-2</v>
      </c>
      <c r="AF321" s="11">
        <f t="shared" si="56"/>
        <v>25.749999999999904</v>
      </c>
      <c r="AG321" s="1">
        <f t="shared" si="57"/>
        <v>0.12675712929438351</v>
      </c>
    </row>
    <row r="322" spans="2:33" ht="15" x14ac:dyDescent="0.25">
      <c r="B322" s="1">
        <v>311</v>
      </c>
      <c r="C322" s="1">
        <v>0.78529744108929911</v>
      </c>
      <c r="D322" s="1">
        <v>4.9997500124993755</v>
      </c>
      <c r="E322" s="1">
        <v>9.1642228739002921E-2</v>
      </c>
      <c r="G322" s="1">
        <v>0.78529744108929911</v>
      </c>
      <c r="H322" s="1">
        <v>4.9997500124993755</v>
      </c>
      <c r="I322" s="1">
        <v>9.1642228739002921E-2</v>
      </c>
      <c r="K322" s="1">
        <v>1.0009130636033208</v>
      </c>
      <c r="L322" s="1">
        <v>2.2335478875208228</v>
      </c>
      <c r="M322" s="1">
        <v>0.41961315004564848</v>
      </c>
      <c r="O322" s="1">
        <v>9.3257643904892558E-3</v>
      </c>
      <c r="P322" s="1">
        <v>0.78529744108929911</v>
      </c>
      <c r="R322" s="1">
        <v>0.13403599654866144</v>
      </c>
      <c r="S322" s="2">
        <f t="shared" si="60"/>
        <v>0.64682916133946389</v>
      </c>
      <c r="T322" s="4">
        <f t="shared" si="61"/>
        <v>0.41838796395911421</v>
      </c>
      <c r="U322" s="1">
        <f t="shared" si="64"/>
        <v>0.28602093035761422</v>
      </c>
      <c r="V322" s="6">
        <f>2*sigma/alpha*corel*(B322/12-1/alpha*(1-EXP(-alpha*Output!B322/12)))</f>
        <v>1.2228171772481349</v>
      </c>
      <c r="W322" s="5">
        <f t="shared" si="62"/>
        <v>-0.13236703360149998</v>
      </c>
      <c r="X322" s="1">
        <f t="shared" si="58"/>
        <v>15.217330998995262</v>
      </c>
      <c r="Y322" s="3">
        <f t="shared" si="63"/>
        <v>5.1667959765802324E-2</v>
      </c>
      <c r="Z322" s="1">
        <f t="shared" si="53"/>
        <v>0.1270574162880396</v>
      </c>
      <c r="AA322" s="8">
        <f t="shared" si="59"/>
        <v>25.833333333333236</v>
      </c>
      <c r="AB322" s="1">
        <v>25.92</v>
      </c>
      <c r="AC322">
        <v>9.5791677160000002E-3</v>
      </c>
      <c r="AD322" s="8">
        <f t="shared" si="54"/>
        <v>2.5340332551074436</v>
      </c>
      <c r="AE322" s="3">
        <f t="shared" si="55"/>
        <v>2.6453584802308763E-2</v>
      </c>
      <c r="AF322" s="11">
        <f t="shared" si="56"/>
        <v>25.833333333333236</v>
      </c>
      <c r="AG322" s="1">
        <f t="shared" si="57"/>
        <v>0.1270574162880396</v>
      </c>
    </row>
    <row r="323" spans="2:33" ht="15" x14ac:dyDescent="0.25">
      <c r="B323" s="1">
        <v>312</v>
      </c>
      <c r="C323" s="1">
        <v>0.78479063727479814</v>
      </c>
      <c r="D323" s="1">
        <v>5.0205843960236969</v>
      </c>
      <c r="E323" s="1">
        <v>9.0933891061198507E-2</v>
      </c>
      <c r="G323" s="1">
        <v>0.78479063727479814</v>
      </c>
      <c r="H323" s="1">
        <v>5.0205843960236969</v>
      </c>
      <c r="I323" s="1">
        <v>9.0933891061198507E-2</v>
      </c>
      <c r="K323" s="1">
        <v>1.000933144651607</v>
      </c>
      <c r="L323" s="1">
        <v>2.2679882057304659</v>
      </c>
      <c r="M323" s="1">
        <v>0.41319784637144735</v>
      </c>
      <c r="O323" s="1">
        <v>9.320703880005065E-3</v>
      </c>
      <c r="P323" s="1">
        <v>0.78479063727479814</v>
      </c>
      <c r="R323" s="1">
        <v>0.13441151658178163</v>
      </c>
      <c r="S323" s="2">
        <f t="shared" si="60"/>
        <v>0.6488076771612683</v>
      </c>
      <c r="T323" s="4">
        <f t="shared" si="61"/>
        <v>0.42095140194340058</v>
      </c>
      <c r="U323" s="1">
        <f t="shared" si="64"/>
        <v>0.28819415284104544</v>
      </c>
      <c r="V323" s="6">
        <f>2*sigma/alpha*corel*(B323/12-1/alpha*(1-EXP(-alpha*Output!B323/12)))</f>
        <v>1.2295458811211879</v>
      </c>
      <c r="W323" s="5">
        <f t="shared" si="62"/>
        <v>-0.13275724910235515</v>
      </c>
      <c r="X323" s="1">
        <f t="shared" si="58"/>
        <v>15.318536980427014</v>
      </c>
      <c r="Y323" s="3">
        <f t="shared" si="63"/>
        <v>5.1622007318324399E-2</v>
      </c>
      <c r="Z323" s="1">
        <f t="shared" si="53"/>
        <v>0.12724165409285057</v>
      </c>
      <c r="AA323" s="8">
        <f t="shared" si="59"/>
        <v>25.916666666666568</v>
      </c>
      <c r="AB323" s="1">
        <v>26</v>
      </c>
      <c r="AC323">
        <v>9.5790713860000008E-3</v>
      </c>
      <c r="AD323" s="8">
        <f t="shared" si="54"/>
        <v>2.5836750599493588</v>
      </c>
      <c r="AE323" s="3">
        <f t="shared" si="55"/>
        <v>2.6972082739935E-2</v>
      </c>
      <c r="AF323" s="11">
        <f t="shared" si="56"/>
        <v>25.916666666666568</v>
      </c>
      <c r="AG323" s="1">
        <f t="shared" si="57"/>
        <v>0.12724165409285057</v>
      </c>
    </row>
    <row r="324" spans="2:33" ht="15" x14ac:dyDescent="0.25">
      <c r="B324" s="1">
        <v>313</v>
      </c>
      <c r="C324" s="1">
        <v>0.78427361447135446</v>
      </c>
      <c r="D324" s="1">
        <v>5.0408307289041234</v>
      </c>
      <c r="E324" s="1">
        <v>9.0244562765093406E-2</v>
      </c>
      <c r="G324" s="1">
        <v>0.78427361447135446</v>
      </c>
      <c r="H324" s="1">
        <v>5.0408307289041234</v>
      </c>
      <c r="I324" s="1">
        <v>9.0244562765093406E-2</v>
      </c>
      <c r="K324" s="1">
        <v>1.001003048779</v>
      </c>
      <c r="L324" s="1">
        <v>2.2438531956446854</v>
      </c>
      <c r="M324" s="1">
        <v>0.41754425752346452</v>
      </c>
      <c r="O324" s="1">
        <v>9.3161912383585739E-3</v>
      </c>
      <c r="P324" s="1">
        <v>0.78427361447135446</v>
      </c>
      <c r="R324" s="1">
        <v>0.13487111047450276</v>
      </c>
      <c r="S324" s="2">
        <f t="shared" si="60"/>
        <v>0.65107283382315262</v>
      </c>
      <c r="T324" s="4">
        <f t="shared" si="61"/>
        <v>0.42389583494251049</v>
      </c>
      <c r="U324" s="1">
        <f t="shared" si="64"/>
        <v>0.29037531019719642</v>
      </c>
      <c r="V324" s="6">
        <f>2*sigma/alpha*corel*(B324/12-1/alpha*(1-EXP(-alpha*Output!B324/12)))</f>
        <v>1.2362868577376167</v>
      </c>
      <c r="W324" s="5">
        <f t="shared" si="62"/>
        <v>-0.13352052474531406</v>
      </c>
      <c r="X324" s="1">
        <f t="shared" si="58"/>
        <v>15.459046609709185</v>
      </c>
      <c r="Y324" s="3">
        <f t="shared" si="63"/>
        <v>5.1671167158527286E-2</v>
      </c>
      <c r="Z324" s="1">
        <f t="shared" si="53"/>
        <v>0.12748175361903033</v>
      </c>
      <c r="AA324" s="8">
        <f t="shared" si="59"/>
        <v>25.999999999999901</v>
      </c>
      <c r="AB324" s="1">
        <v>26.08</v>
      </c>
      <c r="AC324">
        <v>9.5788992649999995E-3</v>
      </c>
      <c r="AD324" s="8">
        <f t="shared" si="54"/>
        <v>2.6270802664142554</v>
      </c>
      <c r="AE324" s="3">
        <f t="shared" si="55"/>
        <v>2.7425700946801378E-2</v>
      </c>
      <c r="AF324" s="11">
        <f t="shared" si="56"/>
        <v>25.999999999999901</v>
      </c>
      <c r="AG324" s="1">
        <f t="shared" si="57"/>
        <v>0.12748175361903033</v>
      </c>
    </row>
    <row r="325" spans="2:33" ht="15" x14ac:dyDescent="0.25">
      <c r="B325" s="1">
        <v>314</v>
      </c>
      <c r="C325" s="1">
        <v>0.78374172434747269</v>
      </c>
      <c r="D325" s="1">
        <v>5.0604726481453364</v>
      </c>
      <c r="E325" s="1">
        <v>8.9565606806986123E-2</v>
      </c>
      <c r="G325" s="1">
        <v>0.78374172434747269</v>
      </c>
      <c r="H325" s="1">
        <v>5.0604726481453364</v>
      </c>
      <c r="I325" s="1">
        <v>8.9565606806986123E-2</v>
      </c>
      <c r="K325" s="1">
        <v>1.0009959753898723</v>
      </c>
      <c r="L325" s="1">
        <v>2.3532968282297526</v>
      </c>
      <c r="M325" s="1">
        <v>0.39802606293607912</v>
      </c>
      <c r="O325" s="1">
        <v>9.3124488969569645E-3</v>
      </c>
      <c r="P325" s="1">
        <v>0.78374172434747269</v>
      </c>
      <c r="R325" s="1">
        <v>0.13512965625752227</v>
      </c>
      <c r="S325" s="2">
        <f t="shared" si="60"/>
        <v>0.65271948152457848</v>
      </c>
      <c r="T325" s="4">
        <f t="shared" si="61"/>
        <v>0.42604272156171458</v>
      </c>
      <c r="U325" s="1">
        <f t="shared" si="64"/>
        <v>0.29256439040798377</v>
      </c>
      <c r="V325" s="6">
        <f>2*sigma/alpha*corel*(B325/12-1/alpha*(1-EXP(-alpha*Output!B325/12)))</f>
        <v>1.2430400662563841</v>
      </c>
      <c r="W325" s="5">
        <f t="shared" si="62"/>
        <v>-0.13347833115373081</v>
      </c>
      <c r="X325" s="1">
        <f t="shared" si="58"/>
        <v>15.515880600409169</v>
      </c>
      <c r="Y325" s="3">
        <f t="shared" si="63"/>
        <v>5.1515545083294811E-2</v>
      </c>
      <c r="Z325" s="1">
        <f t="shared" si="53"/>
        <v>0.12760049940426718</v>
      </c>
      <c r="AA325" s="8">
        <f t="shared" si="59"/>
        <v>26.083333333333233</v>
      </c>
      <c r="AB325" s="1">
        <v>26.17</v>
      </c>
      <c r="AC325">
        <v>9.5784094279999996E-3</v>
      </c>
      <c r="AD325" s="8">
        <f t="shared" si="54"/>
        <v>2.6596053104303503</v>
      </c>
      <c r="AE325" s="3">
        <f t="shared" si="55"/>
        <v>2.7766669721338941E-2</v>
      </c>
      <c r="AF325" s="11">
        <f t="shared" si="56"/>
        <v>26.083333333333233</v>
      </c>
      <c r="AG325" s="1">
        <f t="shared" si="57"/>
        <v>0.12760049940426718</v>
      </c>
    </row>
    <row r="326" spans="2:33" ht="15" x14ac:dyDescent="0.25">
      <c r="B326" s="1">
        <v>315</v>
      </c>
      <c r="C326" s="1">
        <v>0.78319815307102314</v>
      </c>
      <c r="D326" s="1">
        <v>5.0807844731226499</v>
      </c>
      <c r="E326" s="1">
        <v>8.8880988356590529E-2</v>
      </c>
      <c r="G326" s="1">
        <v>0.78319815307102314</v>
      </c>
      <c r="H326" s="1">
        <v>5.0807844731226499</v>
      </c>
      <c r="I326" s="1">
        <v>8.8880988356590529E-2</v>
      </c>
      <c r="K326" s="1">
        <v>1.0009487720331349</v>
      </c>
      <c r="L326" s="1">
        <v>2.403773281180984</v>
      </c>
      <c r="M326" s="1">
        <v>0.38960574124113528</v>
      </c>
      <c r="O326" s="1">
        <v>9.3093160362545668E-3</v>
      </c>
      <c r="P326" s="1">
        <v>0.78319815307102314</v>
      </c>
      <c r="R326" s="1">
        <v>0.13531035965494265</v>
      </c>
      <c r="S326" s="2">
        <f t="shared" si="60"/>
        <v>0.65413630388961641</v>
      </c>
      <c r="T326" s="4">
        <f t="shared" si="61"/>
        <v>0.42789430406636858</v>
      </c>
      <c r="U326" s="1">
        <f t="shared" si="64"/>
        <v>0.2947613813997183</v>
      </c>
      <c r="V326" s="6">
        <f>2*sigma/alpha*corel*(B326/12-1/alpha*(1-EXP(-alpha*Output!B326/12)))</f>
        <v>1.2498054659723601</v>
      </c>
      <c r="W326" s="5">
        <f t="shared" si="62"/>
        <v>-0.13313292266665028</v>
      </c>
      <c r="X326" s="1">
        <f t="shared" si="58"/>
        <v>15.540970582772667</v>
      </c>
      <c r="Y326" s="3">
        <f t="shared" si="63"/>
        <v>5.1283777264437697E-2</v>
      </c>
      <c r="Z326" s="1">
        <f t="shared" si="53"/>
        <v>0.12767433333683212</v>
      </c>
      <c r="AA326" s="8">
        <f t="shared" si="59"/>
        <v>26.166666666666565</v>
      </c>
      <c r="AB326" s="1">
        <v>26.25</v>
      </c>
      <c r="AC326">
        <v>9.57761918E-3</v>
      </c>
      <c r="AD326" s="8">
        <f t="shared" si="54"/>
        <v>2.683031437454332</v>
      </c>
      <c r="AE326" s="3">
        <f t="shared" si="55"/>
        <v>2.8013553128704915E-2</v>
      </c>
      <c r="AF326" s="11">
        <f t="shared" si="56"/>
        <v>26.166666666666565</v>
      </c>
      <c r="AG326" s="1">
        <f t="shared" si="57"/>
        <v>0.12767433333683212</v>
      </c>
    </row>
    <row r="327" spans="2:33" ht="15" x14ac:dyDescent="0.25">
      <c r="B327" s="1">
        <v>316</v>
      </c>
      <c r="C327" s="1">
        <v>0.78264625424208811</v>
      </c>
      <c r="D327" s="1">
        <v>5.100999795960008</v>
      </c>
      <c r="E327" s="1">
        <v>8.8198976891868064E-2</v>
      </c>
      <c r="G327" s="1">
        <v>0.78264625424208811</v>
      </c>
      <c r="H327" s="1">
        <v>5.100999795960008</v>
      </c>
      <c r="I327" s="1">
        <v>8.8198976891868064E-2</v>
      </c>
      <c r="K327" s="1">
        <v>1.0009227037242245</v>
      </c>
      <c r="L327" s="1">
        <v>2.4168541400767816</v>
      </c>
      <c r="M327" s="1">
        <v>0.38740741072621132</v>
      </c>
      <c r="O327" s="1">
        <v>9.3066253539108093E-3</v>
      </c>
      <c r="P327" s="1">
        <v>0.78264625424208811</v>
      </c>
      <c r="R327" s="1">
        <v>0.13556564838071711</v>
      </c>
      <c r="S327" s="2">
        <f t="shared" si="60"/>
        <v>0.65580638716008322</v>
      </c>
      <c r="T327" s="4">
        <f t="shared" si="61"/>
        <v>0.43008201743996094</v>
      </c>
      <c r="U327" s="1">
        <f t="shared" si="64"/>
        <v>0.29696627104393025</v>
      </c>
      <c r="V327" s="6">
        <f>2*sigma/alpha*corel*(B327/12-1/alpha*(1-EXP(-alpha*Output!B327/12)))</f>
        <v>1.2565830163158758</v>
      </c>
      <c r="W327" s="5">
        <f t="shared" si="62"/>
        <v>-0.13311574639603069</v>
      </c>
      <c r="X327" s="1">
        <f t="shared" si="58"/>
        <v>15.600526163942071</v>
      </c>
      <c r="Y327" s="3">
        <f t="shared" si="63"/>
        <v>5.1136084616126468E-2</v>
      </c>
      <c r="Z327" s="1">
        <f t="shared" si="53"/>
        <v>0.12779760760819533</v>
      </c>
      <c r="AA327" s="8">
        <f t="shared" si="59"/>
        <v>26.249999999999897</v>
      </c>
      <c r="AB327" s="1">
        <v>26.33</v>
      </c>
      <c r="AC327">
        <v>9.5766106339999994E-3</v>
      </c>
      <c r="AD327" s="8">
        <f t="shared" si="54"/>
        <v>2.6998528008919007</v>
      </c>
      <c r="AE327" s="3">
        <f t="shared" si="55"/>
        <v>2.8192153822215228E-2</v>
      </c>
      <c r="AF327" s="11">
        <f t="shared" si="56"/>
        <v>26.249999999999897</v>
      </c>
      <c r="AG327" s="1">
        <f t="shared" si="57"/>
        <v>0.12779760760819533</v>
      </c>
    </row>
    <row r="328" spans="2:33" ht="15" x14ac:dyDescent="0.25">
      <c r="B328" s="1">
        <v>317</v>
      </c>
      <c r="C328" s="1">
        <v>0.78208804468233817</v>
      </c>
      <c r="D328" s="1">
        <v>5.1205898919555537</v>
      </c>
      <c r="E328" s="1">
        <v>8.7535014005602249E-2</v>
      </c>
      <c r="G328" s="1">
        <v>0.78208804468233817</v>
      </c>
      <c r="H328" s="1">
        <v>5.1205898919555537</v>
      </c>
      <c r="I328" s="1">
        <v>8.7535014005602249E-2</v>
      </c>
      <c r="K328" s="1">
        <v>1.0009232049430956</v>
      </c>
      <c r="L328" s="1">
        <v>2.4333532127522939</v>
      </c>
      <c r="M328" s="1">
        <v>0.38469756647641973</v>
      </c>
      <c r="O328" s="1">
        <v>9.3042759242897618E-3</v>
      </c>
      <c r="P328" s="1">
        <v>0.78208804468233817</v>
      </c>
      <c r="R328" s="1">
        <v>0.13591835083676815</v>
      </c>
      <c r="S328" s="2">
        <f t="shared" si="60"/>
        <v>0.65780038593168921</v>
      </c>
      <c r="T328" s="4">
        <f t="shared" si="61"/>
        <v>0.43270134773187929</v>
      </c>
      <c r="U328" s="1">
        <f t="shared" si="64"/>
        <v>0.29917904715817745</v>
      </c>
      <c r="V328" s="6">
        <f>2*sigma/alpha*corel*(B328/12-1/alpha*(1-EXP(-alpha*Output!B328/12)))</f>
        <v>1.2633726768522675</v>
      </c>
      <c r="W328" s="5">
        <f t="shared" si="62"/>
        <v>-0.13352230057370185</v>
      </c>
      <c r="X328" s="1">
        <f t="shared" si="58"/>
        <v>15.704966947904692</v>
      </c>
      <c r="Y328" s="3">
        <f t="shared" si="63"/>
        <v>5.1096087011322767E-2</v>
      </c>
      <c r="Z328" s="1">
        <f t="shared" si="53"/>
        <v>0.12798383391582521</v>
      </c>
      <c r="AA328" s="8">
        <f t="shared" si="59"/>
        <v>26.333333333333229</v>
      </c>
      <c r="AB328" s="1">
        <v>26.42</v>
      </c>
      <c r="AC328">
        <v>9.5754659050000003E-3</v>
      </c>
      <c r="AD328" s="8">
        <f t="shared" si="54"/>
        <v>2.7118998071023852</v>
      </c>
      <c r="AE328" s="3">
        <f t="shared" si="55"/>
        <v>2.8321335316815431E-2</v>
      </c>
      <c r="AF328" s="11">
        <f t="shared" si="56"/>
        <v>26.333333333333229</v>
      </c>
      <c r="AG328" s="1">
        <f t="shared" si="57"/>
        <v>0.12798383391582521</v>
      </c>
    </row>
    <row r="329" spans="2:33" ht="15" x14ac:dyDescent="0.25">
      <c r="B329" s="1">
        <v>318</v>
      </c>
      <c r="C329" s="1">
        <v>0.78152538013938178</v>
      </c>
      <c r="D329" s="1">
        <v>5.1405952809335318</v>
      </c>
      <c r="E329" s="1">
        <v>8.6865879082696315E-2</v>
      </c>
      <c r="G329" s="1">
        <v>0.78152538013938178</v>
      </c>
      <c r="H329" s="1">
        <v>5.1405952809335318</v>
      </c>
      <c r="I329" s="1">
        <v>8.6865879082696315E-2</v>
      </c>
      <c r="K329" s="1">
        <v>1.000840160462243</v>
      </c>
      <c r="L329" s="1">
        <v>2.4422899321040892</v>
      </c>
      <c r="M329" s="1">
        <v>0.38319399658660208</v>
      </c>
      <c r="O329" s="1">
        <v>9.3021756023364717E-3</v>
      </c>
      <c r="P329" s="1">
        <v>0.78152538013938178</v>
      </c>
      <c r="R329" s="1">
        <v>0.13618951072591728</v>
      </c>
      <c r="S329" s="2">
        <f t="shared" si="60"/>
        <v>0.65954157648362055</v>
      </c>
      <c r="T329" s="4">
        <f t="shared" si="61"/>
        <v>0.4349950911104995</v>
      </c>
      <c r="U329" s="1">
        <f t="shared" si="64"/>
        <v>0.30139969750685403</v>
      </c>
      <c r="V329" s="6">
        <f>2*sigma/alpha*corel*(B329/12-1/alpha*(1-EXP(-alpha*Output!B329/12)))</f>
        <v>1.2701744072814294</v>
      </c>
      <c r="W329" s="5">
        <f t="shared" si="62"/>
        <v>-0.13359539360364547</v>
      </c>
      <c r="X329" s="1">
        <f t="shared" si="58"/>
        <v>15.774454746899151</v>
      </c>
      <c r="Y329" s="3">
        <f t="shared" si="63"/>
        <v>5.0972308920646296E-2</v>
      </c>
      <c r="Z329" s="1">
        <f t="shared" si="53"/>
        <v>0.12812068177507258</v>
      </c>
      <c r="AA329" s="8">
        <f t="shared" si="59"/>
        <v>26.416666666666561</v>
      </c>
      <c r="AB329" s="1">
        <v>26.5</v>
      </c>
      <c r="AC329">
        <v>9.5742671049999992E-3</v>
      </c>
      <c r="AD329" s="8">
        <f t="shared" si="54"/>
        <v>2.7209150266352746</v>
      </c>
      <c r="AE329" s="3">
        <f t="shared" si="55"/>
        <v>2.8419042385127557E-2</v>
      </c>
      <c r="AF329" s="11">
        <f t="shared" si="56"/>
        <v>26.416666666666561</v>
      </c>
      <c r="AG329" s="1">
        <f t="shared" si="57"/>
        <v>0.12812068177507258</v>
      </c>
    </row>
    <row r="330" spans="2:33" ht="15" x14ac:dyDescent="0.25">
      <c r="B330" s="1">
        <v>319</v>
      </c>
      <c r="C330" s="1">
        <v>0.78095815608524499</v>
      </c>
      <c r="D330" s="1">
        <v>5.161023947151115</v>
      </c>
      <c r="E330" s="1">
        <v>8.6192035855886917E-2</v>
      </c>
      <c r="G330" s="1">
        <v>0.78095815608524499</v>
      </c>
      <c r="H330" s="1">
        <v>5.161023947151115</v>
      </c>
      <c r="I330" s="1">
        <v>8.6192035855886917E-2</v>
      </c>
      <c r="K330" s="1">
        <v>1.0008316741343295</v>
      </c>
      <c r="L330" s="1">
        <v>2.4534568019045677</v>
      </c>
      <c r="M330" s="1">
        <v>0.38136674286895805</v>
      </c>
      <c r="O330" s="1">
        <v>9.3003275711627253E-3</v>
      </c>
      <c r="P330" s="1">
        <v>0.78095815608524499</v>
      </c>
      <c r="R330" s="1">
        <v>0.13668456686101602</v>
      </c>
      <c r="S330" s="2">
        <f t="shared" si="60"/>
        <v>0.66201088052866819</v>
      </c>
      <c r="T330" s="4">
        <f t="shared" si="61"/>
        <v>0.43825840593834259</v>
      </c>
      <c r="U330" s="1">
        <f t="shared" si="64"/>
        <v>0.30362820980199112</v>
      </c>
      <c r="V330" s="6">
        <f>2*sigma/alpha*corel*(B330/12-1/alpha*(1-EXP(-alpha*Output!B330/12)))</f>
        <v>1.2769881674373664</v>
      </c>
      <c r="W330" s="5">
        <f t="shared" si="62"/>
        <v>-0.13463019613635147</v>
      </c>
      <c r="X330" s="1">
        <f t="shared" si="58"/>
        <v>15.946376302273748</v>
      </c>
      <c r="Y330" s="3">
        <f t="shared" si="63"/>
        <v>5.1090343160557397E-2</v>
      </c>
      <c r="Z330" s="1">
        <f t="shared" si="53"/>
        <v>0.1283986356149264</v>
      </c>
      <c r="AA330" s="8">
        <f t="shared" si="59"/>
        <v>26.499999999999893</v>
      </c>
      <c r="AB330" s="1">
        <v>26.58</v>
      </c>
      <c r="AC330">
        <v>9.573096348E-3</v>
      </c>
      <c r="AD330" s="8">
        <f t="shared" si="54"/>
        <v>2.7276877683727467</v>
      </c>
      <c r="AE330" s="3">
        <f t="shared" si="55"/>
        <v>2.8493265597839847E-2</v>
      </c>
      <c r="AF330" s="11">
        <f t="shared" si="56"/>
        <v>26.499999999999893</v>
      </c>
      <c r="AG330" s="1">
        <f t="shared" si="57"/>
        <v>0.1283986356149264</v>
      </c>
    </row>
    <row r="331" spans="2:33" ht="15" x14ac:dyDescent="0.25">
      <c r="B331" s="1">
        <v>320</v>
      </c>
      <c r="C331" s="1">
        <v>0.78038906718051659</v>
      </c>
      <c r="D331" s="1">
        <v>5.1821526662175463</v>
      </c>
      <c r="E331" s="1">
        <v>8.5513938772019835E-2</v>
      </c>
      <c r="G331" s="1">
        <v>0.78038906718051659</v>
      </c>
      <c r="H331" s="1">
        <v>5.1821526662175463</v>
      </c>
      <c r="I331" s="1">
        <v>8.5513938772019835E-2</v>
      </c>
      <c r="K331" s="1">
        <v>1.0007488949129857</v>
      </c>
      <c r="L331" s="1">
        <v>2.4037174446033296</v>
      </c>
      <c r="M331" s="1">
        <v>0.38919459534785011</v>
      </c>
      <c r="O331" s="1">
        <v>9.2986004843368213E-3</v>
      </c>
      <c r="P331" s="1">
        <v>0.78038906718051659</v>
      </c>
      <c r="R331" s="1">
        <v>0.13709497012371866</v>
      </c>
      <c r="S331" s="2">
        <f t="shared" si="60"/>
        <v>0.66421369460692015</v>
      </c>
      <c r="T331" s="4">
        <f t="shared" si="61"/>
        <v>0.44117983210337497</v>
      </c>
      <c r="U331" s="1">
        <f t="shared" si="64"/>
        <v>0.30586457170404646</v>
      </c>
      <c r="V331" s="6">
        <f>2*sigma/alpha*corel*(B331/12-1/alpha*(1-EXP(-alpha*Output!B331/12)))</f>
        <v>1.283813917287747</v>
      </c>
      <c r="W331" s="5">
        <f t="shared" si="62"/>
        <v>-0.13531526039932851</v>
      </c>
      <c r="X331" s="1">
        <f t="shared" si="58"/>
        <v>16.081805950150084</v>
      </c>
      <c r="Y331" s="3">
        <f t="shared" si="63"/>
        <v>5.111997729486837E-2</v>
      </c>
      <c r="Z331" s="1">
        <f t="shared" si="53"/>
        <v>0.12862442887677505</v>
      </c>
      <c r="AA331" s="8">
        <f t="shared" si="59"/>
        <v>26.583333333333226</v>
      </c>
      <c r="AB331" s="1">
        <v>26.67</v>
      </c>
      <c r="AC331">
        <v>9.572018384E-3</v>
      </c>
      <c r="AD331" s="8">
        <f t="shared" si="54"/>
        <v>2.7341789966317878</v>
      </c>
      <c r="AE331" s="3">
        <f t="shared" si="55"/>
        <v>2.8564289023954179E-2</v>
      </c>
      <c r="AF331" s="11">
        <f t="shared" si="56"/>
        <v>26.583333333333226</v>
      </c>
      <c r="AG331" s="1">
        <f t="shared" si="57"/>
        <v>0.12862442887677505</v>
      </c>
    </row>
    <row r="332" spans="2:33" ht="15" x14ac:dyDescent="0.25">
      <c r="B332" s="1">
        <v>321</v>
      </c>
      <c r="C332" s="1">
        <v>0.77981885415348828</v>
      </c>
      <c r="D332" s="1">
        <v>5.2048092437412175</v>
      </c>
      <c r="E332" s="1">
        <v>8.4817642069550475E-2</v>
      </c>
      <c r="G332" s="1">
        <v>0.77981885415348828</v>
      </c>
      <c r="H332" s="1">
        <v>5.2048092437412175</v>
      </c>
      <c r="I332" s="1">
        <v>8.4817642069550475E-2</v>
      </c>
      <c r="K332" s="1">
        <v>1.000752025043578</v>
      </c>
      <c r="L332" s="1">
        <v>2.419598634571364</v>
      </c>
      <c r="M332" s="1">
        <v>0.38655371641139796</v>
      </c>
      <c r="O332" s="1">
        <v>9.2969579265323368E-3</v>
      </c>
      <c r="P332" s="1">
        <v>0.77981885415348828</v>
      </c>
      <c r="R332" s="1">
        <v>0.13726209560479743</v>
      </c>
      <c r="S332" s="2">
        <f t="shared" si="60"/>
        <v>0.66563803787858644</v>
      </c>
      <c r="T332" s="4">
        <f t="shared" si="61"/>
        <v>0.44307399747085446</v>
      </c>
      <c r="U332" s="1">
        <f t="shared" si="64"/>
        <v>0.3081087708226935</v>
      </c>
      <c r="V332" s="6">
        <f>2*sigma/alpha*corel*(B332/12-1/alpha*(1-EXP(-alpha*Output!B332/12)))</f>
        <v>1.2906516169334581</v>
      </c>
      <c r="W332" s="5">
        <f t="shared" si="62"/>
        <v>-0.13496522664816096</v>
      </c>
      <c r="X332" s="1">
        <f t="shared" si="58"/>
        <v>16.107060847646171</v>
      </c>
      <c r="Y332" s="3">
        <f t="shared" si="63"/>
        <v>5.0891750968992441E-2</v>
      </c>
      <c r="Z332" s="1">
        <f t="shared" si="53"/>
        <v>0.12869931594279782</v>
      </c>
      <c r="AA332" s="8">
        <f t="shared" si="59"/>
        <v>26.666666666666558</v>
      </c>
      <c r="AB332" s="1">
        <v>26.75</v>
      </c>
      <c r="AC332">
        <v>9.5710285040000002E-3</v>
      </c>
      <c r="AD332" s="8">
        <f t="shared" si="54"/>
        <v>2.740705774676635</v>
      </c>
      <c r="AE332" s="3">
        <f t="shared" si="55"/>
        <v>2.8635436343452714E-2</v>
      </c>
      <c r="AF332" s="11">
        <f t="shared" si="56"/>
        <v>26.666666666666558</v>
      </c>
      <c r="AG332" s="1">
        <f t="shared" si="57"/>
        <v>0.12869931594279782</v>
      </c>
    </row>
    <row r="333" spans="2:33" ht="15" x14ac:dyDescent="0.25">
      <c r="B333" s="1">
        <v>322</v>
      </c>
      <c r="C333" s="1">
        <v>0.77924967398330192</v>
      </c>
      <c r="D333" s="1">
        <v>5.2287581699346406</v>
      </c>
      <c r="E333" s="1">
        <v>8.4104289318755257E-2</v>
      </c>
      <c r="G333" s="1">
        <v>0.77924967398330192</v>
      </c>
      <c r="H333" s="1">
        <v>5.2287581699346406</v>
      </c>
      <c r="I333" s="1">
        <v>8.4104289318755257E-2</v>
      </c>
      <c r="K333" s="1">
        <v>1.0007166216730754</v>
      </c>
      <c r="L333" s="1">
        <v>2.4182538113837819</v>
      </c>
      <c r="M333" s="1">
        <v>0.38670226760309589</v>
      </c>
      <c r="O333" s="1">
        <v>9.2952961008888821E-3</v>
      </c>
      <c r="P333" s="1">
        <v>0.77924967398330192</v>
      </c>
      <c r="R333" s="1">
        <v>0.13768884258225475</v>
      </c>
      <c r="S333" s="2">
        <f t="shared" si="60"/>
        <v>0.66789788721180354</v>
      </c>
      <c r="T333" s="4">
        <f t="shared" si="61"/>
        <v>0.44608758774199103</v>
      </c>
      <c r="U333" s="1">
        <f t="shared" si="64"/>
        <v>0.31036079471759859</v>
      </c>
      <c r="V333" s="6">
        <f>2*sigma/alpha*corel*(B333/12-1/alpha*(1-EXP(-alpha*Output!B333/12)))</f>
        <v>1.2975012266081629</v>
      </c>
      <c r="W333" s="5">
        <f t="shared" si="62"/>
        <v>-0.13572679302439244</v>
      </c>
      <c r="X333" s="1">
        <f t="shared" si="58"/>
        <v>16.251518551001141</v>
      </c>
      <c r="Y333" s="3">
        <f t="shared" si="63"/>
        <v>5.0940670736857249E-2</v>
      </c>
      <c r="Z333" s="1">
        <f t="shared" ref="Z333:Z396" si="65">S333/SQRT(B333/12)</f>
        <v>0.12893557364775418</v>
      </c>
      <c r="AA333" s="8">
        <f t="shared" si="59"/>
        <v>26.74999999999989</v>
      </c>
      <c r="AB333" s="1">
        <v>26.83</v>
      </c>
      <c r="AC333">
        <v>9.5701046370000008E-3</v>
      </c>
      <c r="AD333" s="8">
        <f t="shared" ref="AD333:AD396" si="66">(AC333-O333)*10000</f>
        <v>2.7480853611111868</v>
      </c>
      <c r="AE333" s="3">
        <f t="shared" ref="AE333:AE396" si="67">AD333/AC333/10000</f>
        <v>2.8715311538878286E-2</v>
      </c>
      <c r="AF333" s="11">
        <f t="shared" ref="AF333:AF396" si="68">AA333</f>
        <v>26.74999999999989</v>
      </c>
      <c r="AG333" s="1">
        <f t="shared" ref="AG333:AG396" si="69">Z333</f>
        <v>0.12893557364775418</v>
      </c>
    </row>
    <row r="334" spans="2:33" ht="15" x14ac:dyDescent="0.25">
      <c r="B334" s="1">
        <v>323</v>
      </c>
      <c r="C334" s="1">
        <v>0.77868448221330921</v>
      </c>
      <c r="D334" s="1">
        <v>5.2526525895577265</v>
      </c>
      <c r="E334" s="1">
        <v>8.3402835696413671E-2</v>
      </c>
      <c r="G334" s="1">
        <v>0.77868448221330921</v>
      </c>
      <c r="H334" s="1">
        <v>5.2526525895577265</v>
      </c>
      <c r="I334" s="1">
        <v>8.3402835696413671E-2</v>
      </c>
      <c r="K334" s="1">
        <v>1.0006839247215951</v>
      </c>
      <c r="L334" s="1">
        <v>2.4501387326731034</v>
      </c>
      <c r="M334" s="1">
        <v>0.38157452913883122</v>
      </c>
      <c r="O334" s="1">
        <v>9.2934740956940633E-3</v>
      </c>
      <c r="P334" s="1">
        <v>0.77868448221330921</v>
      </c>
      <c r="R334" s="1">
        <v>0.13807623382294618</v>
      </c>
      <c r="S334" s="2">
        <f t="shared" si="60"/>
        <v>0.67002721296547785</v>
      </c>
      <c r="T334" s="4">
        <f t="shared" si="61"/>
        <v>0.44893646611428578</v>
      </c>
      <c r="U334" s="1">
        <f t="shared" si="64"/>
        <v>0.31262063089919545</v>
      </c>
      <c r="V334" s="6">
        <f>2*sigma/alpha*corel*(B334/12-1/alpha*(1-EXP(-alpha*Output!B334/12)))</f>
        <v>1.3043627066778591</v>
      </c>
      <c r="W334" s="5">
        <f t="shared" si="62"/>
        <v>-0.13631583521509033</v>
      </c>
      <c r="X334" s="1">
        <f t="shared" ref="X334:X397" si="70">V334*V334-4*W334*B334/12</f>
        <v>16.378033662063384</v>
      </c>
      <c r="Y334" s="3">
        <f t="shared" si="63"/>
        <v>5.0946420381898561E-2</v>
      </c>
      <c r="Z334" s="1">
        <f t="shared" si="65"/>
        <v>0.12914625104525751</v>
      </c>
      <c r="AA334" s="8">
        <f t="shared" ref="AA334:AA397" si="71">AA333+1/12</f>
        <v>26.833333333333222</v>
      </c>
      <c r="AB334" s="1">
        <v>26.92</v>
      </c>
      <c r="AC334">
        <v>9.5692247090000005E-3</v>
      </c>
      <c r="AD334" s="8">
        <f t="shared" si="66"/>
        <v>2.7575061330593722</v>
      </c>
      <c r="AE334" s="3">
        <f t="shared" si="67"/>
        <v>2.881640066896847E-2</v>
      </c>
      <c r="AF334" s="11">
        <f t="shared" si="68"/>
        <v>26.833333333333222</v>
      </c>
      <c r="AG334" s="1">
        <f t="shared" si="69"/>
        <v>0.12914625104525751</v>
      </c>
    </row>
    <row r="335" spans="2:33" ht="15" x14ac:dyDescent="0.25">
      <c r="B335" s="1">
        <v>324</v>
      </c>
      <c r="C335" s="1">
        <v>0.77812301427636354</v>
      </c>
      <c r="D335" s="1">
        <v>5.275652862041678</v>
      </c>
      <c r="E335" s="1">
        <v>8.2719827942757881E-2</v>
      </c>
      <c r="G335" s="1">
        <v>0.77812301427636354</v>
      </c>
      <c r="H335" s="1">
        <v>5.275652862041678</v>
      </c>
      <c r="I335" s="1">
        <v>8.2719827942757881E-2</v>
      </c>
      <c r="K335" s="1">
        <v>1.0005945467887289</v>
      </c>
      <c r="L335" s="1">
        <v>2.401207096937255</v>
      </c>
      <c r="M335" s="1">
        <v>0.38926405320560686</v>
      </c>
      <c r="O335" s="1">
        <v>9.2915056024559795E-3</v>
      </c>
      <c r="P335" s="1">
        <v>0.77812301427636354</v>
      </c>
      <c r="R335" s="1">
        <v>0.13855316627847689</v>
      </c>
      <c r="S335" s="2">
        <f t="shared" si="60"/>
        <v>0.67244165689988922</v>
      </c>
      <c r="T335" s="4">
        <f t="shared" si="61"/>
        <v>0.45217778193426833</v>
      </c>
      <c r="U335" s="1">
        <f t="shared" si="64"/>
        <v>0.31488826682944859</v>
      </c>
      <c r="V335" s="6">
        <f>2*sigma/alpha*corel*(B335/12-1/alpha*(1-EXP(-alpha*Output!B335/12)))</f>
        <v>1.3112360176404345</v>
      </c>
      <c r="W335" s="5">
        <f t="shared" si="62"/>
        <v>-0.13728951510481974</v>
      </c>
      <c r="X335" s="1">
        <f t="shared" si="70"/>
        <v>16.546607525278077</v>
      </c>
      <c r="Y335" s="3">
        <f t="shared" si="63"/>
        <v>5.1046594978704937E-2</v>
      </c>
      <c r="Z335" s="1">
        <f t="shared" si="65"/>
        <v>0.12941145720848968</v>
      </c>
      <c r="AA335" s="8">
        <f t="shared" si="71"/>
        <v>26.916666666666554</v>
      </c>
      <c r="AB335" s="1">
        <v>27</v>
      </c>
      <c r="AC335">
        <v>9.56836665E-3</v>
      </c>
      <c r="AD335" s="8">
        <f t="shared" si="66"/>
        <v>2.7686104754402057</v>
      </c>
      <c r="AE335" s="3">
        <f t="shared" si="67"/>
        <v>2.893503746995529E-2</v>
      </c>
      <c r="AF335" s="11">
        <f t="shared" si="68"/>
        <v>26.916666666666554</v>
      </c>
      <c r="AG335" s="1">
        <f t="shared" si="69"/>
        <v>0.12941145720848968</v>
      </c>
    </row>
    <row r="336" spans="2:33" ht="15" x14ac:dyDescent="0.25">
      <c r="B336" s="1">
        <v>325</v>
      </c>
      <c r="C336" s="1">
        <v>0.7775653622749219</v>
      </c>
      <c r="D336" s="1">
        <v>5.2985746834101626</v>
      </c>
      <c r="E336" s="1">
        <v>8.2047915982934025E-2</v>
      </c>
      <c r="G336" s="1">
        <v>0.7775653622749219</v>
      </c>
      <c r="H336" s="1">
        <v>5.2985746834101626</v>
      </c>
      <c r="I336" s="1">
        <v>8.2047915982934025E-2</v>
      </c>
      <c r="K336" s="1">
        <v>1.0006295771536478</v>
      </c>
      <c r="L336" s="1">
        <v>2.4030902148591058</v>
      </c>
      <c r="M336" s="1">
        <v>0.38887897391972442</v>
      </c>
      <c r="O336" s="1">
        <v>9.2893872453257906E-3</v>
      </c>
      <c r="P336" s="1">
        <v>0.7775653622749219</v>
      </c>
      <c r="R336" s="1">
        <v>0.13893961271684724</v>
      </c>
      <c r="S336" s="2">
        <f t="shared" si="60"/>
        <v>0.6745609137805797</v>
      </c>
      <c r="T336" s="4">
        <f t="shared" si="61"/>
        <v>0.45503242640049069</v>
      </c>
      <c r="U336" s="1">
        <f t="shared" si="64"/>
        <v>0.31716368992261534</v>
      </c>
      <c r="V336" s="6">
        <f>2*sigma/alpha*corel*(B336/12-1/alpha*(1-EXP(-alpha*Output!B336/12)))</f>
        <v>1.3181211201252361</v>
      </c>
      <c r="W336" s="5">
        <f t="shared" si="62"/>
        <v>-0.13786873647787534</v>
      </c>
      <c r="X336" s="1">
        <f t="shared" si="70"/>
        <v>16.673223072423369</v>
      </c>
      <c r="Y336" s="3">
        <f t="shared" si="63"/>
        <v>5.1049194424436097E-2</v>
      </c>
      <c r="Z336" s="1">
        <f t="shared" si="65"/>
        <v>0.12961943250330815</v>
      </c>
      <c r="AA336" s="8">
        <f t="shared" si="71"/>
        <v>26.999999999999886</v>
      </c>
      <c r="AB336" s="1">
        <v>27.08</v>
      </c>
      <c r="AC336">
        <v>9.5675083859999999E-3</v>
      </c>
      <c r="AD336" s="8">
        <f t="shared" si="66"/>
        <v>2.7812114067420937</v>
      </c>
      <c r="AE336" s="3">
        <f t="shared" si="67"/>
        <v>2.9069338583614945E-2</v>
      </c>
      <c r="AF336" s="11">
        <f t="shared" si="68"/>
        <v>26.999999999999886</v>
      </c>
      <c r="AG336" s="1">
        <f t="shared" si="69"/>
        <v>0.12961943250330815</v>
      </c>
    </row>
    <row r="337" spans="2:33" ht="15" x14ac:dyDescent="0.25">
      <c r="B337" s="1">
        <v>326</v>
      </c>
      <c r="C337" s="1">
        <v>0.77700903301673663</v>
      </c>
      <c r="D337" s="1">
        <v>5.3188660177650124</v>
      </c>
      <c r="E337" s="1">
        <v>8.1419964175215756E-2</v>
      </c>
      <c r="G337" s="1">
        <v>0.77700903301673663</v>
      </c>
      <c r="H337" s="1">
        <v>5.3188660177650124</v>
      </c>
      <c r="I337" s="1">
        <v>8.1419964175215756E-2</v>
      </c>
      <c r="K337" s="1">
        <v>1.0006602097450044</v>
      </c>
      <c r="L337" s="1">
        <v>2.385351753632956</v>
      </c>
      <c r="M337" s="1">
        <v>0.3917041592440309</v>
      </c>
      <c r="O337" s="1">
        <v>9.2872381537877201E-3</v>
      </c>
      <c r="P337" s="1">
        <v>0.77700903301673663</v>
      </c>
      <c r="R337" s="1">
        <v>0.139426383604317</v>
      </c>
      <c r="S337" s="2">
        <f t="shared" si="60"/>
        <v>0.67700420179384002</v>
      </c>
      <c r="T337" s="4">
        <f t="shared" si="61"/>
        <v>0.45833468924651444</v>
      </c>
      <c r="U337" s="1">
        <f t="shared" si="64"/>
        <v>0.31944688754599815</v>
      </c>
      <c r="V337" s="6">
        <f>2*sigma/alpha*corel*(B337/12-1/alpha*(1-EXP(-alpha*Output!B337/12)))</f>
        <v>1.3250179748926243</v>
      </c>
      <c r="W337" s="5">
        <f t="shared" si="62"/>
        <v>-0.13888780170051629</v>
      </c>
      <c r="X337" s="1">
        <f t="shared" si="70"/>
        <v>16.848147085244655</v>
      </c>
      <c r="Y337" s="3">
        <f t="shared" si="63"/>
        <v>5.1158861455405311E-2</v>
      </c>
      <c r="Z337" s="1">
        <f t="shared" si="65"/>
        <v>0.12988924341563629</v>
      </c>
      <c r="AA337" s="8">
        <f t="shared" si="71"/>
        <v>27.083333333333218</v>
      </c>
      <c r="AB337" s="1">
        <v>27.17</v>
      </c>
      <c r="AC337">
        <v>9.5666325E-3</v>
      </c>
      <c r="AD337" s="8">
        <f t="shared" si="66"/>
        <v>2.7939434621227983</v>
      </c>
      <c r="AE337" s="3">
        <f t="shared" si="67"/>
        <v>2.9205088228515086E-2</v>
      </c>
      <c r="AF337" s="11">
        <f t="shared" si="68"/>
        <v>27.083333333333218</v>
      </c>
      <c r="AG337" s="1">
        <f t="shared" si="69"/>
        <v>0.12988924341563629</v>
      </c>
    </row>
    <row r="338" spans="2:33" ht="15" x14ac:dyDescent="0.25">
      <c r="B338" s="1">
        <v>327</v>
      </c>
      <c r="C338" s="1">
        <v>0.7764557313290199</v>
      </c>
      <c r="D338" s="1">
        <v>5.3378883313761074</v>
      </c>
      <c r="E338" s="1">
        <v>8.0814611281719725E-2</v>
      </c>
      <c r="G338" s="1">
        <v>0.7764557313290199</v>
      </c>
      <c r="H338" s="1">
        <v>5.3378883313761074</v>
      </c>
      <c r="I338" s="1">
        <v>8.0814611281719725E-2</v>
      </c>
      <c r="K338" s="1">
        <v>1.0006051974425911</v>
      </c>
      <c r="L338" s="1">
        <v>2.5176278578234137</v>
      </c>
      <c r="M338" s="1">
        <v>0.37105031305440045</v>
      </c>
      <c r="O338" s="1">
        <v>9.2849779281244122E-3</v>
      </c>
      <c r="P338" s="1">
        <v>0.7764557313290199</v>
      </c>
      <c r="R338" s="1">
        <v>0.13976424977678703</v>
      </c>
      <c r="S338" s="2">
        <f t="shared" si="60"/>
        <v>0.67896446544659628</v>
      </c>
      <c r="T338" s="4">
        <f t="shared" si="61"/>
        <v>0.46099274533918222</v>
      </c>
      <c r="U338" s="1">
        <f t="shared" si="64"/>
        <v>0.32173784702069019</v>
      </c>
      <c r="V338" s="6">
        <f>2*sigma/alpha*corel*(B338/12-1/alpha*(1-EXP(-alpha*Output!B338/12)))</f>
        <v>1.3319265428335418</v>
      </c>
      <c r="W338" s="5">
        <f t="shared" si="62"/>
        <v>-0.13925489831849203</v>
      </c>
      <c r="X338" s="1">
        <f t="shared" si="70"/>
        <v>16.95281223222014</v>
      </c>
      <c r="Y338" s="3">
        <f t="shared" si="63"/>
        <v>5.1109224750957694E-2</v>
      </c>
      <c r="Z338" s="1">
        <f t="shared" si="65"/>
        <v>0.13006600234717561</v>
      </c>
      <c r="AA338" s="8">
        <f t="shared" si="71"/>
        <v>27.166666666666551</v>
      </c>
      <c r="AB338" s="1">
        <v>27.25</v>
      </c>
      <c r="AC338">
        <v>9.5657401859999998E-3</v>
      </c>
      <c r="AD338" s="8">
        <f t="shared" si="66"/>
        <v>2.807622578755876</v>
      </c>
      <c r="AE338" s="3">
        <f t="shared" si="67"/>
        <v>2.9350813676342472E-2</v>
      </c>
      <c r="AF338" s="11">
        <f t="shared" si="68"/>
        <v>27.166666666666551</v>
      </c>
      <c r="AG338" s="1">
        <f t="shared" si="69"/>
        <v>0.13006600234717561</v>
      </c>
    </row>
    <row r="339" spans="2:33" ht="15" x14ac:dyDescent="0.25">
      <c r="B339" s="1">
        <v>328</v>
      </c>
      <c r="C339" s="1">
        <v>0.77590585574768978</v>
      </c>
      <c r="D339" s="1">
        <v>5.3567602314120419</v>
      </c>
      <c r="E339" s="1">
        <v>8.022462896109106E-2</v>
      </c>
      <c r="G339" s="1">
        <v>0.77590585574768978</v>
      </c>
      <c r="H339" s="1">
        <v>5.3567602314120419</v>
      </c>
      <c r="I339" s="1">
        <v>8.022462896109106E-2</v>
      </c>
      <c r="K339" s="1">
        <v>1.0007267297415989</v>
      </c>
      <c r="L339" s="1">
        <v>2.5136143362915719</v>
      </c>
      <c r="M339" s="1">
        <v>0.37156616104920909</v>
      </c>
      <c r="O339" s="1">
        <v>9.2825885148126262E-3</v>
      </c>
      <c r="P339" s="1">
        <v>0.77590585574768978</v>
      </c>
      <c r="R339" s="1">
        <v>0.14038317000893571</v>
      </c>
      <c r="S339" s="2">
        <f t="shared" si="60"/>
        <v>0.68182980597716392</v>
      </c>
      <c r="T339" s="4">
        <f t="shared" si="61"/>
        <v>0.46489188431885697</v>
      </c>
      <c r="U339" s="1">
        <f t="shared" si="64"/>
        <v>0.32403655562231615</v>
      </c>
      <c r="V339" s="6">
        <f>2*sigma/alpha*corel*(B339/12-1/alpha*(1-EXP(-alpha*Output!B339/12)))</f>
        <v>1.3388467849690779</v>
      </c>
      <c r="W339" s="5">
        <f t="shared" si="62"/>
        <v>-0.14085532869654083</v>
      </c>
      <c r="X339" s="1">
        <f t="shared" si="70"/>
        <v>17.192693317777167</v>
      </c>
      <c r="Y339" s="3">
        <f t="shared" si="63"/>
        <v>5.1357813902919811E-2</v>
      </c>
      <c r="Z339" s="1">
        <f t="shared" si="65"/>
        <v>0.13041564196906016</v>
      </c>
      <c r="AA339" s="8">
        <f t="shared" si="71"/>
        <v>27.249999999999883</v>
      </c>
      <c r="AB339" s="1">
        <v>27.33</v>
      </c>
      <c r="AC339">
        <v>9.5648372960000002E-3</v>
      </c>
      <c r="AD339" s="8">
        <f t="shared" si="66"/>
        <v>2.8224878118737404</v>
      </c>
      <c r="AE339" s="3">
        <f t="shared" si="67"/>
        <v>2.9508999730231692E-2</v>
      </c>
      <c r="AF339" s="11">
        <f t="shared" si="68"/>
        <v>27.249999999999883</v>
      </c>
      <c r="AG339" s="1">
        <f t="shared" si="69"/>
        <v>0.13041564196906016</v>
      </c>
    </row>
    <row r="340" spans="2:33" ht="15" x14ac:dyDescent="0.25">
      <c r="B340" s="1">
        <v>329</v>
      </c>
      <c r="C340" s="1">
        <v>0.77535845514671431</v>
      </c>
      <c r="D340" s="1">
        <v>5.3751881315846051</v>
      </c>
      <c r="E340" s="1">
        <v>7.9643198470850593E-2</v>
      </c>
      <c r="G340" s="1">
        <v>0.77535845514671431</v>
      </c>
      <c r="H340" s="1">
        <v>5.3751881315846051</v>
      </c>
      <c r="I340" s="1">
        <v>7.9643198470850593E-2</v>
      </c>
      <c r="K340" s="1">
        <v>1.0007776961290418</v>
      </c>
      <c r="L340" s="1">
        <v>2.566573376402951</v>
      </c>
      <c r="M340" s="1">
        <v>0.36381976941821931</v>
      </c>
      <c r="O340" s="1">
        <v>9.2801155181588511E-3</v>
      </c>
      <c r="P340" s="1">
        <v>0.77535845514671431</v>
      </c>
      <c r="R340" s="1">
        <v>0.14075138932656783</v>
      </c>
      <c r="S340" s="2">
        <f t="shared" si="60"/>
        <v>0.68388364542229318</v>
      </c>
      <c r="T340" s="4">
        <f t="shared" si="61"/>
        <v>0.46769684047608484</v>
      </c>
      <c r="U340" s="1">
        <f t="shared" si="64"/>
        <v>0.32634300058176713</v>
      </c>
      <c r="V340" s="6">
        <f>2*sigma/alpha*corel*(B340/12-1/alpha*(1-EXP(-alpha*Output!B340/12)))</f>
        <v>1.3457786624500354</v>
      </c>
      <c r="W340" s="5">
        <f t="shared" si="62"/>
        <v>-0.14135383989431771</v>
      </c>
      <c r="X340" s="1">
        <f t="shared" si="70"/>
        <v>17.312924650049315</v>
      </c>
      <c r="Y340" s="3">
        <f t="shared" si="63"/>
        <v>5.1339239106522508E-2</v>
      </c>
      <c r="Z340" s="1">
        <f t="shared" si="65"/>
        <v>0.13060953764697156</v>
      </c>
      <c r="AA340" s="8">
        <f t="shared" si="71"/>
        <v>27.333333333333215</v>
      </c>
      <c r="AB340" s="1">
        <v>27.42</v>
      </c>
      <c r="AC340">
        <v>9.563929677E-3</v>
      </c>
      <c r="AD340" s="8">
        <f t="shared" si="66"/>
        <v>2.8381415884114887</v>
      </c>
      <c r="AE340" s="3">
        <f t="shared" si="67"/>
        <v>2.9675475293768086E-2</v>
      </c>
      <c r="AF340" s="11">
        <f t="shared" si="68"/>
        <v>27.333333333333215</v>
      </c>
      <c r="AG340" s="1">
        <f t="shared" si="69"/>
        <v>0.13060953764697156</v>
      </c>
    </row>
    <row r="341" spans="2:33" ht="15" x14ac:dyDescent="0.25">
      <c r="B341" s="1">
        <v>330</v>
      </c>
      <c r="C341" s="1">
        <v>0.77481137322367422</v>
      </c>
      <c r="D341" s="1">
        <v>5.3928706250337051</v>
      </c>
      <c r="E341" s="1">
        <v>7.9076387790605718E-2</v>
      </c>
      <c r="G341" s="1">
        <v>0.77481137322367422</v>
      </c>
      <c r="H341" s="1">
        <v>5.3928706250337051</v>
      </c>
      <c r="I341" s="1">
        <v>7.9076387790605718E-2</v>
      </c>
      <c r="K341" s="1">
        <v>1.0007438708199103</v>
      </c>
      <c r="L341" s="1">
        <v>2.5251241266395548</v>
      </c>
      <c r="M341" s="1">
        <v>0.36969005842495267</v>
      </c>
      <c r="O341" s="1">
        <v>9.2776606778764252E-3</v>
      </c>
      <c r="P341" s="1">
        <v>0.77481137322367422</v>
      </c>
      <c r="R341" s="1">
        <v>0.14114042864317664</v>
      </c>
      <c r="S341" s="2">
        <f t="shared" si="60"/>
        <v>0.68600653247090393</v>
      </c>
      <c r="T341" s="4">
        <f t="shared" si="61"/>
        <v>0.47060496259275336</v>
      </c>
      <c r="U341" s="1">
        <f t="shared" si="64"/>
        <v>0.32865716908592502</v>
      </c>
      <c r="V341" s="6">
        <f>2*sigma/alpha*corel*(B341/12-1/alpha*(1-EXP(-alpha*Output!B341/12)))</f>
        <v>1.3527221365564985</v>
      </c>
      <c r="W341" s="5">
        <f t="shared" si="62"/>
        <v>-0.14194779350682835</v>
      </c>
      <c r="X341" s="1">
        <f t="shared" si="70"/>
        <v>17.444114464481096</v>
      </c>
      <c r="Y341" s="3">
        <f t="shared" si="63"/>
        <v>5.1343510104274785E-2</v>
      </c>
      <c r="Z341" s="1">
        <f t="shared" si="65"/>
        <v>0.1308163129378197</v>
      </c>
      <c r="AA341" s="8">
        <f t="shared" si="71"/>
        <v>27.416666666666547</v>
      </c>
      <c r="AB341" s="1">
        <v>27.5</v>
      </c>
      <c r="AC341">
        <v>9.5630231789999992E-3</v>
      </c>
      <c r="AD341" s="8">
        <f t="shared" si="66"/>
        <v>2.85362501123574</v>
      </c>
      <c r="AE341" s="3">
        <f t="shared" si="67"/>
        <v>2.9840197580009862E-2</v>
      </c>
      <c r="AF341" s="11">
        <f t="shared" si="68"/>
        <v>27.416666666666547</v>
      </c>
      <c r="AG341" s="1">
        <f t="shared" si="69"/>
        <v>0.1308163129378197</v>
      </c>
    </row>
    <row r="342" spans="2:33" ht="15" x14ac:dyDescent="0.25">
      <c r="B342" s="1">
        <v>331</v>
      </c>
      <c r="C342" s="1">
        <v>0.7742663814573697</v>
      </c>
      <c r="D342" s="1">
        <v>5.4097917230186638</v>
      </c>
      <c r="E342" s="1">
        <v>7.852375343541422E-2</v>
      </c>
      <c r="G342" s="1">
        <v>0.7742663814573697</v>
      </c>
      <c r="H342" s="1">
        <v>5.4097917230186638</v>
      </c>
      <c r="I342" s="1">
        <v>7.852375343541422E-2</v>
      </c>
      <c r="K342" s="1">
        <v>1.0007142826566668</v>
      </c>
      <c r="L342" s="1">
        <v>2.4877344823899485</v>
      </c>
      <c r="M342" s="1">
        <v>0.37519156772274787</v>
      </c>
      <c r="O342" s="1">
        <v>9.2751408766032183E-3</v>
      </c>
      <c r="P342" s="1">
        <v>0.7742663814573697</v>
      </c>
      <c r="R342" s="1">
        <v>0.14137606733341473</v>
      </c>
      <c r="S342" s="2">
        <f t="shared" si="60"/>
        <v>0.68763155698953615</v>
      </c>
      <c r="T342" s="4">
        <f t="shared" si="61"/>
        <v>0.47283715816785371</v>
      </c>
      <c r="U342" s="1">
        <f t="shared" si="64"/>
        <v>0.33097904827838764</v>
      </c>
      <c r="V342" s="6">
        <f>2*sigma/alpha*corel*(B342/12-1/alpha*(1-EXP(-alpha*Output!B342/12)))</f>
        <v>1.3596771686974032</v>
      </c>
      <c r="W342" s="5">
        <f t="shared" si="62"/>
        <v>-0.14185810988946607</v>
      </c>
      <c r="X342" s="1">
        <f t="shared" si="70"/>
        <v>17.500400127548076</v>
      </c>
      <c r="Y342" s="3">
        <f t="shared" si="63"/>
        <v>5.1184364738771471E-2</v>
      </c>
      <c r="Z342" s="1">
        <f t="shared" si="65"/>
        <v>0.13092796730416131</v>
      </c>
      <c r="AA342" s="8">
        <f t="shared" si="71"/>
        <v>27.499999999999879</v>
      </c>
      <c r="AB342" s="1">
        <v>27.58</v>
      </c>
      <c r="AC342">
        <v>9.5621236509999992E-3</v>
      </c>
      <c r="AD342" s="8">
        <f t="shared" si="66"/>
        <v>2.8698277439678095</v>
      </c>
      <c r="AE342" s="3">
        <f t="shared" si="67"/>
        <v>3.0012451717957918E-2</v>
      </c>
      <c r="AF342" s="11">
        <f t="shared" si="68"/>
        <v>27.499999999999879</v>
      </c>
      <c r="AG342" s="1">
        <f t="shared" si="69"/>
        <v>0.13092796730416131</v>
      </c>
    </row>
    <row r="343" spans="2:33" ht="15" x14ac:dyDescent="0.25">
      <c r="B343" s="1">
        <v>332</v>
      </c>
      <c r="C343" s="1">
        <v>0.77372252896655813</v>
      </c>
      <c r="D343" s="1">
        <v>5.4274084124830395</v>
      </c>
      <c r="E343" s="1">
        <v>7.7966630282239199E-2</v>
      </c>
      <c r="G343" s="1">
        <v>0.77372252896655813</v>
      </c>
      <c r="H343" s="1">
        <v>5.4274084124830395</v>
      </c>
      <c r="I343" s="1">
        <v>7.7966630282239199E-2</v>
      </c>
      <c r="K343" s="1">
        <v>1.0007752004583508</v>
      </c>
      <c r="L343" s="1">
        <v>2.4709811725483131</v>
      </c>
      <c r="M343" s="1">
        <v>0.37764077641720617</v>
      </c>
      <c r="O343" s="1">
        <v>9.2726009411745365E-3</v>
      </c>
      <c r="P343" s="1">
        <v>0.77372252896655813</v>
      </c>
      <c r="R343" s="1">
        <v>0.14162258953348336</v>
      </c>
      <c r="S343" s="2">
        <f t="shared" ref="S343:S406" si="72">optim_vol_implied(P343,R343)</f>
        <v>0.68929163303333207</v>
      </c>
      <c r="T343" s="4">
        <f t="shared" ref="T343:T406" si="73">S343*S343</f>
        <v>0.47512295536975774</v>
      </c>
      <c r="U343" s="1">
        <f t="shared" si="64"/>
        <v>0.33330862526018068</v>
      </c>
      <c r="V343" s="6">
        <f>2*sigma/alpha*corel*(B343/12-1/alpha*(1-EXP(-alpha*Output!B343/12)))</f>
        <v>1.3666437204101078</v>
      </c>
      <c r="W343" s="5">
        <f t="shared" ref="W343:W406" si="74">U343-T343</f>
        <v>-0.14181433010957706</v>
      </c>
      <c r="X343" s="1">
        <f t="shared" si="70"/>
        <v>17.561834257329576</v>
      </c>
      <c r="Y343" s="3">
        <f t="shared" ref="Y343:Y406" si="75">(-V343+SQRT(X343))/2/B343*12</f>
        <v>5.1036876553753246E-2</v>
      </c>
      <c r="Z343" s="1">
        <f t="shared" si="65"/>
        <v>0.13104624706105253</v>
      </c>
      <c r="AA343" s="8">
        <f t="shared" si="71"/>
        <v>27.583333333333211</v>
      </c>
      <c r="AB343" s="1">
        <v>27.67</v>
      </c>
      <c r="AC343">
        <v>9.5612356970000006E-3</v>
      </c>
      <c r="AD343" s="8">
        <f t="shared" si="66"/>
        <v>2.8863475582546414</v>
      </c>
      <c r="AE343" s="3">
        <f t="shared" si="67"/>
        <v>3.0188018052523087E-2</v>
      </c>
      <c r="AF343" s="11">
        <f t="shared" si="68"/>
        <v>27.583333333333211</v>
      </c>
      <c r="AG343" s="1">
        <f t="shared" si="69"/>
        <v>0.13104624706105253</v>
      </c>
    </row>
    <row r="344" spans="2:33" ht="15" x14ac:dyDescent="0.25">
      <c r="B344" s="1">
        <v>333</v>
      </c>
      <c r="C344" s="1">
        <v>0.7731798027483574</v>
      </c>
      <c r="D344" s="1">
        <v>5.4451402123604682</v>
      </c>
      <c r="E344" s="1">
        <v>7.7417356971432996E-2</v>
      </c>
      <c r="G344" s="1">
        <v>0.7731798027483574</v>
      </c>
      <c r="H344" s="1">
        <v>5.4451402123604682</v>
      </c>
      <c r="I344" s="1">
        <v>7.7417356971432996E-2</v>
      </c>
      <c r="K344" s="1">
        <v>1.0007523374794041</v>
      </c>
      <c r="L344" s="1">
        <v>2.4771710616663594</v>
      </c>
      <c r="M344" s="1">
        <v>0.37661676782599696</v>
      </c>
      <c r="O344" s="1">
        <v>9.2700415722022644E-3</v>
      </c>
      <c r="P344" s="1">
        <v>0.7731798027483574</v>
      </c>
      <c r="R344" s="1">
        <v>0.14197673705868427</v>
      </c>
      <c r="S344" s="2">
        <f t="shared" si="72"/>
        <v>0.69130059539438293</v>
      </c>
      <c r="T344" s="4">
        <f t="shared" si="73"/>
        <v>0.47789651319262832</v>
      </c>
      <c r="U344" s="1">
        <f t="shared" si="64"/>
        <v>0.33564588709046728</v>
      </c>
      <c r="V344" s="6">
        <f>2*sigma/alpha*corel*(B344/12-1/alpha*(1-EXP(-alpha*Output!B344/12)))</f>
        <v>1.3736217533599655</v>
      </c>
      <c r="W344" s="5">
        <f t="shared" si="74"/>
        <v>-0.14225062610216105</v>
      </c>
      <c r="X344" s="1">
        <f t="shared" si="70"/>
        <v>17.676656218643583</v>
      </c>
      <c r="Y344" s="3">
        <f t="shared" si="75"/>
        <v>5.1004321036292113E-2</v>
      </c>
      <c r="Z344" s="1">
        <f t="shared" si="65"/>
        <v>0.13123069751740835</v>
      </c>
      <c r="AA344" s="8">
        <f t="shared" si="71"/>
        <v>27.666666666666544</v>
      </c>
      <c r="AB344" s="1">
        <v>27.75</v>
      </c>
      <c r="AC344">
        <v>9.5603589350000007E-3</v>
      </c>
      <c r="AD344" s="8">
        <f t="shared" si="66"/>
        <v>2.9031736279773632</v>
      </c>
      <c r="AE344" s="3">
        <f t="shared" si="67"/>
        <v>3.0366784842658871E-2</v>
      </c>
      <c r="AF344" s="11">
        <f t="shared" si="68"/>
        <v>27.666666666666544</v>
      </c>
      <c r="AG344" s="1">
        <f t="shared" si="69"/>
        <v>0.13123069751740835</v>
      </c>
    </row>
    <row r="345" spans="2:33" ht="15" x14ac:dyDescent="0.25">
      <c r="B345" s="1">
        <v>334</v>
      </c>
      <c r="C345" s="1">
        <v>0.77263484512865133</v>
      </c>
      <c r="D345" s="1">
        <v>5.4629882545752526</v>
      </c>
      <c r="E345" s="1">
        <v>7.6863950807071479E-2</v>
      </c>
      <c r="G345" s="1">
        <v>0.77263484512865133</v>
      </c>
      <c r="H345" s="1">
        <v>5.4629882545752526</v>
      </c>
      <c r="I345" s="1">
        <v>7.6863950807071479E-2</v>
      </c>
      <c r="K345" s="1">
        <v>1.0007198867203699</v>
      </c>
      <c r="L345" s="1">
        <v>2.489429012442006</v>
      </c>
      <c r="M345" s="1">
        <v>0.37468303872815001</v>
      </c>
      <c r="O345" s="1">
        <v>9.2676189931494256E-3</v>
      </c>
      <c r="P345" s="1">
        <v>0.77263484512865133</v>
      </c>
      <c r="R345" s="1">
        <v>0.14227652570755922</v>
      </c>
      <c r="S345" s="2">
        <f t="shared" si="72"/>
        <v>0.69313880014749851</v>
      </c>
      <c r="T345" s="4">
        <f t="shared" si="73"/>
        <v>0.48044139626991389</v>
      </c>
      <c r="U345" s="1">
        <f t="shared" si="64"/>
        <v>0.33799082078725196</v>
      </c>
      <c r="V345" s="6">
        <f>2*sigma/alpha*corel*(B345/12-1/alpha*(1-EXP(-alpha*Output!B345/12)))</f>
        <v>1.3806112293399013</v>
      </c>
      <c r="W345" s="5">
        <f t="shared" si="74"/>
        <v>-0.14245057548266193</v>
      </c>
      <c r="X345" s="1">
        <f t="shared" si="70"/>
        <v>17.765584770315797</v>
      </c>
      <c r="Y345" s="3">
        <f t="shared" si="75"/>
        <v>5.0915799222648883E-2</v>
      </c>
      <c r="Z345" s="1">
        <f t="shared" si="65"/>
        <v>0.13138252368810543</v>
      </c>
      <c r="AA345" s="8">
        <f t="shared" si="71"/>
        <v>27.749999999999876</v>
      </c>
      <c r="AB345" s="1">
        <v>27.83</v>
      </c>
      <c r="AC345">
        <v>9.5594917379999995E-3</v>
      </c>
      <c r="AD345" s="8">
        <f t="shared" si="66"/>
        <v>2.9187274485057388</v>
      </c>
      <c r="AE345" s="3">
        <f t="shared" si="67"/>
        <v>3.0532245107796747E-2</v>
      </c>
      <c r="AF345" s="11">
        <f t="shared" si="68"/>
        <v>27.749999999999876</v>
      </c>
      <c r="AG345" s="1">
        <f t="shared" si="69"/>
        <v>0.13138252368810543</v>
      </c>
    </row>
    <row r="346" spans="2:33" ht="15" x14ac:dyDescent="0.25">
      <c r="B346" s="1">
        <v>335</v>
      </c>
      <c r="C346" s="1">
        <v>0.77208950368239693</v>
      </c>
      <c r="D346" s="1">
        <v>5.4800526085050416</v>
      </c>
      <c r="E346" s="1">
        <v>7.6324225309113106E-2</v>
      </c>
      <c r="G346" s="1">
        <v>0.77208950368239693</v>
      </c>
      <c r="H346" s="1">
        <v>5.4800526085050416</v>
      </c>
      <c r="I346" s="1">
        <v>7.6324225309113106E-2</v>
      </c>
      <c r="K346" s="1">
        <v>1.0007569616292853</v>
      </c>
      <c r="L346" s="1">
        <v>2.4380643348704685</v>
      </c>
      <c r="M346" s="1">
        <v>0.3825100134181959</v>
      </c>
      <c r="O346" s="1">
        <v>9.2652465050203723E-3</v>
      </c>
      <c r="P346" s="1">
        <v>0.77208950368239693</v>
      </c>
      <c r="R346" s="1">
        <v>0.14269057617909589</v>
      </c>
      <c r="S346" s="2">
        <f t="shared" si="72"/>
        <v>0.69535056540496387</v>
      </c>
      <c r="T346" s="4">
        <f t="shared" si="73"/>
        <v>0.48351240880900292</v>
      </c>
      <c r="U346" s="1">
        <f t="shared" si="64"/>
        <v>0.34034341332807561</v>
      </c>
      <c r="V346" s="6">
        <f>2*sigma/alpha*corel*(B346/12-1/alpha*(1-EXP(-alpha*Output!B346/12)))</f>
        <v>1.3876121102699823</v>
      </c>
      <c r="W346" s="5">
        <f t="shared" si="74"/>
        <v>-0.14316899548092732</v>
      </c>
      <c r="X346" s="1">
        <f t="shared" si="70"/>
        <v>17.912671863938129</v>
      </c>
      <c r="Y346" s="3">
        <f t="shared" si="75"/>
        <v>5.0950286762008107E-2</v>
      </c>
      <c r="Z346" s="1">
        <f t="shared" si="65"/>
        <v>0.13160489154938534</v>
      </c>
      <c r="AA346" s="8">
        <f t="shared" si="71"/>
        <v>27.833333333333208</v>
      </c>
      <c r="AB346" s="1">
        <v>27.92</v>
      </c>
      <c r="AC346">
        <v>9.5586324769999995E-3</v>
      </c>
      <c r="AD346" s="8">
        <f t="shared" si="66"/>
        <v>2.9338597197962715</v>
      </c>
      <c r="AE346" s="3">
        <f t="shared" si="67"/>
        <v>3.0693299767050677E-2</v>
      </c>
      <c r="AF346" s="11">
        <f t="shared" si="68"/>
        <v>27.833333333333208</v>
      </c>
      <c r="AG346" s="1">
        <f t="shared" si="69"/>
        <v>0.13160489154938534</v>
      </c>
    </row>
    <row r="347" spans="2:33" ht="15" x14ac:dyDescent="0.25">
      <c r="B347" s="1">
        <v>336</v>
      </c>
      <c r="C347" s="1">
        <v>0.77154260707537148</v>
      </c>
      <c r="D347" s="1">
        <v>5.4975261132490374</v>
      </c>
      <c r="E347" s="1">
        <v>7.578628268283441E-2</v>
      </c>
      <c r="G347" s="1">
        <v>0.77154260707537148</v>
      </c>
      <c r="H347" s="1">
        <v>5.4975261132490374</v>
      </c>
      <c r="I347" s="1">
        <v>7.578628268283441E-2</v>
      </c>
      <c r="K347" s="1">
        <v>1.0006410619488657</v>
      </c>
      <c r="L347" s="1">
        <v>2.429964966031481</v>
      </c>
      <c r="M347" s="1">
        <v>0.38371138353205075</v>
      </c>
      <c r="O347" s="1">
        <v>9.2629779436921716E-3</v>
      </c>
      <c r="P347" s="1">
        <v>0.77154260707537148</v>
      </c>
      <c r="R347" s="1">
        <v>0.1430213297099682</v>
      </c>
      <c r="S347" s="2">
        <f t="shared" si="72"/>
        <v>0.69729651456299591</v>
      </c>
      <c r="T347" s="4">
        <f t="shared" si="73"/>
        <v>0.48622242922170233</v>
      </c>
      <c r="U347" s="1">
        <f t="shared" si="64"/>
        <v>0.34270365165070737</v>
      </c>
      <c r="V347" s="6">
        <f>2*sigma/alpha*corel*(B347/12-1/alpha*(1-EXP(-alpha*Output!B347/12)))</f>
        <v>1.3946243581969986</v>
      </c>
      <c r="W347" s="5">
        <f t="shared" si="74"/>
        <v>-0.14351877757099496</v>
      </c>
      <c r="X347" s="1">
        <f t="shared" si="70"/>
        <v>18.019080188427825</v>
      </c>
      <c r="Y347" s="3">
        <f t="shared" si="75"/>
        <v>5.0897577769961691E-2</v>
      </c>
      <c r="Z347" s="1">
        <f t="shared" si="65"/>
        <v>0.13177665482898684</v>
      </c>
      <c r="AA347" s="8">
        <f t="shared" si="71"/>
        <v>27.91666666666654</v>
      </c>
      <c r="AB347" s="1">
        <v>28</v>
      </c>
      <c r="AC347">
        <v>9.5577795259999994E-3</v>
      </c>
      <c r="AD347" s="8">
        <f t="shared" si="66"/>
        <v>2.9480158230782774</v>
      </c>
      <c r="AE347" s="3">
        <f t="shared" si="67"/>
        <v>3.0844149679941858E-2</v>
      </c>
      <c r="AF347" s="11">
        <f t="shared" si="68"/>
        <v>27.91666666666654</v>
      </c>
      <c r="AG347" s="1">
        <f t="shared" si="69"/>
        <v>0.13177665482898684</v>
      </c>
    </row>
    <row r="348" spans="2:33" ht="15" x14ac:dyDescent="0.25">
      <c r="B348" s="1">
        <v>337</v>
      </c>
      <c r="C348" s="1">
        <v>0.77099744804661363</v>
      </c>
      <c r="D348" s="1">
        <v>5.5154155865644476</v>
      </c>
      <c r="E348" s="1">
        <v>7.5250206938069081E-2</v>
      </c>
      <c r="G348" s="1">
        <v>0.77099744804661363</v>
      </c>
      <c r="H348" s="1">
        <v>5.5154155865644476</v>
      </c>
      <c r="I348" s="1">
        <v>7.5250206938069081E-2</v>
      </c>
      <c r="K348" s="1">
        <v>1.000627983323447</v>
      </c>
      <c r="L348" s="1">
        <v>2.4154439804654642</v>
      </c>
      <c r="M348" s="1">
        <v>0.38593522220443688</v>
      </c>
      <c r="O348" s="1">
        <v>9.260660487270856E-3</v>
      </c>
      <c r="P348" s="1">
        <v>0.77099744804661363</v>
      </c>
      <c r="R348" s="1">
        <v>0.14335795726264186</v>
      </c>
      <c r="S348" s="2">
        <f t="shared" si="72"/>
        <v>0.69926083119733407</v>
      </c>
      <c r="T348" s="4">
        <f t="shared" si="73"/>
        <v>0.48896571004678652</v>
      </c>
      <c r="U348" s="1">
        <f t="shared" si="64"/>
        <v>0.34507152265382679</v>
      </c>
      <c r="V348" s="6">
        <f>2*sigma/alpha*corel*(B348/12-1/alpha*(1-EXP(-alpha*Output!B348/12)))</f>
        <v>1.4016479352940401</v>
      </c>
      <c r="W348" s="5">
        <f t="shared" si="74"/>
        <v>-0.14389418739295973</v>
      </c>
      <c r="X348" s="1">
        <f t="shared" si="70"/>
        <v>18.128730651656518</v>
      </c>
      <c r="Y348" s="3">
        <f t="shared" si="75"/>
        <v>5.0851099877647202E-2</v>
      </c>
      <c r="Z348" s="1">
        <f t="shared" si="65"/>
        <v>0.13195166501706518</v>
      </c>
      <c r="AA348" s="8">
        <f t="shared" si="71"/>
        <v>27.999999999999872</v>
      </c>
      <c r="AB348" s="1">
        <v>28.08</v>
      </c>
      <c r="AC348">
        <v>9.5569312560000001E-3</v>
      </c>
      <c r="AD348" s="8">
        <f t="shared" si="66"/>
        <v>2.9627076872914411</v>
      </c>
      <c r="AE348" s="3">
        <f t="shared" si="67"/>
        <v>3.1000617331336393E-2</v>
      </c>
      <c r="AF348" s="11">
        <f t="shared" si="68"/>
        <v>27.999999999999872</v>
      </c>
      <c r="AG348" s="1">
        <f t="shared" si="69"/>
        <v>0.13195166501706518</v>
      </c>
    </row>
    <row r="349" spans="2:33" ht="15" x14ac:dyDescent="0.25">
      <c r="B349" s="1">
        <v>338</v>
      </c>
      <c r="C349" s="1">
        <v>0.77045223630859838</v>
      </c>
      <c r="D349" s="1">
        <v>5.5334218680832228</v>
      </c>
      <c r="E349" s="1">
        <v>7.4716078900179311E-2</v>
      </c>
      <c r="G349" s="1">
        <v>0.77045223630859838</v>
      </c>
      <c r="H349" s="1">
        <v>5.5334218680832228</v>
      </c>
      <c r="I349" s="1">
        <v>7.4716078900179311E-2</v>
      </c>
      <c r="K349" s="1">
        <v>1.0006386215562189</v>
      </c>
      <c r="L349" s="1">
        <v>2.392105979595613</v>
      </c>
      <c r="M349" s="1">
        <v>0.38961198993114438</v>
      </c>
      <c r="O349" s="1">
        <v>9.2583769227667888E-3</v>
      </c>
      <c r="P349" s="1">
        <v>0.77045223630859838</v>
      </c>
      <c r="R349" s="1">
        <v>0.14367329664737691</v>
      </c>
      <c r="S349" s="2">
        <f t="shared" si="72"/>
        <v>0.70115802065432531</v>
      </c>
      <c r="T349" s="4">
        <f t="shared" si="73"/>
        <v>0.49162256992789127</v>
      </c>
      <c r="U349" s="1">
        <f t="shared" si="64"/>
        <v>0.34744701319770632</v>
      </c>
      <c r="V349" s="6">
        <f>2*sigma/alpha*corel*(B349/12-1/alpha*(1-EXP(-alpha*Output!B349/12)))</f>
        <v>1.4086828038600769</v>
      </c>
      <c r="W349" s="5">
        <f t="shared" si="74"/>
        <v>-0.14417555673018495</v>
      </c>
      <c r="X349" s="1">
        <f t="shared" si="70"/>
        <v>18.228166633491927</v>
      </c>
      <c r="Y349" s="3">
        <f t="shared" si="75"/>
        <v>5.0782773404552145E-2</v>
      </c>
      <c r="Z349" s="1">
        <f t="shared" si="65"/>
        <v>0.13211379843560966</v>
      </c>
      <c r="AA349" s="8">
        <f t="shared" si="71"/>
        <v>28.083333333333204</v>
      </c>
      <c r="AB349" s="1">
        <v>28.17</v>
      </c>
      <c r="AC349">
        <v>9.5560863739999995E-3</v>
      </c>
      <c r="AD349" s="8">
        <f t="shared" si="66"/>
        <v>2.9770945123321066</v>
      </c>
      <c r="AE349" s="3">
        <f t="shared" si="67"/>
        <v>3.1153909621747699E-2</v>
      </c>
      <c r="AF349" s="11">
        <f t="shared" si="68"/>
        <v>28.083333333333204</v>
      </c>
      <c r="AG349" s="1">
        <f t="shared" si="69"/>
        <v>0.13211379843560966</v>
      </c>
    </row>
    <row r="350" spans="2:33" ht="15" x14ac:dyDescent="0.25">
      <c r="B350" s="1">
        <v>339</v>
      </c>
      <c r="C350" s="1">
        <v>0.76990409923848169</v>
      </c>
      <c r="D350" s="1">
        <v>5.5506216696269988</v>
      </c>
      <c r="E350" s="1">
        <v>7.4189479931745683E-2</v>
      </c>
      <c r="G350" s="1">
        <v>0.76990409923848169</v>
      </c>
      <c r="H350" s="1">
        <v>5.5506216696269988</v>
      </c>
      <c r="I350" s="1">
        <v>7.4189479931745683E-2</v>
      </c>
      <c r="K350" s="1">
        <v>1.0005566865302991</v>
      </c>
      <c r="L350" s="1">
        <v>2.3617152213475543</v>
      </c>
      <c r="M350" s="1">
        <v>0.39454769751615093</v>
      </c>
      <c r="O350" s="1">
        <v>9.2562590560881456E-3</v>
      </c>
      <c r="P350" s="1">
        <v>0.76990409923848169</v>
      </c>
      <c r="R350" s="1">
        <v>0.14402585263915477</v>
      </c>
      <c r="S350" s="2">
        <f t="shared" si="72"/>
        <v>0.70318306359809646</v>
      </c>
      <c r="T350" s="4">
        <f t="shared" si="73"/>
        <v>0.49446642093120458</v>
      </c>
      <c r="U350" s="1">
        <f t="shared" si="64"/>
        <v>0.34983011010488019</v>
      </c>
      <c r="V350" s="6">
        <f>2*sigma/alpha*corel*(B350/12-1/alpha*(1-EXP(-alpha*Output!B350/12)))</f>
        <v>1.4157289263195403</v>
      </c>
      <c r="W350" s="5">
        <f t="shared" si="74"/>
        <v>-0.14463631082632439</v>
      </c>
      <c r="X350" s="1">
        <f t="shared" si="70"/>
        <v>18.348191516192536</v>
      </c>
      <c r="Y350" s="3">
        <f t="shared" si="75"/>
        <v>5.0756636763146436E-2</v>
      </c>
      <c r="Z350" s="1">
        <f t="shared" si="65"/>
        <v>0.13229979644412793</v>
      </c>
      <c r="AA350" s="8">
        <f t="shared" si="71"/>
        <v>28.166666666666536</v>
      </c>
      <c r="AB350" s="1">
        <v>28.25</v>
      </c>
      <c r="AC350">
        <v>9.5552449270000003E-3</v>
      </c>
      <c r="AD350" s="8">
        <f t="shared" si="66"/>
        <v>2.9898587091185465</v>
      </c>
      <c r="AE350" s="3">
        <f t="shared" si="67"/>
        <v>3.1290236220635037E-2</v>
      </c>
      <c r="AF350" s="11">
        <f t="shared" si="68"/>
        <v>28.166666666666536</v>
      </c>
      <c r="AG350" s="1">
        <f t="shared" si="69"/>
        <v>0.13229979644412793</v>
      </c>
    </row>
    <row r="351" spans="2:33" ht="15" x14ac:dyDescent="0.25">
      <c r="B351" s="1">
        <v>340</v>
      </c>
      <c r="C351" s="1">
        <v>0.76935654105407314</v>
      </c>
      <c r="D351" s="1">
        <v>5.5666889334224008</v>
      </c>
      <c r="E351" s="1">
        <v>7.368653746960431E-2</v>
      </c>
      <c r="G351" s="1">
        <v>0.76935654105407314</v>
      </c>
      <c r="H351" s="1">
        <v>5.5666889334224008</v>
      </c>
      <c r="I351" s="1">
        <v>7.368653746960431E-2</v>
      </c>
      <c r="K351" s="1">
        <v>1.0004983698284102</v>
      </c>
      <c r="L351" s="1">
        <v>2.3390266643028061</v>
      </c>
      <c r="M351" s="1">
        <v>0.39830201837348028</v>
      </c>
      <c r="O351" s="1">
        <v>9.2541449810264187E-3</v>
      </c>
      <c r="P351" s="1">
        <v>0.76935654105407314</v>
      </c>
      <c r="R351" s="1">
        <v>0.14461692173606119</v>
      </c>
      <c r="S351" s="2">
        <f t="shared" si="72"/>
        <v>0.70598656938849524</v>
      </c>
      <c r="T351" s="4">
        <f t="shared" si="73"/>
        <v>0.49841703615693661</v>
      </c>
      <c r="U351" s="1">
        <f t="shared" si="64"/>
        <v>0.35222080016081447</v>
      </c>
      <c r="V351" s="6">
        <f>2*sigma/alpha*corel*(B351/12-1/alpha*(1-EXP(-alpha*Output!B351/12)))</f>
        <v>1.4227862652219034</v>
      </c>
      <c r="W351" s="5">
        <f t="shared" si="74"/>
        <v>-0.14619623599612214</v>
      </c>
      <c r="X351" s="1">
        <f t="shared" si="70"/>
        <v>18.593227502731267</v>
      </c>
      <c r="Y351" s="3">
        <f t="shared" si="75"/>
        <v>5.098588634578282E-2</v>
      </c>
      <c r="Z351" s="1">
        <f t="shared" si="65"/>
        <v>0.13263178167928416</v>
      </c>
      <c r="AA351" s="8">
        <f t="shared" si="71"/>
        <v>28.249999999999869</v>
      </c>
      <c r="AB351" s="1">
        <v>28.33</v>
      </c>
      <c r="AC351">
        <v>9.5544072930000001E-3</v>
      </c>
      <c r="AD351" s="8">
        <f t="shared" si="66"/>
        <v>3.0026231197358144</v>
      </c>
      <c r="AE351" s="3">
        <f t="shared" si="67"/>
        <v>3.1426576528045591E-2</v>
      </c>
      <c r="AF351" s="11">
        <f t="shared" si="68"/>
        <v>28.249999999999869</v>
      </c>
      <c r="AG351" s="1">
        <f t="shared" si="69"/>
        <v>0.13263178167928416</v>
      </c>
    </row>
    <row r="352" spans="2:33" ht="15" x14ac:dyDescent="0.25">
      <c r="B352" s="1">
        <v>341</v>
      </c>
      <c r="C352" s="1">
        <v>0.76880719205000325</v>
      </c>
      <c r="D352" s="1">
        <v>5.5812915108556123</v>
      </c>
      <c r="E352" s="1">
        <v>7.320644216691069E-2</v>
      </c>
      <c r="G352" s="1">
        <v>0.76880719205000325</v>
      </c>
      <c r="H352" s="1">
        <v>5.5812915108556123</v>
      </c>
      <c r="I352" s="1">
        <v>7.320644216691069E-2</v>
      </c>
      <c r="K352" s="1">
        <v>1.000367987496781</v>
      </c>
      <c r="L352" s="1">
        <v>2.3412307351636046</v>
      </c>
      <c r="M352" s="1">
        <v>0.3978344131881601</v>
      </c>
      <c r="O352" s="1">
        <v>9.2521431014449575E-3</v>
      </c>
      <c r="P352" s="1">
        <v>0.76880719205000325</v>
      </c>
      <c r="R352" s="1">
        <v>0.1448709331954435</v>
      </c>
      <c r="S352" s="2">
        <f t="shared" si="72"/>
        <v>0.7076970841474699</v>
      </c>
      <c r="T352" s="4">
        <f t="shared" si="73"/>
        <v>0.50083516291083108</v>
      </c>
      <c r="U352" s="1">
        <f t="shared" si="64"/>
        <v>0.35461907011456528</v>
      </c>
      <c r="V352" s="6">
        <f>2*sigma/alpha*corel*(B352/12-1/alpha*(1-EXP(-alpha*Output!B352/12)))</f>
        <v>1.4298547832412689</v>
      </c>
      <c r="W352" s="5">
        <f t="shared" si="74"/>
        <v>-0.1462160927962658</v>
      </c>
      <c r="X352" s="1">
        <f t="shared" si="70"/>
        <v>18.664380582333479</v>
      </c>
      <c r="Y352" s="3">
        <f t="shared" si="75"/>
        <v>5.0857028353257255E-2</v>
      </c>
      <c r="Z352" s="1">
        <f t="shared" si="65"/>
        <v>0.13275804237425284</v>
      </c>
      <c r="AA352" s="8">
        <f t="shared" si="71"/>
        <v>28.333333333333201</v>
      </c>
      <c r="AB352" s="1">
        <v>28.42</v>
      </c>
      <c r="AC352">
        <v>9.5535738529999997E-3</v>
      </c>
      <c r="AD352" s="8">
        <f t="shared" si="66"/>
        <v>3.0143075155504224</v>
      </c>
      <c r="AE352" s="3">
        <f t="shared" si="67"/>
        <v>3.1551622062395777E-2</v>
      </c>
      <c r="AF352" s="11">
        <f t="shared" si="68"/>
        <v>28.333333333333201</v>
      </c>
      <c r="AG352" s="1">
        <f t="shared" si="69"/>
        <v>0.13275804237425284</v>
      </c>
    </row>
    <row r="353" spans="2:33" ht="15" x14ac:dyDescent="0.25">
      <c r="B353" s="1">
        <v>342</v>
      </c>
      <c r="C353" s="1">
        <v>0.76825711729747037</v>
      </c>
      <c r="D353" s="1">
        <v>5.596597268860533</v>
      </c>
      <c r="E353" s="1">
        <v>7.2716695753344968E-2</v>
      </c>
      <c r="G353" s="1">
        <v>0.76825711729747037</v>
      </c>
      <c r="H353" s="1">
        <v>5.596597268860533</v>
      </c>
      <c r="I353" s="1">
        <v>7.2716695753344968E-2</v>
      </c>
      <c r="K353" s="1">
        <v>1.0004043151055362</v>
      </c>
      <c r="L353" s="1">
        <v>2.3041010402449875</v>
      </c>
      <c r="M353" s="1">
        <v>0.4041417521575229</v>
      </c>
      <c r="O353" s="1">
        <v>9.2502039900268108E-3</v>
      </c>
      <c r="P353" s="1">
        <v>0.76825711729747037</v>
      </c>
      <c r="R353" s="1">
        <v>0.14515996933307979</v>
      </c>
      <c r="S353" s="2">
        <f t="shared" si="72"/>
        <v>0.70952479167837001</v>
      </c>
      <c r="T353" s="4">
        <f t="shared" si="73"/>
        <v>0.50342543000623441</v>
      </c>
      <c r="U353" s="1">
        <f t="shared" si="64"/>
        <v>0.35702490667943643</v>
      </c>
      <c r="V353" s="6">
        <f>2*sigma/alpha*corel*(B353/12-1/alpha*(1-EXP(-alpha*Output!B353/12)))</f>
        <v>1.4369344431759496</v>
      </c>
      <c r="W353" s="5">
        <f t="shared" si="74"/>
        <v>-0.14640052332679798</v>
      </c>
      <c r="X353" s="1">
        <f t="shared" si="70"/>
        <v>18.754440253240343</v>
      </c>
      <c r="Y353" s="3">
        <f t="shared" si="75"/>
        <v>5.0766758976772262E-2</v>
      </c>
      <c r="Z353" s="1">
        <f t="shared" si="65"/>
        <v>0.1329061705702837</v>
      </c>
      <c r="AA353" s="8">
        <f t="shared" si="71"/>
        <v>28.416666666666533</v>
      </c>
      <c r="AB353" s="1">
        <v>28.5</v>
      </c>
      <c r="AC353">
        <v>9.5527449869999993E-3</v>
      </c>
      <c r="AD353" s="8">
        <f t="shared" si="66"/>
        <v>3.0254099697318848</v>
      </c>
      <c r="AE353" s="3">
        <f t="shared" si="67"/>
        <v>3.1670582370293153E-2</v>
      </c>
      <c r="AF353" s="11">
        <f t="shared" si="68"/>
        <v>28.416666666666533</v>
      </c>
      <c r="AG353" s="1">
        <f t="shared" si="69"/>
        <v>0.1329061705702837</v>
      </c>
    </row>
    <row r="354" spans="2:33" ht="15" x14ac:dyDescent="0.25">
      <c r="B354" s="1">
        <v>343</v>
      </c>
      <c r="C354" s="1">
        <v>0.76770759140661005</v>
      </c>
      <c r="D354" s="1">
        <v>5.6119872046691741</v>
      </c>
      <c r="E354" s="1">
        <v>7.2228241242325741E-2</v>
      </c>
      <c r="G354" s="1">
        <v>0.76770759140661005</v>
      </c>
      <c r="H354" s="1">
        <v>5.6119872046691741</v>
      </c>
      <c r="I354" s="1">
        <v>7.2228241242325741E-2</v>
      </c>
      <c r="K354" s="1">
        <v>1.0002381515739365</v>
      </c>
      <c r="L354" s="1">
        <v>2.3072336851806705</v>
      </c>
      <c r="M354" s="1">
        <v>0.40353033569677621</v>
      </c>
      <c r="O354" s="1">
        <v>9.2482691087039208E-3</v>
      </c>
      <c r="P354" s="1">
        <v>0.76770759140661005</v>
      </c>
      <c r="R354" s="1">
        <v>0.14553204846612924</v>
      </c>
      <c r="S354" s="2">
        <f t="shared" si="72"/>
        <v>0.71162468979827276</v>
      </c>
      <c r="T354" s="4">
        <f t="shared" si="73"/>
        <v>0.50640969913048794</v>
      </c>
      <c r="U354" s="1">
        <f t="shared" si="64"/>
        <v>0.35943829653362602</v>
      </c>
      <c r="V354" s="6">
        <f>2*sigma/alpha*corel*(B354/12-1/alpha*(1-EXP(-alpha*Output!B354/12)))</f>
        <v>1.4440252079480587</v>
      </c>
      <c r="W354" s="5">
        <f t="shared" si="74"/>
        <v>-0.14697140259686192</v>
      </c>
      <c r="X354" s="1">
        <f t="shared" si="70"/>
        <v>18.888939164763983</v>
      </c>
      <c r="Y354" s="3">
        <f t="shared" si="75"/>
        <v>5.0765869029013214E-2</v>
      </c>
      <c r="Z354" s="1">
        <f t="shared" si="65"/>
        <v>0.13310506152653281</v>
      </c>
      <c r="AA354" s="8">
        <f t="shared" si="71"/>
        <v>28.499999999999865</v>
      </c>
      <c r="AB354" s="1">
        <v>28.58</v>
      </c>
      <c r="AC354">
        <v>9.5519210750000007E-3</v>
      </c>
      <c r="AD354" s="8">
        <f t="shared" si="66"/>
        <v>3.0365196629607989</v>
      </c>
      <c r="AE354" s="3">
        <f t="shared" si="67"/>
        <v>3.1789622622701567E-2</v>
      </c>
      <c r="AF354" s="11">
        <f t="shared" si="68"/>
        <v>28.499999999999865</v>
      </c>
      <c r="AG354" s="1">
        <f t="shared" si="69"/>
        <v>0.13310506152653281</v>
      </c>
    </row>
    <row r="355" spans="2:33" ht="15" x14ac:dyDescent="0.25">
      <c r="B355" s="1">
        <v>344</v>
      </c>
      <c r="C355" s="1">
        <v>0.76716185258981995</v>
      </c>
      <c r="D355" s="1">
        <v>5.628095452498874</v>
      </c>
      <c r="E355" s="1">
        <v>7.1741157902288549E-2</v>
      </c>
      <c r="G355" s="1">
        <v>0.76716185258981995</v>
      </c>
      <c r="H355" s="1">
        <v>5.628095452498874</v>
      </c>
      <c r="I355" s="1">
        <v>7.1741157902288549E-2</v>
      </c>
      <c r="K355" s="1">
        <v>1.000286469047172</v>
      </c>
      <c r="L355" s="1">
        <v>2.3242472556962821</v>
      </c>
      <c r="M355" s="1">
        <v>0.40048352712498986</v>
      </c>
      <c r="O355" s="1">
        <v>9.2461911471218919E-3</v>
      </c>
      <c r="P355" s="1">
        <v>0.76716185258981995</v>
      </c>
      <c r="R355" s="1">
        <v>0.14593193501641333</v>
      </c>
      <c r="S355" s="2">
        <f t="shared" si="72"/>
        <v>0.71381162237862972</v>
      </c>
      <c r="T355" s="4">
        <f t="shared" si="73"/>
        <v>0.50952703224281148</v>
      </c>
      <c r="U355" s="1">
        <f t="shared" si="64"/>
        <v>0.3618592263208753</v>
      </c>
      <c r="V355" s="6">
        <f>2*sigma/alpha*corel*(B355/12-1/alpha*(1-EXP(-alpha*Output!B355/12)))</f>
        <v>1.4511270406030974</v>
      </c>
      <c r="W355" s="5">
        <f t="shared" si="74"/>
        <v>-0.14766780592193618</v>
      </c>
      <c r="X355" s="1">
        <f t="shared" si="70"/>
        <v>19.038344767018184</v>
      </c>
      <c r="Y355" s="3">
        <f t="shared" si="75"/>
        <v>5.0793630216810839E-2</v>
      </c>
      <c r="Z355" s="1">
        <f t="shared" si="65"/>
        <v>0.13331991148799882</v>
      </c>
      <c r="AA355" s="8">
        <f t="shared" si="71"/>
        <v>28.583333333333197</v>
      </c>
      <c r="AB355" s="1">
        <v>28.67</v>
      </c>
      <c r="AC355">
        <v>9.5511024070000002E-3</v>
      </c>
      <c r="AD355" s="8">
        <f t="shared" si="66"/>
        <v>3.0491125987810834</v>
      </c>
      <c r="AE355" s="3">
        <f t="shared" si="67"/>
        <v>3.1924195436815649E-2</v>
      </c>
      <c r="AF355" s="11">
        <f t="shared" si="68"/>
        <v>28.583333333333197</v>
      </c>
      <c r="AG355" s="1">
        <f t="shared" si="69"/>
        <v>0.13331991148799882</v>
      </c>
    </row>
    <row r="356" spans="2:33" ht="15" x14ac:dyDescent="0.25">
      <c r="B356" s="1">
        <v>345</v>
      </c>
      <c r="C356" s="1">
        <v>0.7666165280099152</v>
      </c>
      <c r="D356" s="1">
        <v>5.6442964384489471</v>
      </c>
      <c r="E356" s="1">
        <v>7.1250445315283226E-2</v>
      </c>
      <c r="G356" s="1">
        <v>0.7666165280099152</v>
      </c>
      <c r="H356" s="1">
        <v>5.6442964384489471</v>
      </c>
      <c r="I356" s="1">
        <v>7.1250445315283226E-2</v>
      </c>
      <c r="K356" s="1">
        <v>1.0003719818318761</v>
      </c>
      <c r="L356" s="1">
        <v>2.3948035567045016</v>
      </c>
      <c r="M356" s="1">
        <v>0.38861350957204549</v>
      </c>
      <c r="O356" s="1">
        <v>9.2441240389391673E-3</v>
      </c>
      <c r="P356" s="1">
        <v>0.7666165280099152</v>
      </c>
      <c r="R356" s="1">
        <v>0.14631818081554146</v>
      </c>
      <c r="S356" s="2">
        <f t="shared" si="72"/>
        <v>0.7159556760543877</v>
      </c>
      <c r="T356" s="4">
        <f t="shared" si="73"/>
        <v>0.51259253007449535</v>
      </c>
      <c r="U356" s="1">
        <f t="shared" si="64"/>
        <v>0.36428768265110056</v>
      </c>
      <c r="V356" s="6">
        <f>2*sigma/alpha*corel*(B356/12-1/alpha*(1-EXP(-alpha*Output!B356/12)))</f>
        <v>1.4582399043095413</v>
      </c>
      <c r="W356" s="5">
        <f t="shared" si="74"/>
        <v>-0.14830484742339478</v>
      </c>
      <c r="X356" s="1">
        <f t="shared" si="70"/>
        <v>19.181521072211098</v>
      </c>
      <c r="Y356" s="3">
        <f t="shared" si="75"/>
        <v>5.0807503280611586E-2</v>
      </c>
      <c r="Z356" s="1">
        <f t="shared" si="65"/>
        <v>0.1335264220815322</v>
      </c>
      <c r="AA356" s="8">
        <f t="shared" si="71"/>
        <v>28.666666666666529</v>
      </c>
      <c r="AB356" s="1">
        <v>28.75</v>
      </c>
      <c r="AC356">
        <v>9.5502889200000003E-3</v>
      </c>
      <c r="AD356" s="8">
        <f t="shared" si="66"/>
        <v>3.0616488106083306</v>
      </c>
      <c r="AE356" s="3">
        <f t="shared" si="67"/>
        <v>3.205817998025897E-2</v>
      </c>
      <c r="AF356" s="11">
        <f t="shared" si="68"/>
        <v>28.666666666666529</v>
      </c>
      <c r="AG356" s="1">
        <f t="shared" si="69"/>
        <v>0.1335264220815322</v>
      </c>
    </row>
    <row r="357" spans="2:33" ht="15" x14ac:dyDescent="0.25">
      <c r="B357" s="1">
        <v>346</v>
      </c>
      <c r="C357" s="1">
        <v>0.76607313515216202</v>
      </c>
      <c r="D357" s="1">
        <v>5.660911406736485</v>
      </c>
      <c r="E357" s="1">
        <v>7.0761392584206065E-2</v>
      </c>
      <c r="G357" s="1">
        <v>0.76607313515216202</v>
      </c>
      <c r="H357" s="1">
        <v>5.660911406736485</v>
      </c>
      <c r="I357" s="1">
        <v>7.0761392584206065E-2</v>
      </c>
      <c r="K357" s="1">
        <v>1.0003422301014184</v>
      </c>
      <c r="L357" s="1">
        <v>2.4107058919804003</v>
      </c>
      <c r="M357" s="1">
        <v>0.38597073178769059</v>
      </c>
      <c r="O357" s="1">
        <v>9.2419989745389126E-3</v>
      </c>
      <c r="P357" s="1">
        <v>0.76607313515216202</v>
      </c>
      <c r="R357" s="1">
        <v>0.14672912729180881</v>
      </c>
      <c r="S357" s="2">
        <f t="shared" si="72"/>
        <v>0.71817976617357071</v>
      </c>
      <c r="T357" s="4">
        <f t="shared" si="73"/>
        <v>0.51578217654112468</v>
      </c>
      <c r="U357" s="1">
        <f t="shared" si="64"/>
        <v>0.36672365210103175</v>
      </c>
      <c r="V357" s="6">
        <f>2*sigma/alpha*corel*(B357/12-1/alpha*(1-EXP(-alpha*Output!B357/12)))</f>
        <v>1.4653637623584355</v>
      </c>
      <c r="W357" s="5">
        <f t="shared" si="74"/>
        <v>-0.14905852444009293</v>
      </c>
      <c r="X357" s="1">
        <f t="shared" si="70"/>
        <v>19.338707441457323</v>
      </c>
      <c r="Y357" s="3">
        <f t="shared" si="75"/>
        <v>5.0847675660090769E-2</v>
      </c>
      <c r="Z357" s="1">
        <f t="shared" si="65"/>
        <v>0.13374752029999432</v>
      </c>
      <c r="AA357" s="8">
        <f t="shared" si="71"/>
        <v>28.749999999999861</v>
      </c>
      <c r="AB357" s="1">
        <v>28.83</v>
      </c>
      <c r="AC357">
        <v>9.5494804569999994E-3</v>
      </c>
      <c r="AD357" s="8">
        <f t="shared" si="66"/>
        <v>3.074814824610868</v>
      </c>
      <c r="AE357" s="3">
        <f t="shared" si="67"/>
        <v>3.2198765560664137E-2</v>
      </c>
      <c r="AF357" s="11">
        <f t="shared" si="68"/>
        <v>28.749999999999861</v>
      </c>
      <c r="AG357" s="1">
        <f t="shared" si="69"/>
        <v>0.13374752029999432</v>
      </c>
    </row>
    <row r="358" spans="2:33" ht="15" x14ac:dyDescent="0.25">
      <c r="B358" s="1">
        <v>347</v>
      </c>
      <c r="C358" s="1">
        <v>0.76553221360586221</v>
      </c>
      <c r="D358" s="1">
        <v>5.6785917092561045</v>
      </c>
      <c r="E358" s="1">
        <v>7.0259256657064562E-2</v>
      </c>
      <c r="G358" s="1">
        <v>0.76553221360586221</v>
      </c>
      <c r="H358" s="1">
        <v>5.6785917092561045</v>
      </c>
      <c r="I358" s="1">
        <v>7.0259256657064562E-2</v>
      </c>
      <c r="K358" s="1">
        <v>1.0004333913460994</v>
      </c>
      <c r="L358" s="1">
        <v>2.4293885889643483</v>
      </c>
      <c r="M358" s="1">
        <v>0.38292550651044188</v>
      </c>
      <c r="O358" s="1">
        <v>9.2397919188082125E-3</v>
      </c>
      <c r="P358" s="1">
        <v>0.76553221360586221</v>
      </c>
      <c r="R358" s="1">
        <v>0.14718128313368312</v>
      </c>
      <c r="S358" s="2">
        <f t="shared" si="72"/>
        <v>0.72053723430916561</v>
      </c>
      <c r="T358" s="4">
        <f t="shared" si="73"/>
        <v>0.51917390602590141</v>
      </c>
      <c r="U358" s="1">
        <f t="shared" si="64"/>
        <v>0.36916712121483419</v>
      </c>
      <c r="V358" s="6">
        <f>2*sigma/alpha*corel*(B358/12-1/alpha*(1-EXP(-alpha*Output!B358/12)))</f>
        <v>1.4724985781629831</v>
      </c>
      <c r="W358" s="5">
        <f t="shared" si="74"/>
        <v>-0.15000678481106722</v>
      </c>
      <c r="X358" s="1">
        <f t="shared" si="70"/>
        <v>19.519036839172117</v>
      </c>
      <c r="Y358" s="3">
        <f t="shared" si="75"/>
        <v>5.093147250885588E-2</v>
      </c>
      <c r="Z358" s="1">
        <f t="shared" si="65"/>
        <v>0.13399306266517788</v>
      </c>
      <c r="AA358" s="8">
        <f t="shared" si="71"/>
        <v>28.833333333333194</v>
      </c>
      <c r="AB358" s="1">
        <v>28.92</v>
      </c>
      <c r="AC358">
        <v>9.5486768670000003E-3</v>
      </c>
      <c r="AD358" s="8">
        <f t="shared" si="66"/>
        <v>3.0888494819178782</v>
      </c>
      <c r="AE358" s="3">
        <f t="shared" si="67"/>
        <v>3.2348455445098033E-2</v>
      </c>
      <c r="AF358" s="11">
        <f t="shared" si="68"/>
        <v>28.833333333333194</v>
      </c>
      <c r="AG358" s="1">
        <f t="shared" si="69"/>
        <v>0.13399306266517788</v>
      </c>
    </row>
    <row r="359" spans="2:33" ht="15" x14ac:dyDescent="0.25">
      <c r="B359" s="1">
        <v>348</v>
      </c>
      <c r="C359" s="1">
        <v>0.76499140302647606</v>
      </c>
      <c r="D359" s="1">
        <v>5.6976810438151668</v>
      </c>
      <c r="E359" s="1">
        <v>6.974473427256242E-2</v>
      </c>
      <c r="G359" s="1">
        <v>0.76499140302647606</v>
      </c>
      <c r="H359" s="1">
        <v>5.6976810438151668</v>
      </c>
      <c r="I359" s="1">
        <v>6.974473427256242E-2</v>
      </c>
      <c r="K359" s="1">
        <v>1.0003833574758898</v>
      </c>
      <c r="L359" s="1">
        <v>2.4783082502109641</v>
      </c>
      <c r="M359" s="1">
        <v>0.37528568881110769</v>
      </c>
      <c r="O359" s="1">
        <v>9.2376097618149695E-3</v>
      </c>
      <c r="P359" s="1">
        <v>0.76499140302647606</v>
      </c>
      <c r="R359" s="1">
        <v>0.14753720635686804</v>
      </c>
      <c r="S359" s="2">
        <f t="shared" si="72"/>
        <v>0.72258181646357245</v>
      </c>
      <c r="T359" s="4">
        <f t="shared" si="73"/>
        <v>0.52212448148379587</v>
      </c>
      <c r="U359" s="1">
        <f t="shared" si="64"/>
        <v>0.37161807650473433</v>
      </c>
      <c r="V359" s="6">
        <f>2*sigma/alpha*corel*(B359/12-1/alpha*(1-EXP(-alpha*Output!B359/12)))</f>
        <v>1.4796443152581413</v>
      </c>
      <c r="W359" s="5">
        <f t="shared" si="74"/>
        <v>-0.15050640497906154</v>
      </c>
      <c r="X359" s="1">
        <f t="shared" si="70"/>
        <v>19.648090277246872</v>
      </c>
      <c r="Y359" s="3">
        <f t="shared" si="75"/>
        <v>5.0913315943906801E-2</v>
      </c>
      <c r="Z359" s="1">
        <f t="shared" si="65"/>
        <v>0.13418007476879151</v>
      </c>
      <c r="AA359" s="8">
        <f t="shared" si="71"/>
        <v>28.916666666666526</v>
      </c>
      <c r="AB359" s="1">
        <v>29</v>
      </c>
      <c r="AC359">
        <v>9.5478779929999997E-3</v>
      </c>
      <c r="AD359" s="8">
        <f t="shared" si="66"/>
        <v>3.1026823118503013</v>
      </c>
      <c r="AE359" s="3">
        <f t="shared" si="67"/>
        <v>3.2496040629394554E-2</v>
      </c>
      <c r="AF359" s="11">
        <f t="shared" si="68"/>
        <v>28.916666666666526</v>
      </c>
      <c r="AG359" s="1">
        <f t="shared" si="69"/>
        <v>0.13418007476879151</v>
      </c>
    </row>
    <row r="360" spans="2:33" ht="15" x14ac:dyDescent="0.25">
      <c r="B360" s="1">
        <v>349</v>
      </c>
      <c r="C360" s="1">
        <v>0.76445506280339348</v>
      </c>
      <c r="D360" s="1">
        <v>5.7172260019438568</v>
      </c>
      <c r="E360" s="1">
        <v>6.9228106611284174E-2</v>
      </c>
      <c r="G360" s="1">
        <v>0.76445506280339348</v>
      </c>
      <c r="H360" s="1">
        <v>5.7172260019438568</v>
      </c>
      <c r="I360" s="1">
        <v>6.9228106611284174E-2</v>
      </c>
      <c r="K360" s="1">
        <v>1.0004272040405116</v>
      </c>
      <c r="L360" s="1">
        <v>2.4304675172484149</v>
      </c>
      <c r="M360" s="1">
        <v>0.38259405573046357</v>
      </c>
      <c r="O360" s="1">
        <v>9.235256224377061E-3</v>
      </c>
      <c r="P360" s="1">
        <v>0.76445506280339348</v>
      </c>
      <c r="R360" s="1">
        <v>0.14801485521229599</v>
      </c>
      <c r="S360" s="2">
        <f t="shared" si="72"/>
        <v>0.725020462776226</v>
      </c>
      <c r="T360" s="4">
        <f t="shared" si="73"/>
        <v>0.52565467144425293</v>
      </c>
      <c r="U360" s="1">
        <f t="shared" si="64"/>
        <v>0.37407650445163254</v>
      </c>
      <c r="V360" s="6">
        <f>2*sigma/alpha*corel*(B360/12-1/alpha*(1-EXP(-alpha*Output!B360/12)))</f>
        <v>1.4868009373002145</v>
      </c>
      <c r="W360" s="5">
        <f t="shared" si="74"/>
        <v>-0.15157816699262039</v>
      </c>
      <c r="X360" s="1">
        <f t="shared" si="70"/>
        <v>19.844170453964967</v>
      </c>
      <c r="Y360" s="3">
        <f t="shared" si="75"/>
        <v>5.1023702160038181E-2</v>
      </c>
      <c r="Z360" s="1">
        <f t="shared" si="65"/>
        <v>0.1344398978136985</v>
      </c>
      <c r="AA360" s="8">
        <f t="shared" si="71"/>
        <v>28.999999999999858</v>
      </c>
      <c r="AB360" s="1">
        <v>29.08</v>
      </c>
      <c r="AC360">
        <v>9.5470836819999995E-3</v>
      </c>
      <c r="AD360" s="8">
        <f t="shared" si="66"/>
        <v>3.1182745762293842</v>
      </c>
      <c r="AE360" s="3">
        <f t="shared" si="67"/>
        <v>3.2662063935907003E-2</v>
      </c>
      <c r="AF360" s="11">
        <f t="shared" si="68"/>
        <v>28.999999999999858</v>
      </c>
      <c r="AG360" s="1">
        <f t="shared" si="69"/>
        <v>0.1344398978136985</v>
      </c>
    </row>
    <row r="361" spans="2:33" ht="15" x14ac:dyDescent="0.25">
      <c r="B361" s="1">
        <v>350</v>
      </c>
      <c r="C361" s="1">
        <v>0.76391795963606057</v>
      </c>
      <c r="D361" s="1">
        <v>5.7385515895787904</v>
      </c>
      <c r="E361" s="1">
        <v>6.8695472968331381E-2</v>
      </c>
      <c r="G361" s="1">
        <v>0.76391795963606057</v>
      </c>
      <c r="H361" s="1">
        <v>5.7385515895787904</v>
      </c>
      <c r="I361" s="1">
        <v>6.8695472968331381E-2</v>
      </c>
      <c r="K361" s="1">
        <v>1.0003492168615633</v>
      </c>
      <c r="L361" s="1">
        <v>2.3974149567790857</v>
      </c>
      <c r="M361" s="1">
        <v>0.3877794357206007</v>
      </c>
      <c r="O361" s="1">
        <v>9.2329672545209893E-3</v>
      </c>
      <c r="P361" s="1">
        <v>0.76391795963606057</v>
      </c>
      <c r="R361" s="1">
        <v>0.14828079170368066</v>
      </c>
      <c r="S361" s="2">
        <f t="shared" si="72"/>
        <v>0.72676838899872442</v>
      </c>
      <c r="T361" s="4">
        <f t="shared" si="73"/>
        <v>0.5281922912478012</v>
      </c>
      <c r="U361" s="1">
        <f t="shared" si="64"/>
        <v>0.37654239150571822</v>
      </c>
      <c r="V361" s="6">
        <f>2*sigma/alpha*corel*(B361/12-1/alpha*(1-EXP(-alpha*Output!B361/12)))</f>
        <v>1.493968408066451</v>
      </c>
      <c r="W361" s="5">
        <f t="shared" si="74"/>
        <v>-0.15164989974208298</v>
      </c>
      <c r="X361" s="1">
        <f t="shared" si="70"/>
        <v>19.924429907543619</v>
      </c>
      <c r="Y361" s="3">
        <f t="shared" si="75"/>
        <v>5.0909323842671342E-2</v>
      </c>
      <c r="Z361" s="1">
        <f t="shared" si="65"/>
        <v>0.13457135648286711</v>
      </c>
      <c r="AA361" s="8">
        <f t="shared" si="71"/>
        <v>29.08333333333319</v>
      </c>
      <c r="AB361" s="1">
        <v>29.17</v>
      </c>
      <c r="AC361">
        <v>9.5462938049999998E-3</v>
      </c>
      <c r="AD361" s="8">
        <f t="shared" si="66"/>
        <v>3.133265504790105</v>
      </c>
      <c r="AE361" s="3">
        <f t="shared" si="67"/>
        <v>3.2821800468250992E-2</v>
      </c>
      <c r="AF361" s="11">
        <f t="shared" si="68"/>
        <v>29.08333333333319</v>
      </c>
      <c r="AG361" s="1">
        <f t="shared" si="69"/>
        <v>0.13457135648286711</v>
      </c>
    </row>
    <row r="362" spans="2:33" ht="15" x14ac:dyDescent="0.25">
      <c r="B362" s="1">
        <v>351</v>
      </c>
      <c r="C362" s="1">
        <v>0.76337919392338283</v>
      </c>
      <c r="D362" s="1">
        <v>5.7597051030987219</v>
      </c>
      <c r="E362" s="1">
        <v>6.8166325835037497E-2</v>
      </c>
      <c r="G362" s="1">
        <v>0.76337919392338283</v>
      </c>
      <c r="H362" s="1">
        <v>5.7597051030987219</v>
      </c>
      <c r="I362" s="1">
        <v>6.8166325835037497E-2</v>
      </c>
      <c r="K362" s="1">
        <v>1.0003127880753955</v>
      </c>
      <c r="L362" s="1">
        <v>2.3820077136872397</v>
      </c>
      <c r="M362" s="1">
        <v>0.39021112668276886</v>
      </c>
      <c r="O362" s="1">
        <v>9.2307826848220201E-3</v>
      </c>
      <c r="P362" s="1">
        <v>0.76337919392338283</v>
      </c>
      <c r="R362" s="1">
        <v>0.14845058920167423</v>
      </c>
      <c r="S362" s="2">
        <f t="shared" si="72"/>
        <v>0.72820512551380578</v>
      </c>
      <c r="T362" s="4">
        <f t="shared" si="73"/>
        <v>0.53028270482457762</v>
      </c>
      <c r="U362" s="1">
        <f t="shared" si="64"/>
        <v>0.37901572408706796</v>
      </c>
      <c r="V362" s="6">
        <f>2*sigma/alpha*corel*(B362/12-1/alpha*(1-EXP(-alpha*Output!B362/12)))</f>
        <v>1.5011466914546405</v>
      </c>
      <c r="W362" s="5">
        <f t="shared" si="74"/>
        <v>-0.15126698073750966</v>
      </c>
      <c r="X362" s="1">
        <f t="shared" si="70"/>
        <v>19.951678135553845</v>
      </c>
      <c r="Y362" s="3">
        <f t="shared" si="75"/>
        <v>5.0693734147802171E-2</v>
      </c>
      <c r="Z362" s="1">
        <f t="shared" si="65"/>
        <v>0.13464517533824188</v>
      </c>
      <c r="AA362" s="8">
        <f t="shared" si="71"/>
        <v>29.166666666666522</v>
      </c>
      <c r="AB362" s="1">
        <v>29.25</v>
      </c>
      <c r="AC362">
        <v>9.5455083300000007E-3</v>
      </c>
      <c r="AD362" s="8">
        <f t="shared" si="66"/>
        <v>3.1472564517798056</v>
      </c>
      <c r="AE362" s="3">
        <f t="shared" si="67"/>
        <v>3.2971072288402743E-2</v>
      </c>
      <c r="AF362" s="11">
        <f t="shared" si="68"/>
        <v>29.166666666666522</v>
      </c>
      <c r="AG362" s="1">
        <f t="shared" si="69"/>
        <v>0.13464517533824188</v>
      </c>
    </row>
    <row r="363" spans="2:33" ht="15" x14ac:dyDescent="0.25">
      <c r="B363" s="1">
        <v>352</v>
      </c>
      <c r="C363" s="1">
        <v>0.76284076423701197</v>
      </c>
      <c r="D363" s="1">
        <v>5.7810151462596835</v>
      </c>
      <c r="E363" s="1">
        <v>6.7645268213488471E-2</v>
      </c>
      <c r="G363" s="1">
        <v>0.76284076423701197</v>
      </c>
      <c r="H363" s="1">
        <v>5.7810151462596835</v>
      </c>
      <c r="I363" s="1">
        <v>6.7645268213488471E-2</v>
      </c>
      <c r="K363" s="1">
        <v>1.000336572513572</v>
      </c>
      <c r="L363" s="1">
        <v>2.3904168375945618</v>
      </c>
      <c r="M363" s="1">
        <v>0.38876033848041269</v>
      </c>
      <c r="O363" s="1">
        <v>9.2286124914201465E-3</v>
      </c>
      <c r="P363" s="1">
        <v>0.76284076423701197</v>
      </c>
      <c r="R363" s="1">
        <v>0.14904030124756729</v>
      </c>
      <c r="S363" s="2">
        <f t="shared" si="72"/>
        <v>0.73102247796888675</v>
      </c>
      <c r="T363" s="4">
        <f t="shared" si="73"/>
        <v>0.53439386329577154</v>
      </c>
      <c r="U363" s="1">
        <f t="shared" si="64"/>
        <v>0.38149648858625262</v>
      </c>
      <c r="V363" s="6">
        <f>2*sigma/alpha*corel*(B363/12-1/alpha*(1-EXP(-alpha*Output!B363/12)))</f>
        <v>1.5083357514827136</v>
      </c>
      <c r="W363" s="5">
        <f t="shared" si="74"/>
        <v>-0.15289737470951892</v>
      </c>
      <c r="X363" s="1">
        <f t="shared" si="70"/>
        <v>20.215035371784477</v>
      </c>
      <c r="Y363" s="3">
        <f t="shared" si="75"/>
        <v>5.0928027466840678E-2</v>
      </c>
      <c r="Z363" s="1">
        <f t="shared" si="65"/>
        <v>0.13497397012889503</v>
      </c>
      <c r="AA363" s="8">
        <f t="shared" si="71"/>
        <v>29.249999999999854</v>
      </c>
      <c r="AB363" s="1">
        <v>29.33</v>
      </c>
      <c r="AC363">
        <v>9.5447272480000001E-3</v>
      </c>
      <c r="AD363" s="8">
        <f t="shared" si="66"/>
        <v>3.1611475657985362</v>
      </c>
      <c r="AE363" s="3">
        <f t="shared" si="67"/>
        <v>3.3119307484254429E-2</v>
      </c>
      <c r="AF363" s="11">
        <f t="shared" si="68"/>
        <v>29.249999999999854</v>
      </c>
      <c r="AG363" s="1">
        <f t="shared" si="69"/>
        <v>0.13497397012889503</v>
      </c>
    </row>
    <row r="364" spans="2:33" ht="15" x14ac:dyDescent="0.25">
      <c r="B364" s="1">
        <v>353</v>
      </c>
      <c r="C364" s="1">
        <v>0.76230100313970983</v>
      </c>
      <c r="D364" s="1">
        <v>5.8014735742878694</v>
      </c>
      <c r="E364" s="1">
        <v>6.7136623027861705E-2</v>
      </c>
      <c r="G364" s="1">
        <v>0.76230100313970983</v>
      </c>
      <c r="H364" s="1">
        <v>5.8014735742878694</v>
      </c>
      <c r="I364" s="1">
        <v>6.7136623027861705E-2</v>
      </c>
      <c r="K364" s="1">
        <v>1.000263648577133</v>
      </c>
      <c r="L364" s="1">
        <v>2.3608777550874311</v>
      </c>
      <c r="M364" s="1">
        <v>0.39353225524522656</v>
      </c>
      <c r="O364" s="1">
        <v>9.2265309025682252E-3</v>
      </c>
      <c r="P364" s="1">
        <v>0.76230100313970983</v>
      </c>
      <c r="R364" s="1">
        <v>0.14939974485171587</v>
      </c>
      <c r="S364" s="2">
        <f t="shared" si="72"/>
        <v>0.73308812208762819</v>
      </c>
      <c r="T364" s="4">
        <f t="shared" si="73"/>
        <v>0.53741819474596531</v>
      </c>
      <c r="U364" s="1">
        <f t="shared" si="64"/>
        <v>0.38398467136492798</v>
      </c>
      <c r="V364" s="6">
        <f>2*sigma/alpha*corel*(B364/12-1/alpha*(1-EXP(-alpha*Output!B364/12)))</f>
        <v>1.5155355522883407</v>
      </c>
      <c r="W364" s="5">
        <f t="shared" si="74"/>
        <v>-0.15343352338103733</v>
      </c>
      <c r="X364" s="1">
        <f t="shared" si="70"/>
        <v>20.350859261418655</v>
      </c>
      <c r="Y364" s="3">
        <f t="shared" si="75"/>
        <v>5.0917684636585706E-2</v>
      </c>
      <c r="Z364" s="1">
        <f t="shared" si="65"/>
        <v>0.13516350749765871</v>
      </c>
      <c r="AA364" s="8">
        <f t="shared" si="71"/>
        <v>29.333333333333186</v>
      </c>
      <c r="AB364" s="1">
        <v>29.42</v>
      </c>
      <c r="AC364">
        <v>9.5439505530000007E-3</v>
      </c>
      <c r="AD364" s="8">
        <f t="shared" si="66"/>
        <v>3.1741965043177549</v>
      </c>
      <c r="AE364" s="3">
        <f t="shared" si="67"/>
        <v>3.3258727470250701E-2</v>
      </c>
      <c r="AF364" s="11">
        <f t="shared" si="68"/>
        <v>29.333333333333186</v>
      </c>
      <c r="AG364" s="1">
        <f t="shared" si="69"/>
        <v>0.13516350749765871</v>
      </c>
    </row>
    <row r="365" spans="2:33" ht="15" x14ac:dyDescent="0.25">
      <c r="B365" s="1">
        <v>354</v>
      </c>
      <c r="C365" s="1">
        <v>0.76176247524331131</v>
      </c>
      <c r="D365" s="1">
        <v>5.8237726399161378</v>
      </c>
      <c r="E365" s="1">
        <v>6.6613375965893951E-2</v>
      </c>
      <c r="G365" s="1">
        <v>0.76176247524331131</v>
      </c>
      <c r="H365" s="1">
        <v>5.8237726399161378</v>
      </c>
      <c r="I365" s="1">
        <v>6.6613375965893951E-2</v>
      </c>
      <c r="K365" s="1">
        <v>1.0002462093912008</v>
      </c>
      <c r="L365" s="1">
        <v>2.3667718308618326</v>
      </c>
      <c r="M365" s="1">
        <v>0.39248200410960266</v>
      </c>
      <c r="O365" s="1">
        <v>9.224423192101032E-3</v>
      </c>
      <c r="P365" s="1">
        <v>0.76176247524331131</v>
      </c>
      <c r="R365" s="1">
        <v>0.14973585403436437</v>
      </c>
      <c r="S365" s="2">
        <f t="shared" si="72"/>
        <v>0.73507719984551323</v>
      </c>
      <c r="T365" s="4">
        <f t="shared" si="73"/>
        <v>0.54033848973272058</v>
      </c>
      <c r="U365" s="1">
        <f t="shared" si="64"/>
        <v>0.386480258756424</v>
      </c>
      <c r="V365" s="6">
        <f>2*sigma/alpha*corel*(B365/12-1/alpha*(1-EXP(-alpha*Output!B365/12)))</f>
        <v>1.5227460581285355</v>
      </c>
      <c r="W365" s="5">
        <f t="shared" si="74"/>
        <v>-0.15385823097629658</v>
      </c>
      <c r="X365" s="1">
        <f t="shared" si="70"/>
        <v>20.474026812748992</v>
      </c>
      <c r="Y365" s="3">
        <f t="shared" si="75"/>
        <v>5.088266683303426E-2</v>
      </c>
      <c r="Z365" s="1">
        <f t="shared" si="65"/>
        <v>0.13533868247471056</v>
      </c>
      <c r="AA365" s="8">
        <f t="shared" si="71"/>
        <v>29.416666666666519</v>
      </c>
      <c r="AB365" s="1">
        <v>29.5</v>
      </c>
      <c r="AC365">
        <v>9.5431782360000002E-3</v>
      </c>
      <c r="AD365" s="8">
        <f t="shared" si="66"/>
        <v>3.1875504389896823</v>
      </c>
      <c r="AE365" s="3">
        <f t="shared" si="67"/>
        <v>3.340135078862088E-2</v>
      </c>
      <c r="AF365" s="11">
        <f t="shared" si="68"/>
        <v>29.416666666666519</v>
      </c>
      <c r="AG365" s="1">
        <f t="shared" si="69"/>
        <v>0.13533868247471056</v>
      </c>
    </row>
    <row r="366" spans="2:33" ht="15" x14ac:dyDescent="0.25">
      <c r="B366" s="1">
        <v>355</v>
      </c>
      <c r="C366" s="1">
        <v>0.76122533608572374</v>
      </c>
      <c r="D366" s="1">
        <v>5.8459020226821004</v>
      </c>
      <c r="E366" s="1">
        <v>6.6089485162910577E-2</v>
      </c>
      <c r="G366" s="1">
        <v>0.76122533608572374</v>
      </c>
      <c r="H366" s="1">
        <v>5.8459020226821004</v>
      </c>
      <c r="I366" s="1">
        <v>6.6089485162910577E-2</v>
      </c>
      <c r="K366" s="1">
        <v>1.0003673291595971</v>
      </c>
      <c r="L366" s="1">
        <v>2.3951031253728283</v>
      </c>
      <c r="M366" s="1">
        <v>0.38774652722022085</v>
      </c>
      <c r="O366" s="1">
        <v>9.2222825818638783E-3</v>
      </c>
      <c r="P366" s="1">
        <v>0.76122533608572374</v>
      </c>
      <c r="R366" s="1">
        <v>0.15012381387749768</v>
      </c>
      <c r="S366" s="2">
        <f t="shared" si="72"/>
        <v>0.73723686495765617</v>
      </c>
      <c r="T366" s="4">
        <f t="shared" si="73"/>
        <v>0.54351819505259336</v>
      </c>
      <c r="U366" s="1">
        <f t="shared" si="64"/>
        <v>0.38898323706632976</v>
      </c>
      <c r="V366" s="6">
        <f>2*sigma/alpha*corel*(B366/12-1/alpha*(1-EXP(-alpha*Output!B366/12)))</f>
        <v>1.5299672333792542</v>
      </c>
      <c r="W366" s="5">
        <f t="shared" si="74"/>
        <v>-0.1545349579862636</v>
      </c>
      <c r="X366" s="1">
        <f t="shared" si="70"/>
        <v>20.627436430255361</v>
      </c>
      <c r="Y366" s="3">
        <f t="shared" si="75"/>
        <v>5.0903265329380297E-2</v>
      </c>
      <c r="Z366" s="1">
        <f t="shared" si="65"/>
        <v>0.13554499632943601</v>
      </c>
      <c r="AA366" s="8">
        <f t="shared" si="71"/>
        <v>29.499999999999851</v>
      </c>
      <c r="AB366" s="1">
        <v>29.58</v>
      </c>
      <c r="AC366">
        <v>9.5424102909999996E-3</v>
      </c>
      <c r="AD366" s="8">
        <f t="shared" si="66"/>
        <v>3.2012770913612125</v>
      </c>
      <c r="AE366" s="3">
        <f t="shared" si="67"/>
        <v>3.3547887732101843E-2</v>
      </c>
      <c r="AF366" s="11">
        <f t="shared" si="68"/>
        <v>29.499999999999851</v>
      </c>
      <c r="AG366" s="1">
        <f t="shared" si="69"/>
        <v>0.13554499632943601</v>
      </c>
    </row>
    <row r="367" spans="2:33" ht="15" x14ac:dyDescent="0.25">
      <c r="B367" s="1">
        <v>356</v>
      </c>
      <c r="C367" s="1">
        <v>0.76068900981804266</v>
      </c>
      <c r="D367" s="1">
        <v>5.8695779773434289</v>
      </c>
      <c r="E367" s="1">
        <v>6.5560873270831974E-2</v>
      </c>
      <c r="G367" s="1">
        <v>0.76068900981804266</v>
      </c>
      <c r="H367" s="1">
        <v>5.8695779773434289</v>
      </c>
      <c r="I367" s="1">
        <v>6.5560873270831974E-2</v>
      </c>
      <c r="K367" s="1">
        <v>1.0003392868854368</v>
      </c>
      <c r="L367" s="1">
        <v>2.4097984213404477</v>
      </c>
      <c r="M367" s="1">
        <v>0.38530650682503309</v>
      </c>
      <c r="O367" s="1">
        <v>9.2201347598464198E-3</v>
      </c>
      <c r="P367" s="1">
        <v>0.76068900981804266</v>
      </c>
      <c r="R367" s="1">
        <v>0.15038944844475441</v>
      </c>
      <c r="S367" s="2">
        <f t="shared" si="72"/>
        <v>0.73899447948474628</v>
      </c>
      <c r="T367" s="4">
        <f t="shared" si="73"/>
        <v>0.54611284070893107</v>
      </c>
      <c r="U367" s="1">
        <f t="shared" si="64"/>
        <v>0.39149359257307426</v>
      </c>
      <c r="V367" s="6">
        <f>2*sigma/alpha*corel*(B367/12-1/alpha*(1-EXP(-alpha*Output!B367/12)))</f>
        <v>1.5371990425350055</v>
      </c>
      <c r="W367" s="5">
        <f t="shared" si="74"/>
        <v>-0.15461924813585681</v>
      </c>
      <c r="X367" s="1">
        <f t="shared" si="70"/>
        <v>20.711131675158878</v>
      </c>
      <c r="Y367" s="3">
        <f t="shared" si="75"/>
        <v>5.0793529118208065E-2</v>
      </c>
      <c r="Z367" s="1">
        <f t="shared" si="65"/>
        <v>0.13567718305383791</v>
      </c>
      <c r="AA367" s="8">
        <f t="shared" si="71"/>
        <v>29.583333333333183</v>
      </c>
      <c r="AB367" s="1">
        <v>29.67</v>
      </c>
      <c r="AC367">
        <v>9.5416467039999998E-3</v>
      </c>
      <c r="AD367" s="8">
        <f t="shared" si="66"/>
        <v>3.2151194415358</v>
      </c>
      <c r="AE367" s="3">
        <f t="shared" si="67"/>
        <v>3.3695645429713657E-2</v>
      </c>
      <c r="AF367" s="11">
        <f t="shared" si="68"/>
        <v>29.583333333333183</v>
      </c>
      <c r="AG367" s="1">
        <f t="shared" si="69"/>
        <v>0.13567718305383791</v>
      </c>
    </row>
    <row r="368" spans="2:33" ht="15" x14ac:dyDescent="0.25">
      <c r="B368" s="1">
        <v>357</v>
      </c>
      <c r="C368" s="1">
        <v>0.7601556425813355</v>
      </c>
      <c r="D368" s="1">
        <v>5.8924046903541338</v>
      </c>
      <c r="E368" s="1">
        <v>6.5040650406504072E-2</v>
      </c>
      <c r="G368" s="1">
        <v>0.7601556425813355</v>
      </c>
      <c r="H368" s="1">
        <v>5.8924046903541338</v>
      </c>
      <c r="I368" s="1">
        <v>6.5040650406504072E-2</v>
      </c>
      <c r="K368" s="1">
        <v>1.0004758466837698</v>
      </c>
      <c r="L368" s="1">
        <v>2.4043874301663251</v>
      </c>
      <c r="M368" s="1">
        <v>0.38610000014963652</v>
      </c>
      <c r="O368" s="1">
        <v>9.2178848335724133E-3</v>
      </c>
      <c r="P368" s="1">
        <v>0.7601556425813355</v>
      </c>
      <c r="R368" s="1">
        <v>0.15085046266639626</v>
      </c>
      <c r="S368" s="2">
        <f t="shared" si="72"/>
        <v>0.74139328337746946</v>
      </c>
      <c r="T368" s="4">
        <f t="shared" si="73"/>
        <v>0.54966400063722476</v>
      </c>
      <c r="U368" s="1">
        <f t="shared" si="64"/>
        <v>0.39401131152849445</v>
      </c>
      <c r="V368" s="6">
        <f>2*sigma/alpha*corel*(B368/12-1/alpha*(1-EXP(-alpha*Output!B368/12)))</f>
        <v>1.54444145020845</v>
      </c>
      <c r="W368" s="5">
        <f t="shared" si="74"/>
        <v>-0.15565268910873031</v>
      </c>
      <c r="X368" s="1">
        <f t="shared" si="70"/>
        <v>20.907969397060889</v>
      </c>
      <c r="Y368" s="3">
        <f t="shared" si="75"/>
        <v>5.0892132054272891E-2</v>
      </c>
      <c r="Z368" s="1">
        <f t="shared" si="65"/>
        <v>0.1359268217157874</v>
      </c>
      <c r="AA368" s="8">
        <f t="shared" si="71"/>
        <v>29.666666666666515</v>
      </c>
      <c r="AB368" s="1">
        <v>29.75</v>
      </c>
      <c r="AC368">
        <v>9.5408874370000001E-3</v>
      </c>
      <c r="AD368" s="8">
        <f t="shared" si="66"/>
        <v>3.2300260342758671</v>
      </c>
      <c r="AE368" s="3">
        <f t="shared" si="67"/>
        <v>3.3854565999276727E-2</v>
      </c>
      <c r="AF368" s="11">
        <f t="shared" si="68"/>
        <v>29.666666666666515</v>
      </c>
      <c r="AG368" s="1">
        <f t="shared" si="69"/>
        <v>0.1359268217157874</v>
      </c>
    </row>
    <row r="369" spans="2:33" ht="15" x14ac:dyDescent="0.25">
      <c r="B369" s="1">
        <v>358</v>
      </c>
      <c r="C369" s="1">
        <v>0.75962558167553895</v>
      </c>
      <c r="D369" s="1">
        <v>5.9150597421033959</v>
      </c>
      <c r="E369" s="1">
        <v>6.4528618442279154E-2</v>
      </c>
      <c r="G369" s="1">
        <v>0.75962558167553895</v>
      </c>
      <c r="H369" s="1">
        <v>5.9150597421033959</v>
      </c>
      <c r="I369" s="1">
        <v>6.4528618442279154E-2</v>
      </c>
      <c r="K369" s="1">
        <v>1.0003827398236793</v>
      </c>
      <c r="L369" s="1">
        <v>2.4166748008477041</v>
      </c>
      <c r="M369" s="1">
        <v>0.38405736127061718</v>
      </c>
      <c r="O369" s="1">
        <v>9.2155180822299648E-3</v>
      </c>
      <c r="P369" s="1">
        <v>0.75962558167553895</v>
      </c>
      <c r="R369" s="1">
        <v>0.15123382944190233</v>
      </c>
      <c r="S369" s="2">
        <f t="shared" si="72"/>
        <v>0.74353310857381194</v>
      </c>
      <c r="T369" s="4">
        <f t="shared" si="73"/>
        <v>0.55284148354543605</v>
      </c>
      <c r="U369" s="1">
        <f t="shared" si="64"/>
        <v>0.39653638015840986</v>
      </c>
      <c r="V369" s="6">
        <f>2*sigma/alpha*corel*(B369/12-1/alpha*(1-EXP(-alpha*Output!B369/12)))</f>
        <v>1.5516944211300112</v>
      </c>
      <c r="W369" s="5">
        <f t="shared" si="74"/>
        <v>-0.15630510338702619</v>
      </c>
      <c r="X369" s="1">
        <f t="shared" si="70"/>
        <v>21.060164580751128</v>
      </c>
      <c r="Y369" s="3">
        <f t="shared" si="75"/>
        <v>5.0906833620708206E-2</v>
      </c>
      <c r="Z369" s="1">
        <f t="shared" si="65"/>
        <v>0.13612861362862097</v>
      </c>
      <c r="AA369" s="8">
        <f t="shared" si="71"/>
        <v>29.749999999999847</v>
      </c>
      <c r="AB369" s="1">
        <v>29.83</v>
      </c>
      <c r="AC369">
        <v>9.5401324469999993E-3</v>
      </c>
      <c r="AD369" s="8">
        <f t="shared" si="66"/>
        <v>3.2461436477003449</v>
      </c>
      <c r="AE369" s="3">
        <f t="shared" si="67"/>
        <v>3.4026190576852328E-2</v>
      </c>
      <c r="AF369" s="11">
        <f t="shared" si="68"/>
        <v>29.749999999999847</v>
      </c>
      <c r="AG369" s="1">
        <f t="shared" si="69"/>
        <v>0.13612861362862097</v>
      </c>
    </row>
    <row r="370" spans="2:33" ht="15" x14ac:dyDescent="0.25">
      <c r="B370" s="1">
        <v>359</v>
      </c>
      <c r="C370" s="1">
        <v>0.75909627261197965</v>
      </c>
      <c r="D370" s="1">
        <v>5.9371845870688125</v>
      </c>
      <c r="E370" s="1">
        <v>6.4024585440809273E-2</v>
      </c>
      <c r="G370" s="1">
        <v>0.75909627261197965</v>
      </c>
      <c r="H370" s="1">
        <v>5.9371845870688125</v>
      </c>
      <c r="I370" s="1">
        <v>6.4024585440809273E-2</v>
      </c>
      <c r="K370" s="1">
        <v>1.0004098444606713</v>
      </c>
      <c r="L370" s="1">
        <v>2.45478912286065</v>
      </c>
      <c r="M370" s="1">
        <v>0.3780130519945038</v>
      </c>
      <c r="O370" s="1">
        <v>9.2131476850424998E-3</v>
      </c>
      <c r="P370" s="1">
        <v>0.75909627261197965</v>
      </c>
      <c r="R370" s="1">
        <v>0.1517127531836257</v>
      </c>
      <c r="S370" s="2">
        <f t="shared" si="72"/>
        <v>0.74598956430369912</v>
      </c>
      <c r="T370" s="4">
        <f t="shared" si="73"/>
        <v>0.55650043005002281</v>
      </c>
      <c r="U370" s="1">
        <f t="shared" si="64"/>
        <v>0.39906878466318352</v>
      </c>
      <c r="V370" s="6">
        <f>2*sigma/alpha*corel*(B370/12-1/alpha*(1-EXP(-alpha*Output!B370/12)))</f>
        <v>1.5589579201474812</v>
      </c>
      <c r="W370" s="5">
        <f t="shared" si="74"/>
        <v>-0.15743164538683929</v>
      </c>
      <c r="X370" s="1">
        <f t="shared" si="70"/>
        <v>21.269670028082331</v>
      </c>
      <c r="Y370" s="3">
        <f t="shared" si="75"/>
        <v>5.1024189344372778E-2</v>
      </c>
      <c r="Z370" s="1">
        <f t="shared" si="65"/>
        <v>0.13638799684768202</v>
      </c>
      <c r="AA370" s="8">
        <f t="shared" si="71"/>
        <v>29.833333333333179</v>
      </c>
      <c r="AB370" s="1">
        <v>29.92</v>
      </c>
      <c r="AC370">
        <v>9.5393816899999994E-3</v>
      </c>
      <c r="AD370" s="8">
        <f t="shared" si="66"/>
        <v>3.2623400495749957</v>
      </c>
      <c r="AE370" s="3">
        <f t="shared" si="67"/>
        <v>3.4198653074075665E-2</v>
      </c>
      <c r="AF370" s="11">
        <f t="shared" si="68"/>
        <v>29.833333333333179</v>
      </c>
      <c r="AG370" s="1">
        <f t="shared" si="69"/>
        <v>0.13638799684768202</v>
      </c>
    </row>
    <row r="371" spans="2:33" ht="15" x14ac:dyDescent="0.25">
      <c r="B371" s="1">
        <v>360</v>
      </c>
      <c r="C371" s="1">
        <v>0.75856889897845026</v>
      </c>
      <c r="D371" s="1">
        <v>5.9594755661501786</v>
      </c>
      <c r="E371" s="1">
        <v>6.352836541515787E-2</v>
      </c>
      <c r="G371" s="1">
        <v>0.75856889897845026</v>
      </c>
      <c r="H371" s="1">
        <v>5.9594755661501786</v>
      </c>
      <c r="I371" s="1">
        <v>6.352836541515787E-2</v>
      </c>
      <c r="K371" s="1">
        <v>1.0003788916972296</v>
      </c>
      <c r="L371" s="1">
        <v>2.4904083663137451</v>
      </c>
      <c r="M371" s="1">
        <v>0.37252478712282255</v>
      </c>
      <c r="O371" s="1">
        <v>9.210721616234499E-3</v>
      </c>
      <c r="P371" s="1">
        <v>0.75856889897845026</v>
      </c>
      <c r="R371" s="1">
        <v>0.15208347545099826</v>
      </c>
      <c r="S371" s="2">
        <f t="shared" si="72"/>
        <v>0.7480880456316541</v>
      </c>
      <c r="T371" s="4">
        <f t="shared" si="73"/>
        <v>0.5596357240169878</v>
      </c>
      <c r="U371" s="1">
        <f t="shared" si="64"/>
        <v>0.4016085112182779</v>
      </c>
      <c r="V371" s="6">
        <f>2*sigma/alpha*corel*(B371/12-1/alpha*(1-EXP(-alpha*Output!B371/12)))</f>
        <v>1.5662319122256321</v>
      </c>
      <c r="W371" s="5">
        <f t="shared" si="74"/>
        <v>-0.1580272127987099</v>
      </c>
      <c r="X371" s="1">
        <f t="shared" si="70"/>
        <v>21.416347938719149</v>
      </c>
      <c r="Y371" s="3">
        <f t="shared" si="75"/>
        <v>5.1025801841631906E-2</v>
      </c>
      <c r="Z371" s="1">
        <f t="shared" si="65"/>
        <v>0.136581565864137</v>
      </c>
      <c r="AA371" s="8">
        <f t="shared" si="71"/>
        <v>29.916666666666512</v>
      </c>
      <c r="AB371" s="1">
        <v>30</v>
      </c>
      <c r="AC371">
        <v>9.5386351220000005E-3</v>
      </c>
      <c r="AD371" s="8">
        <f t="shared" si="66"/>
        <v>3.2791350576550151</v>
      </c>
      <c r="AE371" s="3">
        <f t="shared" si="67"/>
        <v>3.4377403220844316E-2</v>
      </c>
      <c r="AF371" s="11">
        <f t="shared" si="68"/>
        <v>29.916666666666512</v>
      </c>
      <c r="AG371" s="1">
        <f t="shared" si="69"/>
        <v>0.136581565864137</v>
      </c>
    </row>
    <row r="372" spans="2:33" ht="15" x14ac:dyDescent="0.25">
      <c r="B372" s="1">
        <v>361</v>
      </c>
      <c r="C372" s="1">
        <v>0.7580437610552031</v>
      </c>
      <c r="D372" s="1">
        <v>5.9840823409730115</v>
      </c>
      <c r="E372" s="1">
        <v>6.3008002016256059E-2</v>
      </c>
      <c r="G372" s="1">
        <v>0.7580437610552031</v>
      </c>
      <c r="H372" s="1">
        <v>5.9840823409730115</v>
      </c>
      <c r="I372" s="1">
        <v>6.3008002016256059E-2</v>
      </c>
      <c r="K372" s="1">
        <v>1.0004077748500497</v>
      </c>
      <c r="L372" s="1">
        <v>2.444482490251747</v>
      </c>
      <c r="M372" s="1">
        <v>0.37944746240445854</v>
      </c>
      <c r="O372" s="1">
        <v>9.2082270164013536E-3</v>
      </c>
      <c r="P372" s="1">
        <v>0.7580437610552031</v>
      </c>
      <c r="R372" s="1">
        <v>0.15247650038506516</v>
      </c>
      <c r="S372" s="2">
        <f t="shared" si="72"/>
        <v>0.75025883825335904</v>
      </c>
      <c r="T372" s="4">
        <f t="shared" si="73"/>
        <v>0.56288832437727998</v>
      </c>
      <c r="U372" s="1">
        <f t="shared" si="64"/>
        <v>0.40415554597481451</v>
      </c>
      <c r="V372" s="6">
        <f>2*sigma/alpha*corel*(B372/12-1/alpha*(1-EXP(-alpha*Output!B372/12)))</f>
        <v>1.5735163624458233</v>
      </c>
      <c r="W372" s="5">
        <f t="shared" si="74"/>
        <v>-0.15873277840246547</v>
      </c>
      <c r="X372" s="1">
        <f t="shared" si="70"/>
        <v>21.576798077314749</v>
      </c>
      <c r="Y372" s="3">
        <f t="shared" si="75"/>
        <v>5.1050972624067686E-2</v>
      </c>
      <c r="Z372" s="1">
        <f t="shared" si="65"/>
        <v>0.13678804491393878</v>
      </c>
      <c r="AA372" s="8">
        <f t="shared" si="71"/>
        <v>29.999999999999844</v>
      </c>
      <c r="AB372" s="1">
        <v>30.08</v>
      </c>
      <c r="AC372">
        <v>9.5378927010000003E-3</v>
      </c>
      <c r="AD372" s="8">
        <f t="shared" si="66"/>
        <v>3.2966568459864667</v>
      </c>
      <c r="AE372" s="3">
        <f t="shared" si="67"/>
        <v>3.4563786250613085E-2</v>
      </c>
      <c r="AF372" s="11">
        <f t="shared" si="68"/>
        <v>29.999999999999844</v>
      </c>
      <c r="AG372" s="1">
        <f t="shared" si="69"/>
        <v>0.13678804491393878</v>
      </c>
    </row>
    <row r="373" spans="2:33" ht="15" x14ac:dyDescent="0.25">
      <c r="B373" s="1">
        <v>362</v>
      </c>
      <c r="C373" s="1">
        <v>0.75751625869087003</v>
      </c>
      <c r="D373" s="1">
        <v>6.0172092183645223</v>
      </c>
      <c r="E373" s="1">
        <v>6.2402496099843996E-2</v>
      </c>
      <c r="G373" s="1">
        <v>0.75751625869087003</v>
      </c>
      <c r="H373" s="1">
        <v>6.0172092183645223</v>
      </c>
      <c r="I373" s="1">
        <v>6.2402496099843996E-2</v>
      </c>
      <c r="K373" s="1">
        <v>1.0003777313703799</v>
      </c>
      <c r="L373" s="1">
        <v>2.4548683721440465</v>
      </c>
      <c r="M373" s="1">
        <v>0.37776409109152936</v>
      </c>
      <c r="O373" s="1">
        <v>9.2058655760434063E-3</v>
      </c>
      <c r="P373" s="1">
        <v>0.75751625869087003</v>
      </c>
      <c r="R373" s="1">
        <v>0.15273760331145803</v>
      </c>
      <c r="S373" s="2">
        <f t="shared" si="72"/>
        <v>0.75199939979746255</v>
      </c>
      <c r="T373" s="4">
        <f t="shared" si="73"/>
        <v>0.56550309729574388</v>
      </c>
      <c r="U373" s="1">
        <f t="shared" si="64"/>
        <v>0.40670987506011569</v>
      </c>
      <c r="V373" s="6">
        <f>2*sigma/alpha*corel*(B373/12-1/alpha*(1-EXP(-alpha*Output!B373/12)))</f>
        <v>1.5808112360056197</v>
      </c>
      <c r="W373" s="5">
        <f t="shared" si="74"/>
        <v>-0.1587932222356282</v>
      </c>
      <c r="X373" s="1">
        <f t="shared" si="70"/>
        <v>21.660012980314086</v>
      </c>
      <c r="Y373" s="3">
        <f t="shared" si="75"/>
        <v>5.0937359168058007E-2</v>
      </c>
      <c r="Z373" s="1">
        <f t="shared" si="65"/>
        <v>0.1369158830318026</v>
      </c>
      <c r="AA373" s="8">
        <f t="shared" si="71"/>
        <v>30.083333333333176</v>
      </c>
      <c r="AB373" s="1">
        <v>30.17</v>
      </c>
      <c r="AC373">
        <v>9.5371543830000006E-3</v>
      </c>
      <c r="AD373" s="8">
        <f t="shared" si="66"/>
        <v>3.3128880695659433</v>
      </c>
      <c r="AE373" s="3">
        <f t="shared" si="67"/>
        <v>3.4736651379694276E-2</v>
      </c>
      <c r="AF373" s="11">
        <f t="shared" si="68"/>
        <v>30.083333333333176</v>
      </c>
      <c r="AG373" s="1">
        <f t="shared" si="69"/>
        <v>0.1369158830318026</v>
      </c>
    </row>
    <row r="374" spans="2:33" ht="15" x14ac:dyDescent="0.25">
      <c r="B374" s="1">
        <v>363</v>
      </c>
      <c r="C374" s="1">
        <v>0.75698783140091896</v>
      </c>
      <c r="D374" s="1">
        <v>6.0510710395740048</v>
      </c>
      <c r="E374" s="1">
        <v>6.1800877572461527E-2</v>
      </c>
      <c r="G374" s="1">
        <v>0.75698783140091896</v>
      </c>
      <c r="H374" s="1">
        <v>6.0510710395740048</v>
      </c>
      <c r="I374" s="1">
        <v>6.1800877572461527E-2</v>
      </c>
      <c r="K374" s="1">
        <v>1.0003922245245214</v>
      </c>
      <c r="L374" s="1">
        <v>2.4473515426601113</v>
      </c>
      <c r="M374" s="1">
        <v>0.37883937182834215</v>
      </c>
      <c r="O374" s="1">
        <v>9.2035735683140205E-3</v>
      </c>
      <c r="P374" s="1">
        <v>0.75698783140091896</v>
      </c>
      <c r="R374" s="1">
        <v>0.15326172705902494</v>
      </c>
      <c r="S374" s="2">
        <f t="shared" si="72"/>
        <v>0.75461424980574088</v>
      </c>
      <c r="T374" s="4">
        <f t="shared" si="73"/>
        <v>0.56944266600988114</v>
      </c>
      <c r="U374" s="1">
        <f t="shared" si="64"/>
        <v>0.40927148457825258</v>
      </c>
      <c r="V374" s="6">
        <f>2*sigma/alpha*corel*(B374/12-1/alpha*(1-EXP(-alpha*Output!B374/12)))</f>
        <v>1.588116498218398</v>
      </c>
      <c r="W374" s="5">
        <f t="shared" si="74"/>
        <v>-0.16017118143162856</v>
      </c>
      <c r="X374" s="1">
        <f t="shared" si="70"/>
        <v>21.902826965140523</v>
      </c>
      <c r="Y374" s="3">
        <f t="shared" si="75"/>
        <v>5.1106266404844829E-2</v>
      </c>
      <c r="Z374" s="1">
        <f t="shared" si="65"/>
        <v>0.13720259087377107</v>
      </c>
      <c r="AA374" s="8">
        <f t="shared" si="71"/>
        <v>30.166666666666508</v>
      </c>
      <c r="AB374" s="1">
        <v>30.25</v>
      </c>
      <c r="AC374">
        <v>9.5364201370000002E-3</v>
      </c>
      <c r="AD374" s="8">
        <f t="shared" si="66"/>
        <v>3.3284656868597975</v>
      </c>
      <c r="AE374" s="3">
        <f t="shared" si="67"/>
        <v>3.4902674578543451E-2</v>
      </c>
      <c r="AF374" s="11">
        <f t="shared" si="68"/>
        <v>30.166666666666508</v>
      </c>
      <c r="AG374" s="1">
        <f t="shared" si="69"/>
        <v>0.13720259087377107</v>
      </c>
    </row>
    <row r="375" spans="2:33" ht="15" x14ac:dyDescent="0.25">
      <c r="B375" s="1">
        <v>364</v>
      </c>
      <c r="C375" s="1">
        <v>0.75645897128860484</v>
      </c>
      <c r="D375" s="1">
        <v>6.0838352497414379</v>
      </c>
      <c r="E375" s="1">
        <v>6.1214495592556324E-2</v>
      </c>
      <c r="G375" s="1">
        <v>0.75645897128860484</v>
      </c>
      <c r="H375" s="1">
        <v>6.0838352497414379</v>
      </c>
      <c r="I375" s="1">
        <v>6.1214495592556324E-2</v>
      </c>
      <c r="K375" s="1">
        <v>1.0002992254215153</v>
      </c>
      <c r="L375" s="1">
        <v>2.5011503261445118</v>
      </c>
      <c r="M375" s="1">
        <v>0.37062310628899525</v>
      </c>
      <c r="O375" s="1">
        <v>9.2013290814431867E-3</v>
      </c>
      <c r="P375" s="1">
        <v>0.75645897128860484</v>
      </c>
      <c r="R375" s="1">
        <v>0.15365079132862644</v>
      </c>
      <c r="S375" s="2">
        <f t="shared" si="72"/>
        <v>0.75678528926179456</v>
      </c>
      <c r="T375" s="4">
        <f t="shared" si="73"/>
        <v>0.57272397404305808</v>
      </c>
      <c r="U375" s="1">
        <f t="shared" si="64"/>
        <v>0.4118403606105816</v>
      </c>
      <c r="V375" s="6">
        <f>2*sigma/alpha*corel*(B375/12-1/alpha*(1-EXP(-alpha*Output!B375/12)))</f>
        <v>1.5954321145129655</v>
      </c>
      <c r="W375" s="5">
        <f t="shared" si="74"/>
        <v>-0.16088361343247648</v>
      </c>
      <c r="X375" s="1">
        <f t="shared" si="70"/>
        <v>22.065948728493126</v>
      </c>
      <c r="Y375" s="3">
        <f t="shared" si="75"/>
        <v>5.1132008946404017E-2</v>
      </c>
      <c r="Z375" s="1">
        <f t="shared" si="65"/>
        <v>0.13740818801398855</v>
      </c>
      <c r="AA375" s="8">
        <f t="shared" si="71"/>
        <v>30.24999999999984</v>
      </c>
      <c r="AB375" s="1">
        <v>30.33</v>
      </c>
      <c r="AC375">
        <v>9.5356899319999997E-3</v>
      </c>
      <c r="AD375" s="8">
        <f t="shared" si="66"/>
        <v>3.3436085055681306</v>
      </c>
      <c r="AE375" s="3">
        <f t="shared" si="67"/>
        <v>3.5064148786419773E-2</v>
      </c>
      <c r="AF375" s="11">
        <f t="shared" si="68"/>
        <v>30.24999999999984</v>
      </c>
      <c r="AG375" s="1">
        <f t="shared" si="69"/>
        <v>0.13740818801398855</v>
      </c>
    </row>
    <row r="376" spans="2:33" ht="15" x14ac:dyDescent="0.25">
      <c r="B376" s="1">
        <v>365</v>
      </c>
      <c r="C376" s="1">
        <v>0.75592770422633393</v>
      </c>
      <c r="D376" s="1">
        <v>6.116582053948254</v>
      </c>
      <c r="E376" s="1">
        <v>6.0639136498696261E-2</v>
      </c>
      <c r="G376" s="1">
        <v>0.75592770422633393</v>
      </c>
      <c r="H376" s="1">
        <v>6.116582053948254</v>
      </c>
      <c r="I376" s="1">
        <v>6.0639136498696261E-2</v>
      </c>
      <c r="K376" s="1">
        <v>1.0002747714557871</v>
      </c>
      <c r="L376" s="1">
        <v>2.5434112997742107</v>
      </c>
      <c r="M376" s="1">
        <v>0.36438192679093739</v>
      </c>
      <c r="O376" s="1">
        <v>9.199217645116475E-3</v>
      </c>
      <c r="P376" s="1">
        <v>0.75592770422633393</v>
      </c>
      <c r="R376" s="1">
        <v>0.1539022238945543</v>
      </c>
      <c r="S376" s="2">
        <f t="shared" si="72"/>
        <v>0.7585063469471911</v>
      </c>
      <c r="T376" s="4">
        <f t="shared" si="73"/>
        <v>0.57533187835917265</v>
      </c>
      <c r="U376" s="1">
        <f t="shared" si="64"/>
        <v>0.4144164892162796</v>
      </c>
      <c r="V376" s="6">
        <f>2*sigma/alpha*corel*(B376/12-1/alpha*(1-EXP(-alpha*Output!B376/12)))</f>
        <v>1.6027580504331764</v>
      </c>
      <c r="W376" s="5">
        <f t="shared" si="74"/>
        <v>-0.16091538914289305</v>
      </c>
      <c r="X376" s="1">
        <f t="shared" si="70"/>
        <v>22.146872380613679</v>
      </c>
      <c r="Y376" s="3">
        <f t="shared" si="75"/>
        <v>5.1012958580047035E-2</v>
      </c>
      <c r="Z376" s="1">
        <f t="shared" si="65"/>
        <v>0.13753188960522486</v>
      </c>
      <c r="AA376" s="8">
        <f t="shared" si="71"/>
        <v>30.333333333333172</v>
      </c>
      <c r="AB376" s="1">
        <v>30.42</v>
      </c>
      <c r="AC376">
        <v>9.5349637350000006E-3</v>
      </c>
      <c r="AD376" s="8">
        <f t="shared" si="66"/>
        <v>3.3574608988352557</v>
      </c>
      <c r="AE376" s="3">
        <f t="shared" si="67"/>
        <v>3.5212099302601656E-2</v>
      </c>
      <c r="AF376" s="11">
        <f t="shared" si="68"/>
        <v>30.333333333333172</v>
      </c>
      <c r="AG376" s="1">
        <f t="shared" si="69"/>
        <v>0.13753188960522486</v>
      </c>
    </row>
    <row r="377" spans="2:33" ht="15" x14ac:dyDescent="0.25">
      <c r="B377" s="1">
        <v>366</v>
      </c>
      <c r="C377" s="1">
        <v>0.75539677017627371</v>
      </c>
      <c r="D377" s="1">
        <v>6.1496832913104971</v>
      </c>
      <c r="E377" s="1">
        <v>6.0063667487536783E-2</v>
      </c>
      <c r="G377" s="1">
        <v>0.75539677017627371</v>
      </c>
      <c r="H377" s="1">
        <v>6.1496832913104971</v>
      </c>
      <c r="I377" s="1">
        <v>6.0063667487536783E-2</v>
      </c>
      <c r="K377" s="1">
        <v>1.0002964357586994</v>
      </c>
      <c r="L377" s="1">
        <v>2.5517928192023009</v>
      </c>
      <c r="M377" s="1">
        <v>0.36311160288160588</v>
      </c>
      <c r="O377" s="1">
        <v>9.1971194872097692E-3</v>
      </c>
      <c r="P377" s="1">
        <v>0.75539677017627371</v>
      </c>
      <c r="R377" s="1">
        <v>0.15437782537815342</v>
      </c>
      <c r="S377" s="2">
        <f t="shared" si="72"/>
        <v>0.76097251760465756</v>
      </c>
      <c r="T377" s="4">
        <f t="shared" si="73"/>
        <v>0.57907917254957086</v>
      </c>
      <c r="U377" s="1">
        <f t="shared" ref="U377:U440" si="76">sigma*sigma/alpha/alpha*(B377/12+2/alpha*EXP(-alpha*B377/12)-1/2/alpha*EXP(-2*alpha*B377/12)-3/2/alpha)</f>
        <v>0.41699985643287185</v>
      </c>
      <c r="V377" s="6">
        <f>2*sigma/alpha*corel*(B377/12-1/alpha*(1-EXP(-alpha*Output!B377/12)))</f>
        <v>1.6100942716375446</v>
      </c>
      <c r="W377" s="5">
        <f t="shared" si="74"/>
        <v>-0.16207931611669901</v>
      </c>
      <c r="X377" s="1">
        <f t="shared" si="70"/>
        <v>22.366080129797318</v>
      </c>
      <c r="Y377" s="3">
        <f t="shared" si="75"/>
        <v>5.113417634267893E-2</v>
      </c>
      <c r="Z377" s="1">
        <f t="shared" si="65"/>
        <v>0.13779042919838247</v>
      </c>
      <c r="AA377" s="8">
        <f t="shared" si="71"/>
        <v>30.416666666666504</v>
      </c>
      <c r="AB377" s="1">
        <v>30.5</v>
      </c>
      <c r="AC377">
        <v>9.5342415170000007E-3</v>
      </c>
      <c r="AD377" s="8">
        <f t="shared" si="66"/>
        <v>3.3712202979023149</v>
      </c>
      <c r="AE377" s="3">
        <f t="shared" si="67"/>
        <v>3.5359082228945751E-2</v>
      </c>
      <c r="AF377" s="11">
        <f t="shared" si="68"/>
        <v>30.416666666666504</v>
      </c>
      <c r="AG377" s="1">
        <f t="shared" si="69"/>
        <v>0.13779042919838247</v>
      </c>
    </row>
    <row r="378" spans="2:33" ht="15" x14ac:dyDescent="0.25">
      <c r="B378" s="1">
        <v>367</v>
      </c>
      <c r="C378" s="1">
        <v>0.75486736570779944</v>
      </c>
      <c r="D378" s="1">
        <v>6.1835270838486274</v>
      </c>
      <c r="E378" s="1">
        <v>5.9488399762046403E-2</v>
      </c>
      <c r="G378" s="1">
        <v>0.75486736570779944</v>
      </c>
      <c r="H378" s="1">
        <v>6.1835270838486274</v>
      </c>
      <c r="I378" s="1">
        <v>5.9488399762046403E-2</v>
      </c>
      <c r="K378" s="1">
        <v>1.00033754376246</v>
      </c>
      <c r="L378" s="1">
        <v>2.5302894365653015</v>
      </c>
      <c r="M378" s="1">
        <v>0.36611540342600624</v>
      </c>
      <c r="O378" s="1">
        <v>9.1949826613046716E-3</v>
      </c>
      <c r="P378" s="1">
        <v>0.75486736570779944</v>
      </c>
      <c r="R378" s="1">
        <v>0.15481746912726943</v>
      </c>
      <c r="S378" s="2">
        <f t="shared" si="72"/>
        <v>0.76331954620047204</v>
      </c>
      <c r="T378" s="4">
        <f t="shared" si="73"/>
        <v>0.58265672961169457</v>
      </c>
      <c r="U378" s="1">
        <f t="shared" si="76"/>
        <v>0.41959044827675473</v>
      </c>
      <c r="V378" s="6">
        <f>2*sigma/alpha*corel*(B378/12-1/alpha*(1-EXP(-alpha*Output!B378/12)))</f>
        <v>1.6174407438988667</v>
      </c>
      <c r="W378" s="5">
        <f t="shared" si="74"/>
        <v>-0.16306628133493983</v>
      </c>
      <c r="X378" s="1">
        <f t="shared" si="70"/>
        <v>22.564556309998427</v>
      </c>
      <c r="Y378" s="3">
        <f t="shared" si="75"/>
        <v>5.1217041496244023E-2</v>
      </c>
      <c r="Z378" s="1">
        <f t="shared" si="65"/>
        <v>0.13802697634823935</v>
      </c>
      <c r="AA378" s="8">
        <f t="shared" si="71"/>
        <v>30.499999999999837</v>
      </c>
      <c r="AB378" s="1">
        <v>30.58</v>
      </c>
      <c r="AC378">
        <v>9.5335232470000007E-3</v>
      </c>
      <c r="AD378" s="8">
        <f t="shared" si="66"/>
        <v>3.3854058569532905</v>
      </c>
      <c r="AE378" s="3">
        <f t="shared" si="67"/>
        <v>3.551054284174119E-2</v>
      </c>
      <c r="AF378" s="11">
        <f t="shared" si="68"/>
        <v>30.499999999999837</v>
      </c>
      <c r="AG378" s="1">
        <f t="shared" si="69"/>
        <v>0.13802697634823935</v>
      </c>
    </row>
    <row r="379" spans="2:33" ht="15" x14ac:dyDescent="0.25">
      <c r="B379" s="1">
        <v>368</v>
      </c>
      <c r="C379" s="1">
        <v>0.75433433523129945</v>
      </c>
      <c r="D379" s="1">
        <v>6.2204528489674056</v>
      </c>
      <c r="E379" s="1">
        <v>5.8892815076560655E-2</v>
      </c>
      <c r="G379" s="1">
        <v>0.75433433523129945</v>
      </c>
      <c r="H379" s="1">
        <v>6.2204528489674056</v>
      </c>
      <c r="I379" s="1">
        <v>5.8892815076560655E-2</v>
      </c>
      <c r="K379" s="1">
        <v>1.0003813132721786</v>
      </c>
      <c r="L379" s="1">
        <v>2.556154097323811</v>
      </c>
      <c r="M379" s="1">
        <v>0.36234521584352747</v>
      </c>
      <c r="O379" s="1">
        <v>9.1930302335094492E-3</v>
      </c>
      <c r="P379" s="1">
        <v>0.75433433523129945</v>
      </c>
      <c r="R379" s="1">
        <v>0.15500533373652917</v>
      </c>
      <c r="S379" s="2">
        <f t="shared" si="72"/>
        <v>0.76483859991868841</v>
      </c>
      <c r="T379" s="4">
        <f t="shared" si="73"/>
        <v>0.58497808392557948</v>
      </c>
      <c r="U379" s="1">
        <f t="shared" si="76"/>
        <v>0.42218825074372113</v>
      </c>
      <c r="V379" s="6">
        <f>2*sigma/alpha*corel*(B379/12-1/alpha*(1-EXP(-alpha*Output!B379/12)))</f>
        <v>1.6247974331038408</v>
      </c>
      <c r="W379" s="5">
        <f t="shared" si="74"/>
        <v>-0.16278983318185836</v>
      </c>
      <c r="X379" s="1">
        <f t="shared" si="70"/>
        <v>22.608852902262125</v>
      </c>
      <c r="Y379" s="3">
        <f t="shared" si="75"/>
        <v>5.1033901896608655E-2</v>
      </c>
      <c r="Z379" s="1">
        <f t="shared" si="65"/>
        <v>0.13811362098620494</v>
      </c>
      <c r="AA379" s="8">
        <f t="shared" si="71"/>
        <v>30.583333333333169</v>
      </c>
      <c r="AB379" s="1">
        <v>30.67</v>
      </c>
      <c r="AC379">
        <v>9.5328088930000006E-3</v>
      </c>
      <c r="AD379" s="8">
        <f t="shared" si="66"/>
        <v>3.3977865949055137</v>
      </c>
      <c r="AE379" s="3">
        <f t="shared" si="67"/>
        <v>3.5643078897768833E-2</v>
      </c>
      <c r="AF379" s="11">
        <f t="shared" si="68"/>
        <v>30.583333333333169</v>
      </c>
      <c r="AG379" s="1">
        <f t="shared" si="69"/>
        <v>0.13811362098620494</v>
      </c>
    </row>
    <row r="380" spans="2:33" ht="15" x14ac:dyDescent="0.25">
      <c r="B380" s="1">
        <v>369</v>
      </c>
      <c r="C380" s="1">
        <v>0.7538017698983962</v>
      </c>
      <c r="D380" s="1">
        <v>6.2589973086311579</v>
      </c>
      <c r="E380" s="1">
        <v>5.828864537188156E-2</v>
      </c>
      <c r="G380" s="1">
        <v>0.7538017698983962</v>
      </c>
      <c r="H380" s="1">
        <v>6.2589973086311579</v>
      </c>
      <c r="I380" s="1">
        <v>5.828864537188156E-2</v>
      </c>
      <c r="K380" s="1">
        <v>1.0001995826933576</v>
      </c>
      <c r="L380" s="1">
        <v>2.5099691788289458</v>
      </c>
      <c r="M380" s="1">
        <v>0.36893156483191525</v>
      </c>
      <c r="O380" s="1">
        <v>9.191084558819583E-3</v>
      </c>
      <c r="P380" s="1">
        <v>0.7538017698983962</v>
      </c>
      <c r="R380" s="1">
        <v>0.15531042998829608</v>
      </c>
      <c r="S380" s="2">
        <f t="shared" si="72"/>
        <v>0.76674823076293297</v>
      </c>
      <c r="T380" s="4">
        <f t="shared" si="73"/>
        <v>0.5879028493780879</v>
      </c>
      <c r="U380" s="1">
        <f t="shared" si="76"/>
        <v>0.4247932498094662</v>
      </c>
      <c r="V380" s="6">
        <f>2*sigma/alpha*corel*(B380/12-1/alpha*(1-EXP(-alpha*Output!B380/12)))</f>
        <v>1.6321643052526857</v>
      </c>
      <c r="W380" s="5">
        <f t="shared" si="74"/>
        <v>-0.1631095995686217</v>
      </c>
      <c r="X380" s="1">
        <f t="shared" si="70"/>
        <v>22.726441066281453</v>
      </c>
      <c r="Y380" s="3">
        <f t="shared" si="75"/>
        <v>5.0976608371327933E-2</v>
      </c>
      <c r="Z380" s="1">
        <f t="shared" si="65"/>
        <v>0.13827071942278277</v>
      </c>
      <c r="AA380" s="8">
        <f t="shared" si="71"/>
        <v>30.666666666666501</v>
      </c>
      <c r="AB380" s="1">
        <v>30.75</v>
      </c>
      <c r="AC380">
        <v>9.5320984230000006E-3</v>
      </c>
      <c r="AD380" s="8">
        <f t="shared" si="66"/>
        <v>3.4101386418041759</v>
      </c>
      <c r="AE380" s="3">
        <f t="shared" si="67"/>
        <v>3.5775319247395222E-2</v>
      </c>
      <c r="AF380" s="11">
        <f t="shared" si="68"/>
        <v>30.666666666666501</v>
      </c>
      <c r="AG380" s="1">
        <f t="shared" si="69"/>
        <v>0.13827071942278277</v>
      </c>
    </row>
    <row r="381" spans="2:33" ht="15" x14ac:dyDescent="0.25">
      <c r="B381" s="1">
        <v>370</v>
      </c>
      <c r="C381" s="1">
        <v>0.75326535192372079</v>
      </c>
      <c r="D381" s="1">
        <v>6.2952470884482219</v>
      </c>
      <c r="E381" s="1">
        <v>5.7710064635272396E-2</v>
      </c>
      <c r="G381" s="1">
        <v>0.75326535192372079</v>
      </c>
      <c r="H381" s="1">
        <v>6.2952470884482219</v>
      </c>
      <c r="I381" s="1">
        <v>5.7710064635272396E-2</v>
      </c>
      <c r="K381" s="1">
        <v>1.0002022510959567</v>
      </c>
      <c r="L381" s="1">
        <v>2.5371902317325277</v>
      </c>
      <c r="M381" s="1">
        <v>0.36489526587198667</v>
      </c>
      <c r="O381" s="1">
        <v>9.1893314680567169E-3</v>
      </c>
      <c r="P381" s="1">
        <v>0.75326535192372079</v>
      </c>
      <c r="R381" s="1">
        <v>0.15546724108250634</v>
      </c>
      <c r="S381" s="2">
        <f t="shared" si="72"/>
        <v>0.76817289973266067</v>
      </c>
      <c r="T381" s="4">
        <f t="shared" si="73"/>
        <v>0.59008960388368437</v>
      </c>
      <c r="U381" s="1">
        <f t="shared" si="76"/>
        <v>0.4274054314301039</v>
      </c>
      <c r="V381" s="6">
        <f>2*sigma/alpha*corel*(B381/12-1/alpha*(1-EXP(-alpha*Output!B381/12)))</f>
        <v>1.6395413264587635</v>
      </c>
      <c r="W381" s="5">
        <f t="shared" si="74"/>
        <v>-0.16268417245358047</v>
      </c>
      <c r="X381" s="1">
        <f t="shared" si="70"/>
        <v>22.752477030441085</v>
      </c>
      <c r="Y381" s="3">
        <f t="shared" si="75"/>
        <v>5.0763475733569166E-2</v>
      </c>
      <c r="Z381" s="1">
        <f t="shared" si="65"/>
        <v>0.13834030940777317</v>
      </c>
      <c r="AA381" s="8">
        <f t="shared" si="71"/>
        <v>30.749999999999833</v>
      </c>
      <c r="AB381" s="1">
        <v>30.83</v>
      </c>
      <c r="AC381">
        <v>9.531391807E-3</v>
      </c>
      <c r="AD381" s="8">
        <f t="shared" si="66"/>
        <v>3.4206033894328312</v>
      </c>
      <c r="AE381" s="3">
        <f t="shared" si="67"/>
        <v>3.5887763914192343E-2</v>
      </c>
      <c r="AF381" s="11">
        <f t="shared" si="68"/>
        <v>30.749999999999833</v>
      </c>
      <c r="AG381" s="1">
        <f t="shared" si="69"/>
        <v>0.13834030940777317</v>
      </c>
    </row>
    <row r="382" spans="2:33" ht="15" x14ac:dyDescent="0.25">
      <c r="B382" s="1">
        <v>371</v>
      </c>
      <c r="C382" s="1">
        <v>0.7527269402736223</v>
      </c>
      <c r="D382" s="1">
        <v>6.3299151791365995</v>
      </c>
      <c r="E382" s="1">
        <v>5.7155921353452224E-2</v>
      </c>
      <c r="G382" s="1">
        <v>0.7527269402736223</v>
      </c>
      <c r="H382" s="1">
        <v>6.3299151791365995</v>
      </c>
      <c r="I382" s="1">
        <v>5.7155921353452224E-2</v>
      </c>
      <c r="K382" s="1">
        <v>1.000169363889011</v>
      </c>
      <c r="L382" s="1">
        <v>2.5079512241770261</v>
      </c>
      <c r="M382" s="1">
        <v>0.36907149250883448</v>
      </c>
      <c r="O382" s="1">
        <v>9.1876898997340396E-3</v>
      </c>
      <c r="P382" s="1">
        <v>0.7527269402736223</v>
      </c>
      <c r="R382" s="1">
        <v>0.15589586304029066</v>
      </c>
      <c r="S382" s="2">
        <f t="shared" si="72"/>
        <v>0.77050755197392218</v>
      </c>
      <c r="T382" s="4">
        <f t="shared" si="73"/>
        <v>0.59368188764884644</v>
      </c>
      <c r="U382" s="1">
        <f t="shared" si="76"/>
        <v>0.43002478154267276</v>
      </c>
      <c r="V382" s="6">
        <f>2*sigma/alpha*corel*(B382/12-1/alpha*(1-EXP(-alpha*Output!B382/12)))</f>
        <v>1.6469284629482055</v>
      </c>
      <c r="W382" s="5">
        <f t="shared" si="74"/>
        <v>-0.16365710610617368</v>
      </c>
      <c r="X382" s="1">
        <f t="shared" si="70"/>
        <v>22.951302150532417</v>
      </c>
      <c r="Y382" s="3">
        <f t="shared" si="75"/>
        <v>5.0843502991500825E-2</v>
      </c>
      <c r="Z382" s="1">
        <f t="shared" si="65"/>
        <v>0.13857362179399635</v>
      </c>
      <c r="AA382" s="8">
        <f t="shared" si="71"/>
        <v>30.833333333333165</v>
      </c>
      <c r="AB382" s="1">
        <v>30.92</v>
      </c>
      <c r="AC382">
        <v>9.5306890120000001E-3</v>
      </c>
      <c r="AD382" s="8">
        <f t="shared" si="66"/>
        <v>3.4299911226596049</v>
      </c>
      <c r="AE382" s="3">
        <f t="shared" si="67"/>
        <v>3.5988910333145233E-2</v>
      </c>
      <c r="AF382" s="11">
        <f t="shared" si="68"/>
        <v>30.833333333333165</v>
      </c>
      <c r="AG382" s="1">
        <f t="shared" si="69"/>
        <v>0.13857362179399635</v>
      </c>
    </row>
    <row r="383" spans="2:33" ht="15" x14ac:dyDescent="0.25">
      <c r="B383" s="1">
        <v>372</v>
      </c>
      <c r="C383" s="1">
        <v>0.75219164813734229</v>
      </c>
      <c r="D383" s="1">
        <v>6.3661828367710722</v>
      </c>
      <c r="E383" s="1">
        <v>5.6596298602071424E-2</v>
      </c>
      <c r="G383" s="1">
        <v>0.75219164813734229</v>
      </c>
      <c r="H383" s="1">
        <v>6.3661828367710722</v>
      </c>
      <c r="I383" s="1">
        <v>5.6596298602071424E-2</v>
      </c>
      <c r="K383" s="1">
        <v>1.0002120838315598</v>
      </c>
      <c r="L383" s="1">
        <v>2.4658309777393166</v>
      </c>
      <c r="M383" s="1">
        <v>0.37529693781459295</v>
      </c>
      <c r="O383" s="1">
        <v>9.1859398791901276E-3</v>
      </c>
      <c r="P383" s="1">
        <v>0.75219164813734229</v>
      </c>
      <c r="R383" s="1">
        <v>0.15631654500889125</v>
      </c>
      <c r="S383" s="2">
        <f t="shared" si="72"/>
        <v>0.77281316212081608</v>
      </c>
      <c r="T383" s="4">
        <f t="shared" si="73"/>
        <v>0.59724018354717479</v>
      </c>
      <c r="U383" s="1">
        <f t="shared" si="76"/>
        <v>0.43265128606563019</v>
      </c>
      <c r="V383" s="6">
        <f>2*sigma/alpha*corel*(B383/12-1/alpha*(1-EXP(-alpha*Output!B383/12)))</f>
        <v>1.6543256810595333</v>
      </c>
      <c r="W383" s="5">
        <f t="shared" si="74"/>
        <v>-0.16458889748154459</v>
      </c>
      <c r="X383" s="1">
        <f t="shared" si="70"/>
        <v>23.14581674672462</v>
      </c>
      <c r="Y383" s="3">
        <f t="shared" si="75"/>
        <v>5.0914262415215759E-2</v>
      </c>
      <c r="Z383" s="1">
        <f t="shared" si="65"/>
        <v>0.13880134139297615</v>
      </c>
      <c r="AA383" s="8">
        <f t="shared" si="71"/>
        <v>30.916666666666497</v>
      </c>
      <c r="AB383" s="1">
        <v>31</v>
      </c>
      <c r="AC383">
        <v>9.5299900080000003E-3</v>
      </c>
      <c r="AD383" s="8">
        <f t="shared" si="66"/>
        <v>3.4405012880987274</v>
      </c>
      <c r="AE383" s="3">
        <f t="shared" si="67"/>
        <v>3.6101835208752375E-2</v>
      </c>
      <c r="AF383" s="11">
        <f t="shared" si="68"/>
        <v>30.916666666666497</v>
      </c>
      <c r="AG383" s="1">
        <f t="shared" si="69"/>
        <v>0.13880134139297615</v>
      </c>
    </row>
    <row r="384" spans="2:33" ht="15" x14ac:dyDescent="0.25">
      <c r="B384" s="1">
        <v>373</v>
      </c>
      <c r="C384" s="1">
        <v>0.75165655485325489</v>
      </c>
      <c r="D384" s="1">
        <v>6.4004096262160779</v>
      </c>
      <c r="E384" s="1">
        <v>5.6060096423365846E-2</v>
      </c>
      <c r="G384" s="1">
        <v>0.75165655485325489</v>
      </c>
      <c r="H384" s="1">
        <v>6.4004096262160779</v>
      </c>
      <c r="I384" s="1">
        <v>5.6060096423365846E-2</v>
      </c>
      <c r="K384" s="1">
        <v>1.0003028460889576</v>
      </c>
      <c r="L384" s="1">
        <v>2.4599009773623361</v>
      </c>
      <c r="M384" s="1">
        <v>0.37612453007829727</v>
      </c>
      <c r="O384" s="1">
        <v>9.1842070239358722E-3</v>
      </c>
      <c r="P384" s="1">
        <v>0.75165655485325489</v>
      </c>
      <c r="R384" s="1">
        <v>0.15672382144129263</v>
      </c>
      <c r="S384" s="2">
        <f t="shared" si="72"/>
        <v>0.77507636794826817</v>
      </c>
      <c r="T384" s="4">
        <f t="shared" si="73"/>
        <v>0.60074337615187923</v>
      </c>
      <c r="U384" s="1">
        <f t="shared" si="76"/>
        <v>0.43528493089935605</v>
      </c>
      <c r="V384" s="6">
        <f>2*sigma/alpha*corel*(B384/12-1/alpha*(1-EXP(-alpha*Output!B384/12)))</f>
        <v>1.6617329472432876</v>
      </c>
      <c r="W384" s="5">
        <f t="shared" si="74"/>
        <v>-0.16545844525252318</v>
      </c>
      <c r="X384" s="1">
        <f t="shared" si="70"/>
        <v>23.333356414350913</v>
      </c>
      <c r="Y384" s="3">
        <f t="shared" si="75"/>
        <v>5.0971501725440703E-2</v>
      </c>
      <c r="Z384" s="1">
        <f t="shared" si="65"/>
        <v>0.13902109425665526</v>
      </c>
      <c r="AA384" s="8">
        <f t="shared" si="71"/>
        <v>30.999999999999829</v>
      </c>
      <c r="AB384" s="1">
        <v>31.08</v>
      </c>
      <c r="AC384">
        <v>9.5292947609999998E-3</v>
      </c>
      <c r="AD384" s="8">
        <f t="shared" si="66"/>
        <v>3.4508773706412761</v>
      </c>
      <c r="AE384" s="3">
        <f t="shared" si="67"/>
        <v>3.6213355313181039E-2</v>
      </c>
      <c r="AF384" s="11">
        <f t="shared" si="68"/>
        <v>30.999999999999829</v>
      </c>
      <c r="AG384" s="1">
        <f t="shared" si="69"/>
        <v>0.13902109425665526</v>
      </c>
    </row>
    <row r="385" spans="2:33" ht="15" x14ac:dyDescent="0.25">
      <c r="B385" s="1">
        <v>374</v>
      </c>
      <c r="C385" s="1">
        <v>0.75112185993063862</v>
      </c>
      <c r="D385" s="1">
        <v>6.4345923685734512</v>
      </c>
      <c r="E385" s="1">
        <v>5.5527791659725691E-2</v>
      </c>
      <c r="G385" s="1">
        <v>0.75112185993063862</v>
      </c>
      <c r="H385" s="1">
        <v>6.4345923685734512</v>
      </c>
      <c r="I385" s="1">
        <v>5.5527791659725691E-2</v>
      </c>
      <c r="K385" s="1">
        <v>1.0003426529503627</v>
      </c>
      <c r="L385" s="1">
        <v>2.4711876545978235</v>
      </c>
      <c r="M385" s="1">
        <v>0.37434144110062517</v>
      </c>
      <c r="O385" s="1">
        <v>9.1824826788833962E-3</v>
      </c>
      <c r="P385" s="1">
        <v>0.75112185993063862</v>
      </c>
      <c r="R385" s="1">
        <v>0.157133104159218</v>
      </c>
      <c r="S385" s="2">
        <f t="shared" si="72"/>
        <v>0.77734818142617845</v>
      </c>
      <c r="T385" s="4">
        <f t="shared" si="73"/>
        <v>0.60427019516658687</v>
      </c>
      <c r="U385" s="1">
        <f t="shared" si="76"/>
        <v>0.43792570192664115</v>
      </c>
      <c r="V385" s="6">
        <f>2*sigma/alpha*corel*(B385/12-1/alpha*(1-EXP(-alpha*Output!B385/12)))</f>
        <v>1.669150228061655</v>
      </c>
      <c r="W385" s="5">
        <f t="shared" si="74"/>
        <v>-0.16634449323994571</v>
      </c>
      <c r="X385" s="1">
        <f t="shared" si="70"/>
        <v>23.523675974418175</v>
      </c>
      <c r="Y385" s="3">
        <f t="shared" si="75"/>
        <v>5.1031620399453165E-2</v>
      </c>
      <c r="Z385" s="1">
        <f t="shared" si="65"/>
        <v>0.13924205007115786</v>
      </c>
      <c r="AA385" s="8">
        <f t="shared" si="71"/>
        <v>31.083333333333162</v>
      </c>
      <c r="AB385" s="1">
        <v>31.17</v>
      </c>
      <c r="AC385">
        <v>9.528603242E-3</v>
      </c>
      <c r="AD385" s="8">
        <f t="shared" si="66"/>
        <v>3.4612056311660382</v>
      </c>
      <c r="AE385" s="3">
        <f t="shared" si="67"/>
        <v>3.6324375601135328E-2</v>
      </c>
      <c r="AF385" s="11">
        <f t="shared" si="68"/>
        <v>31.083333333333162</v>
      </c>
      <c r="AG385" s="1">
        <f t="shared" si="69"/>
        <v>0.13924205007115786</v>
      </c>
    </row>
    <row r="386" spans="2:33" ht="15" x14ac:dyDescent="0.25">
      <c r="B386" s="1">
        <v>375</v>
      </c>
      <c r="C386" s="1">
        <v>0.75058937706758089</v>
      </c>
      <c r="D386" s="1">
        <v>6.4678869413362658</v>
      </c>
      <c r="E386" s="1">
        <v>5.5011552426009462E-2</v>
      </c>
      <c r="G386" s="1">
        <v>0.75058937706758089</v>
      </c>
      <c r="H386" s="1">
        <v>6.4678869413362658</v>
      </c>
      <c r="I386" s="1">
        <v>5.5011552426009462E-2</v>
      </c>
      <c r="K386" s="1">
        <v>1.0003619568909203</v>
      </c>
      <c r="L386" s="1">
        <v>2.4709760397087086</v>
      </c>
      <c r="M386" s="1">
        <v>0.37427668313363127</v>
      </c>
      <c r="O386" s="1">
        <v>9.1806894390139941E-3</v>
      </c>
      <c r="P386" s="1">
        <v>0.75058937706758089</v>
      </c>
      <c r="R386" s="1">
        <v>0.15750589825955463</v>
      </c>
      <c r="S386" s="2">
        <f t="shared" si="72"/>
        <v>0.77949695462506274</v>
      </c>
      <c r="T386" s="4">
        <f t="shared" si="73"/>
        <v>0.60761550226974714</v>
      </c>
      <c r="U386" s="1">
        <f t="shared" si="76"/>
        <v>0.44057358501317312</v>
      </c>
      <c r="V386" s="6">
        <f>2*sigma/alpha*corel*(B386/12-1/alpha*(1-EXP(-alpha*Output!B386/12)))</f>
        <v>1.6765774901880941</v>
      </c>
      <c r="W386" s="5">
        <f t="shared" si="74"/>
        <v>-0.16704191725657402</v>
      </c>
      <c r="X386" s="1">
        <f t="shared" si="70"/>
        <v>23.69115173767716</v>
      </c>
      <c r="Y386" s="3">
        <f t="shared" si="75"/>
        <v>5.1052451730671286E-2</v>
      </c>
      <c r="Z386" s="1">
        <f t="shared" si="65"/>
        <v>0.13944065430365674</v>
      </c>
      <c r="AA386" s="8">
        <f t="shared" si="71"/>
        <v>31.166666666666494</v>
      </c>
      <c r="AB386" s="1">
        <v>31.25</v>
      </c>
      <c r="AC386">
        <v>9.5279154199999997E-3</v>
      </c>
      <c r="AD386" s="8">
        <f t="shared" si="66"/>
        <v>3.4722598098600557</v>
      </c>
      <c r="AE386" s="3">
        <f t="shared" si="67"/>
        <v>3.6443016722959701E-2</v>
      </c>
      <c r="AF386" s="11">
        <f t="shared" si="68"/>
        <v>31.166666666666494</v>
      </c>
      <c r="AG386" s="1">
        <f t="shared" si="69"/>
        <v>0.13944065430365674</v>
      </c>
    </row>
    <row r="387" spans="2:33" ht="15" x14ac:dyDescent="0.25">
      <c r="B387" s="1">
        <v>376</v>
      </c>
      <c r="C387" s="1">
        <v>0.75005599552661595</v>
      </c>
      <c r="D387" s="1">
        <v>6.5006825716700254</v>
      </c>
      <c r="E387" s="1">
        <v>5.4507794614629894E-2</v>
      </c>
      <c r="G387" s="1">
        <v>0.75005599552661595</v>
      </c>
      <c r="H387" s="1">
        <v>6.5006825716700254</v>
      </c>
      <c r="I387" s="1">
        <v>5.4507794614629894E-2</v>
      </c>
      <c r="K387" s="1">
        <v>1.0004617123911741</v>
      </c>
      <c r="L387" s="1">
        <v>2.4946193839057362</v>
      </c>
      <c r="M387" s="1">
        <v>0.37066489405043196</v>
      </c>
      <c r="O387" s="1">
        <v>9.1789600384020575E-3</v>
      </c>
      <c r="P387" s="1">
        <v>0.75005599552661595</v>
      </c>
      <c r="R387" s="1">
        <v>0.15786833159882183</v>
      </c>
      <c r="S387" s="2">
        <f t="shared" si="72"/>
        <v>0.78161504110088442</v>
      </c>
      <c r="T387" s="4">
        <f t="shared" si="73"/>
        <v>0.61092207247513719</v>
      </c>
      <c r="U387" s="1">
        <f t="shared" si="76"/>
        <v>0.44322856600802041</v>
      </c>
      <c r="V387" s="6">
        <f>2*sigma/alpha*corel*(B387/12-1/alpha*(1-EXP(-alpha*Output!B387/12)))</f>
        <v>1.6840147004069683</v>
      </c>
      <c r="W387" s="5">
        <f t="shared" si="74"/>
        <v>-0.16769350646711678</v>
      </c>
      <c r="X387" s="1">
        <f t="shared" si="70"/>
        <v>23.853491655065405</v>
      </c>
      <c r="Y387" s="3">
        <f t="shared" si="75"/>
        <v>5.1063653453978272E-2</v>
      </c>
      <c r="Z387" s="1">
        <f t="shared" si="65"/>
        <v>0.13963349509102094</v>
      </c>
      <c r="AA387" s="8">
        <f t="shared" si="71"/>
        <v>31.249999999999826</v>
      </c>
      <c r="AB387" s="1">
        <v>31.33</v>
      </c>
      <c r="AC387">
        <v>9.5272312670000008E-3</v>
      </c>
      <c r="AD387" s="8">
        <f t="shared" si="66"/>
        <v>3.4827122859794333</v>
      </c>
      <c r="AE387" s="3">
        <f t="shared" si="67"/>
        <v>3.6555345287383724E-2</v>
      </c>
      <c r="AF387" s="11">
        <f t="shared" si="68"/>
        <v>31.249999999999826</v>
      </c>
      <c r="AG387" s="1">
        <f t="shared" si="69"/>
        <v>0.13963349509102094</v>
      </c>
    </row>
    <row r="388" spans="2:33" ht="15" x14ac:dyDescent="0.25">
      <c r="B388" s="1">
        <v>377</v>
      </c>
      <c r="C388" s="1">
        <v>0.74952277734884543</v>
      </c>
      <c r="D388" s="1">
        <v>6.5321052975373961</v>
      </c>
      <c r="E388" s="1">
        <v>5.4016096796845457E-2</v>
      </c>
      <c r="G388" s="1">
        <v>0.74952277734884543</v>
      </c>
      <c r="H388" s="1">
        <v>6.5321052975373961</v>
      </c>
      <c r="I388" s="1">
        <v>5.4016096796845457E-2</v>
      </c>
      <c r="K388" s="1">
        <v>1.0005328049353472</v>
      </c>
      <c r="L388" s="1">
        <v>2.5131083345318839</v>
      </c>
      <c r="M388" s="1">
        <v>0.36786073722851037</v>
      </c>
      <c r="O388" s="1">
        <v>9.1772489711221296E-3</v>
      </c>
      <c r="P388" s="1">
        <v>0.74952277734884543</v>
      </c>
      <c r="R388" s="1">
        <v>0.15820020305819699</v>
      </c>
      <c r="S388" s="2">
        <f t="shared" si="72"/>
        <v>0.78363299087945193</v>
      </c>
      <c r="T388" s="4">
        <f t="shared" si="73"/>
        <v>0.61408066439467524</v>
      </c>
      <c r="U388" s="1">
        <f t="shared" si="76"/>
        <v>0.44589063074411284</v>
      </c>
      <c r="V388" s="6">
        <f>2*sigma/alpha*corel*(B388/12-1/alpha*(1-EXP(-alpha*Output!B388/12)))</f>
        <v>1.6914618256131773</v>
      </c>
      <c r="W388" s="5">
        <f t="shared" si="74"/>
        <v>-0.1681900336505624</v>
      </c>
      <c r="X388" s="1">
        <f t="shared" si="70"/>
        <v>23.996924002927337</v>
      </c>
      <c r="Y388" s="3">
        <f t="shared" si="75"/>
        <v>5.1043029823714087E-2</v>
      </c>
      <c r="Z388" s="1">
        <f t="shared" si="65"/>
        <v>0.13980820485646972</v>
      </c>
      <c r="AA388" s="8">
        <f t="shared" si="71"/>
        <v>31.333333333333158</v>
      </c>
      <c r="AB388" s="1">
        <v>31.42</v>
      </c>
      <c r="AC388">
        <v>9.5265507530000008E-3</v>
      </c>
      <c r="AD388" s="8">
        <f t="shared" si="66"/>
        <v>3.4930178187787124</v>
      </c>
      <c r="AE388" s="3">
        <f t="shared" si="67"/>
        <v>3.6666133518248753E-2</v>
      </c>
      <c r="AF388" s="11">
        <f t="shared" si="68"/>
        <v>31.333333333333158</v>
      </c>
      <c r="AG388" s="1">
        <f t="shared" si="69"/>
        <v>0.13980820485646972</v>
      </c>
    </row>
    <row r="389" spans="2:33" ht="15" x14ac:dyDescent="0.25">
      <c r="B389" s="1">
        <v>378</v>
      </c>
      <c r="C389" s="1">
        <v>0.74899300752438158</v>
      </c>
      <c r="D389" s="1">
        <v>6.5599580162686966</v>
      </c>
      <c r="E389" s="1">
        <v>5.3561863952865552E-2</v>
      </c>
      <c r="G389" s="1">
        <v>0.74899300752438158</v>
      </c>
      <c r="H389" s="1">
        <v>6.5599580162686966</v>
      </c>
      <c r="I389" s="1">
        <v>5.3561863952865552E-2</v>
      </c>
      <c r="K389" s="1">
        <v>1.000542412752099</v>
      </c>
      <c r="L389" s="1">
        <v>2.5090015379856232</v>
      </c>
      <c r="M389" s="1">
        <v>0.36838277963569688</v>
      </c>
      <c r="O389" s="1">
        <v>9.175416865301116E-3</v>
      </c>
      <c r="P389" s="1">
        <v>0.74899300752438158</v>
      </c>
      <c r="R389" s="1">
        <v>0.15860055824023786</v>
      </c>
      <c r="S389" s="2">
        <f t="shared" si="72"/>
        <v>0.78587655090999076</v>
      </c>
      <c r="T389" s="4">
        <f t="shared" si="73"/>
        <v>0.6176019532701833</v>
      </c>
      <c r="U389" s="1">
        <f t="shared" si="76"/>
        <v>0.44855976503871053</v>
      </c>
      <c r="V389" s="6">
        <f>2*sigma/alpha*corel*(B389/12-1/alpha*(1-EXP(-alpha*Output!B389/12)))</f>
        <v>1.6989188328117826</v>
      </c>
      <c r="W389" s="5">
        <f t="shared" si="74"/>
        <v>-0.16904218823147277</v>
      </c>
      <c r="X389" s="1">
        <f t="shared" si="70"/>
        <v>24.185640917648119</v>
      </c>
      <c r="Y389" s="3">
        <f t="shared" si="75"/>
        <v>5.1094778600776609E-2</v>
      </c>
      <c r="Z389" s="1">
        <f t="shared" si="65"/>
        <v>0.14002289532403783</v>
      </c>
      <c r="AA389" s="8">
        <f t="shared" si="71"/>
        <v>31.41666666666649</v>
      </c>
      <c r="AB389" s="1">
        <v>31.5</v>
      </c>
      <c r="AC389">
        <v>9.5258738510000003E-3</v>
      </c>
      <c r="AD389" s="8">
        <f t="shared" si="66"/>
        <v>3.5045698569888435</v>
      </c>
      <c r="AE389" s="3">
        <f t="shared" si="67"/>
        <v>3.6790009103689139E-2</v>
      </c>
      <c r="AF389" s="11">
        <f t="shared" si="68"/>
        <v>31.41666666666649</v>
      </c>
      <c r="AG389" s="1">
        <f t="shared" si="69"/>
        <v>0.14002289532403783</v>
      </c>
    </row>
    <row r="390" spans="2:33" ht="15" x14ac:dyDescent="0.25">
      <c r="B390" s="1">
        <v>379</v>
      </c>
      <c r="C390" s="1">
        <v>0.74846388224150018</v>
      </c>
      <c r="D390" s="1">
        <v>6.5876152832674579</v>
      </c>
      <c r="E390" s="1">
        <v>5.3112385808370514E-2</v>
      </c>
      <c r="G390" s="1">
        <v>0.74846388224150018</v>
      </c>
      <c r="H390" s="1">
        <v>6.5876152832674579</v>
      </c>
      <c r="I390" s="1">
        <v>5.3112385808370514E-2</v>
      </c>
      <c r="K390" s="1">
        <v>1.000436979282304</v>
      </c>
      <c r="L390" s="1">
        <v>2.4897086316898998</v>
      </c>
      <c r="M390" s="1">
        <v>0.37115628106040227</v>
      </c>
      <c r="O390" s="1">
        <v>9.1735830017433979E-3</v>
      </c>
      <c r="P390" s="1">
        <v>0.74846388224150018</v>
      </c>
      <c r="R390" s="1">
        <v>0.158964228120965</v>
      </c>
      <c r="S390" s="2">
        <f t="shared" si="72"/>
        <v>0.78799866617274028</v>
      </c>
      <c r="T390" s="4">
        <f t="shared" si="73"/>
        <v>0.62094189789001775</v>
      </c>
      <c r="U390" s="1">
        <f t="shared" si="76"/>
        <v>0.45123595469387645</v>
      </c>
      <c r="V390" s="6">
        <f>2*sigma/alpha*corel*(B390/12-1/alpha*(1-EXP(-alpha*Output!B390/12)))</f>
        <v>1.7063856891176497</v>
      </c>
      <c r="W390" s="5">
        <f t="shared" si="74"/>
        <v>-0.1697059431961413</v>
      </c>
      <c r="X390" s="1">
        <f t="shared" si="70"/>
        <v>24.351269610471366</v>
      </c>
      <c r="Y390" s="3">
        <f t="shared" si="75"/>
        <v>5.1107887127724475E-2</v>
      </c>
      <c r="Z390" s="1">
        <f t="shared" si="65"/>
        <v>0.14021565349362516</v>
      </c>
      <c r="AA390" s="8">
        <f t="shared" si="71"/>
        <v>31.499999999999822</v>
      </c>
      <c r="AB390" s="1">
        <v>31.58</v>
      </c>
      <c r="AC390">
        <v>9.5252005299999998E-3</v>
      </c>
      <c r="AD390" s="8">
        <f t="shared" si="66"/>
        <v>3.5161752825660191</v>
      </c>
      <c r="AE390" s="3">
        <f t="shared" si="67"/>
        <v>3.6914448903114266E-2</v>
      </c>
      <c r="AF390" s="11">
        <f t="shared" si="68"/>
        <v>31.499999999999822</v>
      </c>
      <c r="AG390" s="1">
        <f t="shared" si="69"/>
        <v>0.14021565349362516</v>
      </c>
    </row>
    <row r="391" spans="2:33" ht="15" x14ac:dyDescent="0.25">
      <c r="B391" s="1">
        <v>380</v>
      </c>
      <c r="C391" s="1">
        <v>0.74793334459696692</v>
      </c>
      <c r="D391" s="1">
        <v>6.615506747816883</v>
      </c>
      <c r="E391" s="1">
        <v>5.2667614683730976E-2</v>
      </c>
      <c r="G391" s="1">
        <v>0.74793334459696692</v>
      </c>
      <c r="H391" s="1">
        <v>6.615506747816883</v>
      </c>
      <c r="I391" s="1">
        <v>5.2667614683730976E-2</v>
      </c>
      <c r="K391" s="1">
        <v>1.0004401562270724</v>
      </c>
      <c r="L391" s="1">
        <v>2.4146958245632106</v>
      </c>
      <c r="M391" s="1">
        <v>0.38261093110977434</v>
      </c>
      <c r="O391" s="1">
        <v>9.1718342046223159E-3</v>
      </c>
      <c r="P391" s="1">
        <v>0.74793334459696692</v>
      </c>
      <c r="R391" s="1">
        <v>0.15931995858751452</v>
      </c>
      <c r="S391" s="2">
        <f t="shared" si="72"/>
        <v>0.79009896523864009</v>
      </c>
      <c r="T391" s="4">
        <f t="shared" si="73"/>
        <v>0.62425637487116981</v>
      </c>
      <c r="U391" s="1">
        <f t="shared" si="76"/>
        <v>0.45391918549694399</v>
      </c>
      <c r="V391" s="6">
        <f>2*sigma/alpha*corel*(B391/12-1/alpha*(1-EXP(-alpha*Output!B391/12)))</f>
        <v>1.7138623617550786</v>
      </c>
      <c r="W391" s="5">
        <f t="shared" si="74"/>
        <v>-0.17033718937422582</v>
      </c>
      <c r="X391" s="1">
        <f t="shared" si="70"/>
        <v>24.51336818244263</v>
      </c>
      <c r="Y391" s="3">
        <f t="shared" si="75"/>
        <v>5.1114241780188266E-2</v>
      </c>
      <c r="Z391" s="1">
        <f t="shared" si="65"/>
        <v>0.14040427061331859</v>
      </c>
      <c r="AA391" s="8">
        <f t="shared" si="71"/>
        <v>31.583333333333155</v>
      </c>
      <c r="AB391" s="1">
        <v>31.67</v>
      </c>
      <c r="AC391">
        <v>9.5245307619999994E-3</v>
      </c>
      <c r="AD391" s="8">
        <f t="shared" si="66"/>
        <v>3.5269655737768351</v>
      </c>
      <c r="AE391" s="3">
        <f t="shared" si="67"/>
        <v>3.7030334217076209E-2</v>
      </c>
      <c r="AF391" s="11">
        <f t="shared" si="68"/>
        <v>31.583333333333155</v>
      </c>
      <c r="AG391" s="1">
        <f t="shared" si="69"/>
        <v>0.14040427061331859</v>
      </c>
    </row>
    <row r="392" spans="2:33" ht="15" x14ac:dyDescent="0.25">
      <c r="B392" s="1">
        <v>381</v>
      </c>
      <c r="C392" s="1">
        <v>0.74740320376141256</v>
      </c>
      <c r="D392" s="1">
        <v>6.6458430251877454</v>
      </c>
      <c r="E392" s="1">
        <v>5.2205690420255801E-2</v>
      </c>
      <c r="G392" s="1">
        <v>0.74740320376141256</v>
      </c>
      <c r="H392" s="1">
        <v>6.6458430251877454</v>
      </c>
      <c r="I392" s="1">
        <v>5.2205690420255801E-2</v>
      </c>
      <c r="K392" s="1">
        <v>1.0004545377685758</v>
      </c>
      <c r="L392" s="1">
        <v>2.4560425775509529</v>
      </c>
      <c r="M392" s="1">
        <v>0.37609014358129839</v>
      </c>
      <c r="O392" s="1">
        <v>9.1700937133242649E-3</v>
      </c>
      <c r="P392" s="1">
        <v>0.74740320376141256</v>
      </c>
      <c r="R392" s="1">
        <v>0.15968656463308906</v>
      </c>
      <c r="S392" s="2">
        <f t="shared" si="72"/>
        <v>0.79223743066307484</v>
      </c>
      <c r="T392" s="4">
        <f t="shared" si="73"/>
        <v>0.62764014654363032</v>
      </c>
      <c r="U392" s="1">
        <f t="shared" si="76"/>
        <v>0.45660944322097219</v>
      </c>
      <c r="V392" s="6">
        <f>2*sigma/alpha*corel*(B392/12-1/alpha*(1-EXP(-alpha*Output!B392/12)))</f>
        <v>1.7213488180574368</v>
      </c>
      <c r="W392" s="5">
        <f t="shared" si="74"/>
        <v>-0.17103070332265813</v>
      </c>
      <c r="X392" s="1">
        <f t="shared" si="70"/>
        <v>24.683941075405318</v>
      </c>
      <c r="Y392" s="3">
        <f t="shared" si="75"/>
        <v>5.1132988342714153E-2</v>
      </c>
      <c r="Z392" s="1">
        <f t="shared" si="65"/>
        <v>0.14059940822039532</v>
      </c>
      <c r="AA392" s="8">
        <f t="shared" si="71"/>
        <v>31.666666666666487</v>
      </c>
      <c r="AB392" s="1">
        <v>31.75</v>
      </c>
      <c r="AC392">
        <v>9.5238645199999996E-3</v>
      </c>
      <c r="AD392" s="8">
        <f t="shared" si="66"/>
        <v>3.5377080667573466</v>
      </c>
      <c r="AE392" s="3">
        <f t="shared" si="67"/>
        <v>3.7145720199276283E-2</v>
      </c>
      <c r="AF392" s="11">
        <f t="shared" si="68"/>
        <v>31.666666666666487</v>
      </c>
      <c r="AG392" s="1">
        <f t="shared" si="69"/>
        <v>0.14059940822039532</v>
      </c>
    </row>
    <row r="393" spans="2:33" ht="15" x14ac:dyDescent="0.25">
      <c r="B393" s="1">
        <v>382</v>
      </c>
      <c r="C393" s="1">
        <v>0.74687016753885527</v>
      </c>
      <c r="D393" s="1">
        <v>6.6746762782005069</v>
      </c>
      <c r="E393" s="1">
        <v>5.1757155426737741E-2</v>
      </c>
      <c r="G393" s="1">
        <v>0.74687016753885527</v>
      </c>
      <c r="H393" s="1">
        <v>6.6746762782005069</v>
      </c>
      <c r="I393" s="1">
        <v>5.1757155426737741E-2</v>
      </c>
      <c r="K393" s="1">
        <v>1.0003291818143736</v>
      </c>
      <c r="L393" s="1">
        <v>2.4329260937519308</v>
      </c>
      <c r="M393" s="1">
        <v>0.37959187390473487</v>
      </c>
      <c r="O393" s="1">
        <v>9.1684999201274413E-3</v>
      </c>
      <c r="P393" s="1">
        <v>0.74687016753885527</v>
      </c>
      <c r="R393" s="1">
        <v>0.1600809619777267</v>
      </c>
      <c r="S393" s="2">
        <f t="shared" si="72"/>
        <v>0.79447660331925629</v>
      </c>
      <c r="T393" s="4">
        <f t="shared" si="73"/>
        <v>0.63119307322170293</v>
      </c>
      <c r="U393" s="1">
        <f t="shared" si="76"/>
        <v>0.45930671362520537</v>
      </c>
      <c r="V393" s="6">
        <f>2*sigma/alpha*corel*(B393/12-1/alpha*(1-EXP(-alpha*Output!B393/12)))</f>
        <v>1.7288450254668022</v>
      </c>
      <c r="W393" s="5">
        <f t="shared" si="74"/>
        <v>-0.17188635959649756</v>
      </c>
      <c r="X393" s="1">
        <f t="shared" si="70"/>
        <v>24.875768244035331</v>
      </c>
      <c r="Y393" s="3">
        <f t="shared" si="75"/>
        <v>5.1184026077612667E-2</v>
      </c>
      <c r="Z393" s="1">
        <f t="shared" si="65"/>
        <v>0.1408121253876212</v>
      </c>
      <c r="AA393" s="8">
        <f t="shared" si="71"/>
        <v>31.749999999999819</v>
      </c>
      <c r="AB393" s="1">
        <v>31.83</v>
      </c>
      <c r="AC393">
        <v>9.5232017760000006E-3</v>
      </c>
      <c r="AD393" s="8">
        <f t="shared" si="66"/>
        <v>3.5470185587255925</v>
      </c>
      <c r="AE393" s="3">
        <f t="shared" si="67"/>
        <v>3.7246071669558123E-2</v>
      </c>
      <c r="AF393" s="11">
        <f t="shared" si="68"/>
        <v>31.749999999999819</v>
      </c>
      <c r="AG393" s="1">
        <f t="shared" si="69"/>
        <v>0.1408121253876212</v>
      </c>
    </row>
    <row r="394" spans="2:33" ht="15" x14ac:dyDescent="0.25">
      <c r="B394" s="1">
        <v>383</v>
      </c>
      <c r="C394" s="1">
        <v>0.7463356804018515</v>
      </c>
      <c r="D394" s="1">
        <v>6.702862122126148</v>
      </c>
      <c r="E394" s="1">
        <v>5.1324163416136312E-2</v>
      </c>
      <c r="G394" s="1">
        <v>0.7463356804018515</v>
      </c>
      <c r="H394" s="1">
        <v>6.702862122126148</v>
      </c>
      <c r="I394" s="1">
        <v>5.1324163416136312E-2</v>
      </c>
      <c r="K394" s="1">
        <v>1.0003533884209392</v>
      </c>
      <c r="L394" s="1">
        <v>2.4333505493770997</v>
      </c>
      <c r="M394" s="1">
        <v>0.37946610720377921</v>
      </c>
      <c r="O394" s="1">
        <v>9.1669913187625608E-3</v>
      </c>
      <c r="P394" s="1">
        <v>0.7463356804018515</v>
      </c>
      <c r="R394" s="1">
        <v>0.16058903658002549</v>
      </c>
      <c r="S394" s="2">
        <f t="shared" si="72"/>
        <v>0.7971028358041905</v>
      </c>
      <c r="T394" s="4">
        <f t="shared" si="73"/>
        <v>0.63537293084708224</v>
      </c>
      <c r="U394" s="1">
        <f t="shared" si="76"/>
        <v>0.46201098245552652</v>
      </c>
      <c r="V394" s="6">
        <f>2*sigma/alpha*corel*(B394/12-1/alpha*(1-EXP(-alpha*Output!B394/12)))</f>
        <v>1.7363509515335984</v>
      </c>
      <c r="W394" s="5">
        <f t="shared" si="74"/>
        <v>-0.17336194839155572</v>
      </c>
      <c r="X394" s="1">
        <f t="shared" si="70"/>
        <v>25.147456704880245</v>
      </c>
      <c r="Y394" s="3">
        <f t="shared" si="75"/>
        <v>5.1358324376453761E-2</v>
      </c>
      <c r="Z394" s="1">
        <f t="shared" si="65"/>
        <v>0.14109303978263565</v>
      </c>
      <c r="AA394" s="8">
        <f t="shared" si="71"/>
        <v>31.833333333333151</v>
      </c>
      <c r="AB394" s="1">
        <v>31.92</v>
      </c>
      <c r="AC394">
        <v>9.5225425029999995E-3</v>
      </c>
      <c r="AD394" s="8">
        <f t="shared" si="66"/>
        <v>3.5555118423743863</v>
      </c>
      <c r="AE394" s="3">
        <f t="shared" si="67"/>
        <v>3.7337841666280312E-2</v>
      </c>
      <c r="AF394" s="11">
        <f t="shared" si="68"/>
        <v>31.833333333333151</v>
      </c>
      <c r="AG394" s="1">
        <f t="shared" si="69"/>
        <v>0.14109303978263565</v>
      </c>
    </row>
    <row r="395" spans="2:33" ht="15" x14ac:dyDescent="0.25">
      <c r="B395" s="1">
        <v>384</v>
      </c>
      <c r="C395" s="1">
        <v>0.74580019747947368</v>
      </c>
      <c r="D395" s="1">
        <v>6.7303809395611793</v>
      </c>
      <c r="E395" s="1">
        <v>5.0895765472312705E-2</v>
      </c>
      <c r="G395" s="1">
        <v>0.74580019747947368</v>
      </c>
      <c r="H395" s="1">
        <v>6.7303809395611793</v>
      </c>
      <c r="I395" s="1">
        <v>5.0895765472312705E-2</v>
      </c>
      <c r="K395" s="1">
        <v>1.0002933285501894</v>
      </c>
      <c r="L395" s="1">
        <v>2.4331460593148835</v>
      </c>
      <c r="M395" s="1">
        <v>0.37940945668369125</v>
      </c>
      <c r="O395" s="1">
        <v>9.1655483265209239E-3</v>
      </c>
      <c r="P395" s="1">
        <v>0.74580019747947368</v>
      </c>
      <c r="R395" s="1">
        <v>0.1607458733690659</v>
      </c>
      <c r="S395" s="2">
        <f t="shared" si="72"/>
        <v>0.79855283726456983</v>
      </c>
      <c r="T395" s="4">
        <f t="shared" si="73"/>
        <v>0.6376866339032945</v>
      </c>
      <c r="U395" s="1">
        <f t="shared" si="76"/>
        <v>0.46472223544490365</v>
      </c>
      <c r="V395" s="6">
        <f>2*sigma/alpha*corel*(B395/12-1/alpha*(1-EXP(-alpha*Output!B395/12)))</f>
        <v>1.7438665639162316</v>
      </c>
      <c r="W395" s="5">
        <f t="shared" si="74"/>
        <v>-0.17296439845839084</v>
      </c>
      <c r="X395" s="1">
        <f t="shared" si="70"/>
        <v>25.180513595419033</v>
      </c>
      <c r="Y395" s="3">
        <f t="shared" si="75"/>
        <v>5.1158630118446791E-2</v>
      </c>
      <c r="Z395" s="1">
        <f t="shared" si="65"/>
        <v>0.1411655315913837</v>
      </c>
      <c r="AA395" s="8">
        <f t="shared" si="71"/>
        <v>31.916666666666483</v>
      </c>
      <c r="AB395" s="1">
        <v>32</v>
      </c>
      <c r="AC395">
        <v>9.5218866729999997E-3</v>
      </c>
      <c r="AD395" s="8">
        <f t="shared" si="66"/>
        <v>3.5633834647907578</v>
      </c>
      <c r="AE395" s="3">
        <f t="shared" si="67"/>
        <v>3.7423082075687689E-2</v>
      </c>
      <c r="AF395" s="11">
        <f t="shared" si="68"/>
        <v>31.916666666666483</v>
      </c>
      <c r="AG395" s="1">
        <f t="shared" si="69"/>
        <v>0.1411655315913837</v>
      </c>
    </row>
    <row r="396" spans="2:33" ht="15" x14ac:dyDescent="0.25">
      <c r="B396" s="1">
        <v>385</v>
      </c>
      <c r="C396" s="1">
        <v>0.7452659785884469</v>
      </c>
      <c r="D396" s="1">
        <v>6.7594970934162504</v>
      </c>
      <c r="E396" s="1">
        <v>5.0461724781753037E-2</v>
      </c>
      <c r="G396" s="1">
        <v>0.7452659785884469</v>
      </c>
      <c r="H396" s="1">
        <v>6.7594970934162504</v>
      </c>
      <c r="I396" s="1">
        <v>5.0461724781753037E-2</v>
      </c>
      <c r="K396" s="1">
        <v>1.0002347590837355</v>
      </c>
      <c r="L396" s="1">
        <v>2.4359121175178609</v>
      </c>
      <c r="M396" s="1">
        <v>0.37888397536982793</v>
      </c>
      <c r="O396" s="1">
        <v>9.1640760336280051E-3</v>
      </c>
      <c r="P396" s="1">
        <v>0.7452659785884469</v>
      </c>
      <c r="R396" s="1">
        <v>0.16103457921529013</v>
      </c>
      <c r="S396" s="2">
        <f t="shared" si="72"/>
        <v>0.80044584023978205</v>
      </c>
      <c r="T396" s="4">
        <f t="shared" si="73"/>
        <v>0.64071354315717066</v>
      </c>
      <c r="U396" s="1">
        <f t="shared" si="76"/>
        <v>0.4674404583138343</v>
      </c>
      <c r="V396" s="6">
        <f>2*sigma/alpha*corel*(B396/12-1/alpha*(1-EXP(-alpha*Output!B396/12)))</f>
        <v>1.7513918303807365</v>
      </c>
      <c r="W396" s="5">
        <f t="shared" si="74"/>
        <v>-0.17327308484333637</v>
      </c>
      <c r="X396" s="1">
        <f t="shared" si="70"/>
        <v>25.304085898419221</v>
      </c>
      <c r="Y396" s="3">
        <f t="shared" si="75"/>
        <v>5.1100127522402658E-2</v>
      </c>
      <c r="Z396" s="1">
        <f t="shared" si="65"/>
        <v>0.14131628446236999</v>
      </c>
      <c r="AA396" s="8">
        <f t="shared" si="71"/>
        <v>31.999999999999815</v>
      </c>
      <c r="AB396" s="1">
        <v>32.08</v>
      </c>
      <c r="AC396">
        <v>9.5212342590000002E-3</v>
      </c>
      <c r="AD396" s="8">
        <f t="shared" si="66"/>
        <v>3.5715822537199515</v>
      </c>
      <c r="AE396" s="3">
        <f t="shared" si="67"/>
        <v>3.7511756948358808E-2</v>
      </c>
      <c r="AF396" s="11">
        <f t="shared" si="68"/>
        <v>31.999999999999815</v>
      </c>
      <c r="AG396" s="1">
        <f t="shared" si="69"/>
        <v>0.14131628446236999</v>
      </c>
    </row>
    <row r="397" spans="2:33" ht="15" x14ac:dyDescent="0.25">
      <c r="B397" s="1">
        <v>386</v>
      </c>
      <c r="C397" s="1">
        <v>0.74473335411950981</v>
      </c>
      <c r="D397" s="1">
        <v>6.7897881586094515</v>
      </c>
      <c r="E397" s="1">
        <v>5.0022510129558301E-2</v>
      </c>
      <c r="G397" s="1">
        <v>0.74473335411950981</v>
      </c>
      <c r="H397" s="1">
        <v>6.7897881586094515</v>
      </c>
      <c r="I397" s="1">
        <v>5.0022510129558301E-2</v>
      </c>
      <c r="K397" s="1">
        <v>1.0001268931837544</v>
      </c>
      <c r="L397" s="1">
        <v>2.4002990947855674</v>
      </c>
      <c r="M397" s="1">
        <v>0.38444115638320986</v>
      </c>
      <c r="O397" s="1">
        <v>9.1625607855730772E-3</v>
      </c>
      <c r="P397" s="1">
        <v>0.74473335411950981</v>
      </c>
      <c r="R397" s="1">
        <v>0.16130920707895557</v>
      </c>
      <c r="S397" s="2">
        <f t="shared" si="72"/>
        <v>0.80229075030283803</v>
      </c>
      <c r="T397" s="4">
        <f t="shared" si="73"/>
        <v>0.64367044802149076</v>
      </c>
      <c r="U397" s="1">
        <f t="shared" si="76"/>
        <v>0.47016563677078516</v>
      </c>
      <c r="V397" s="6">
        <f>2*sigma/alpha*corel*(B397/12-1/alpha*(1-EXP(-alpha*Output!B397/12)))</f>
        <v>1.7589267188004136</v>
      </c>
      <c r="W397" s="5">
        <f t="shared" si="74"/>
        <v>-0.1735048112507056</v>
      </c>
      <c r="X397" s="1">
        <f t="shared" si="70"/>
        <v>25.418108916367444</v>
      </c>
      <c r="Y397" s="3">
        <f t="shared" si="75"/>
        <v>5.1026592816087943E-2</v>
      </c>
      <c r="Z397" s="1">
        <f t="shared" ref="Z397:Z460" si="77">S397/SQRT(B397/12)</f>
        <v>0.14145840466148618</v>
      </c>
      <c r="AA397" s="8">
        <f t="shared" si="71"/>
        <v>32.083333333333151</v>
      </c>
      <c r="AB397" s="1">
        <v>32.17</v>
      </c>
      <c r="AC397">
        <v>9.5205852350000002E-3</v>
      </c>
      <c r="AD397" s="8">
        <f t="shared" ref="AD397:AD460" si="78">(AC397-O397)*10000</f>
        <v>3.5802444942692295</v>
      </c>
      <c r="AE397" s="3">
        <f t="shared" ref="AE397:AE460" si="79">AD397/AC397/10000</f>
        <v>3.7605298475847627E-2</v>
      </c>
      <c r="AF397" s="11">
        <f t="shared" ref="AF397:AF460" si="80">AA397</f>
        <v>32.083333333333151</v>
      </c>
      <c r="AG397" s="1">
        <f t="shared" ref="AG397:AG460" si="81">Z397</f>
        <v>0.14145840466148618</v>
      </c>
    </row>
    <row r="398" spans="2:33" ht="15" x14ac:dyDescent="0.25">
      <c r="B398" s="1">
        <v>387</v>
      </c>
      <c r="C398" s="1">
        <v>0.74420156729658216</v>
      </c>
      <c r="D398" s="1">
        <v>6.8194217130387349</v>
      </c>
      <c r="E398" s="1">
        <v>4.9593334655822253E-2</v>
      </c>
      <c r="G398" s="1">
        <v>0.74420156729658216</v>
      </c>
      <c r="H398" s="1">
        <v>6.8194217130387349</v>
      </c>
      <c r="I398" s="1">
        <v>4.9593334655822253E-2</v>
      </c>
      <c r="K398" s="1">
        <v>1.0000829681738439</v>
      </c>
      <c r="L398" s="1">
        <v>2.3850187962399181</v>
      </c>
      <c r="M398" s="1">
        <v>0.38681449382473254</v>
      </c>
      <c r="O398" s="1">
        <v>9.1610343273345139E-3</v>
      </c>
      <c r="P398" s="1">
        <v>0.74420156729658216</v>
      </c>
      <c r="R398" s="1">
        <v>0.16163433598676658</v>
      </c>
      <c r="S398" s="2">
        <f t="shared" si="72"/>
        <v>0.80430641230771882</v>
      </c>
      <c r="T398" s="4">
        <f t="shared" si="73"/>
        <v>0.64690880487931424</v>
      </c>
      <c r="U398" s="1">
        <f t="shared" si="76"/>
        <v>0.47289775651262822</v>
      </c>
      <c r="V398" s="6">
        <f>2*sigma/alpha*corel*(B398/12-1/alpha*(1-EXP(-alpha*Output!B398/12)))</f>
        <v>1.7664711971554761</v>
      </c>
      <c r="W398" s="5">
        <f t="shared" si="74"/>
        <v>-0.17401104836668602</v>
      </c>
      <c r="X398" s="1">
        <f t="shared" ref="X398:X461" si="82">V398*V398-4*W398*B398/12</f>
        <v>25.567845729682393</v>
      </c>
      <c r="Y398" s="3">
        <f t="shared" si="75"/>
        <v>5.1007667254098429E-2</v>
      </c>
      <c r="Z398" s="1">
        <f t="shared" si="77"/>
        <v>0.14163046193596837</v>
      </c>
      <c r="AA398" s="8">
        <f t="shared" ref="AA398:AA461" si="83">AA397+1/12</f>
        <v>32.166666666666487</v>
      </c>
      <c r="AB398" s="1">
        <v>32.25</v>
      </c>
      <c r="AC398">
        <v>9.5199395729999997E-3</v>
      </c>
      <c r="AD398" s="8">
        <f t="shared" si="78"/>
        <v>3.5890524566548585</v>
      </c>
      <c r="AE398" s="3">
        <f t="shared" si="79"/>
        <v>3.7700370145562254E-2</v>
      </c>
      <c r="AF398" s="11">
        <f t="shared" si="80"/>
        <v>32.166666666666487</v>
      </c>
      <c r="AG398" s="1">
        <f t="shared" si="81"/>
        <v>0.14163046193596837</v>
      </c>
    </row>
    <row r="399" spans="2:33" ht="15" x14ac:dyDescent="0.25">
      <c r="B399" s="1">
        <v>388</v>
      </c>
      <c r="C399" s="1">
        <v>0.74367247117914759</v>
      </c>
      <c r="D399" s="1">
        <v>6.8479079641169625</v>
      </c>
      <c r="E399" s="1">
        <v>4.9176297024834024E-2</v>
      </c>
      <c r="G399" s="1">
        <v>0.74367247117914759</v>
      </c>
      <c r="H399" s="1">
        <v>6.8479079641169625</v>
      </c>
      <c r="I399" s="1">
        <v>4.9176297024834024E-2</v>
      </c>
      <c r="K399" s="1">
        <v>1.0000697110195773</v>
      </c>
      <c r="L399" s="1">
        <v>2.433408192818213</v>
      </c>
      <c r="M399" s="1">
        <v>0.37905124482744185</v>
      </c>
      <c r="O399" s="1">
        <v>9.1594196284672299E-3</v>
      </c>
      <c r="P399" s="1">
        <v>0.74367247117914759</v>
      </c>
      <c r="R399" s="1">
        <v>0.16200744014510321</v>
      </c>
      <c r="S399" s="2">
        <f t="shared" si="72"/>
        <v>0.80648147509431345</v>
      </c>
      <c r="T399" s="4">
        <f t="shared" si="73"/>
        <v>0.65041236967029969</v>
      </c>
      <c r="U399" s="1">
        <f t="shared" si="76"/>
        <v>0.47563680322507196</v>
      </c>
      <c r="V399" s="6">
        <f>2*sigma/alpha*corel*(B399/12-1/alpha*(1-EXP(-alpha*Output!B399/12)))</f>
        <v>1.77402523353269</v>
      </c>
      <c r="W399" s="5">
        <f t="shared" si="74"/>
        <v>-0.17477556644522774</v>
      </c>
      <c r="X399" s="1">
        <f t="shared" si="82"/>
        <v>25.751472122793501</v>
      </c>
      <c r="Y399" s="3">
        <f t="shared" si="75"/>
        <v>5.1039674219215521E-2</v>
      </c>
      <c r="Z399" s="1">
        <f t="shared" si="77"/>
        <v>0.14183034401935449</v>
      </c>
      <c r="AA399" s="8">
        <f t="shared" si="83"/>
        <v>32.249999999999822</v>
      </c>
      <c r="AB399" s="1">
        <v>32.33</v>
      </c>
      <c r="AC399">
        <v>9.5192972480000002E-3</v>
      </c>
      <c r="AD399" s="8">
        <f t="shared" si="78"/>
        <v>3.5987761953277033</v>
      </c>
      <c r="AE399" s="3">
        <f t="shared" si="79"/>
        <v>3.7805061671793101E-2</v>
      </c>
      <c r="AF399" s="11">
        <f t="shared" si="80"/>
        <v>32.249999999999822</v>
      </c>
      <c r="AG399" s="1">
        <f t="shared" si="81"/>
        <v>0.14183034401935449</v>
      </c>
    </row>
    <row r="400" spans="2:33" ht="15" x14ac:dyDescent="0.25">
      <c r="B400" s="1">
        <v>389</v>
      </c>
      <c r="C400" s="1">
        <v>0.74314215908255221</v>
      </c>
      <c r="D400" s="1">
        <v>6.8752148504640775</v>
      </c>
      <c r="E400" s="1">
        <v>4.8770971517752629E-2</v>
      </c>
      <c r="G400" s="1">
        <v>0.74314215908255221</v>
      </c>
      <c r="H400" s="1">
        <v>6.8752148504640775</v>
      </c>
      <c r="I400" s="1">
        <v>4.8770971517752629E-2</v>
      </c>
      <c r="K400" s="1">
        <v>1.0000655369638809</v>
      </c>
      <c r="L400" s="1">
        <v>2.3852573057182682</v>
      </c>
      <c r="M400" s="1">
        <v>0.38660599941725809</v>
      </c>
      <c r="O400" s="1">
        <v>9.1578793223005515E-3</v>
      </c>
      <c r="P400" s="1">
        <v>0.74314215908255221</v>
      </c>
      <c r="R400" s="1">
        <v>0.1622027291644749</v>
      </c>
      <c r="S400" s="2">
        <f t="shared" si="72"/>
        <v>0.80806096403398642</v>
      </c>
      <c r="T400" s="4">
        <f t="shared" si="73"/>
        <v>0.65296252159553547</v>
      </c>
      <c r="U400" s="1">
        <f t="shared" si="76"/>
        <v>0.47838276258308898</v>
      </c>
      <c r="V400" s="6">
        <f>2*sigma/alpha*corel*(B400/12-1/alpha*(1-EXP(-alpha*Output!B400/12)))</f>
        <v>1.7815887961250225</v>
      </c>
      <c r="W400" s="5">
        <f t="shared" si="74"/>
        <v>-0.17457975901244649</v>
      </c>
      <c r="X400" s="1">
        <f t="shared" si="82"/>
        <v>25.811234057092101</v>
      </c>
      <c r="Y400" s="3">
        <f t="shared" si="75"/>
        <v>5.0882575443956961E-2</v>
      </c>
      <c r="Z400" s="1">
        <f t="shared" si="77"/>
        <v>0.14192534207371654</v>
      </c>
      <c r="AA400" s="8">
        <f t="shared" si="83"/>
        <v>32.333333333333158</v>
      </c>
      <c r="AB400" s="1">
        <v>32.42</v>
      </c>
      <c r="AC400">
        <v>9.5186582360000001E-3</v>
      </c>
      <c r="AD400" s="8">
        <f t="shared" si="78"/>
        <v>3.6077891369944854</v>
      </c>
      <c r="AE400" s="3">
        <f t="shared" si="79"/>
        <v>3.7902286725135924E-2</v>
      </c>
      <c r="AF400" s="11">
        <f t="shared" si="80"/>
        <v>32.333333333333158</v>
      </c>
      <c r="AG400" s="1">
        <f t="shared" si="81"/>
        <v>0.14192534207371654</v>
      </c>
    </row>
    <row r="401" spans="2:33" ht="15" x14ac:dyDescent="0.25">
      <c r="B401" s="1">
        <v>390</v>
      </c>
      <c r="C401" s="1">
        <v>0.74260803483126825</v>
      </c>
      <c r="D401" s="1">
        <v>6.902263942573164</v>
      </c>
      <c r="E401" s="1">
        <v>4.8374613003095972E-2</v>
      </c>
      <c r="G401" s="1">
        <v>0.74260803483126825</v>
      </c>
      <c r="H401" s="1">
        <v>6.902263942573164</v>
      </c>
      <c r="I401" s="1">
        <v>4.8374613003095972E-2</v>
      </c>
      <c r="K401" s="1">
        <v>1.0001253174284439</v>
      </c>
      <c r="L401" s="1">
        <v>2.389918529282141</v>
      </c>
      <c r="M401" s="1">
        <v>0.38578239731995545</v>
      </c>
      <c r="O401" s="1">
        <v>9.1565205364104313E-3</v>
      </c>
      <c r="P401" s="1">
        <v>0.74260803483126825</v>
      </c>
      <c r="R401" s="1">
        <v>0.16258256049458314</v>
      </c>
      <c r="S401" s="2">
        <f t="shared" si="72"/>
        <v>0.81027204304629841</v>
      </c>
      <c r="T401" s="4">
        <f t="shared" si="73"/>
        <v>0.65654078374242242</v>
      </c>
      <c r="U401" s="1">
        <f t="shared" si="76"/>
        <v>0.48113562025134105</v>
      </c>
      <c r="V401" s="6">
        <f>2*sigma/alpha*corel*(B401/12-1/alpha*(1-EXP(-alpha*Output!B401/12)))</f>
        <v>1.7891618532312892</v>
      </c>
      <c r="W401" s="5">
        <f t="shared" si="74"/>
        <v>-0.17540516349108137</v>
      </c>
      <c r="X401" s="1">
        <f t="shared" si="82"/>
        <v>26.003771390898596</v>
      </c>
      <c r="Y401" s="3">
        <f t="shared" si="75"/>
        <v>5.0926576342388945E-2</v>
      </c>
      <c r="Z401" s="1">
        <f t="shared" si="77"/>
        <v>0.14213111863480929</v>
      </c>
      <c r="AA401" s="8">
        <f t="shared" si="83"/>
        <v>32.416666666666494</v>
      </c>
      <c r="AB401" s="1">
        <v>32.5</v>
      </c>
      <c r="AC401">
        <v>9.5180225089999994E-3</v>
      </c>
      <c r="AD401" s="8">
        <f t="shared" si="78"/>
        <v>3.6150197258956811</v>
      </c>
      <c r="AE401" s="3">
        <f t="shared" si="79"/>
        <v>3.7980785635644491E-2</v>
      </c>
      <c r="AF401" s="11">
        <f t="shared" si="80"/>
        <v>32.416666666666494</v>
      </c>
      <c r="AG401" s="1">
        <f t="shared" si="81"/>
        <v>0.14213111863480929</v>
      </c>
    </row>
    <row r="402" spans="2:33" ht="15" x14ac:dyDescent="0.25">
      <c r="B402" s="1">
        <v>391</v>
      </c>
      <c r="C402" s="1">
        <v>0.74207683548849046</v>
      </c>
      <c r="D402" s="1">
        <v>6.9280864625190528</v>
      </c>
      <c r="E402" s="1">
        <v>4.7984644913627639E-2</v>
      </c>
      <c r="G402" s="1">
        <v>0.74207683548849046</v>
      </c>
      <c r="H402" s="1">
        <v>6.9280864625190528</v>
      </c>
      <c r="I402" s="1">
        <v>4.7984644913627639E-2</v>
      </c>
      <c r="K402" s="1">
        <v>1.0000584195383662</v>
      </c>
      <c r="L402" s="1">
        <v>2.4045271335261056</v>
      </c>
      <c r="M402" s="1">
        <v>0.38335481338670468</v>
      </c>
      <c r="O402" s="1">
        <v>9.155063610371373E-3</v>
      </c>
      <c r="P402" s="1">
        <v>0.74207683548849046</v>
      </c>
      <c r="R402" s="1">
        <v>0.16295039394824595</v>
      </c>
      <c r="S402" s="2">
        <f t="shared" si="72"/>
        <v>0.81244003833512091</v>
      </c>
      <c r="T402" s="4">
        <f t="shared" si="73"/>
        <v>0.66005881588997273</v>
      </c>
      <c r="U402" s="1">
        <f t="shared" si="76"/>
        <v>0.48389536188459559</v>
      </c>
      <c r="V402" s="6">
        <f>2*sigma/alpha*corel*(B402/12-1/alpha*(1-EXP(-alpha*Output!B402/12)))</f>
        <v>1.7967443732557982</v>
      </c>
      <c r="W402" s="5">
        <f t="shared" si="74"/>
        <v>-0.17616345400537714</v>
      </c>
      <c r="X402" s="1">
        <f t="shared" si="82"/>
        <v>26.188260514860524</v>
      </c>
      <c r="Y402" s="3">
        <f t="shared" si="75"/>
        <v>5.0957068634022717E-2</v>
      </c>
      <c r="Z402" s="1">
        <f t="shared" si="77"/>
        <v>0.14232905383988079</v>
      </c>
      <c r="AA402" s="8">
        <f t="shared" si="83"/>
        <v>32.499999999999829</v>
      </c>
      <c r="AB402" s="1">
        <v>32.58</v>
      </c>
      <c r="AC402">
        <v>9.517390043E-3</v>
      </c>
      <c r="AD402" s="8">
        <f t="shared" si="78"/>
        <v>3.6232643262862698</v>
      </c>
      <c r="AE402" s="3">
        <f t="shared" si="79"/>
        <v>3.8069936294679502E-2</v>
      </c>
      <c r="AF402" s="11">
        <f t="shared" si="80"/>
        <v>32.499999999999829</v>
      </c>
      <c r="AG402" s="1">
        <f t="shared" si="81"/>
        <v>0.14232905383988079</v>
      </c>
    </row>
    <row r="403" spans="2:33" ht="15" x14ac:dyDescent="0.25">
      <c r="B403" s="1">
        <v>392</v>
      </c>
      <c r="C403" s="1">
        <v>0.74154940987521378</v>
      </c>
      <c r="D403" s="1">
        <v>6.9560378408458545</v>
      </c>
      <c r="E403" s="1">
        <v>4.7587322737222805E-2</v>
      </c>
      <c r="G403" s="1">
        <v>0.74154940987521378</v>
      </c>
      <c r="H403" s="1">
        <v>6.9560378408458545</v>
      </c>
      <c r="I403" s="1">
        <v>4.7587322737222805E-2</v>
      </c>
      <c r="K403" s="1">
        <v>1.0001095245230631</v>
      </c>
      <c r="L403" s="1">
        <v>2.4378779701754083</v>
      </c>
      <c r="M403" s="1">
        <v>0.37802313711379842</v>
      </c>
      <c r="O403" s="1">
        <v>9.1534740181693809E-3</v>
      </c>
      <c r="P403" s="1">
        <v>0.74154940987521378</v>
      </c>
      <c r="R403" s="1">
        <v>0.16321372030047682</v>
      </c>
      <c r="S403" s="2">
        <f t="shared" si="72"/>
        <v>0.81425040211942723</v>
      </c>
      <c r="T403" s="4">
        <f t="shared" si="73"/>
        <v>0.66300371735164898</v>
      </c>
      <c r="U403" s="1">
        <f t="shared" si="76"/>
        <v>0.48666197312814408</v>
      </c>
      <c r="V403" s="6">
        <f>2*sigma/alpha*corel*(B403/12-1/alpha*(1-EXP(-alpha*Output!B403/12)))</f>
        <v>1.8043363247080015</v>
      </c>
      <c r="W403" s="5">
        <f t="shared" si="74"/>
        <v>-0.1763417442235049</v>
      </c>
      <c r="X403" s="1">
        <f t="shared" si="82"/>
        <v>26.297617484532086</v>
      </c>
      <c r="Y403" s="3">
        <f t="shared" si="75"/>
        <v>5.087424403215797E-2</v>
      </c>
      <c r="Z403" s="1">
        <f t="shared" si="77"/>
        <v>0.14246414343204394</v>
      </c>
      <c r="AA403" s="8">
        <f t="shared" si="83"/>
        <v>32.583333333333165</v>
      </c>
      <c r="AB403" s="1">
        <v>32.67</v>
      </c>
      <c r="AC403">
        <v>9.5167608119999993E-3</v>
      </c>
      <c r="AD403" s="8">
        <f t="shared" si="78"/>
        <v>3.6328679383061844</v>
      </c>
      <c r="AE403" s="3">
        <f t="shared" si="79"/>
        <v>3.8173366023084035E-2</v>
      </c>
      <c r="AF403" s="11">
        <f t="shared" si="80"/>
        <v>32.583333333333165</v>
      </c>
      <c r="AG403" s="1">
        <f t="shared" si="81"/>
        <v>0.14246414343204394</v>
      </c>
    </row>
    <row r="404" spans="2:33" ht="15" x14ac:dyDescent="0.25">
      <c r="B404" s="1">
        <v>393</v>
      </c>
      <c r="C404" s="1">
        <v>0.74102581107388554</v>
      </c>
      <c r="D404" s="1">
        <v>6.9847034993364536</v>
      </c>
      <c r="E404" s="1">
        <v>4.7187617969044922E-2</v>
      </c>
      <c r="G404" s="1">
        <v>0.74102581107388554</v>
      </c>
      <c r="H404" s="1">
        <v>6.9847034993364536</v>
      </c>
      <c r="I404" s="1">
        <v>4.7187617969044922E-2</v>
      </c>
      <c r="K404" s="1">
        <v>1.0002596178906398</v>
      </c>
      <c r="L404" s="1">
        <v>2.4174524090232401</v>
      </c>
      <c r="M404" s="1">
        <v>0.3811470659984792</v>
      </c>
      <c r="O404" s="1">
        <v>9.1517502758600468E-3</v>
      </c>
      <c r="P404" s="1">
        <v>0.74102581107388554</v>
      </c>
      <c r="R404" s="1">
        <v>0.16363368624444438</v>
      </c>
      <c r="S404" s="2">
        <f t="shared" si="72"/>
        <v>0.81658633230517563</v>
      </c>
      <c r="T404" s="4">
        <f t="shared" si="73"/>
        <v>0.66681323810761872</v>
      </c>
      <c r="U404" s="1">
        <f t="shared" si="76"/>
        <v>0.48943543961821234</v>
      </c>
      <c r="V404" s="6">
        <f>2*sigma/alpha*corel*(B404/12-1/alpha*(1-EXP(-alpha*Output!B404/12)))</f>
        <v>1.8119376762021466</v>
      </c>
      <c r="W404" s="5">
        <f t="shared" si="74"/>
        <v>-0.17737779848940638</v>
      </c>
      <c r="X404" s="1">
        <f t="shared" si="82"/>
        <v>26.519609744553069</v>
      </c>
      <c r="Y404" s="3">
        <f t="shared" si="75"/>
        <v>5.0958499371416575E-2</v>
      </c>
      <c r="Z404" s="1">
        <f t="shared" si="77"/>
        <v>0.14269095822979805</v>
      </c>
      <c r="AA404" s="8">
        <f t="shared" si="83"/>
        <v>32.666666666666501</v>
      </c>
      <c r="AB404" s="1">
        <v>32.75</v>
      </c>
      <c r="AC404">
        <v>9.5161347910000006E-3</v>
      </c>
      <c r="AD404" s="8">
        <f t="shared" si="78"/>
        <v>3.6438451513995385</v>
      </c>
      <c r="AE404" s="3">
        <f t="shared" si="79"/>
        <v>3.8291230961185509E-2</v>
      </c>
      <c r="AF404" s="11">
        <f t="shared" si="80"/>
        <v>32.666666666666501</v>
      </c>
      <c r="AG404" s="1">
        <f t="shared" si="81"/>
        <v>0.14269095822979805</v>
      </c>
    </row>
    <row r="405" spans="2:33" ht="15" x14ac:dyDescent="0.25">
      <c r="B405" s="1">
        <v>394</v>
      </c>
      <c r="C405" s="1">
        <v>0.74050672423643571</v>
      </c>
      <c r="D405" s="1">
        <v>7.0136063964090329</v>
      </c>
      <c r="E405" s="1">
        <v>4.6790192775594236E-2</v>
      </c>
      <c r="G405" s="1">
        <v>0.74050672423643571</v>
      </c>
      <c r="H405" s="1">
        <v>7.0136063964090329</v>
      </c>
      <c r="I405" s="1">
        <v>4.6790192775594236E-2</v>
      </c>
      <c r="K405" s="1">
        <v>1.0000838365529972</v>
      </c>
      <c r="L405" s="1">
        <v>2.4236976009117339</v>
      </c>
      <c r="M405" s="1">
        <v>0.38008132554041252</v>
      </c>
      <c r="O405" s="1">
        <v>9.1498649130489305E-3</v>
      </c>
      <c r="P405" s="1">
        <v>0.74050672423643571</v>
      </c>
      <c r="R405" s="1">
        <v>0.16386125986805025</v>
      </c>
      <c r="S405" s="2">
        <f t="shared" si="72"/>
        <v>0.81826526481567763</v>
      </c>
      <c r="T405" s="4">
        <f t="shared" si="73"/>
        <v>0.66955804360387106</v>
      </c>
      <c r="U405" s="1">
        <f t="shared" si="76"/>
        <v>0.49221574698236914</v>
      </c>
      <c r="V405" s="6">
        <f>2*sigma/alpha*corel*(B405/12-1/alpha*(1-EXP(-alpha*Output!B405/12)))</f>
        <v>1.8195483964569243</v>
      </c>
      <c r="W405" s="5">
        <f t="shared" si="74"/>
        <v>-0.17734229662150192</v>
      </c>
      <c r="X405" s="1">
        <f t="shared" si="82"/>
        <v>26.601711323339551</v>
      </c>
      <c r="Y405" s="3">
        <f t="shared" si="75"/>
        <v>5.0834562789556392E-2</v>
      </c>
      <c r="Z405" s="1">
        <f t="shared" si="77"/>
        <v>0.14280276877449208</v>
      </c>
      <c r="AA405" s="8">
        <f t="shared" si="83"/>
        <v>32.749999999999837</v>
      </c>
      <c r="AB405" s="1">
        <v>32.83</v>
      </c>
      <c r="AC405">
        <v>9.5155119569999991E-3</v>
      </c>
      <c r="AD405" s="8">
        <f t="shared" si="78"/>
        <v>3.6564704395106866</v>
      </c>
      <c r="AE405" s="3">
        <f t="shared" si="79"/>
        <v>3.8426418421142729E-2</v>
      </c>
      <c r="AF405" s="11">
        <f t="shared" si="80"/>
        <v>32.749999999999837</v>
      </c>
      <c r="AG405" s="1">
        <f t="shared" si="81"/>
        <v>0.14280276877449208</v>
      </c>
    </row>
    <row r="406" spans="2:33" ht="15" x14ac:dyDescent="0.25">
      <c r="B406" s="1">
        <v>395</v>
      </c>
      <c r="C406" s="1">
        <v>0.73998699384583799</v>
      </c>
      <c r="D406" s="1">
        <v>7.042253521126761</v>
      </c>
      <c r="E406" s="1">
        <v>4.6399406087602083E-2</v>
      </c>
      <c r="G406" s="1">
        <v>0.73998699384583799</v>
      </c>
      <c r="H406" s="1">
        <v>7.042253521126761</v>
      </c>
      <c r="I406" s="1">
        <v>4.6399406087602083E-2</v>
      </c>
      <c r="K406" s="1">
        <v>0.99998502473547846</v>
      </c>
      <c r="L406" s="1">
        <v>2.4417065567714809</v>
      </c>
      <c r="M406" s="1">
        <v>0.37720355372249054</v>
      </c>
      <c r="O406" s="1">
        <v>9.1480304452369217E-3</v>
      </c>
      <c r="P406" s="1">
        <v>0.73998699384583799</v>
      </c>
      <c r="R406" s="1">
        <v>0.16414349697601688</v>
      </c>
      <c r="S406" s="2">
        <f t="shared" si="72"/>
        <v>0.82013240796813802</v>
      </c>
      <c r="T406" s="4">
        <f t="shared" si="73"/>
        <v>0.67261716659961635</v>
      </c>
      <c r="U406" s="1">
        <f t="shared" si="76"/>
        <v>0.49500288083992983</v>
      </c>
      <c r="V406" s="6">
        <f>2*sigma/alpha*corel*(B406/12-1/alpha*(1-EXP(-alpha*Output!B406/12)))</f>
        <v>1.8271684542951223</v>
      </c>
      <c r="W406" s="5">
        <f t="shared" si="74"/>
        <v>-0.17761428575968652</v>
      </c>
      <c r="X406" s="1">
        <f t="shared" si="82"/>
        <v>26.724425518729952</v>
      </c>
      <c r="Y406" s="3">
        <f t="shared" si="75"/>
        <v>5.0770614569022376E-2</v>
      </c>
      <c r="Z406" s="1">
        <f t="shared" si="77"/>
        <v>0.14294733029500536</v>
      </c>
      <c r="AA406" s="8">
        <f t="shared" si="83"/>
        <v>32.833333333333172</v>
      </c>
      <c r="AB406" s="1">
        <v>32.92</v>
      </c>
      <c r="AC406">
        <v>9.5148922849999998E-3</v>
      </c>
      <c r="AD406" s="8">
        <f t="shared" si="78"/>
        <v>3.6686183976307811</v>
      </c>
      <c r="AE406" s="3">
        <f t="shared" si="79"/>
        <v>3.8556594102639188E-2</v>
      </c>
      <c r="AF406" s="11">
        <f t="shared" si="80"/>
        <v>32.833333333333172</v>
      </c>
      <c r="AG406" s="1">
        <f t="shared" si="81"/>
        <v>0.14294733029500536</v>
      </c>
    </row>
    <row r="407" spans="2:33" ht="15" x14ac:dyDescent="0.25">
      <c r="B407" s="1">
        <v>396</v>
      </c>
      <c r="C407" s="1">
        <v>0.73946617568497108</v>
      </c>
      <c r="D407" s="1">
        <v>7.0866699737793208</v>
      </c>
      <c r="E407" s="1">
        <v>4.5907358949639626E-2</v>
      </c>
      <c r="G407" s="1">
        <v>0.73946617568497108</v>
      </c>
      <c r="H407" s="1">
        <v>7.0866699737793208</v>
      </c>
      <c r="I407" s="1">
        <v>4.5907358949639626E-2</v>
      </c>
      <c r="K407" s="1">
        <v>0.99975937234699264</v>
      </c>
      <c r="L407" s="1">
        <v>2.4015288990900414</v>
      </c>
      <c r="M407" s="1">
        <v>0.38343044393363113</v>
      </c>
      <c r="O407" s="1">
        <v>9.1462647671579286E-3</v>
      </c>
      <c r="P407" s="1">
        <v>0.73946617568497108</v>
      </c>
      <c r="R407" s="1">
        <v>0.16431092364451669</v>
      </c>
      <c r="S407" s="2">
        <f t="shared" ref="S407:S470" si="84">optim_vol_implied(P407,R407)</f>
        <v>0.82161393611246303</v>
      </c>
      <c r="T407" s="4">
        <f t="shared" ref="T407:T470" si="85">S407*S407</f>
        <v>0.67504946001421451</v>
      </c>
      <c r="U407" s="1">
        <f t="shared" si="76"/>
        <v>0.4977968268023556</v>
      </c>
      <c r="V407" s="6">
        <f>2*sigma/alpha*corel*(B407/12-1/alpha*(1-EXP(-alpha*Output!B407/12)))</f>
        <v>1.8347978186432825</v>
      </c>
      <c r="W407" s="5">
        <f t="shared" ref="W407:W470" si="86">U407-T407</f>
        <v>-0.17725263321185891</v>
      </c>
      <c r="X407" s="1">
        <f t="shared" si="82"/>
        <v>26.763830619263523</v>
      </c>
      <c r="Y407" s="3">
        <f t="shared" ref="Y407:Y470" si="87">(-V407+SQRT(X407))/2/B407*12</f>
        <v>5.0584534566683173E-2</v>
      </c>
      <c r="Z407" s="1">
        <f t="shared" si="77"/>
        <v>0.14302462809899205</v>
      </c>
      <c r="AA407" s="8">
        <f t="shared" si="83"/>
        <v>32.916666666666508</v>
      </c>
      <c r="AB407" s="1">
        <v>33</v>
      </c>
      <c r="AC407">
        <v>9.5142757509999992E-3</v>
      </c>
      <c r="AD407" s="8">
        <f t="shared" si="78"/>
        <v>3.6801098384207052</v>
      </c>
      <c r="AE407" s="3">
        <f t="shared" si="79"/>
        <v>3.8679873641815632E-2</v>
      </c>
      <c r="AF407" s="11">
        <f t="shared" si="80"/>
        <v>32.916666666666508</v>
      </c>
      <c r="AG407" s="1">
        <f t="shared" si="81"/>
        <v>0.14302462809899205</v>
      </c>
    </row>
    <row r="408" spans="2:33" ht="15" x14ac:dyDescent="0.25">
      <c r="B408" s="1">
        <v>397</v>
      </c>
      <c r="C408" s="1">
        <v>0.73894205954651337</v>
      </c>
      <c r="D408" s="1">
        <v>7.1357214214357079</v>
      </c>
      <c r="E408" s="1">
        <v>4.5396767750136194E-2</v>
      </c>
      <c r="G408" s="1">
        <v>0.73894205954651337</v>
      </c>
      <c r="H408" s="1">
        <v>7.1357214214357079</v>
      </c>
      <c r="I408" s="1">
        <v>4.5396767750136194E-2</v>
      </c>
      <c r="K408" s="1">
        <v>0.99982791647486957</v>
      </c>
      <c r="L408" s="1">
        <v>2.3667947171504222</v>
      </c>
      <c r="M408" s="1">
        <v>0.38897544135846496</v>
      </c>
      <c r="O408" s="1">
        <v>9.1446578831927347E-3</v>
      </c>
      <c r="P408" s="1">
        <v>0.73894205954651337</v>
      </c>
      <c r="R408" s="1">
        <v>0.16465678857861091</v>
      </c>
      <c r="S408" s="2">
        <f t="shared" si="84"/>
        <v>0.82370861266643636</v>
      </c>
      <c r="T408" s="4">
        <f t="shared" si="85"/>
        <v>0.67849587858086524</v>
      </c>
      <c r="U408" s="1">
        <f t="shared" si="76"/>
        <v>0.50059757047365183</v>
      </c>
      <c r="V408" s="6">
        <f>2*sigma/alpha*corel*(B408/12-1/alpha*(1-EXP(-alpha*Output!B408/12)))</f>
        <v>1.8424364585313491</v>
      </c>
      <c r="W408" s="5">
        <f t="shared" si="86"/>
        <v>-0.17789830810721341</v>
      </c>
      <c r="X408" s="1">
        <f t="shared" si="82"/>
        <v>26.936448209913451</v>
      </c>
      <c r="Y408" s="3">
        <f t="shared" si="87"/>
        <v>5.0593406865410681E-2</v>
      </c>
      <c r="Z408" s="1">
        <f t="shared" si="77"/>
        <v>0.14320855960453621</v>
      </c>
      <c r="AA408" s="8">
        <f t="shared" si="83"/>
        <v>32.999999999999844</v>
      </c>
      <c r="AB408" s="1">
        <v>33.08</v>
      </c>
      <c r="AC408">
        <v>9.5136623319999995E-3</v>
      </c>
      <c r="AD408" s="8">
        <f t="shared" si="78"/>
        <v>3.6900444880726484</v>
      </c>
      <c r="AE408" s="3">
        <f t="shared" si="79"/>
        <v>3.8786792712422372E-2</v>
      </c>
      <c r="AF408" s="11">
        <f t="shared" si="80"/>
        <v>32.999999999999844</v>
      </c>
      <c r="AG408" s="1">
        <f t="shared" si="81"/>
        <v>0.14320855960453621</v>
      </c>
    </row>
    <row r="409" spans="2:33" ht="15" x14ac:dyDescent="0.25">
      <c r="B409" s="1">
        <v>398</v>
      </c>
      <c r="C409" s="1">
        <v>0.73841885804649643</v>
      </c>
      <c r="D409" s="1">
        <v>7.1859729807415924</v>
      </c>
      <c r="E409" s="1">
        <v>4.4885318012478116E-2</v>
      </c>
      <c r="G409" s="1">
        <v>0.73841885804649643</v>
      </c>
      <c r="H409" s="1">
        <v>7.1859729807415924</v>
      </c>
      <c r="I409" s="1">
        <v>4.4885318012478116E-2</v>
      </c>
      <c r="K409" s="1">
        <v>0.99974320777802528</v>
      </c>
      <c r="L409" s="1">
        <v>2.4239976050254688</v>
      </c>
      <c r="M409" s="1">
        <v>0.37971758701208425</v>
      </c>
      <c r="O409" s="1">
        <v>9.1430368960821601E-3</v>
      </c>
      <c r="P409" s="1">
        <v>0.73841885804649643</v>
      </c>
      <c r="R409" s="1">
        <v>0.16495684095391114</v>
      </c>
      <c r="S409" s="2">
        <f t="shared" si="84"/>
        <v>0.82564838884630842</v>
      </c>
      <c r="T409" s="4">
        <f t="shared" si="85"/>
        <v>0.68169526200450492</v>
      </c>
      <c r="U409" s="1">
        <f t="shared" si="76"/>
        <v>0.50340509745075757</v>
      </c>
      <c r="V409" s="6">
        <f>2*sigma/alpha*corel*(B409/12-1/alpha*(1-EXP(-alpha*Output!B409/12)))</f>
        <v>1.8500843430923291</v>
      </c>
      <c r="W409" s="5">
        <f t="shared" si="86"/>
        <v>-0.17829016455374735</v>
      </c>
      <c r="X409" s="1">
        <f t="shared" si="82"/>
        <v>27.075973907352523</v>
      </c>
      <c r="Y409" s="3">
        <f t="shared" si="87"/>
        <v>5.0553369900839661E-2</v>
      </c>
      <c r="Z409" s="1">
        <f t="shared" si="77"/>
        <v>0.14336535840322648</v>
      </c>
      <c r="AA409" s="8">
        <f t="shared" si="83"/>
        <v>33.083333333333179</v>
      </c>
      <c r="AB409" s="1">
        <v>33.17</v>
      </c>
      <c r="AC409">
        <v>9.5130520020000001E-3</v>
      </c>
      <c r="AD409" s="8">
        <f t="shared" si="78"/>
        <v>3.7001510591784004</v>
      </c>
      <c r="AE409" s="3">
        <f t="shared" si="79"/>
        <v>3.8895520159045592E-2</v>
      </c>
      <c r="AF409" s="11">
        <f t="shared" si="80"/>
        <v>33.083333333333179</v>
      </c>
      <c r="AG409" s="1">
        <f t="shared" si="81"/>
        <v>0.14336535840322648</v>
      </c>
    </row>
    <row r="410" spans="2:33" ht="15" x14ac:dyDescent="0.25">
      <c r="B410" s="1">
        <v>399</v>
      </c>
      <c r="C410" s="1">
        <v>0.73789657123321262</v>
      </c>
      <c r="D410" s="1">
        <v>7.2332730560578655</v>
      </c>
      <c r="E410" s="1">
        <v>4.4395116537180916E-2</v>
      </c>
      <c r="G410" s="1">
        <v>0.73789657123321262</v>
      </c>
      <c r="H410" s="1">
        <v>7.2332730560578655</v>
      </c>
      <c r="I410" s="1">
        <v>4.4395116537180916E-2</v>
      </c>
      <c r="K410" s="1">
        <v>0.99967662414983005</v>
      </c>
      <c r="L410" s="1">
        <v>2.4675928013675303</v>
      </c>
      <c r="M410" s="1">
        <v>0.37293085936944326</v>
      </c>
      <c r="O410" s="1">
        <v>9.1414018521412642E-3</v>
      </c>
      <c r="P410" s="1">
        <v>0.73789657123321262</v>
      </c>
      <c r="R410" s="1">
        <v>0.16515849103061997</v>
      </c>
      <c r="S410" s="2">
        <f t="shared" si="84"/>
        <v>0.82725407399302164</v>
      </c>
      <c r="T410" s="4">
        <f t="shared" si="85"/>
        <v>0.68434930293805174</v>
      </c>
      <c r="U410" s="1">
        <f t="shared" si="76"/>
        <v>0.50621939332393806</v>
      </c>
      <c r="V410" s="6">
        <f>2*sigma/alpha*corel*(B410/12-1/alpha*(1-EXP(-alpha*Output!B410/12)))</f>
        <v>1.85774144156195</v>
      </c>
      <c r="W410" s="5">
        <f t="shared" si="86"/>
        <v>-0.17812990961411368</v>
      </c>
      <c r="X410" s="1">
        <f t="shared" si="82"/>
        <v>27.142481242373794</v>
      </c>
      <c r="Y410" s="3">
        <f t="shared" si="87"/>
        <v>5.0407566994016162E-2</v>
      </c>
      <c r="Z410" s="1">
        <f t="shared" si="77"/>
        <v>0.14346405097775861</v>
      </c>
      <c r="AA410" s="8">
        <f t="shared" si="83"/>
        <v>33.166666666666515</v>
      </c>
      <c r="AB410" s="1">
        <v>33.25</v>
      </c>
      <c r="AC410">
        <v>9.5124447400000006E-3</v>
      </c>
      <c r="AD410" s="8">
        <f t="shared" si="78"/>
        <v>3.7104288785873645</v>
      </c>
      <c r="AE410" s="3">
        <f t="shared" si="79"/>
        <v>3.900604923343149E-2</v>
      </c>
      <c r="AF410" s="11">
        <f t="shared" si="80"/>
        <v>33.166666666666515</v>
      </c>
      <c r="AG410" s="1">
        <f t="shared" si="81"/>
        <v>0.14346405097775861</v>
      </c>
    </row>
    <row r="411" spans="2:33" ht="15" x14ac:dyDescent="0.25">
      <c r="B411" s="1">
        <v>400</v>
      </c>
      <c r="C411" s="1">
        <v>0.73737489005747381</v>
      </c>
      <c r="D411" s="1">
        <v>7.2801397786837505</v>
      </c>
      <c r="E411" s="1">
        <v>4.3917435221783048E-2</v>
      </c>
      <c r="G411" s="1">
        <v>0.73737489005747381</v>
      </c>
      <c r="H411" s="1">
        <v>7.2801397786837505</v>
      </c>
      <c r="I411" s="1">
        <v>4.3917435221783048E-2</v>
      </c>
      <c r="K411" s="1">
        <v>0.99971455905670759</v>
      </c>
      <c r="L411" s="1">
        <v>2.509846048940402</v>
      </c>
      <c r="M411" s="1">
        <v>0.36657578732239859</v>
      </c>
      <c r="O411" s="1">
        <v>9.1397653727637515E-3</v>
      </c>
      <c r="P411" s="1">
        <v>0.73737489005747381</v>
      </c>
      <c r="R411" s="1">
        <v>0.16549737730383143</v>
      </c>
      <c r="S411" s="2">
        <f t="shared" si="84"/>
        <v>0.82932738123934802</v>
      </c>
      <c r="T411" s="4">
        <f t="shared" si="85"/>
        <v>0.6877839052733149</v>
      </c>
      <c r="U411" s="1">
        <f t="shared" si="76"/>
        <v>0.50904044367716583</v>
      </c>
      <c r="V411" s="6">
        <f>2*sigma/alpha*corel*(B411/12-1/alpha*(1-EXP(-alpha*Output!B411/12)))</f>
        <v>1.8654077232783131</v>
      </c>
      <c r="W411" s="5">
        <f t="shared" si="86"/>
        <v>-0.17874346159614907</v>
      </c>
      <c r="X411" s="1">
        <f t="shared" si="82"/>
        <v>27.312207520219587</v>
      </c>
      <c r="Y411" s="3">
        <f t="shared" si="87"/>
        <v>5.0410508014918122E-2</v>
      </c>
      <c r="Z411" s="1">
        <f t="shared" si="77"/>
        <v>0.14364371604145948</v>
      </c>
      <c r="AA411" s="8">
        <f t="shared" si="83"/>
        <v>33.249999999999851</v>
      </c>
      <c r="AB411" s="1">
        <v>33.33</v>
      </c>
      <c r="AC411">
        <v>9.5118405219999994E-3</v>
      </c>
      <c r="AD411" s="8">
        <f t="shared" si="78"/>
        <v>3.7207514923624787</v>
      </c>
      <c r="AE411" s="3">
        <f t="shared" si="79"/>
        <v>3.9117050835290261E-2</v>
      </c>
      <c r="AF411" s="11">
        <f t="shared" si="80"/>
        <v>33.249999999999851</v>
      </c>
      <c r="AG411" s="1">
        <f t="shared" si="81"/>
        <v>0.14364371604145948</v>
      </c>
    </row>
    <row r="412" spans="2:33" ht="15" x14ac:dyDescent="0.25">
      <c r="B412" s="1">
        <v>401</v>
      </c>
      <c r="C412" s="1">
        <v>0.73685248249218049</v>
      </c>
      <c r="D412" s="1">
        <v>7.3254706614900007</v>
      </c>
      <c r="E412" s="1">
        <v>4.3455588388666783E-2</v>
      </c>
      <c r="G412" s="1">
        <v>0.73685248249218049</v>
      </c>
      <c r="H412" s="1">
        <v>7.3254706614900007</v>
      </c>
      <c r="I412" s="1">
        <v>4.3455588388666783E-2</v>
      </c>
      <c r="K412" s="1">
        <v>0.99978045415690542</v>
      </c>
      <c r="L412" s="1">
        <v>2.5017277838664063</v>
      </c>
      <c r="M412" s="1">
        <v>0.36768617378250484</v>
      </c>
      <c r="O412" s="1">
        <v>9.1381815342076837E-3</v>
      </c>
      <c r="P412" s="1">
        <v>0.73685248249218049</v>
      </c>
      <c r="R412" s="1">
        <v>0.16589750982006568</v>
      </c>
      <c r="S412" s="2">
        <f t="shared" si="84"/>
        <v>0.83161292247467888</v>
      </c>
      <c r="T412" s="4">
        <f t="shared" si="85"/>
        <v>0.69158005282687629</v>
      </c>
      <c r="U412" s="1">
        <f t="shared" si="76"/>
        <v>0.51186823408850524</v>
      </c>
      <c r="V412" s="6">
        <f>2*sigma/alpha*corel*(B412/12-1/alpha*(1-EXP(-alpha*Output!B412/12)))</f>
        <v>1.873083157681557</v>
      </c>
      <c r="W412" s="5">
        <f t="shared" si="86"/>
        <v>-0.17971181873837105</v>
      </c>
      <c r="X412" s="1">
        <f t="shared" si="82"/>
        <v>27.529920286952578</v>
      </c>
      <c r="Y412" s="3">
        <f t="shared" si="87"/>
        <v>5.0480993940932153E-2</v>
      </c>
      <c r="Z412" s="1">
        <f t="shared" si="77"/>
        <v>0.14385987080744392</v>
      </c>
      <c r="AA412" s="8">
        <f t="shared" si="83"/>
        <v>33.333333333333186</v>
      </c>
      <c r="AB412" s="1">
        <v>33.42</v>
      </c>
      <c r="AC412">
        <v>9.5112393260000008E-3</v>
      </c>
      <c r="AD412" s="8">
        <f t="shared" si="78"/>
        <v>3.7305779179231702</v>
      </c>
      <c r="AE412" s="3">
        <f t="shared" si="79"/>
        <v>3.9222837214549236E-2</v>
      </c>
      <c r="AF412" s="11">
        <f t="shared" si="80"/>
        <v>33.333333333333186</v>
      </c>
      <c r="AG412" s="1">
        <f t="shared" si="81"/>
        <v>0.14385987080744392</v>
      </c>
    </row>
    <row r="413" spans="2:33" ht="15" x14ac:dyDescent="0.25">
      <c r="B413" s="1">
        <v>402</v>
      </c>
      <c r="C413" s="1">
        <v>0.73633324836931302</v>
      </c>
      <c r="D413" s="1">
        <v>7.3795291860379315</v>
      </c>
      <c r="E413" s="1">
        <v>4.2949791693510285E-2</v>
      </c>
      <c r="G413" s="1">
        <v>0.73633324836931302</v>
      </c>
      <c r="H413" s="1">
        <v>7.3795291860379315</v>
      </c>
      <c r="I413" s="1">
        <v>4.2949791693510285E-2</v>
      </c>
      <c r="K413" s="1">
        <v>0.99982394637518734</v>
      </c>
      <c r="L413" s="1">
        <v>2.587533960555489</v>
      </c>
      <c r="M413" s="1">
        <v>0.35542551659170385</v>
      </c>
      <c r="O413" s="1">
        <v>9.1364919288991694E-3</v>
      </c>
      <c r="P413" s="1">
        <v>0.73633324836931302</v>
      </c>
      <c r="R413" s="1">
        <v>0.16640781364173418</v>
      </c>
      <c r="S413" s="2">
        <f t="shared" si="84"/>
        <v>0.83427104430402754</v>
      </c>
      <c r="T413" s="4">
        <f t="shared" si="85"/>
        <v>0.69600817536413273</v>
      </c>
      <c r="U413" s="1">
        <f t="shared" si="76"/>
        <v>0.51470275013048905</v>
      </c>
      <c r="V413" s="6">
        <f>2*sigma/alpha*corel*(B413/12-1/alpha*(1-EXP(-alpha*Output!B413/12)))</f>
        <v>1.8807677143135186</v>
      </c>
      <c r="W413" s="5">
        <f t="shared" si="86"/>
        <v>-0.18130542523364368</v>
      </c>
      <c r="X413" s="1">
        <f t="shared" si="82"/>
        <v>27.832214176512348</v>
      </c>
      <c r="Y413" s="3">
        <f t="shared" si="87"/>
        <v>5.0669504704629845E-2</v>
      </c>
      <c r="Z413" s="1">
        <f t="shared" si="77"/>
        <v>0.14414008271020748</v>
      </c>
      <c r="AA413" s="8">
        <f t="shared" si="83"/>
        <v>33.416666666666522</v>
      </c>
      <c r="AB413" s="1">
        <v>33.5</v>
      </c>
      <c r="AC413">
        <v>9.5106411290000002E-3</v>
      </c>
      <c r="AD413" s="8">
        <f t="shared" si="78"/>
        <v>3.7414920010083073</v>
      </c>
      <c r="AE413" s="3">
        <f t="shared" si="79"/>
        <v>3.9340060783070549E-2</v>
      </c>
      <c r="AF413" s="11">
        <f t="shared" si="80"/>
        <v>33.416666666666522</v>
      </c>
      <c r="AG413" s="1">
        <f t="shared" si="81"/>
        <v>0.14414008271020748</v>
      </c>
    </row>
    <row r="414" spans="2:33" ht="15" x14ac:dyDescent="0.25">
      <c r="B414" s="1">
        <v>403</v>
      </c>
      <c r="C414" s="1">
        <v>0.73581580336715091</v>
      </c>
      <c r="D414" s="1">
        <v>7.4526755105082731</v>
      </c>
      <c r="E414" s="1">
        <v>4.2342380488631072E-2</v>
      </c>
      <c r="G414" s="1">
        <v>0.73581580336715091</v>
      </c>
      <c r="H414" s="1">
        <v>7.4526755105082731</v>
      </c>
      <c r="I414" s="1">
        <v>4.2342380488631072E-2</v>
      </c>
      <c r="K414" s="1">
        <v>0.99989072157481473</v>
      </c>
      <c r="L414" s="1">
        <v>2.5603031854966458</v>
      </c>
      <c r="M414" s="1">
        <v>0.3591295147980893</v>
      </c>
      <c r="O414" s="1">
        <v>9.1347531138315854E-3</v>
      </c>
      <c r="P414" s="1">
        <v>0.73581580336715091</v>
      </c>
      <c r="R414" s="1">
        <v>0.16692184520340772</v>
      </c>
      <c r="S414" s="2">
        <f t="shared" si="84"/>
        <v>0.83694196774547391</v>
      </c>
      <c r="T414" s="4">
        <f t="shared" si="85"/>
        <v>0.70047185737366591</v>
      </c>
      <c r="U414" s="1">
        <f t="shared" si="76"/>
        <v>0.51754397737049151</v>
      </c>
      <c r="V414" s="6">
        <f>2*sigma/alpha*corel*(B414/12-1/alpha*(1-EXP(-alpha*Output!B414/12)))</f>
        <v>1.8884613628173912</v>
      </c>
      <c r="W414" s="5">
        <f t="shared" si="86"/>
        <v>-0.18292788000317439</v>
      </c>
      <c r="X414" s="1">
        <f t="shared" si="82"/>
        <v>28.139598199280545</v>
      </c>
      <c r="Y414" s="3">
        <f t="shared" si="87"/>
        <v>5.0861771448537423E-2</v>
      </c>
      <c r="Z414" s="1">
        <f t="shared" si="77"/>
        <v>0.14442203017617641</v>
      </c>
      <c r="AA414" s="8">
        <f t="shared" si="83"/>
        <v>33.499999999999858</v>
      </c>
      <c r="AB414" s="1">
        <v>33.58</v>
      </c>
      <c r="AC414">
        <v>9.5100459079999998E-3</v>
      </c>
      <c r="AD414" s="8">
        <f t="shared" si="78"/>
        <v>3.7529279416841437</v>
      </c>
      <c r="AE414" s="3">
        <f t="shared" si="79"/>
        <v>3.9462774186264669E-2</v>
      </c>
      <c r="AF414" s="11">
        <f t="shared" si="80"/>
        <v>33.499999999999858</v>
      </c>
      <c r="AG414" s="1">
        <f t="shared" si="81"/>
        <v>0.14442203017617641</v>
      </c>
    </row>
    <row r="415" spans="2:33" ht="15" x14ac:dyDescent="0.25">
      <c r="B415" s="1">
        <v>404</v>
      </c>
      <c r="C415" s="1">
        <v>0.7353034254623011</v>
      </c>
      <c r="D415" s="1">
        <v>7.5255869957856714</v>
      </c>
      <c r="E415" s="1">
        <v>4.1748423996994112E-2</v>
      </c>
      <c r="G415" s="1">
        <v>0.7353034254623011</v>
      </c>
      <c r="H415" s="1">
        <v>7.5255869957856714</v>
      </c>
      <c r="I415" s="1">
        <v>4.1748423996994112E-2</v>
      </c>
      <c r="K415" s="1">
        <v>1.0000085949801347</v>
      </c>
      <c r="L415" s="1">
        <v>2.5521827892042839</v>
      </c>
      <c r="M415" s="1">
        <v>0.36019352005326238</v>
      </c>
      <c r="O415" s="1">
        <v>9.1328329069114127E-3</v>
      </c>
      <c r="P415" s="1">
        <v>0.7353034254623011</v>
      </c>
      <c r="R415" s="1">
        <v>0.16731180295183287</v>
      </c>
      <c r="S415" s="2">
        <f t="shared" si="84"/>
        <v>0.83918358791787706</v>
      </c>
      <c r="T415" s="4">
        <f t="shared" si="85"/>
        <v>0.70422909423072133</v>
      </c>
      <c r="U415" s="1">
        <f t="shared" si="76"/>
        <v>0.52039190137109959</v>
      </c>
      <c r="V415" s="6">
        <f>2*sigma/alpha*corel*(B415/12-1/alpha*(1-EXP(-alpha*Output!B415/12)))</f>
        <v>1.8961640729373883</v>
      </c>
      <c r="W415" s="5">
        <f t="shared" si="86"/>
        <v>-0.18383719285962175</v>
      </c>
      <c r="X415" s="1">
        <f t="shared" si="82"/>
        <v>28.352180163260901</v>
      </c>
      <c r="Y415" s="3">
        <f t="shared" si="87"/>
        <v>5.0918501857266402E-2</v>
      </c>
      <c r="Z415" s="1">
        <f t="shared" si="77"/>
        <v>0.14462951243864183</v>
      </c>
      <c r="AA415" s="8">
        <f t="shared" si="83"/>
        <v>33.583333333333194</v>
      </c>
      <c r="AB415" s="1">
        <v>33.67</v>
      </c>
      <c r="AC415">
        <v>9.5094536419999993E-3</v>
      </c>
      <c r="AD415" s="8">
        <f t="shared" si="78"/>
        <v>3.7662073508858662</v>
      </c>
      <c r="AE415" s="3">
        <f t="shared" si="79"/>
        <v>3.9604876291228955E-2</v>
      </c>
      <c r="AF415" s="11">
        <f t="shared" si="80"/>
        <v>33.583333333333194</v>
      </c>
      <c r="AG415" s="1">
        <f t="shared" si="81"/>
        <v>0.14462951243864183</v>
      </c>
    </row>
    <row r="416" spans="2:33" ht="15" x14ac:dyDescent="0.25">
      <c r="B416" s="1">
        <v>405</v>
      </c>
      <c r="C416" s="1">
        <v>0.73478858180765605</v>
      </c>
      <c r="D416" s="1">
        <v>7.5982068231897273</v>
      </c>
      <c r="E416" s="1">
        <v>4.1170900407591915E-2</v>
      </c>
      <c r="G416" s="1">
        <v>0.73478858180765605</v>
      </c>
      <c r="H416" s="1">
        <v>7.5982068231897273</v>
      </c>
      <c r="I416" s="1">
        <v>4.1170900407591915E-2</v>
      </c>
      <c r="K416" s="1">
        <v>1.0000139228135814</v>
      </c>
      <c r="L416" s="1">
        <v>2.530416956802394</v>
      </c>
      <c r="M416" s="1">
        <v>0.36321858950115804</v>
      </c>
      <c r="O416" s="1">
        <v>9.1310359983946716E-3</v>
      </c>
      <c r="P416" s="1">
        <v>0.73478858180765605</v>
      </c>
      <c r="R416" s="1">
        <v>0.167653908914385</v>
      </c>
      <c r="S416" s="2">
        <f t="shared" si="84"/>
        <v>0.8412687217092687</v>
      </c>
      <c r="T416" s="4">
        <f t="shared" si="85"/>
        <v>0.70773306212634701</v>
      </c>
      <c r="U416" s="1">
        <f t="shared" si="76"/>
        <v>0.52324650769048153</v>
      </c>
      <c r="V416" s="6">
        <f>2*sigma/alpha*corel*(B416/12-1/alpha*(1-EXP(-alpha*Output!B416/12)))</f>
        <v>1.9038758145184111</v>
      </c>
      <c r="W416" s="5">
        <f t="shared" si="86"/>
        <v>-0.18448655443586548</v>
      </c>
      <c r="X416" s="1">
        <f t="shared" si="82"/>
        <v>28.530427965949983</v>
      </c>
      <c r="Y416" s="3">
        <f t="shared" si="87"/>
        <v>5.0926109501703128E-2</v>
      </c>
      <c r="Z416" s="1">
        <f t="shared" si="77"/>
        <v>0.1448097666162311</v>
      </c>
      <c r="AA416" s="8">
        <f t="shared" si="83"/>
        <v>33.666666666666529</v>
      </c>
      <c r="AB416" s="1">
        <v>33.75</v>
      </c>
      <c r="AC416">
        <v>9.5088643070000006E-3</v>
      </c>
      <c r="AD416" s="8">
        <f t="shared" si="78"/>
        <v>3.7782830860532899</v>
      </c>
      <c r="AE416" s="3">
        <f t="shared" si="79"/>
        <v>3.9734325404894959E-2</v>
      </c>
      <c r="AF416" s="11">
        <f t="shared" si="80"/>
        <v>33.666666666666529</v>
      </c>
      <c r="AG416" s="1">
        <f t="shared" si="81"/>
        <v>0.1448097666162311</v>
      </c>
    </row>
    <row r="417" spans="2:33" ht="15" x14ac:dyDescent="0.25">
      <c r="B417" s="1">
        <v>406</v>
      </c>
      <c r="C417" s="1">
        <v>0.73427521388523942</v>
      </c>
      <c r="D417" s="1">
        <v>7.6687116564417188</v>
      </c>
      <c r="E417" s="1">
        <v>4.0610786224821317E-2</v>
      </c>
      <c r="G417" s="1">
        <v>0.73427521388523942</v>
      </c>
      <c r="H417" s="1">
        <v>7.6687116564417188</v>
      </c>
      <c r="I417" s="1">
        <v>4.0610786224821317E-2</v>
      </c>
      <c r="K417" s="1">
        <v>1.000104179581613</v>
      </c>
      <c r="L417" s="1">
        <v>2.5394561401952438</v>
      </c>
      <c r="M417" s="1">
        <v>0.36185087852567083</v>
      </c>
      <c r="O417" s="1">
        <v>9.1292030496584187E-3</v>
      </c>
      <c r="P417" s="1">
        <v>0.73427521388523942</v>
      </c>
      <c r="R417" s="1">
        <v>0.1679622204648189</v>
      </c>
      <c r="S417" s="2">
        <f t="shared" si="84"/>
        <v>0.8432380512784432</v>
      </c>
      <c r="T417" s="4">
        <f t="shared" si="85"/>
        <v>0.71105041112386635</v>
      </c>
      <c r="U417" s="1">
        <f t="shared" si="76"/>
        <v>0.52610778188274621</v>
      </c>
      <c r="V417" s="6">
        <f>2*sigma/alpha*corel*(B417/12-1/alpha*(1-EXP(-alpha*Output!B417/12)))</f>
        <v>1.9115965575057072</v>
      </c>
      <c r="W417" s="5">
        <f t="shared" si="86"/>
        <v>-0.18494262924112015</v>
      </c>
      <c r="X417" s="1">
        <f t="shared" si="82"/>
        <v>28.683103889299264</v>
      </c>
      <c r="Y417" s="3">
        <f t="shared" si="87"/>
        <v>5.0897502893016491E-2</v>
      </c>
      <c r="Z417" s="1">
        <f t="shared" si="77"/>
        <v>0.14496988759421658</v>
      </c>
      <c r="AA417" s="8">
        <f t="shared" si="83"/>
        <v>33.749999999999865</v>
      </c>
      <c r="AB417" s="1">
        <v>33.83</v>
      </c>
      <c r="AC417">
        <v>9.5082778830000002E-3</v>
      </c>
      <c r="AD417" s="8">
        <f t="shared" si="78"/>
        <v>3.7907483334158156</v>
      </c>
      <c r="AE417" s="3">
        <f t="shared" si="79"/>
        <v>3.9867874919740767E-2</v>
      </c>
      <c r="AF417" s="11">
        <f t="shared" si="80"/>
        <v>33.749999999999865</v>
      </c>
      <c r="AG417" s="1">
        <f t="shared" si="81"/>
        <v>0.14496988759421658</v>
      </c>
    </row>
    <row r="418" spans="2:33" ht="15" x14ac:dyDescent="0.25">
      <c r="B418" s="1">
        <v>407</v>
      </c>
      <c r="C418" s="1">
        <v>0.73376355073753197</v>
      </c>
      <c r="D418" s="1">
        <v>7.737542556484061</v>
      </c>
      <c r="E418" s="1">
        <v>4.0072129833700662E-2</v>
      </c>
      <c r="G418" s="1">
        <v>0.73376355073753197</v>
      </c>
      <c r="H418" s="1">
        <v>7.737542556484061</v>
      </c>
      <c r="I418" s="1">
        <v>4.0072129833700662E-2</v>
      </c>
      <c r="K418" s="1">
        <v>1.0000587847741187</v>
      </c>
      <c r="L418" s="1">
        <v>2.6338330597183512</v>
      </c>
      <c r="M418" s="1">
        <v>0.34881100767899398</v>
      </c>
      <c r="O418" s="1">
        <v>9.1273250189179006E-3</v>
      </c>
      <c r="P418" s="1">
        <v>0.73376355073753197</v>
      </c>
      <c r="R418" s="1">
        <v>0.16835306948717876</v>
      </c>
      <c r="S418" s="2">
        <f t="shared" si="84"/>
        <v>0.84548893707528672</v>
      </c>
      <c r="T418" s="4">
        <f t="shared" si="85"/>
        <v>0.71485154271669815</v>
      </c>
      <c r="U418" s="1">
        <f t="shared" si="76"/>
        <v>0.5289757094983063</v>
      </c>
      <c r="V418" s="6">
        <f>2*sigma/alpha*corel*(B418/12-1/alpha*(1-EXP(-alpha*Output!B418/12)))</f>
        <v>1.9193262719445414</v>
      </c>
      <c r="W418" s="5">
        <f t="shared" si="86"/>
        <v>-0.18587583321839185</v>
      </c>
      <c r="X418" s="1">
        <f t="shared" si="82"/>
        <v>28.900968044805026</v>
      </c>
      <c r="Y418" s="3">
        <f t="shared" si="87"/>
        <v>5.095777570997731E-2</v>
      </c>
      <c r="Z418" s="1">
        <f t="shared" si="77"/>
        <v>0.1451781800483912</v>
      </c>
      <c r="AA418" s="8">
        <f t="shared" si="83"/>
        <v>33.833333333333201</v>
      </c>
      <c r="AB418" s="1">
        <v>33.92</v>
      </c>
      <c r="AC418">
        <v>9.5076943489999996E-3</v>
      </c>
      <c r="AD418" s="8">
        <f t="shared" si="78"/>
        <v>3.8036933008209899</v>
      </c>
      <c r="AE418" s="3">
        <f t="shared" si="79"/>
        <v>4.000647434802166E-2</v>
      </c>
      <c r="AF418" s="11">
        <f t="shared" si="80"/>
        <v>33.833333333333201</v>
      </c>
      <c r="AG418" s="1">
        <f t="shared" si="81"/>
        <v>0.1451781800483912</v>
      </c>
    </row>
    <row r="419" spans="2:33" ht="15" x14ac:dyDescent="0.25">
      <c r="B419" s="1">
        <v>408</v>
      </c>
      <c r="C419" s="1">
        <v>0.73325328795696765</v>
      </c>
      <c r="D419" s="1">
        <v>7.8021377857532963</v>
      </c>
      <c r="E419" s="1">
        <v>3.9567918331816561E-2</v>
      </c>
      <c r="G419" s="1">
        <v>0.73325328795696765</v>
      </c>
      <c r="H419" s="1">
        <v>7.8021377857532963</v>
      </c>
      <c r="I419" s="1">
        <v>3.9567918331816561E-2</v>
      </c>
      <c r="K419" s="1">
        <v>1.0000301160168481</v>
      </c>
      <c r="L419" s="1">
        <v>2.6584251372455294</v>
      </c>
      <c r="M419" s="1">
        <v>0.34550827486634117</v>
      </c>
      <c r="O419" s="1">
        <v>9.1254143249232828E-3</v>
      </c>
      <c r="P419" s="1">
        <v>0.73325328795696765</v>
      </c>
      <c r="R419" s="1">
        <v>0.16869836897375212</v>
      </c>
      <c r="S419" s="2">
        <f t="shared" si="84"/>
        <v>0.84758396667206237</v>
      </c>
      <c r="T419" s="4">
        <f t="shared" si="85"/>
        <v>0.71839858055954775</v>
      </c>
      <c r="U419" s="1">
        <f t="shared" si="76"/>
        <v>0.53185027608423496</v>
      </c>
      <c r="V419" s="6">
        <f>2*sigma/alpha*corel*(B419/12-1/alpha*(1-EXP(-alpha*Output!B419/12)))</f>
        <v>1.927064927979862</v>
      </c>
      <c r="W419" s="5">
        <f t="shared" si="86"/>
        <v>-0.18654830447531279</v>
      </c>
      <c r="X419" s="1">
        <f t="shared" si="82"/>
        <v>29.084148645292569</v>
      </c>
      <c r="Y419" s="3">
        <f t="shared" si="87"/>
        <v>5.0969223900435123E-2</v>
      </c>
      <c r="Z419" s="1">
        <f t="shared" si="77"/>
        <v>0.14535945107373405</v>
      </c>
      <c r="AA419" s="8">
        <f t="shared" si="83"/>
        <v>33.916666666666536</v>
      </c>
      <c r="AB419" s="1">
        <v>34</v>
      </c>
      <c r="AC419">
        <v>9.5071136829999996E-3</v>
      </c>
      <c r="AD419" s="8">
        <f t="shared" si="78"/>
        <v>3.8169935807671682</v>
      </c>
      <c r="AE419" s="3">
        <f t="shared" si="79"/>
        <v>4.0148816013344482E-2</v>
      </c>
      <c r="AF419" s="11">
        <f t="shared" si="80"/>
        <v>33.916666666666536</v>
      </c>
      <c r="AG419" s="1">
        <f t="shared" si="81"/>
        <v>0.14535945107373405</v>
      </c>
    </row>
    <row r="420" spans="2:33" ht="15" x14ac:dyDescent="0.25">
      <c r="B420" s="1">
        <v>409</v>
      </c>
      <c r="C420" s="1">
        <v>0.73274094832210801</v>
      </c>
      <c r="D420" s="1">
        <v>7.8672016363779402</v>
      </c>
      <c r="E420" s="1">
        <v>3.906707817322342E-2</v>
      </c>
      <c r="G420" s="1">
        <v>0.73274094832210801</v>
      </c>
      <c r="H420" s="1">
        <v>7.8672016363779402</v>
      </c>
      <c r="I420" s="1">
        <v>3.906707817322342E-2</v>
      </c>
      <c r="K420" s="1">
        <v>1.0000265381839903</v>
      </c>
      <c r="L420" s="1">
        <v>2.6857050470977515</v>
      </c>
      <c r="M420" s="1">
        <v>0.34193229962040134</v>
      </c>
      <c r="O420" s="1">
        <v>9.1236103420291974E-3</v>
      </c>
      <c r="P420" s="1">
        <v>0.73274094832210801</v>
      </c>
      <c r="R420" s="1">
        <v>0.16896733122614982</v>
      </c>
      <c r="S420" s="2">
        <f t="shared" si="84"/>
        <v>0.84942351330153998</v>
      </c>
      <c r="T420" s="4">
        <f t="shared" si="85"/>
        <v>0.72152030494953145</v>
      </c>
      <c r="U420" s="1">
        <f t="shared" si="76"/>
        <v>0.5347314671846144</v>
      </c>
      <c r="V420" s="6">
        <f>2*sigma/alpha*corel*(B420/12-1/alpha*(1-EXP(-alpha*Output!B420/12)))</f>
        <v>1.9348124958559678</v>
      </c>
      <c r="W420" s="5">
        <f t="shared" si="86"/>
        <v>-0.18678883776491706</v>
      </c>
      <c r="X420" s="1">
        <f t="shared" si="82"/>
        <v>29.20904427607076</v>
      </c>
      <c r="Y420" s="3">
        <f t="shared" si="87"/>
        <v>5.09006366696928E-2</v>
      </c>
      <c r="Z420" s="1">
        <f t="shared" si="77"/>
        <v>0.14549673501738705</v>
      </c>
      <c r="AA420" s="8">
        <f t="shared" si="83"/>
        <v>33.999999999999872</v>
      </c>
      <c r="AB420" s="1">
        <v>34.08</v>
      </c>
      <c r="AC420">
        <v>9.5065358629999996E-3</v>
      </c>
      <c r="AD420" s="8">
        <f t="shared" si="78"/>
        <v>3.8292552097080219</v>
      </c>
      <c r="AE420" s="3">
        <f t="shared" si="79"/>
        <v>4.0280237353458162E-2</v>
      </c>
      <c r="AF420" s="11">
        <f t="shared" si="80"/>
        <v>33.999999999999872</v>
      </c>
      <c r="AG420" s="1">
        <f t="shared" si="81"/>
        <v>0.14549673501738705</v>
      </c>
    </row>
    <row r="421" spans="2:33" ht="15" x14ac:dyDescent="0.25">
      <c r="B421" s="1">
        <v>410</v>
      </c>
      <c r="C421" s="1">
        <v>0.73223030671400768</v>
      </c>
      <c r="D421" s="1">
        <v>7.9352483732740842</v>
      </c>
      <c r="E421" s="1">
        <v>3.8560906952531525E-2</v>
      </c>
      <c r="G421" s="1">
        <v>0.73223030671400768</v>
      </c>
      <c r="H421" s="1">
        <v>7.9352483732740842</v>
      </c>
      <c r="I421" s="1">
        <v>3.8560906952531525E-2</v>
      </c>
      <c r="K421" s="1">
        <v>1.0000570081773936</v>
      </c>
      <c r="L421" s="1">
        <v>2.699059532097523</v>
      </c>
      <c r="M421" s="1">
        <v>0.340170542700023</v>
      </c>
      <c r="O421" s="1">
        <v>9.12176159551999E-3</v>
      </c>
      <c r="P421" s="1">
        <v>0.73223030671400768</v>
      </c>
      <c r="R421" s="1">
        <v>0.16922783405593247</v>
      </c>
      <c r="S421" s="2">
        <f t="shared" si="84"/>
        <v>0.85123300553420678</v>
      </c>
      <c r="T421" s="4">
        <f t="shared" si="85"/>
        <v>0.72459762971079889</v>
      </c>
      <c r="U421" s="1">
        <f t="shared" si="76"/>
        <v>0.53761926834088936</v>
      </c>
      <c r="V421" s="6">
        <f>2*sigma/alpha*corel*(B421/12-1/alpha*(1-EXP(-alpha*Output!B421/12)))</f>
        <v>1.942568945916177</v>
      </c>
      <c r="W421" s="5">
        <f t="shared" si="86"/>
        <v>-0.18697836136990953</v>
      </c>
      <c r="X421" s="1">
        <f t="shared" si="82"/>
        <v>29.327283496858854</v>
      </c>
      <c r="Y421" s="3">
        <f t="shared" si="87"/>
        <v>5.0822899256050248E-2</v>
      </c>
      <c r="Z421" s="1">
        <f t="shared" si="77"/>
        <v>0.14562875919175686</v>
      </c>
      <c r="AA421" s="8">
        <f t="shared" si="83"/>
        <v>34.083333333333208</v>
      </c>
      <c r="AB421" s="1">
        <v>34.17</v>
      </c>
      <c r="AC421">
        <v>9.5059608689999995E-3</v>
      </c>
      <c r="AD421" s="8">
        <f t="shared" si="78"/>
        <v>3.8419927348000948</v>
      </c>
      <c r="AE421" s="3">
        <f t="shared" si="79"/>
        <v>4.0416668948525365E-2</v>
      </c>
      <c r="AF421" s="11">
        <f t="shared" si="80"/>
        <v>34.083333333333208</v>
      </c>
      <c r="AG421" s="1">
        <f t="shared" si="81"/>
        <v>0.14562875919175686</v>
      </c>
    </row>
    <row r="422" spans="2:33" ht="15" x14ac:dyDescent="0.25">
      <c r="B422" s="1">
        <v>411</v>
      </c>
      <c r="C422" s="1">
        <v>0.73172087352235249</v>
      </c>
      <c r="D422" s="1">
        <v>8.0025608194622286</v>
      </c>
      <c r="E422" s="1">
        <v>3.8066235249333842E-2</v>
      </c>
      <c r="G422" s="1">
        <v>0.73172087352235249</v>
      </c>
      <c r="H422" s="1">
        <v>8.0025608194622286</v>
      </c>
      <c r="I422" s="1">
        <v>3.8066235249333842E-2</v>
      </c>
      <c r="K422" s="1">
        <v>1.0000418932000956</v>
      </c>
      <c r="L422" s="1">
        <v>2.7172267589625636</v>
      </c>
      <c r="M422" s="1">
        <v>0.33782226993116027</v>
      </c>
      <c r="O422" s="1">
        <v>9.1198878267609584E-3</v>
      </c>
      <c r="P422" s="1">
        <v>0.73172087352235249</v>
      </c>
      <c r="R422" s="1">
        <v>0.16949301125302393</v>
      </c>
      <c r="S422" s="2">
        <f t="shared" si="84"/>
        <v>0.85305832516459046</v>
      </c>
      <c r="T422" s="4">
        <f t="shared" si="85"/>
        <v>0.72770850613261617</v>
      </c>
      <c r="U422" s="1">
        <f t="shared" si="76"/>
        <v>0.5405136650922131</v>
      </c>
      <c r="V422" s="6">
        <f>2*sigma/alpha*corel*(B422/12-1/alpha*(1-EXP(-alpha*Output!B422/12)))</f>
        <v>1.950334248602501</v>
      </c>
      <c r="W422" s="5">
        <f t="shared" si="86"/>
        <v>-0.18719484104040307</v>
      </c>
      <c r="X422" s="1">
        <f t="shared" si="82"/>
        <v>29.449496903807102</v>
      </c>
      <c r="Y422" s="3">
        <f t="shared" si="87"/>
        <v>5.0750435308439756E-2</v>
      </c>
      <c r="Z422" s="1">
        <f t="shared" si="77"/>
        <v>0.1457633825166805</v>
      </c>
      <c r="AA422" s="8">
        <f t="shared" si="83"/>
        <v>34.166666666666544</v>
      </c>
      <c r="AB422" s="1">
        <v>34.25</v>
      </c>
      <c r="AC422">
        <v>9.5053886800000008E-3</v>
      </c>
      <c r="AD422" s="8">
        <f t="shared" si="78"/>
        <v>3.8550085323904235</v>
      </c>
      <c r="AE422" s="3">
        <f t="shared" si="79"/>
        <v>4.0556032606027248E-2</v>
      </c>
      <c r="AF422" s="11">
        <f t="shared" si="80"/>
        <v>34.166666666666544</v>
      </c>
      <c r="AG422" s="1">
        <f t="shared" si="81"/>
        <v>0.1457633825166805</v>
      </c>
    </row>
    <row r="423" spans="2:33" ht="15" x14ac:dyDescent="0.25">
      <c r="B423" s="1">
        <v>412</v>
      </c>
      <c r="C423" s="1">
        <v>0.73120980913214673</v>
      </c>
      <c r="D423" s="1">
        <v>8.0697224015493862</v>
      </c>
      <c r="E423" s="1">
        <v>3.7584094411245161E-2</v>
      </c>
      <c r="G423" s="1">
        <v>0.73120980913214673</v>
      </c>
      <c r="H423" s="1">
        <v>8.0697224015493862</v>
      </c>
      <c r="I423" s="1">
        <v>3.7584094411245161E-2</v>
      </c>
      <c r="K423" s="1">
        <v>1.0000862188804251</v>
      </c>
      <c r="L423" s="1">
        <v>2.7534278245888788</v>
      </c>
      <c r="M423" s="1">
        <v>0.33330922993796819</v>
      </c>
      <c r="O423" s="1">
        <v>9.1181022470999528E-3</v>
      </c>
      <c r="P423" s="1">
        <v>0.73120980913214673</v>
      </c>
      <c r="R423" s="1">
        <v>0.16976172859075972</v>
      </c>
      <c r="S423" s="2">
        <f t="shared" si="84"/>
        <v>0.85490072335929912</v>
      </c>
      <c r="T423" s="4">
        <f t="shared" si="85"/>
        <v>0.73085524680025293</v>
      </c>
      <c r="U423" s="1">
        <f t="shared" si="76"/>
        <v>0.54341464297578668</v>
      </c>
      <c r="V423" s="6">
        <f>2*sigma/alpha*corel*(B423/12-1/alpha*(1-EXP(-alpha*Output!B423/12)))</f>
        <v>1.9581083744553123</v>
      </c>
      <c r="W423" s="5">
        <f t="shared" si="86"/>
        <v>-0.18744060382446626</v>
      </c>
      <c r="X423" s="1">
        <f t="shared" si="82"/>
        <v>29.576031331338729</v>
      </c>
      <c r="Y423" s="3">
        <f t="shared" si="87"/>
        <v>5.0683640074890818E-2</v>
      </c>
      <c r="Z423" s="1">
        <f t="shared" si="77"/>
        <v>0.14590080885076798</v>
      </c>
      <c r="AA423" s="8">
        <f t="shared" si="83"/>
        <v>34.249999999999879</v>
      </c>
      <c r="AB423" s="1">
        <v>34.33</v>
      </c>
      <c r="AC423">
        <v>9.5048192749999996E-3</v>
      </c>
      <c r="AD423" s="8">
        <f t="shared" si="78"/>
        <v>3.8671702790004683</v>
      </c>
      <c r="AE423" s="3">
        <f t="shared" si="79"/>
        <v>4.0686415670964649E-2</v>
      </c>
      <c r="AF423" s="11">
        <f t="shared" si="80"/>
        <v>34.249999999999879</v>
      </c>
      <c r="AG423" s="1">
        <f t="shared" si="81"/>
        <v>0.14590080885076798</v>
      </c>
    </row>
    <row r="424" spans="2:33" ht="15" x14ac:dyDescent="0.25">
      <c r="B424" s="1">
        <v>413</v>
      </c>
      <c r="C424" s="1">
        <v>0.73069639931935648</v>
      </c>
      <c r="D424" s="1">
        <v>8.1353726000650823</v>
      </c>
      <c r="E424" s="1">
        <v>3.7112636852848394E-2</v>
      </c>
      <c r="G424" s="1">
        <v>0.73069639931935648</v>
      </c>
      <c r="H424" s="1">
        <v>8.1353726000650823</v>
      </c>
      <c r="I424" s="1">
        <v>3.7112636852848394E-2</v>
      </c>
      <c r="K424" s="1">
        <v>1.0001251023356204</v>
      </c>
      <c r="L424" s="1">
        <v>2.7005115995148672</v>
      </c>
      <c r="M424" s="1">
        <v>0.33977422367700144</v>
      </c>
      <c r="O424" s="1">
        <v>9.1164327722364734E-3</v>
      </c>
      <c r="P424" s="1">
        <v>0.73069639931935648</v>
      </c>
      <c r="R424" s="1">
        <v>0.17013183473322629</v>
      </c>
      <c r="S424" s="2">
        <f t="shared" si="84"/>
        <v>0.85709785283900231</v>
      </c>
      <c r="T424" s="4">
        <f t="shared" si="85"/>
        <v>0.73461672934122801</v>
      </c>
      <c r="U424" s="1">
        <f t="shared" si="76"/>
        <v>0.54632218752719997</v>
      </c>
      <c r="V424" s="6">
        <f>2*sigma/alpha*corel*(B424/12-1/alpha*(1-EXP(-alpha*Output!B424/12)))</f>
        <v>1.9658912941130193</v>
      </c>
      <c r="W424" s="5">
        <f t="shared" si="86"/>
        <v>-0.18829454181402805</v>
      </c>
      <c r="X424" s="1">
        <f t="shared" si="82"/>
        <v>29.78661050333389</v>
      </c>
      <c r="Y424" s="3">
        <f t="shared" si="87"/>
        <v>5.0728617104247177E-2</v>
      </c>
      <c r="Z424" s="1">
        <f t="shared" si="77"/>
        <v>0.14609858318927879</v>
      </c>
      <c r="AA424" s="8">
        <f t="shared" si="83"/>
        <v>34.333333333333215</v>
      </c>
      <c r="AB424" s="1">
        <v>34.42</v>
      </c>
      <c r="AC424">
        <v>9.5042526360000004E-3</v>
      </c>
      <c r="AD424" s="8">
        <f t="shared" si="78"/>
        <v>3.8781986376352702</v>
      </c>
      <c r="AE424" s="3">
        <f t="shared" si="79"/>
        <v>4.0804877418193976E-2</v>
      </c>
      <c r="AF424" s="11">
        <f t="shared" si="80"/>
        <v>34.333333333333215</v>
      </c>
      <c r="AG424" s="1">
        <f t="shared" si="81"/>
        <v>0.14609858318927879</v>
      </c>
    </row>
    <row r="425" spans="2:33" ht="15" x14ac:dyDescent="0.25">
      <c r="B425" s="1">
        <v>414</v>
      </c>
      <c r="C425" s="1">
        <v>0.73018218120453682</v>
      </c>
      <c r="D425" s="1">
        <v>8.2007544694111854</v>
      </c>
      <c r="E425" s="1">
        <v>3.6655547817162126E-2</v>
      </c>
      <c r="G425" s="1">
        <v>0.73018218120453682</v>
      </c>
      <c r="H425" s="1">
        <v>8.2007544694111854</v>
      </c>
      <c r="I425" s="1">
        <v>3.6655547817162126E-2</v>
      </c>
      <c r="K425" s="1">
        <v>0.9999791801536092</v>
      </c>
      <c r="L425" s="1">
        <v>2.7120304457824429</v>
      </c>
      <c r="M425" s="1">
        <v>0.33825681871513125</v>
      </c>
      <c r="O425" s="1">
        <v>9.1148177588855905E-3</v>
      </c>
      <c r="P425" s="1">
        <v>0.73018218120453682</v>
      </c>
      <c r="R425" s="1">
        <v>0.17039500063323629</v>
      </c>
      <c r="S425" s="2">
        <f t="shared" si="84"/>
        <v>0.85893115669941023</v>
      </c>
      <c r="T425" s="4">
        <f t="shared" si="85"/>
        <v>0.73776273194898678</v>
      </c>
      <c r="U425" s="1">
        <f t="shared" si="76"/>
        <v>0.54923628428077009</v>
      </c>
      <c r="V425" s="6">
        <f>2*sigma/alpha*corel*(B425/12-1/alpha*(1-EXP(-alpha*Output!B425/12)))</f>
        <v>1.9736829783117393</v>
      </c>
      <c r="W425" s="5">
        <f t="shared" si="86"/>
        <v>-0.18852644766821669</v>
      </c>
      <c r="X425" s="1">
        <f t="shared" si="82"/>
        <v>29.912074277091399</v>
      </c>
      <c r="Y425" s="3">
        <f t="shared" si="87"/>
        <v>5.065956845433247E-2</v>
      </c>
      <c r="Z425" s="1">
        <f t="shared" si="77"/>
        <v>0.1462341513225078</v>
      </c>
      <c r="AA425" s="8">
        <f t="shared" si="83"/>
        <v>34.416666666666551</v>
      </c>
      <c r="AB425" s="1">
        <v>34.5</v>
      </c>
      <c r="AC425">
        <v>9.5036887410000007E-3</v>
      </c>
      <c r="AD425" s="8">
        <f t="shared" si="78"/>
        <v>3.8887098211441011</v>
      </c>
      <c r="AE425" s="3">
        <f t="shared" si="79"/>
        <v>4.0917899640039362E-2</v>
      </c>
      <c r="AF425" s="11">
        <f t="shared" si="80"/>
        <v>34.416666666666551</v>
      </c>
      <c r="AG425" s="1">
        <f t="shared" si="81"/>
        <v>0.1462341513225078</v>
      </c>
    </row>
    <row r="426" spans="2:33" ht="15" x14ac:dyDescent="0.25">
      <c r="B426" s="1">
        <v>415</v>
      </c>
      <c r="C426" s="1">
        <v>0.7296661402174619</v>
      </c>
      <c r="D426" s="1">
        <v>8.2658290626549835</v>
      </c>
      <c r="E426" s="1">
        <v>3.6203026573021505E-2</v>
      </c>
      <c r="G426" s="1">
        <v>0.7296661402174619</v>
      </c>
      <c r="H426" s="1">
        <v>8.2658290626549835</v>
      </c>
      <c r="I426" s="1">
        <v>3.6203026573021505E-2</v>
      </c>
      <c r="K426" s="1">
        <v>0.9999882155216766</v>
      </c>
      <c r="L426" s="1">
        <v>2.726432612824472</v>
      </c>
      <c r="M426" s="1">
        <v>0.33640020067515924</v>
      </c>
      <c r="O426" s="1">
        <v>9.113297107095528E-3</v>
      </c>
      <c r="P426" s="1">
        <v>0.7296661402174619</v>
      </c>
      <c r="R426" s="1">
        <v>0.17069159545657681</v>
      </c>
      <c r="S426" s="2">
        <f t="shared" si="84"/>
        <v>0.860884848142764</v>
      </c>
      <c r="T426" s="4">
        <f t="shared" si="85"/>
        <v>0.74112272176178984</v>
      </c>
      <c r="U426" s="1">
        <f t="shared" si="76"/>
        <v>0.55215691876986872</v>
      </c>
      <c r="V426" s="6">
        <f>2*sigma/alpha*corel*(B426/12-1/alpha*(1-EXP(-alpha*Output!B426/12)))</f>
        <v>1.9814833978849733</v>
      </c>
      <c r="W426" s="5">
        <f t="shared" si="86"/>
        <v>-0.18896580299192112</v>
      </c>
      <c r="X426" s="1">
        <f t="shared" si="82"/>
        <v>30.066545869976203</v>
      </c>
      <c r="Y426" s="3">
        <f t="shared" si="87"/>
        <v>5.0628630233515326E-2</v>
      </c>
      <c r="Z426" s="1">
        <f t="shared" si="77"/>
        <v>0.14639007686711619</v>
      </c>
      <c r="AA426" s="8">
        <f t="shared" si="83"/>
        <v>34.499999999999886</v>
      </c>
      <c r="AB426" s="1">
        <v>34.58</v>
      </c>
      <c r="AC426">
        <v>9.5031275700000004E-3</v>
      </c>
      <c r="AD426" s="8">
        <f t="shared" si="78"/>
        <v>3.8983046290447243</v>
      </c>
      <c r="AE426" s="3">
        <f t="shared" si="79"/>
        <v>4.1021280629243664E-2</v>
      </c>
      <c r="AF426" s="11">
        <f t="shared" si="80"/>
        <v>34.499999999999886</v>
      </c>
      <c r="AG426" s="1">
        <f t="shared" si="81"/>
        <v>0.14639007686711619</v>
      </c>
    </row>
    <row r="427" spans="2:33" ht="15" x14ac:dyDescent="0.25">
      <c r="B427" s="1">
        <v>416</v>
      </c>
      <c r="C427" s="1">
        <v>0.72914989531440755</v>
      </c>
      <c r="D427" s="1">
        <v>8.3312505207031577</v>
      </c>
      <c r="E427" s="1">
        <v>3.5760263195537122E-2</v>
      </c>
      <c r="G427" s="1">
        <v>0.72914989531440755</v>
      </c>
      <c r="H427" s="1">
        <v>8.3312505207031577</v>
      </c>
      <c r="I427" s="1">
        <v>3.5760263195537122E-2</v>
      </c>
      <c r="K427" s="1">
        <v>1.0001830511104604</v>
      </c>
      <c r="L427" s="1">
        <v>2.7988555029191953</v>
      </c>
      <c r="M427" s="1">
        <v>0.32762518930978096</v>
      </c>
      <c r="O427" s="1">
        <v>9.1118062613846345E-3</v>
      </c>
      <c r="P427" s="1">
        <v>0.72914989531440755</v>
      </c>
      <c r="R427" s="1">
        <v>0.17095697666606577</v>
      </c>
      <c r="S427" s="2">
        <f t="shared" si="84"/>
        <v>0.86273358079441231</v>
      </c>
      <c r="T427" s="4">
        <f t="shared" si="85"/>
        <v>0.74430923143034877</v>
      </c>
      <c r="U427" s="1">
        <f t="shared" si="76"/>
        <v>0.55508407652725511</v>
      </c>
      <c r="V427" s="6">
        <f>2*sigma/alpha*corel*(B427/12-1/alpha*(1-EXP(-alpha*Output!B427/12)))</f>
        <v>1.9892925237632815</v>
      </c>
      <c r="W427" s="5">
        <f t="shared" si="86"/>
        <v>-0.18922515490309366</v>
      </c>
      <c r="X427" s="1">
        <f t="shared" si="82"/>
        <v>30.196506224996135</v>
      </c>
      <c r="Y427" s="3">
        <f t="shared" si="87"/>
        <v>5.0565032508582075E-2</v>
      </c>
      <c r="Z427" s="1">
        <f t="shared" si="77"/>
        <v>0.14652801301782664</v>
      </c>
      <c r="AA427" s="8">
        <f t="shared" si="83"/>
        <v>34.583333333333222</v>
      </c>
      <c r="AB427" s="1">
        <v>34.67</v>
      </c>
      <c r="AC427">
        <v>9.5025691040000002E-3</v>
      </c>
      <c r="AD427" s="8">
        <f t="shared" si="78"/>
        <v>3.9076284261536571</v>
      </c>
      <c r="AE427" s="3">
        <f t="shared" si="79"/>
        <v>4.112181014825543E-2</v>
      </c>
      <c r="AF427" s="11">
        <f t="shared" si="80"/>
        <v>34.583333333333222</v>
      </c>
      <c r="AG427" s="1">
        <f t="shared" si="81"/>
        <v>0.14652801301782664</v>
      </c>
    </row>
    <row r="428" spans="2:33" ht="15" x14ac:dyDescent="0.25">
      <c r="B428" s="1">
        <v>417</v>
      </c>
      <c r="C428" s="1">
        <v>0.72863272809912483</v>
      </c>
      <c r="D428" s="1">
        <v>8.3956007052304589</v>
      </c>
      <c r="E428" s="1">
        <v>3.5328198968416588E-2</v>
      </c>
      <c r="G428" s="1">
        <v>0.72863272809912483</v>
      </c>
      <c r="H428" s="1">
        <v>8.3956007052304589</v>
      </c>
      <c r="I428" s="1">
        <v>3.5328198968416588E-2</v>
      </c>
      <c r="K428" s="1">
        <v>1.0002943486847546</v>
      </c>
      <c r="L428" s="1">
        <v>2.756840108563809</v>
      </c>
      <c r="M428" s="1">
        <v>0.33255104316934042</v>
      </c>
      <c r="O428" s="1">
        <v>9.1103734174871106E-3</v>
      </c>
      <c r="P428" s="1">
        <v>0.72863272809912483</v>
      </c>
      <c r="R428" s="1">
        <v>0.17138244022262542</v>
      </c>
      <c r="S428" s="2">
        <f t="shared" si="84"/>
        <v>0.86513796064271076</v>
      </c>
      <c r="T428" s="4">
        <f t="shared" si="85"/>
        <v>0.74846369094502851</v>
      </c>
      <c r="U428" s="1">
        <f t="shared" si="76"/>
        <v>0.55801774308540208</v>
      </c>
      <c r="V428" s="6">
        <f>2*sigma/alpha*corel*(B428/12-1/alpha*(1-EXP(-alpha*Output!B428/12)))</f>
        <v>1.9971103269739632</v>
      </c>
      <c r="W428" s="5">
        <f t="shared" si="86"/>
        <v>-0.19044594785962643</v>
      </c>
      <c r="X428" s="1">
        <f t="shared" si="82"/>
        <v>30.460436410594124</v>
      </c>
      <c r="Y428" s="3">
        <f t="shared" si="87"/>
        <v>5.0676073384115131E-2</v>
      </c>
      <c r="Z428" s="1">
        <f t="shared" si="77"/>
        <v>0.14676008817261074</v>
      </c>
      <c r="AA428" s="8">
        <f t="shared" si="83"/>
        <v>34.666666666666558</v>
      </c>
      <c r="AB428" s="1">
        <v>34.75</v>
      </c>
      <c r="AC428">
        <v>9.5020133219999997E-3</v>
      </c>
      <c r="AD428" s="8">
        <f t="shared" si="78"/>
        <v>3.916399045128891</v>
      </c>
      <c r="AE428" s="3">
        <f t="shared" si="79"/>
        <v>4.1216518146330705E-2</v>
      </c>
      <c r="AF428" s="11">
        <f t="shared" si="80"/>
        <v>34.666666666666558</v>
      </c>
      <c r="AG428" s="1">
        <f t="shared" si="81"/>
        <v>0.14676008817261074</v>
      </c>
    </row>
    <row r="429" spans="2:33" ht="15" x14ac:dyDescent="0.25">
      <c r="B429" s="1">
        <v>418</v>
      </c>
      <c r="C429" s="1">
        <v>0.72811682348282292</v>
      </c>
      <c r="D429" s="1">
        <v>8.4595211911005848</v>
      </c>
      <c r="E429" s="1">
        <v>3.4904013961605584E-2</v>
      </c>
      <c r="G429" s="1">
        <v>0.72811682348282292</v>
      </c>
      <c r="H429" s="1">
        <v>8.4595211911005848</v>
      </c>
      <c r="I429" s="1">
        <v>3.4904013961605584E-2</v>
      </c>
      <c r="K429" s="1">
        <v>1.0002037122460272</v>
      </c>
      <c r="L429" s="1">
        <v>2.7890635563003046</v>
      </c>
      <c r="M429" s="1">
        <v>0.32864504432890657</v>
      </c>
      <c r="O429" s="1">
        <v>9.1089121103142025E-3</v>
      </c>
      <c r="P429" s="1">
        <v>0.72811682348282292</v>
      </c>
      <c r="R429" s="1">
        <v>0.17159759621832485</v>
      </c>
      <c r="S429" s="2">
        <f t="shared" si="84"/>
        <v>0.86681730010267866</v>
      </c>
      <c r="T429" s="4">
        <f t="shared" si="85"/>
        <v>0.75137223175729728</v>
      </c>
      <c r="U429" s="1">
        <f t="shared" si="76"/>
        <v>0.56095790397681622</v>
      </c>
      <c r="V429" s="6">
        <f>2*sigma/alpha*corel*(B429/12-1/alpha*(1-EXP(-alpha*Output!B429/12)))</f>
        <v>2.0049367786407304</v>
      </c>
      <c r="W429" s="5">
        <f t="shared" si="86"/>
        <v>-0.19041432778048106</v>
      </c>
      <c r="X429" s="1">
        <f t="shared" si="82"/>
        <v>30.550834490426631</v>
      </c>
      <c r="Y429" s="3">
        <f t="shared" si="87"/>
        <v>5.0559963909762383E-2</v>
      </c>
      <c r="Z429" s="1">
        <f t="shared" si="77"/>
        <v>0.14686897116680925</v>
      </c>
      <c r="AA429" s="8">
        <f t="shared" si="83"/>
        <v>34.749999999999893</v>
      </c>
      <c r="AB429" s="1">
        <v>34.83</v>
      </c>
      <c r="AC429">
        <v>9.5014602070000002E-3</v>
      </c>
      <c r="AD429" s="8">
        <f t="shared" si="78"/>
        <v>3.9254809668579775</v>
      </c>
      <c r="AE429" s="3">
        <f t="shared" si="79"/>
        <v>4.1314501995871777E-2</v>
      </c>
      <c r="AF429" s="11">
        <f t="shared" si="80"/>
        <v>34.749999999999893</v>
      </c>
      <c r="AG429" s="1">
        <f t="shared" si="81"/>
        <v>0.14686897116680925</v>
      </c>
    </row>
    <row r="430" spans="2:33" ht="15" x14ac:dyDescent="0.25">
      <c r="B430" s="1">
        <v>419</v>
      </c>
      <c r="C430" s="1">
        <v>0.72760326726351809</v>
      </c>
      <c r="D430" s="1">
        <v>8.5236958745311977</v>
      </c>
      <c r="E430" s="1">
        <v>3.4486326171672931E-2</v>
      </c>
      <c r="G430" s="1">
        <v>0.72760326726351809</v>
      </c>
      <c r="H430" s="1">
        <v>8.5236958745311977</v>
      </c>
      <c r="I430" s="1">
        <v>3.4486326171672931E-2</v>
      </c>
      <c r="K430" s="1">
        <v>1.0002747439569297</v>
      </c>
      <c r="L430" s="1">
        <v>2.7847550055213151</v>
      </c>
      <c r="M430" s="1">
        <v>0.32908344892356844</v>
      </c>
      <c r="O430" s="1">
        <v>9.1073797197601322E-3</v>
      </c>
      <c r="P430" s="1">
        <v>0.72760326726351809</v>
      </c>
      <c r="R430" s="1">
        <v>0.17204547268805703</v>
      </c>
      <c r="S430" s="2">
        <f t="shared" si="84"/>
        <v>0.86929777196339497</v>
      </c>
      <c r="T430" s="4">
        <f t="shared" si="85"/>
        <v>0.75567861634052269</v>
      </c>
      <c r="U430" s="1">
        <f t="shared" si="76"/>
        <v>0.56390454473436025</v>
      </c>
      <c r="V430" s="6">
        <f>2*sigma/alpha*corel*(B430/12-1/alpha*(1-EXP(-alpha*Output!B430/12)))</f>
        <v>2.012771849983388</v>
      </c>
      <c r="W430" s="5">
        <f t="shared" si="86"/>
        <v>-0.19177407160616244</v>
      </c>
      <c r="X430" s="1">
        <f t="shared" si="82"/>
        <v>30.835695854412904</v>
      </c>
      <c r="Y430" s="3">
        <f t="shared" si="87"/>
        <v>5.0695245282358636E-2</v>
      </c>
      <c r="Z430" s="1">
        <f t="shared" si="77"/>
        <v>0.14711338146941566</v>
      </c>
      <c r="AA430" s="8">
        <f t="shared" si="83"/>
        <v>34.833333333333229</v>
      </c>
      <c r="AB430" s="1">
        <v>34.92</v>
      </c>
      <c r="AC430">
        <v>9.5009097390000002E-3</v>
      </c>
      <c r="AD430" s="8">
        <f t="shared" si="78"/>
        <v>3.9353001923986795</v>
      </c>
      <c r="AE430" s="3">
        <f t="shared" si="79"/>
        <v>4.1420246065961279E-2</v>
      </c>
      <c r="AF430" s="11">
        <f t="shared" si="80"/>
        <v>34.833333333333229</v>
      </c>
      <c r="AG430" s="1">
        <f t="shared" si="81"/>
        <v>0.14711338146941566</v>
      </c>
    </row>
    <row r="431" spans="2:33" ht="15" x14ac:dyDescent="0.25">
      <c r="B431" s="1">
        <v>420</v>
      </c>
      <c r="C431" s="1">
        <v>0.72708978899355592</v>
      </c>
      <c r="D431" s="1">
        <v>8.5910652920962196</v>
      </c>
      <c r="E431" s="1">
        <v>3.406110562348854E-2</v>
      </c>
      <c r="G431" s="1">
        <v>0.72708978899355592</v>
      </c>
      <c r="H431" s="1">
        <v>8.5910652920962196</v>
      </c>
      <c r="I431" s="1">
        <v>3.406110562348854E-2</v>
      </c>
      <c r="K431" s="1">
        <v>1.0002289369800104</v>
      </c>
      <c r="L431" s="1">
        <v>2.7283774323063592</v>
      </c>
      <c r="M431" s="1">
        <v>0.3358140474753239</v>
      </c>
      <c r="O431" s="1">
        <v>9.1058657969691689E-3</v>
      </c>
      <c r="P431" s="1">
        <v>0.72708978899355592</v>
      </c>
      <c r="R431" s="1">
        <v>0.17233998922746466</v>
      </c>
      <c r="S431" s="2">
        <f t="shared" si="84"/>
        <v>0.87125114026750916</v>
      </c>
      <c r="T431" s="4">
        <f t="shared" si="85"/>
        <v>0.75907854941743491</v>
      </c>
      <c r="U431" s="1">
        <f t="shared" si="76"/>
        <v>0.56685765089156881</v>
      </c>
      <c r="V431" s="6">
        <f>2*sigma/alpha*corel*(B431/12-1/alpha*(1-EXP(-alpha*Output!B431/12)))</f>
        <v>2.0206155123175202</v>
      </c>
      <c r="W431" s="5">
        <f t="shared" si="86"/>
        <v>-0.1922208985258661</v>
      </c>
      <c r="X431" s="1">
        <f t="shared" si="82"/>
        <v>30.99381284223945</v>
      </c>
      <c r="Y431" s="3">
        <f t="shared" si="87"/>
        <v>5.0665617137385502E-2</v>
      </c>
      <c r="Z431" s="1">
        <f t="shared" si="77"/>
        <v>0.1472683216268314</v>
      </c>
      <c r="AA431" s="8">
        <f t="shared" si="83"/>
        <v>34.916666666666565</v>
      </c>
      <c r="AB431" s="1">
        <v>35</v>
      </c>
      <c r="AC431">
        <v>9.500361899E-3</v>
      </c>
      <c r="AD431" s="8">
        <f t="shared" si="78"/>
        <v>3.9449610203083108</v>
      </c>
      <c r="AE431" s="3">
        <f t="shared" si="79"/>
        <v>4.1524323623119599E-2</v>
      </c>
      <c r="AF431" s="11">
        <f t="shared" si="80"/>
        <v>34.916666666666565</v>
      </c>
      <c r="AG431" s="1">
        <f t="shared" si="81"/>
        <v>0.1472683216268314</v>
      </c>
    </row>
    <row r="432" spans="2:33" ht="15" x14ac:dyDescent="0.25">
      <c r="B432" s="1">
        <v>421</v>
      </c>
      <c r="C432" s="1">
        <v>0.72657910374533308</v>
      </c>
      <c r="D432" s="1">
        <v>8.6580086580086579</v>
      </c>
      <c r="E432" s="1">
        <v>3.3648507688684007E-2</v>
      </c>
      <c r="G432" s="1">
        <v>0.72657910374533308</v>
      </c>
      <c r="H432" s="1">
        <v>8.6580086580086579</v>
      </c>
      <c r="I432" s="1">
        <v>3.3648507688684007E-2</v>
      </c>
      <c r="K432" s="1">
        <v>1.0002381425952991</v>
      </c>
      <c r="L432" s="1">
        <v>2.683934871505345</v>
      </c>
      <c r="M432" s="1">
        <v>0.34129875269360233</v>
      </c>
      <c r="O432" s="1">
        <v>9.1042637119462186E-3</v>
      </c>
      <c r="P432" s="1">
        <v>0.72657910374533308</v>
      </c>
      <c r="R432" s="1">
        <v>0.17272190856451444</v>
      </c>
      <c r="S432" s="2">
        <f t="shared" si="84"/>
        <v>0.87350390955165969</v>
      </c>
      <c r="T432" s="4">
        <f t="shared" si="85"/>
        <v>0.76300908000203405</v>
      </c>
      <c r="U432" s="1">
        <f t="shared" si="76"/>
        <v>0.56981720798295799</v>
      </c>
      <c r="V432" s="6">
        <f>2*sigma/alpha*corel*(B432/12-1/alpha*(1-EXP(-alpha*Output!B432/12)))</f>
        <v>2.0284677370541617</v>
      </c>
      <c r="W432" s="5">
        <f t="shared" si="86"/>
        <v>-0.19319187201907606</v>
      </c>
      <c r="X432" s="1">
        <f t="shared" si="82"/>
        <v>31.225940733613307</v>
      </c>
      <c r="Y432" s="3">
        <f t="shared" si="87"/>
        <v>5.0729926833356156E-2</v>
      </c>
      <c r="Z432" s="1">
        <f t="shared" si="77"/>
        <v>0.14747364964537032</v>
      </c>
      <c r="AA432" s="8">
        <f t="shared" si="83"/>
        <v>34.999999999999901</v>
      </c>
      <c r="AB432" s="1">
        <v>35.08</v>
      </c>
      <c r="AC432">
        <v>9.4998166680000003E-3</v>
      </c>
      <c r="AD432" s="8">
        <f t="shared" si="78"/>
        <v>3.9555295605378169</v>
      </c>
      <c r="AE432" s="3">
        <f t="shared" si="79"/>
        <v>4.1637956802492444E-2</v>
      </c>
      <c r="AF432" s="11">
        <f t="shared" si="80"/>
        <v>34.999999999999901</v>
      </c>
      <c r="AG432" s="1">
        <f t="shared" si="81"/>
        <v>0.14747364964537032</v>
      </c>
    </row>
    <row r="433" spans="2:33" ht="15" x14ac:dyDescent="0.25">
      <c r="B433" s="1">
        <v>422</v>
      </c>
      <c r="C433" s="1">
        <v>0.7260686935010261</v>
      </c>
      <c r="D433" s="1">
        <v>8.728288382648163</v>
      </c>
      <c r="E433" s="1">
        <v>3.3225902913911684E-2</v>
      </c>
      <c r="G433" s="1">
        <v>0.7260686935010261</v>
      </c>
      <c r="H433" s="1">
        <v>8.728288382648163</v>
      </c>
      <c r="I433" s="1">
        <v>3.3225902913911684E-2</v>
      </c>
      <c r="K433" s="1">
        <v>1.0000992012791647</v>
      </c>
      <c r="L433" s="1">
        <v>2.7032981841826866</v>
      </c>
      <c r="M433" s="1">
        <v>0.33878789274906967</v>
      </c>
      <c r="O433" s="1">
        <v>9.1026724972331184E-3</v>
      </c>
      <c r="P433" s="1">
        <v>0.7260686935010261</v>
      </c>
      <c r="R433" s="1">
        <v>0.17298444742050331</v>
      </c>
      <c r="S433" s="2">
        <f t="shared" si="84"/>
        <v>0.87534563702714285</v>
      </c>
      <c r="T433" s="4">
        <f t="shared" si="85"/>
        <v>0.76622998426245448</v>
      </c>
      <c r="U433" s="1">
        <f t="shared" si="76"/>
        <v>0.57278320154434104</v>
      </c>
      <c r="V433" s="6">
        <f>2*sigma/alpha*corel*(B433/12-1/alpha*(1-EXP(-alpha*Output!B433/12)))</f>
        <v>2.036328495699486</v>
      </c>
      <c r="W433" s="5">
        <f t="shared" si="86"/>
        <v>-0.19344678271811344</v>
      </c>
      <c r="X433" s="1">
        <f t="shared" si="82"/>
        <v>31.358147844745691</v>
      </c>
      <c r="Y433" s="3">
        <f t="shared" si="87"/>
        <v>5.0665963945789268E-2</v>
      </c>
      <c r="Z433" s="1">
        <f t="shared" si="77"/>
        <v>0.14760938438383267</v>
      </c>
      <c r="AA433" s="8">
        <f t="shared" si="83"/>
        <v>35.083333333333236</v>
      </c>
      <c r="AB433" s="1">
        <v>35.17</v>
      </c>
      <c r="AC433">
        <v>9.4992740259999993E-3</v>
      </c>
      <c r="AD433" s="8">
        <f t="shared" si="78"/>
        <v>3.9660152876688088</v>
      </c>
      <c r="AE433" s="3">
        <f t="shared" si="79"/>
        <v>4.1750719863577174E-2</v>
      </c>
      <c r="AF433" s="11">
        <f t="shared" si="80"/>
        <v>35.083333333333236</v>
      </c>
      <c r="AG433" s="1">
        <f t="shared" si="81"/>
        <v>0.14760938438383267</v>
      </c>
    </row>
    <row r="434" spans="2:33" ht="15" x14ac:dyDescent="0.25">
      <c r="B434" s="1">
        <v>423</v>
      </c>
      <c r="C434" s="1">
        <v>0.72555908753171239</v>
      </c>
      <c r="D434" s="1">
        <v>8.8043669660151433</v>
      </c>
      <c r="E434" s="1">
        <v>3.2790110502672394E-2</v>
      </c>
      <c r="G434" s="1">
        <v>0.72555908753171239</v>
      </c>
      <c r="H434" s="1">
        <v>8.8043669660151433</v>
      </c>
      <c r="I434" s="1">
        <v>3.2790110502672394E-2</v>
      </c>
      <c r="K434" s="1">
        <v>1.0001137902730379</v>
      </c>
      <c r="L434" s="1">
        <v>2.7070706559134377</v>
      </c>
      <c r="M434" s="1">
        <v>0.33824153452484168</v>
      </c>
      <c r="O434" s="1">
        <v>9.1010713786869694E-3</v>
      </c>
      <c r="P434" s="1">
        <v>0.72555908753171239</v>
      </c>
      <c r="R434" s="1">
        <v>0.17327501700474454</v>
      </c>
      <c r="S434" s="2">
        <f t="shared" si="84"/>
        <v>0.87728502526096896</v>
      </c>
      <c r="T434" s="4">
        <f t="shared" si="85"/>
        <v>0.76962901554713892</v>
      </c>
      <c r="U434" s="1">
        <f t="shared" si="76"/>
        <v>0.57575561711313217</v>
      </c>
      <c r="V434" s="6">
        <f>2*sigma/alpha*corel*(B434/12-1/alpha*(1-EXP(-alpha*Output!B434/12)))</f>
        <v>2.0441977598544909</v>
      </c>
      <c r="W434" s="5">
        <f t="shared" si="86"/>
        <v>-0.19387339843400675</v>
      </c>
      <c r="X434" s="1">
        <f t="shared" si="82"/>
        <v>31.51489366058907</v>
      </c>
      <c r="Y434" s="3">
        <f t="shared" si="87"/>
        <v>5.0632836826225436E-2</v>
      </c>
      <c r="Z434" s="1">
        <f t="shared" si="77"/>
        <v>0.14776145386928294</v>
      </c>
      <c r="AA434" s="8">
        <f t="shared" si="83"/>
        <v>35.166666666666572</v>
      </c>
      <c r="AB434" s="1">
        <v>35.25</v>
      </c>
      <c r="AC434">
        <v>9.4987339570000006E-3</v>
      </c>
      <c r="AD434" s="8">
        <f t="shared" si="78"/>
        <v>3.9766257831303116</v>
      </c>
      <c r="AE434" s="3">
        <f t="shared" si="79"/>
        <v>4.1864797994471417E-2</v>
      </c>
      <c r="AF434" s="11">
        <f t="shared" si="80"/>
        <v>35.166666666666572</v>
      </c>
      <c r="AG434" s="1">
        <f t="shared" si="81"/>
        <v>0.14776145386928294</v>
      </c>
    </row>
    <row r="435" spans="2:33" ht="15" x14ac:dyDescent="0.25">
      <c r="B435" s="1">
        <v>424</v>
      </c>
      <c r="C435" s="1">
        <v>0.72505231895508027</v>
      </c>
      <c r="D435" s="1">
        <v>8.8833614639779697</v>
      </c>
      <c r="E435" s="1">
        <v>3.2354083085285361E-2</v>
      </c>
      <c r="G435" s="1">
        <v>0.72505231895508027</v>
      </c>
      <c r="H435" s="1">
        <v>8.8833614639779697</v>
      </c>
      <c r="I435" s="1">
        <v>3.2354083085285361E-2</v>
      </c>
      <c r="K435" s="1">
        <v>1.0000793988736809</v>
      </c>
      <c r="L435" s="1">
        <v>2.730724792516432</v>
      </c>
      <c r="M435" s="1">
        <v>0.335245161317413</v>
      </c>
      <c r="O435" s="1">
        <v>9.0993810185431463E-3</v>
      </c>
      <c r="P435" s="1">
        <v>0.72505231895508027</v>
      </c>
      <c r="R435" s="1">
        <v>0.17372111098664175</v>
      </c>
      <c r="S435" s="2">
        <f t="shared" si="84"/>
        <v>0.87976055005849774</v>
      </c>
      <c r="T435" s="4">
        <f t="shared" si="85"/>
        <v>0.77397862543923046</v>
      </c>
      <c r="U435" s="1">
        <f t="shared" si="76"/>
        <v>0.57873444022865028</v>
      </c>
      <c r="V435" s="6">
        <f>2*sigma/alpha*corel*(B435/12-1/alpha*(1-EXP(-alpha*Output!B435/12)))</f>
        <v>2.0520755012146767</v>
      </c>
      <c r="W435" s="5">
        <f t="shared" si="86"/>
        <v>-0.19524418521058018</v>
      </c>
      <c r="X435" s="1">
        <f t="shared" si="82"/>
        <v>31.805525372447466</v>
      </c>
      <c r="Y435" s="3">
        <f t="shared" si="87"/>
        <v>5.0767404642028106E-2</v>
      </c>
      <c r="Z435" s="1">
        <f t="shared" si="77"/>
        <v>0.14800356562245165</v>
      </c>
      <c r="AA435" s="8">
        <f t="shared" si="83"/>
        <v>35.249999999999908</v>
      </c>
      <c r="AB435" s="1">
        <v>35.33</v>
      </c>
      <c r="AC435">
        <v>9.4981964419999995E-3</v>
      </c>
      <c r="AD435" s="8">
        <f t="shared" si="78"/>
        <v>3.9881542345685319</v>
      </c>
      <c r="AE435" s="3">
        <f t="shared" si="79"/>
        <v>4.1988542339820897E-2</v>
      </c>
      <c r="AF435" s="11">
        <f t="shared" si="80"/>
        <v>35.249999999999908</v>
      </c>
      <c r="AG435" s="1">
        <f t="shared" si="81"/>
        <v>0.14800356562245165</v>
      </c>
    </row>
    <row r="436" spans="2:33" ht="15" x14ac:dyDescent="0.25">
      <c r="B436" s="1">
        <v>425</v>
      </c>
      <c r="C436" s="1">
        <v>0.72455000093435107</v>
      </c>
      <c r="D436" s="1">
        <v>8.963786303334528</v>
      </c>
      <c r="E436" s="1">
        <v>3.1918289179699973E-2</v>
      </c>
      <c r="G436" s="1">
        <v>0.72455000093435107</v>
      </c>
      <c r="H436" s="1">
        <v>8.963786303334528</v>
      </c>
      <c r="I436" s="1">
        <v>3.1918289179699973E-2</v>
      </c>
      <c r="K436" s="1">
        <v>0.9998271273169852</v>
      </c>
      <c r="L436" s="1">
        <v>2.745762761575461</v>
      </c>
      <c r="M436" s="1">
        <v>0.33334175872230531</v>
      </c>
      <c r="O436" s="1">
        <v>9.0975389703711069E-3</v>
      </c>
      <c r="P436" s="1">
        <v>0.72455000093435107</v>
      </c>
      <c r="R436" s="1">
        <v>0.17398978717700886</v>
      </c>
      <c r="S436" s="2">
        <f t="shared" si="84"/>
        <v>0.88161537328861961</v>
      </c>
      <c r="T436" s="4">
        <f t="shared" si="85"/>
        <v>0.77724566641883208</v>
      </c>
      <c r="U436" s="1">
        <f t="shared" si="76"/>
        <v>0.58171965643242052</v>
      </c>
      <c r="V436" s="6">
        <f>2*sigma/alpha*corel*(B436/12-1/alpha*(1-EXP(-alpha*Output!B436/12)))</f>
        <v>2.0599616915697352</v>
      </c>
      <c r="W436" s="5">
        <f t="shared" si="86"/>
        <v>-0.19552600998641156</v>
      </c>
      <c r="X436" s="1">
        <f t="shared" si="82"/>
        <v>31.942960252143148</v>
      </c>
      <c r="Y436" s="3">
        <f t="shared" si="87"/>
        <v>5.0708451673126514E-2</v>
      </c>
      <c r="Z436" s="1">
        <f t="shared" si="77"/>
        <v>0.14814101387867681</v>
      </c>
      <c r="AA436" s="8">
        <f t="shared" si="83"/>
        <v>35.333333333333243</v>
      </c>
      <c r="AB436" s="1">
        <v>35.42</v>
      </c>
      <c r="AC436">
        <v>9.4976614630000004E-3</v>
      </c>
      <c r="AD436" s="8">
        <f t="shared" si="78"/>
        <v>4.0012249262889359</v>
      </c>
      <c r="AE436" s="3">
        <f t="shared" si="79"/>
        <v>4.2128527552561135E-2</v>
      </c>
      <c r="AF436" s="11">
        <f t="shared" si="80"/>
        <v>35.333333333333243</v>
      </c>
      <c r="AG436" s="1">
        <f t="shared" si="81"/>
        <v>0.14814101387867681</v>
      </c>
    </row>
    <row r="437" spans="2:33" ht="15" x14ac:dyDescent="0.25">
      <c r="B437" s="1">
        <v>426</v>
      </c>
      <c r="C437" s="1">
        <v>0.72405035227039516</v>
      </c>
      <c r="D437" s="1">
        <v>9.0456806874717319</v>
      </c>
      <c r="E437" s="1">
        <v>3.1487137504329479E-2</v>
      </c>
      <c r="G437" s="1">
        <v>0.72405035227039516</v>
      </c>
      <c r="H437" s="1">
        <v>9.0456806874717319</v>
      </c>
      <c r="I437" s="1">
        <v>3.1487137504329479E-2</v>
      </c>
      <c r="K437" s="1">
        <v>0.99983819623018988</v>
      </c>
      <c r="L437" s="1">
        <v>2.799108400175343</v>
      </c>
      <c r="M437" s="1">
        <v>0.32691500237704552</v>
      </c>
      <c r="O437" s="1">
        <v>9.095615258589422E-3</v>
      </c>
      <c r="P437" s="1">
        <v>0.72405035227039516</v>
      </c>
      <c r="R437" s="1">
        <v>0.17431466438153628</v>
      </c>
      <c r="S437" s="2">
        <f t="shared" si="84"/>
        <v>0.88366245946132027</v>
      </c>
      <c r="T437" s="4">
        <f t="shared" si="85"/>
        <v>0.78085934226122944</v>
      </c>
      <c r="U437" s="1">
        <f t="shared" si="76"/>
        <v>0.58471125126847268</v>
      </c>
      <c r="V437" s="6">
        <f>2*sigma/alpha*corel*(B437/12-1/alpha*(1-EXP(-alpha*Output!B437/12)))</f>
        <v>2.0678563028032388</v>
      </c>
      <c r="W437" s="5">
        <f t="shared" si="86"/>
        <v>-0.19614809099275676</v>
      </c>
      <c r="X437" s="1">
        <f t="shared" si="82"/>
        <v>32.129058610014539</v>
      </c>
      <c r="Y437" s="3">
        <f t="shared" si="87"/>
        <v>5.0709771063286946E-2</v>
      </c>
      <c r="Z437" s="1">
        <f t="shared" si="77"/>
        <v>0.14831061260130873</v>
      </c>
      <c r="AA437" s="8">
        <f t="shared" si="83"/>
        <v>35.416666666666579</v>
      </c>
      <c r="AB437" s="1">
        <v>35.5</v>
      </c>
      <c r="AC437">
        <v>9.4971290020000008E-3</v>
      </c>
      <c r="AD437" s="8">
        <f t="shared" si="78"/>
        <v>4.0151374341057879</v>
      </c>
      <c r="AE437" s="3">
        <f t="shared" si="79"/>
        <v>4.2277381230266954E-2</v>
      </c>
      <c r="AF437" s="11">
        <f t="shared" si="80"/>
        <v>35.416666666666579</v>
      </c>
      <c r="AG437" s="1">
        <f t="shared" si="81"/>
        <v>0.14831061260130873</v>
      </c>
    </row>
    <row r="438" spans="2:33" ht="15" x14ac:dyDescent="0.25">
      <c r="B438" s="1">
        <v>427</v>
      </c>
      <c r="C438" s="1">
        <v>0.72355005574843823</v>
      </c>
      <c r="D438" s="1">
        <v>9.1265857442730667</v>
      </c>
      <c r="E438" s="1">
        <v>3.1066513405200533E-2</v>
      </c>
      <c r="G438" s="1">
        <v>0.72355005574843823</v>
      </c>
      <c r="H438" s="1">
        <v>9.1265857442730667</v>
      </c>
      <c r="I438" s="1">
        <v>3.1066513405200533E-2</v>
      </c>
      <c r="K438" s="1">
        <v>0.99985700012053658</v>
      </c>
      <c r="L438" s="1">
        <v>2.8030064221538695</v>
      </c>
      <c r="M438" s="1">
        <v>0.32639542102544084</v>
      </c>
      <c r="O438" s="1">
        <v>9.0937391030344854E-3</v>
      </c>
      <c r="P438" s="1">
        <v>0.72355005574843823</v>
      </c>
      <c r="R438" s="1">
        <v>0.17475830348162863</v>
      </c>
      <c r="S438" s="2">
        <f t="shared" si="84"/>
        <v>0.88612575394440851</v>
      </c>
      <c r="T438" s="4">
        <f t="shared" si="85"/>
        <v>0.78521885180354645</v>
      </c>
      <c r="U438" s="1">
        <f t="shared" si="76"/>
        <v>0.58770921028363388</v>
      </c>
      <c r="V438" s="6">
        <f>2*sigma/alpha*corel*(B438/12-1/alpha*(1-EXP(-alpha*Output!B438/12)))</f>
        <v>2.0757593068923224</v>
      </c>
      <c r="W438" s="5">
        <f t="shared" si="86"/>
        <v>-0.19750964151991257</v>
      </c>
      <c r="X438" s="1">
        <f t="shared" si="82"/>
        <v>32.420982343150982</v>
      </c>
      <c r="Y438" s="3">
        <f t="shared" si="87"/>
        <v>5.0840983054967953E-2</v>
      </c>
      <c r="Z438" s="1">
        <f t="shared" si="77"/>
        <v>0.14854979074948435</v>
      </c>
      <c r="AA438" s="8">
        <f t="shared" si="83"/>
        <v>35.499999999999915</v>
      </c>
      <c r="AB438" s="1">
        <v>35.58</v>
      </c>
      <c r="AC438">
        <v>9.4965990399999995E-3</v>
      </c>
      <c r="AD438" s="8">
        <f t="shared" si="78"/>
        <v>4.028599369655141</v>
      </c>
      <c r="AE438" s="3">
        <f t="shared" si="79"/>
        <v>4.2421495871169695E-2</v>
      </c>
      <c r="AF438" s="11">
        <f t="shared" si="80"/>
        <v>35.499999999999915</v>
      </c>
      <c r="AG438" s="1">
        <f t="shared" si="81"/>
        <v>0.14854979074948435</v>
      </c>
    </row>
    <row r="439" spans="2:33" ht="15" x14ac:dyDescent="0.25">
      <c r="B439" s="1">
        <v>428</v>
      </c>
      <c r="C439" s="1">
        <v>0.72305115073385851</v>
      </c>
      <c r="D439" s="1">
        <v>9.2064076597311733</v>
      </c>
      <c r="E439" s="1">
        <v>3.0656979061283302E-2</v>
      </c>
      <c r="G439" s="1">
        <v>0.72305115073385851</v>
      </c>
      <c r="H439" s="1">
        <v>9.2064076597311733</v>
      </c>
      <c r="I439" s="1">
        <v>3.0656979061283302E-2</v>
      </c>
      <c r="K439" s="1">
        <v>0.99990261669185743</v>
      </c>
      <c r="L439" s="1">
        <v>2.8271889450058079</v>
      </c>
      <c r="M439" s="1">
        <v>0.32353476186589664</v>
      </c>
      <c r="O439" s="1">
        <v>9.0918311613897677E-3</v>
      </c>
      <c r="P439" s="1">
        <v>0.72305115073385851</v>
      </c>
      <c r="R439" s="1">
        <v>0.17502889506013325</v>
      </c>
      <c r="S439" s="2">
        <f t="shared" si="84"/>
        <v>0.88798768702077413</v>
      </c>
      <c r="T439" s="4">
        <f t="shared" si="85"/>
        <v>0.78852213230050427</v>
      </c>
      <c r="U439" s="1">
        <f t="shared" si="76"/>
        <v>0.59071351902782299</v>
      </c>
      <c r="V439" s="6">
        <f>2*sigma/alpha*corel*(B439/12-1/alpha*(1-EXP(-alpha*Output!B439/12)))</f>
        <v>2.0836706759073751</v>
      </c>
      <c r="W439" s="5">
        <f t="shared" si="86"/>
        <v>-0.19780861327268129</v>
      </c>
      <c r="X439" s="1">
        <f t="shared" si="82"/>
        <v>32.562378979205491</v>
      </c>
      <c r="Y439" s="3">
        <f t="shared" si="87"/>
        <v>5.0785161102405038E-2</v>
      </c>
      <c r="Z439" s="1">
        <f t="shared" si="77"/>
        <v>0.14868791869988585</v>
      </c>
      <c r="AA439" s="8">
        <f t="shared" si="83"/>
        <v>35.58333333333325</v>
      </c>
      <c r="AB439" s="1">
        <v>35.67</v>
      </c>
      <c r="AC439">
        <v>9.496071561E-3</v>
      </c>
      <c r="AD439" s="8">
        <f t="shared" si="78"/>
        <v>4.0424039961023217</v>
      </c>
      <c r="AE439" s="3">
        <f t="shared" si="79"/>
        <v>4.2569224232727132E-2</v>
      </c>
      <c r="AF439" s="11">
        <f t="shared" si="80"/>
        <v>35.58333333333325</v>
      </c>
      <c r="AG439" s="1">
        <f t="shared" si="81"/>
        <v>0.14868791869988585</v>
      </c>
    </row>
    <row r="440" spans="2:33" ht="15" x14ac:dyDescent="0.25">
      <c r="B440" s="1">
        <v>429</v>
      </c>
      <c r="C440" s="1">
        <v>0.72255754701797237</v>
      </c>
      <c r="D440" s="1">
        <v>9.2876381536175341</v>
      </c>
      <c r="E440" s="1">
        <v>3.0250778957558157E-2</v>
      </c>
      <c r="G440" s="1">
        <v>0.72255754701797237</v>
      </c>
      <c r="H440" s="1">
        <v>9.2876381536175341</v>
      </c>
      <c r="I440" s="1">
        <v>3.0250778957558157E-2</v>
      </c>
      <c r="K440" s="1">
        <v>0.99999002882346499</v>
      </c>
      <c r="L440" s="1">
        <v>2.7881570828482269</v>
      </c>
      <c r="M440" s="1">
        <v>0.32799481280918308</v>
      </c>
      <c r="O440" s="1">
        <v>9.0897402046312172E-3</v>
      </c>
      <c r="P440" s="1">
        <v>0.72255754701797237</v>
      </c>
      <c r="R440" s="1">
        <v>0.17549685354746711</v>
      </c>
      <c r="S440" s="2">
        <f t="shared" si="84"/>
        <v>0.89052874926060044</v>
      </c>
      <c r="T440" s="4">
        <f t="shared" si="85"/>
        <v>0.79304145325964936</v>
      </c>
      <c r="U440" s="1">
        <f t="shared" si="76"/>
        <v>0.59372416305433662</v>
      </c>
      <c r="V440" s="6">
        <f>2*sigma/alpha*corel*(B440/12-1/alpha*(1-EXP(-alpha*Output!B440/12)))</f>
        <v>2.091590382011733</v>
      </c>
      <c r="W440" s="5">
        <f t="shared" si="86"/>
        <v>-0.19931729020531275</v>
      </c>
      <c r="X440" s="1">
        <f t="shared" si="82"/>
        <v>32.87712282548371</v>
      </c>
      <c r="Y440" s="3">
        <f t="shared" si="87"/>
        <v>5.0940800066700209E-2</v>
      </c>
      <c r="Z440" s="1">
        <f t="shared" si="77"/>
        <v>0.148939510250157</v>
      </c>
      <c r="AA440" s="8">
        <f t="shared" si="83"/>
        <v>35.666666666666586</v>
      </c>
      <c r="AB440" s="1">
        <v>35.75</v>
      </c>
      <c r="AC440">
        <v>9.4955465469999997E-3</v>
      </c>
      <c r="AD440" s="8">
        <f t="shared" si="78"/>
        <v>4.058063423687825</v>
      </c>
      <c r="AE440" s="3">
        <f t="shared" si="79"/>
        <v>4.2736491297279987E-2</v>
      </c>
      <c r="AF440" s="11">
        <f t="shared" si="80"/>
        <v>35.666666666666586</v>
      </c>
      <c r="AG440" s="1">
        <f t="shared" si="81"/>
        <v>0.148939510250157</v>
      </c>
    </row>
    <row r="441" spans="2:33" ht="15" x14ac:dyDescent="0.25">
      <c r="B441" s="1">
        <v>430</v>
      </c>
      <c r="C441" s="1">
        <v>0.72206528741746967</v>
      </c>
      <c r="D441" s="1">
        <v>9.3676814988290396</v>
      </c>
      <c r="E441" s="1">
        <v>2.9855202268995375E-2</v>
      </c>
      <c r="G441" s="1">
        <v>0.72206528741746967</v>
      </c>
      <c r="H441" s="1">
        <v>9.3676814988290396</v>
      </c>
      <c r="I441" s="1">
        <v>2.9855202268995375E-2</v>
      </c>
      <c r="K441" s="1">
        <v>0.99978963065149162</v>
      </c>
      <c r="L441" s="1">
        <v>2.7552600080304122</v>
      </c>
      <c r="M441" s="1">
        <v>0.33183937917306738</v>
      </c>
      <c r="O441" s="1">
        <v>9.08762004813507E-3</v>
      </c>
      <c r="P441" s="1">
        <v>0.72206528741746967</v>
      </c>
      <c r="R441" s="1">
        <v>0.17572950139428289</v>
      </c>
      <c r="S441" s="2">
        <f t="shared" si="84"/>
        <v>0.89225083261134386</v>
      </c>
      <c r="T441" s="4">
        <f t="shared" si="85"/>
        <v>0.79611154829563635</v>
      </c>
      <c r="U441" s="1">
        <f t="shared" ref="U441:U504" si="88">sigma*sigma/alpha/alpha*(B441/12+2/alpha*EXP(-alpha*B441/12)-1/2/alpha*EXP(-2*alpha*B441/12)-3/2/alpha)</f>
        <v>0.59674112792013645</v>
      </c>
      <c r="V441" s="6">
        <f>2*sigma/alpha*corel*(B441/12-1/alpha*(1-EXP(-alpha*Output!B441/12)))</f>
        <v>2.0995183974613623</v>
      </c>
      <c r="W441" s="5">
        <f t="shared" si="86"/>
        <v>-0.1993704203754999</v>
      </c>
      <c r="X441" s="1">
        <f t="shared" si="82"/>
        <v>32.984404421767046</v>
      </c>
      <c r="Y441" s="3">
        <f t="shared" si="87"/>
        <v>5.0842139550847432E-2</v>
      </c>
      <c r="Z441" s="1">
        <f t="shared" si="77"/>
        <v>0.14905390455826467</v>
      </c>
      <c r="AA441" s="8">
        <f t="shared" si="83"/>
        <v>35.749999999999922</v>
      </c>
      <c r="AB441" s="1">
        <v>35.83</v>
      </c>
      <c r="AC441">
        <v>9.495023981E-3</v>
      </c>
      <c r="AD441" s="8">
        <f t="shared" si="78"/>
        <v>4.0740393286493006</v>
      </c>
      <c r="AE441" s="3">
        <f t="shared" si="79"/>
        <v>4.2907098884654209E-2</v>
      </c>
      <c r="AF441" s="11">
        <f t="shared" si="80"/>
        <v>35.749999999999922</v>
      </c>
      <c r="AG441" s="1">
        <f t="shared" si="81"/>
        <v>0.14905390455826467</v>
      </c>
    </row>
    <row r="442" spans="2:33" ht="15" x14ac:dyDescent="0.25">
      <c r="B442" s="1">
        <v>431</v>
      </c>
      <c r="C442" s="1">
        <v>0.72157184659088569</v>
      </c>
      <c r="D442" s="1">
        <v>9.4455464248606784</v>
      </c>
      <c r="E442" s="1">
        <v>2.9475918174851144E-2</v>
      </c>
      <c r="G442" s="1">
        <v>0.72157184659088569</v>
      </c>
      <c r="H442" s="1">
        <v>9.4455464248606784</v>
      </c>
      <c r="I442" s="1">
        <v>2.9475918174851144E-2</v>
      </c>
      <c r="K442" s="1">
        <v>0.99987121139539226</v>
      </c>
      <c r="L442" s="1">
        <v>2.7535387856985807</v>
      </c>
      <c r="M442" s="1">
        <v>0.33198099614856375</v>
      </c>
      <c r="O442" s="1">
        <v>9.0855682482980388E-3</v>
      </c>
      <c r="P442" s="1">
        <v>0.72157184659088569</v>
      </c>
      <c r="R442" s="1">
        <v>0.17603318168678136</v>
      </c>
      <c r="S442" s="2">
        <f t="shared" si="84"/>
        <v>0.89422453121058143</v>
      </c>
      <c r="T442" s="4">
        <f t="shared" si="85"/>
        <v>0.7996375122187841</v>
      </c>
      <c r="U442" s="1">
        <f t="shared" si="88"/>
        <v>0.599764399186133</v>
      </c>
      <c r="V442" s="6">
        <f>2*sigma/alpha*corel*(B442/12-1/alpha*(1-EXP(-alpha*Output!B442/12)))</f>
        <v>2.1074546946045563</v>
      </c>
      <c r="W442" s="5">
        <f t="shared" si="86"/>
        <v>-0.1998731130326511</v>
      </c>
      <c r="X442" s="1">
        <f t="shared" si="82"/>
        <v>33.156469195501657</v>
      </c>
      <c r="Y442" s="3">
        <f t="shared" si="87"/>
        <v>5.0821959285617724E-2</v>
      </c>
      <c r="Z442" s="1">
        <f t="shared" si="77"/>
        <v>0.14921021893732941</v>
      </c>
      <c r="AA442" s="8">
        <f t="shared" si="83"/>
        <v>35.833333333333258</v>
      </c>
      <c r="AB442" s="1">
        <v>35.92</v>
      </c>
      <c r="AC442">
        <v>9.4945038460000006E-3</v>
      </c>
      <c r="AD442" s="8">
        <f t="shared" si="78"/>
        <v>4.0893559770196175</v>
      </c>
      <c r="AE442" s="3">
        <f t="shared" si="79"/>
        <v>4.3070770662149434E-2</v>
      </c>
      <c r="AF442" s="11">
        <f t="shared" si="80"/>
        <v>35.833333333333258</v>
      </c>
      <c r="AG442" s="1">
        <f t="shared" si="81"/>
        <v>0.14921021893732941</v>
      </c>
    </row>
    <row r="443" spans="2:33" ht="15" x14ac:dyDescent="0.25">
      <c r="B443" s="1">
        <v>432</v>
      </c>
      <c r="C443" s="1">
        <v>0.72107805164857031</v>
      </c>
      <c r="D443" s="1">
        <v>9.5238095238095237</v>
      </c>
      <c r="E443" s="1">
        <v>2.9100221161680831E-2</v>
      </c>
      <c r="G443" s="1">
        <v>0.72107805164857031</v>
      </c>
      <c r="H443" s="1">
        <v>9.5238095238095237</v>
      </c>
      <c r="I443" s="1">
        <v>2.9100221161680831E-2</v>
      </c>
      <c r="K443" s="1">
        <v>0.99989788611408825</v>
      </c>
      <c r="L443" s="1">
        <v>2.706702610068104</v>
      </c>
      <c r="M443" s="1">
        <v>0.33765679562415207</v>
      </c>
      <c r="O443" s="1">
        <v>9.08355257896158E-3</v>
      </c>
      <c r="P443" s="1">
        <v>0.72107805164857031</v>
      </c>
      <c r="R443" s="1">
        <v>0.17639543191269796</v>
      </c>
      <c r="S443" s="2">
        <f t="shared" si="84"/>
        <v>0.89640541938772222</v>
      </c>
      <c r="T443" s="4">
        <f t="shared" si="85"/>
        <v>0.80354267590767814</v>
      </c>
      <c r="U443" s="1">
        <f t="shared" si="88"/>
        <v>0.60279396241746319</v>
      </c>
      <c r="V443" s="6">
        <f>2*sigma/alpha*corel*(B443/12-1/alpha*(1-EXP(-alpha*Output!B443/12)))</f>
        <v>2.1153992458816302</v>
      </c>
      <c r="W443" s="5">
        <f t="shared" si="86"/>
        <v>-0.20074871349021495</v>
      </c>
      <c r="X443" s="1">
        <f t="shared" si="82"/>
        <v>33.382728712067525</v>
      </c>
      <c r="Y443" s="3">
        <f t="shared" si="87"/>
        <v>5.0866383718129252E-2</v>
      </c>
      <c r="Z443" s="1">
        <f t="shared" si="77"/>
        <v>0.14940090323128705</v>
      </c>
      <c r="AA443" s="8">
        <f t="shared" si="83"/>
        <v>35.916666666666593</v>
      </c>
      <c r="AB443" s="1">
        <v>36</v>
      </c>
      <c r="AC443">
        <v>9.4939861259999998E-3</v>
      </c>
      <c r="AD443" s="8">
        <f t="shared" si="78"/>
        <v>4.1043354703841972</v>
      </c>
      <c r="AE443" s="3">
        <f t="shared" si="79"/>
        <v>4.3230898127649076E-2</v>
      </c>
      <c r="AF443" s="11">
        <f t="shared" si="80"/>
        <v>35.916666666666593</v>
      </c>
      <c r="AG443" s="1">
        <f t="shared" si="81"/>
        <v>0.14940090323128705</v>
      </c>
    </row>
    <row r="444" spans="2:33" ht="15" x14ac:dyDescent="0.25">
      <c r="B444" s="1">
        <v>433</v>
      </c>
      <c r="C444" s="1">
        <v>0.72058496755675783</v>
      </c>
      <c r="D444" s="1">
        <v>9.601536245799327</v>
      </c>
      <c r="E444" s="1">
        <v>2.8731504094239333E-2</v>
      </c>
      <c r="G444" s="1">
        <v>0.72058496755675783</v>
      </c>
      <c r="H444" s="1">
        <v>9.601536245799327</v>
      </c>
      <c r="I444" s="1">
        <v>2.8731504094239333E-2</v>
      </c>
      <c r="K444" s="1">
        <v>0.99983971709016661</v>
      </c>
      <c r="L444" s="1">
        <v>2.6981218505541884</v>
      </c>
      <c r="M444" s="1">
        <v>0.33865678616411432</v>
      </c>
      <c r="O444" s="1">
        <v>9.0815318769964619E-3</v>
      </c>
      <c r="P444" s="1">
        <v>0.72058496755675783</v>
      </c>
      <c r="R444" s="1">
        <v>0.17663875987875505</v>
      </c>
      <c r="S444" s="2">
        <f t="shared" si="84"/>
        <v>0.89817237007093209</v>
      </c>
      <c r="T444" s="4">
        <f t="shared" si="85"/>
        <v>0.80671360635883538</v>
      </c>
      <c r="U444" s="1">
        <f t="shared" si="88"/>
        <v>0.60582980318377055</v>
      </c>
      <c r="V444" s="6">
        <f>2*sigma/alpha*corel*(B444/12-1/alpha*(1-EXP(-alpha*Output!B444/12)))</f>
        <v>2.1233520238246095</v>
      </c>
      <c r="W444" s="5">
        <f t="shared" si="86"/>
        <v>-0.20088380317506482</v>
      </c>
      <c r="X444" s="1">
        <f t="shared" si="82"/>
        <v>33.502852742014426</v>
      </c>
      <c r="Y444" s="3">
        <f t="shared" si="87"/>
        <v>5.0782626259115594E-2</v>
      </c>
      <c r="Z444" s="1">
        <f t="shared" si="77"/>
        <v>0.1495224366698234</v>
      </c>
      <c r="AA444" s="8">
        <f t="shared" si="83"/>
        <v>35.999999999999929</v>
      </c>
      <c r="AB444" s="1">
        <v>36.08</v>
      </c>
      <c r="AC444">
        <v>9.4934708019999998E-3</v>
      </c>
      <c r="AD444" s="8">
        <f t="shared" si="78"/>
        <v>4.119389250035379</v>
      </c>
      <c r="AE444" s="3">
        <f t="shared" si="79"/>
        <v>4.3391814605544927E-2</v>
      </c>
      <c r="AF444" s="11">
        <f t="shared" si="80"/>
        <v>35.999999999999929</v>
      </c>
      <c r="AG444" s="1">
        <f t="shared" si="81"/>
        <v>0.1495224366698234</v>
      </c>
    </row>
    <row r="445" spans="2:33" ht="15" x14ac:dyDescent="0.25">
      <c r="B445" s="1">
        <v>434</v>
      </c>
      <c r="C445" s="1">
        <v>0.72009127512854543</v>
      </c>
      <c r="D445" s="1">
        <v>9.6796050721130573</v>
      </c>
      <c r="E445" s="1">
        <v>2.8370403994552883E-2</v>
      </c>
      <c r="G445" s="1">
        <v>0.72009127512854543</v>
      </c>
      <c r="H445" s="1">
        <v>9.6796050721130573</v>
      </c>
      <c r="I445" s="1">
        <v>2.8370403994552883E-2</v>
      </c>
      <c r="K445" s="1">
        <v>0.99983444432680058</v>
      </c>
      <c r="L445" s="1">
        <v>2.6822350038449709</v>
      </c>
      <c r="M445" s="1">
        <v>0.34059277193579512</v>
      </c>
      <c r="O445" s="1">
        <v>9.0795567924866292E-3</v>
      </c>
      <c r="P445" s="1">
        <v>0.72009127512854543</v>
      </c>
      <c r="R445" s="1">
        <v>0.17695995592091029</v>
      </c>
      <c r="S445" s="2">
        <f t="shared" si="84"/>
        <v>0.90021440911716955</v>
      </c>
      <c r="T445" s="4">
        <f t="shared" si="85"/>
        <v>0.81038598238217474</v>
      </c>
      <c r="U445" s="1">
        <f t="shared" si="88"/>
        <v>0.60887190705947525</v>
      </c>
      <c r="V445" s="6">
        <f>2*sigma/alpha*corel*(B445/12-1/alpha*(1-EXP(-alpha*Output!B445/12)))</f>
        <v>2.1313130010569257</v>
      </c>
      <c r="W445" s="5">
        <f t="shared" si="86"/>
        <v>-0.20151407532269949</v>
      </c>
      <c r="X445" s="1">
        <f t="shared" si="82"/>
        <v>33.69486467182481</v>
      </c>
      <c r="Y445" s="3">
        <f t="shared" si="87"/>
        <v>5.0784536200066135E-2</v>
      </c>
      <c r="Z445" s="1">
        <f t="shared" si="77"/>
        <v>0.14968963119730905</v>
      </c>
      <c r="AA445" s="8">
        <f t="shared" si="83"/>
        <v>36.083333333333265</v>
      </c>
      <c r="AB445" s="1">
        <v>36.17</v>
      </c>
      <c r="AC445">
        <v>9.4929578580000007E-3</v>
      </c>
      <c r="AD445" s="8">
        <f t="shared" si="78"/>
        <v>4.1340106551337152</v>
      </c>
      <c r="AE445" s="3">
        <f t="shared" si="79"/>
        <v>4.3548182947529469E-2</v>
      </c>
      <c r="AF445" s="11">
        <f t="shared" si="80"/>
        <v>36.083333333333265</v>
      </c>
      <c r="AG445" s="1">
        <f t="shared" si="81"/>
        <v>0.14968963119730905</v>
      </c>
    </row>
    <row r="446" spans="2:33" ht="15" x14ac:dyDescent="0.25">
      <c r="B446" s="1">
        <v>435</v>
      </c>
      <c r="C446" s="1">
        <v>0.71960170572758619</v>
      </c>
      <c r="D446" s="1">
        <v>9.7618117922686451</v>
      </c>
      <c r="E446" s="1">
        <v>2.8004144613402782E-2</v>
      </c>
      <c r="G446" s="1">
        <v>0.71960170572758619</v>
      </c>
      <c r="H446" s="1">
        <v>9.7618117922686451</v>
      </c>
      <c r="I446" s="1">
        <v>2.8004144613402782E-2</v>
      </c>
      <c r="K446" s="1">
        <v>0.99993758192552229</v>
      </c>
      <c r="L446" s="1">
        <v>2.6700486609185274</v>
      </c>
      <c r="M446" s="1">
        <v>0.3420774871333267</v>
      </c>
      <c r="O446" s="1">
        <v>9.0774456972578486E-3</v>
      </c>
      <c r="P446" s="1">
        <v>0.71960170572758619</v>
      </c>
      <c r="R446" s="1">
        <v>0.17730207872742468</v>
      </c>
      <c r="S446" s="2">
        <f t="shared" si="84"/>
        <v>0.90232424868933858</v>
      </c>
      <c r="T446" s="4">
        <f t="shared" si="85"/>
        <v>0.81418904977277939</v>
      </c>
      <c r="U446" s="1">
        <f t="shared" si="88"/>
        <v>0.61192025962404939</v>
      </c>
      <c r="V446" s="6">
        <f>2*sigma/alpha*corel*(B446/12-1/alpha*(1-EXP(-alpha*Output!B446/12)))</f>
        <v>2.1392821502931176</v>
      </c>
      <c r="W446" s="5">
        <f t="shared" si="86"/>
        <v>-0.20226879014873</v>
      </c>
      <c r="X446" s="1">
        <f t="shared" si="82"/>
        <v>33.9055026901286</v>
      </c>
      <c r="Y446" s="3">
        <f t="shared" si="87"/>
        <v>5.0807738330428329E-2</v>
      </c>
      <c r="Z446" s="1">
        <f t="shared" si="77"/>
        <v>0.14986790043214304</v>
      </c>
      <c r="AA446" s="8">
        <f t="shared" si="83"/>
        <v>36.1666666666666</v>
      </c>
      <c r="AB446" s="1">
        <v>36.25</v>
      </c>
      <c r="AC446">
        <v>9.4924472780000008E-3</v>
      </c>
      <c r="AD446" s="8">
        <f t="shared" si="78"/>
        <v>4.1500158074215223</v>
      </c>
      <c r="AE446" s="3">
        <f t="shared" si="79"/>
        <v>4.3719134653923561E-2</v>
      </c>
      <c r="AF446" s="11">
        <f t="shared" si="80"/>
        <v>36.1666666666666</v>
      </c>
      <c r="AG446" s="1">
        <f t="shared" si="81"/>
        <v>0.14986790043214304</v>
      </c>
    </row>
    <row r="447" spans="2:33" ht="15" x14ac:dyDescent="0.25">
      <c r="B447" s="1">
        <v>436</v>
      </c>
      <c r="C447" s="1">
        <v>0.71911153802562056</v>
      </c>
      <c r="D447" s="1">
        <v>9.845426799251749</v>
      </c>
      <c r="E447" s="1">
        <v>2.7638052070090097E-2</v>
      </c>
      <c r="G447" s="1">
        <v>0.71911153802562056</v>
      </c>
      <c r="H447" s="1">
        <v>9.845426799251749</v>
      </c>
      <c r="I447" s="1">
        <v>2.7638052070090097E-2</v>
      </c>
      <c r="K447" s="1">
        <v>1.0000003950253495</v>
      </c>
      <c r="L447" s="1">
        <v>2.716318508275382</v>
      </c>
      <c r="M447" s="1">
        <v>0.33618388572817881</v>
      </c>
      <c r="O447" s="1">
        <v>9.075379924141121E-3</v>
      </c>
      <c r="P447" s="1">
        <v>0.71911153802562056</v>
      </c>
      <c r="R447" s="1">
        <v>0.1776089307545767</v>
      </c>
      <c r="S447" s="2">
        <f t="shared" si="84"/>
        <v>0.90431422386342586</v>
      </c>
      <c r="T447" s="4">
        <f t="shared" si="85"/>
        <v>0.81778421548171032</v>
      </c>
      <c r="U447" s="1">
        <f t="shared" si="88"/>
        <v>0.61497484646228573</v>
      </c>
      <c r="V447" s="6">
        <f>2*sigma/alpha*corel*(B447/12-1/alpha*(1-EXP(-alpha*Output!B447/12)))</f>
        <v>2.1472594443385211</v>
      </c>
      <c r="W447" s="5">
        <f t="shared" si="86"/>
        <v>-0.20280936901942459</v>
      </c>
      <c r="X447" s="1">
        <f t="shared" si="82"/>
        <v>34.085684752124017</v>
      </c>
      <c r="Y447" s="3">
        <f t="shared" si="87"/>
        <v>5.0794062854399136E-2</v>
      </c>
      <c r="Z447" s="1">
        <f t="shared" si="77"/>
        <v>0.15002607254890979</v>
      </c>
      <c r="AA447" s="8">
        <f t="shared" si="83"/>
        <v>36.249999999999936</v>
      </c>
      <c r="AB447" s="1">
        <v>36.33</v>
      </c>
      <c r="AC447">
        <v>9.4919390460000003E-3</v>
      </c>
      <c r="AD447" s="8">
        <f t="shared" si="78"/>
        <v>4.1655912185887924</v>
      </c>
      <c r="AE447" s="3">
        <f t="shared" si="79"/>
        <v>4.3885566462252147E-2</v>
      </c>
      <c r="AF447" s="11">
        <f t="shared" si="80"/>
        <v>36.249999999999936</v>
      </c>
      <c r="AG447" s="1">
        <f t="shared" si="81"/>
        <v>0.15002607254890979</v>
      </c>
    </row>
    <row r="448" spans="2:33" ht="15" x14ac:dyDescent="0.25">
      <c r="B448" s="1">
        <v>437</v>
      </c>
      <c r="C448" s="1">
        <v>0.71862044639472822</v>
      </c>
      <c r="D448" s="1">
        <v>9.93147283742179</v>
      </c>
      <c r="E448" s="1">
        <v>2.7271735573251882E-2</v>
      </c>
      <c r="G448" s="1">
        <v>0.71862044639472822</v>
      </c>
      <c r="H448" s="1">
        <v>9.93147283742179</v>
      </c>
      <c r="I448" s="1">
        <v>2.7271735573251882E-2</v>
      </c>
      <c r="K448" s="1">
        <v>1.0000408756361849</v>
      </c>
      <c r="L448" s="1">
        <v>2.6675385905439701</v>
      </c>
      <c r="M448" s="1">
        <v>0.34225186359365273</v>
      </c>
      <c r="O448" s="1">
        <v>9.0733716689678778E-3</v>
      </c>
      <c r="P448" s="1">
        <v>0.71862044639472822</v>
      </c>
      <c r="R448" s="1">
        <v>0.17784869744888321</v>
      </c>
      <c r="S448" s="2">
        <f t="shared" si="84"/>
        <v>0.90607326338530014</v>
      </c>
      <c r="T448" s="4">
        <f t="shared" si="85"/>
        <v>0.8209687586216875</v>
      </c>
      <c r="U448" s="1">
        <f t="shared" si="88"/>
        <v>0.61803565316455833</v>
      </c>
      <c r="V448" s="6">
        <f>2*sigma/alpha*corel*(B448/12-1/alpha*(1-EXP(-alpha*Output!B448/12)))</f>
        <v>2.1552448560889692</v>
      </c>
      <c r="W448" s="5">
        <f t="shared" si="86"/>
        <v>-0.20293310545712917</v>
      </c>
      <c r="X448" s="1">
        <f t="shared" si="82"/>
        <v>34.205669417953111</v>
      </c>
      <c r="Y448" s="3">
        <f t="shared" si="87"/>
        <v>5.0709150421743177E-2</v>
      </c>
      <c r="Z448" s="1">
        <f t="shared" si="77"/>
        <v>0.15014581092661441</v>
      </c>
      <c r="AA448" s="8">
        <f t="shared" si="83"/>
        <v>36.333333333333272</v>
      </c>
      <c r="AB448" s="1">
        <v>36.42</v>
      </c>
      <c r="AC448">
        <v>9.4914331460000008E-3</v>
      </c>
      <c r="AD448" s="8">
        <f t="shared" si="78"/>
        <v>4.1806147703212293</v>
      </c>
      <c r="AE448" s="3">
        <f t="shared" si="79"/>
        <v>4.404619098100139E-2</v>
      </c>
      <c r="AF448" s="11">
        <f t="shared" si="80"/>
        <v>36.333333333333272</v>
      </c>
      <c r="AG448" s="1">
        <f t="shared" si="81"/>
        <v>0.15014581092661441</v>
      </c>
    </row>
    <row r="449" spans="2:33" ht="15" x14ac:dyDescent="0.25">
      <c r="B449" s="1">
        <v>438</v>
      </c>
      <c r="C449" s="1">
        <v>0.71812798905135</v>
      </c>
      <c r="D449" s="1">
        <v>10.020542111328224</v>
      </c>
      <c r="E449" s="1">
        <v>2.6906312220847012E-2</v>
      </c>
      <c r="G449" s="1">
        <v>0.71812798905135</v>
      </c>
      <c r="H449" s="1">
        <v>10.020542111328224</v>
      </c>
      <c r="I449" s="1">
        <v>2.6906312220847012E-2</v>
      </c>
      <c r="K449" s="1">
        <v>1.0000068845043177</v>
      </c>
      <c r="L449" s="1">
        <v>2.6547035109688575</v>
      </c>
      <c r="M449" s="1">
        <v>0.3438403163733742</v>
      </c>
      <c r="O449" s="1">
        <v>9.0714374818698425E-3</v>
      </c>
      <c r="P449" s="1">
        <v>0.71812798905135</v>
      </c>
      <c r="R449" s="1">
        <v>0.17812205021416053</v>
      </c>
      <c r="S449" s="2">
        <f t="shared" si="84"/>
        <v>0.90795446880631481</v>
      </c>
      <c r="T449" s="4">
        <f t="shared" si="85"/>
        <v>0.82438131742535725</v>
      </c>
      <c r="U449" s="1">
        <f t="shared" si="88"/>
        <v>0.62110266532709346</v>
      </c>
      <c r="V449" s="6">
        <f>2*sigma/alpha*corel*(B449/12-1/alpha*(1-EXP(-alpha*Output!B449/12)))</f>
        <v>2.1632383585304962</v>
      </c>
      <c r="W449" s="5">
        <f t="shared" si="86"/>
        <v>-0.20327865209826379</v>
      </c>
      <c r="X449" s="1">
        <f t="shared" si="82"/>
        <v>34.358283402164233</v>
      </c>
      <c r="Y449" s="3">
        <f t="shared" si="87"/>
        <v>5.0662405090903542E-2</v>
      </c>
      <c r="Z449" s="1">
        <f t="shared" si="77"/>
        <v>0.15028569299338823</v>
      </c>
      <c r="AA449" s="8">
        <f t="shared" si="83"/>
        <v>36.416666666666607</v>
      </c>
      <c r="AB449" s="1">
        <v>36.5</v>
      </c>
      <c r="AC449">
        <v>9.4909295620000007E-3</v>
      </c>
      <c r="AD449" s="8">
        <f t="shared" si="78"/>
        <v>4.1949208013015822</v>
      </c>
      <c r="AE449" s="3">
        <f t="shared" si="79"/>
        <v>4.4199261767754565E-2</v>
      </c>
      <c r="AF449" s="11">
        <f t="shared" si="80"/>
        <v>36.416666666666607</v>
      </c>
      <c r="AG449" s="1">
        <f t="shared" si="81"/>
        <v>0.15028569299338823</v>
      </c>
    </row>
    <row r="450" spans="2:33" ht="15" x14ac:dyDescent="0.25">
      <c r="B450" s="1">
        <v>439</v>
      </c>
      <c r="C450" s="1">
        <v>0.71763355175273513</v>
      </c>
      <c r="D450" s="1">
        <v>10.107135637760258</v>
      </c>
      <c r="E450" s="1">
        <v>2.6552667215421787E-2</v>
      </c>
      <c r="G450" s="1">
        <v>0.71763355175273513</v>
      </c>
      <c r="H450" s="1">
        <v>10.107135637760258</v>
      </c>
      <c r="I450" s="1">
        <v>2.6552667215421787E-2</v>
      </c>
      <c r="K450" s="1">
        <v>1.0000655499552351</v>
      </c>
      <c r="L450" s="1">
        <v>2.6307859032142291</v>
      </c>
      <c r="M450" s="1">
        <v>0.34688884373205081</v>
      </c>
      <c r="O450" s="1">
        <v>9.0696003778301029E-3</v>
      </c>
      <c r="P450" s="1">
        <v>0.71763355175273513</v>
      </c>
      <c r="R450" s="1">
        <v>0.1785309339967055</v>
      </c>
      <c r="S450" s="2">
        <f t="shared" si="84"/>
        <v>0.91031682977027817</v>
      </c>
      <c r="T450" s="4">
        <f t="shared" si="85"/>
        <v>0.82867673056300961</v>
      </c>
      <c r="U450" s="1">
        <f t="shared" si="88"/>
        <v>0.62417586855222185</v>
      </c>
      <c r="V450" s="6">
        <f>2*sigma/alpha*corel*(B450/12-1/alpha*(1-EXP(-alpha*Output!B450/12)))</f>
        <v>2.1712399247390293</v>
      </c>
      <c r="W450" s="5">
        <f t="shared" si="86"/>
        <v>-0.20450086201078777</v>
      </c>
      <c r="X450" s="1">
        <f t="shared" si="82"/>
        <v>34.639575618359359</v>
      </c>
      <c r="Y450" s="3">
        <f t="shared" si="87"/>
        <v>5.076491494698069E-2</v>
      </c>
      <c r="Z450" s="1">
        <f t="shared" si="77"/>
        <v>0.15050500235184758</v>
      </c>
      <c r="AA450" s="8">
        <f t="shared" si="83"/>
        <v>36.499999999999943</v>
      </c>
      <c r="AB450" s="1">
        <v>36.58</v>
      </c>
      <c r="AC450">
        <v>9.4904282769999997E-3</v>
      </c>
      <c r="AD450" s="8">
        <f t="shared" si="78"/>
        <v>4.2082789916989691</v>
      </c>
      <c r="AE450" s="3">
        <f t="shared" si="79"/>
        <v>4.4342350722966953E-2</v>
      </c>
      <c r="AF450" s="11">
        <f t="shared" si="80"/>
        <v>36.499999999999943</v>
      </c>
      <c r="AG450" s="1">
        <f t="shared" si="81"/>
        <v>0.15050500235184758</v>
      </c>
    </row>
    <row r="451" spans="2:33" ht="15" x14ac:dyDescent="0.25">
      <c r="B451" s="1">
        <v>440</v>
      </c>
      <c r="C451" s="1">
        <v>0.71714272224171394</v>
      </c>
      <c r="D451" s="1">
        <v>10.195550661691238</v>
      </c>
      <c r="E451" s="1">
        <v>2.6201331027616206E-2</v>
      </c>
      <c r="G451" s="1">
        <v>0.71714272224171394</v>
      </c>
      <c r="H451" s="1">
        <v>10.195550661691238</v>
      </c>
      <c r="I451" s="1">
        <v>2.6201331027616206E-2</v>
      </c>
      <c r="K451" s="1">
        <v>0.99990068959916256</v>
      </c>
      <c r="L451" s="1">
        <v>2.6517292570284536</v>
      </c>
      <c r="M451" s="1">
        <v>0.34407920146455201</v>
      </c>
      <c r="O451" s="1">
        <v>9.0676473671142815E-3</v>
      </c>
      <c r="P451" s="1">
        <v>0.71714272224171394</v>
      </c>
      <c r="R451" s="1">
        <v>0.17871424211742484</v>
      </c>
      <c r="S451" s="2">
        <f t="shared" si="84"/>
        <v>0.9118834853878488</v>
      </c>
      <c r="T451" s="4">
        <f t="shared" si="85"/>
        <v>0.83153149092309109</v>
      </c>
      <c r="U451" s="1">
        <f t="shared" si="88"/>
        <v>0.62725524844864289</v>
      </c>
      <c r="V451" s="6">
        <f>2*sigma/alpha*corel*(B451/12-1/alpha*(1-EXP(-alpha*Output!B451/12)))</f>
        <v>2.1792495278800921</v>
      </c>
      <c r="W451" s="5">
        <f t="shared" si="86"/>
        <v>-0.2042762424744482</v>
      </c>
      <c r="X451" s="1">
        <f t="shared" si="82"/>
        <v>34.709644067684678</v>
      </c>
      <c r="Y451" s="3">
        <f t="shared" si="87"/>
        <v>5.0621449002671653E-2</v>
      </c>
      <c r="Z451" s="1">
        <f t="shared" si="77"/>
        <v>0.15059260131437319</v>
      </c>
      <c r="AA451" s="8">
        <f t="shared" si="83"/>
        <v>36.583333333333279</v>
      </c>
      <c r="AB451" s="1">
        <v>36.67</v>
      </c>
      <c r="AC451">
        <v>9.489929276E-3</v>
      </c>
      <c r="AD451" s="8">
        <f t="shared" si="78"/>
        <v>4.222819088857185</v>
      </c>
      <c r="AE451" s="3">
        <f t="shared" si="79"/>
        <v>4.4497898414656054E-2</v>
      </c>
      <c r="AF451" s="11">
        <f t="shared" si="80"/>
        <v>36.583333333333279</v>
      </c>
      <c r="AG451" s="1">
        <f t="shared" si="81"/>
        <v>0.15059260131437319</v>
      </c>
    </row>
    <row r="452" spans="2:33" ht="15" x14ac:dyDescent="0.25">
      <c r="B452" s="1">
        <v>441</v>
      </c>
      <c r="C452" s="1">
        <v>0.71665371159048152</v>
      </c>
      <c r="D452" s="1">
        <v>10.283305054244435</v>
      </c>
      <c r="E452" s="1">
        <v>2.5857833630698417E-2</v>
      </c>
      <c r="G452" s="1">
        <v>0.71665371159048152</v>
      </c>
      <c r="H452" s="1">
        <v>10.283305054244435</v>
      </c>
      <c r="I452" s="1">
        <v>2.5857833630698417E-2</v>
      </c>
      <c r="K452" s="1">
        <v>0.99989632157563679</v>
      </c>
      <c r="L452" s="1">
        <v>2.7063727694226101</v>
      </c>
      <c r="M452" s="1">
        <v>0.33706422426498878</v>
      </c>
      <c r="O452" s="1">
        <v>9.0656468991133984E-3</v>
      </c>
      <c r="P452" s="1">
        <v>0.71665371159048152</v>
      </c>
      <c r="R452" s="1">
        <v>0.17906699638192997</v>
      </c>
      <c r="S452" s="2">
        <f t="shared" si="84"/>
        <v>0.91404352907341369</v>
      </c>
      <c r="T452" s="4">
        <f t="shared" si="85"/>
        <v>0.83547557304098041</v>
      </c>
      <c r="U452" s="1">
        <f t="shared" si="88"/>
        <v>0.63034079063167558</v>
      </c>
      <c r="V452" s="6">
        <f>2*sigma/alpha*corel*(B452/12-1/alpha*(1-EXP(-alpha*Output!B452/12)))</f>
        <v>2.1872671412085118</v>
      </c>
      <c r="W452" s="5">
        <f t="shared" si="86"/>
        <v>-0.20513478240930483</v>
      </c>
      <c r="X452" s="1">
        <f t="shared" si="82"/>
        <v>34.938950561178267</v>
      </c>
      <c r="Y452" s="3">
        <f t="shared" si="87"/>
        <v>5.0661915247454919E-2</v>
      </c>
      <c r="Z452" s="1">
        <f t="shared" si="77"/>
        <v>0.15077807930330597</v>
      </c>
      <c r="AA452" s="8">
        <f t="shared" si="83"/>
        <v>36.666666666666615</v>
      </c>
      <c r="AB452" s="1">
        <v>36.75</v>
      </c>
      <c r="AC452">
        <v>9.4894325440000003E-3</v>
      </c>
      <c r="AD452" s="8">
        <f t="shared" si="78"/>
        <v>4.2378564488660189</v>
      </c>
      <c r="AE452" s="3">
        <f t="shared" si="79"/>
        <v>4.4658691963046206E-2</v>
      </c>
      <c r="AF452" s="11">
        <f t="shared" si="80"/>
        <v>36.666666666666615</v>
      </c>
      <c r="AG452" s="1">
        <f t="shared" si="81"/>
        <v>0.15077807930330597</v>
      </c>
    </row>
    <row r="453" spans="2:33" ht="15" x14ac:dyDescent="0.25">
      <c r="B453" s="1">
        <v>442</v>
      </c>
      <c r="C453" s="1">
        <v>0.71616205413813705</v>
      </c>
      <c r="D453" s="1">
        <v>10.368603867489242</v>
      </c>
      <c r="E453" s="1">
        <v>2.5526483726866625E-2</v>
      </c>
      <c r="G453" s="1">
        <v>0.71616205413813705</v>
      </c>
      <c r="H453" s="1">
        <v>10.368603867489242</v>
      </c>
      <c r="I453" s="1">
        <v>2.5526483726866625E-2</v>
      </c>
      <c r="K453" s="1">
        <v>0.9998754029322301</v>
      </c>
      <c r="L453" s="1">
        <v>2.796920245929587</v>
      </c>
      <c r="M453" s="1">
        <v>0.32608497179120211</v>
      </c>
      <c r="O453" s="1">
        <v>9.0637684625073048E-3</v>
      </c>
      <c r="P453" s="1">
        <v>0.71616205413813705</v>
      </c>
      <c r="R453" s="1">
        <v>0.17951237695204128</v>
      </c>
      <c r="S453" s="2">
        <f t="shared" si="84"/>
        <v>0.91653673463009055</v>
      </c>
      <c r="T453" s="4">
        <f t="shared" si="85"/>
        <v>0.84003958592638905</v>
      </c>
      <c r="U453" s="1">
        <f t="shared" si="88"/>
        <v>0.6334324807235121</v>
      </c>
      <c r="V453" s="6">
        <f>2*sigma/alpha*corel*(B453/12-1/alpha*(1-EXP(-alpha*Output!B453/12)))</f>
        <v>2.1952927380681153</v>
      </c>
      <c r="W453" s="5">
        <f t="shared" si="86"/>
        <v>-0.20660710520287695</v>
      </c>
      <c r="X453" s="1">
        <f t="shared" si="82"/>
        <v>35.259423705705146</v>
      </c>
      <c r="Y453" s="3">
        <f t="shared" si="87"/>
        <v>5.0805500519496019E-2</v>
      </c>
      <c r="Z453" s="1">
        <f t="shared" si="77"/>
        <v>0.15101822603674889</v>
      </c>
      <c r="AA453" s="8">
        <f t="shared" si="83"/>
        <v>36.74999999999995</v>
      </c>
      <c r="AB453" s="1">
        <v>36.83</v>
      </c>
      <c r="AC453">
        <v>9.4889380640000003E-3</v>
      </c>
      <c r="AD453" s="8">
        <f t="shared" si="78"/>
        <v>4.2516960149269547</v>
      </c>
      <c r="AE453" s="3">
        <f t="shared" si="79"/>
        <v>4.4806868653273511E-2</v>
      </c>
      <c r="AF453" s="11">
        <f t="shared" si="80"/>
        <v>36.74999999999995</v>
      </c>
      <c r="AG453" s="1">
        <f t="shared" si="81"/>
        <v>0.15101822603674889</v>
      </c>
    </row>
    <row r="454" spans="2:33" ht="15" x14ac:dyDescent="0.25">
      <c r="B454" s="1">
        <v>443</v>
      </c>
      <c r="C454" s="1">
        <v>0.71567258080413532</v>
      </c>
      <c r="D454" s="1">
        <v>10.450412791305256</v>
      </c>
      <c r="E454" s="1">
        <v>2.5209872185948015E-2</v>
      </c>
      <c r="G454" s="1">
        <v>0.71567258080413532</v>
      </c>
      <c r="H454" s="1">
        <v>10.450412791305256</v>
      </c>
      <c r="I454" s="1">
        <v>2.5209872185948015E-2</v>
      </c>
      <c r="K454" s="1">
        <v>0.99985459260854037</v>
      </c>
      <c r="L454" s="1">
        <v>2.8198171289335918</v>
      </c>
      <c r="M454" s="1">
        <v>0.32336440819351581</v>
      </c>
      <c r="O454" s="1">
        <v>9.0618286046916068E-3</v>
      </c>
      <c r="P454" s="1">
        <v>0.71567258080413532</v>
      </c>
      <c r="R454" s="1">
        <v>0.17992909418770295</v>
      </c>
      <c r="S454" s="2">
        <f t="shared" si="84"/>
        <v>0.91892803903728515</v>
      </c>
      <c r="T454" s="4">
        <f t="shared" si="85"/>
        <v>0.84442874092891029</v>
      </c>
      <c r="U454" s="1">
        <f t="shared" si="88"/>
        <v>0.63653030435346647</v>
      </c>
      <c r="V454" s="6">
        <f>2*sigma/alpha*corel*(B454/12-1/alpha*(1-EXP(-alpha*Output!B454/12)))</f>
        <v>2.2033262918914347</v>
      </c>
      <c r="W454" s="5">
        <f t="shared" si="86"/>
        <v>-0.20789843657544382</v>
      </c>
      <c r="X454" s="1">
        <f t="shared" si="82"/>
        <v>35.554315882847263</v>
      </c>
      <c r="Y454" s="3">
        <f t="shared" si="87"/>
        <v>5.0917621184901223E-2</v>
      </c>
      <c r="Z454" s="1">
        <f t="shared" si="77"/>
        <v>0.15124125175638192</v>
      </c>
      <c r="AA454" s="8">
        <f t="shared" si="83"/>
        <v>36.833333333333286</v>
      </c>
      <c r="AB454" s="1">
        <v>36.92</v>
      </c>
      <c r="AC454">
        <v>9.4884458229999996E-3</v>
      </c>
      <c r="AD454" s="8">
        <f t="shared" si="78"/>
        <v>4.2661721830839285</v>
      </c>
      <c r="AE454" s="3">
        <f t="shared" si="79"/>
        <v>4.4961759414199574E-2</v>
      </c>
      <c r="AF454" s="11">
        <f t="shared" si="80"/>
        <v>36.833333333333286</v>
      </c>
      <c r="AG454" s="1">
        <f t="shared" si="81"/>
        <v>0.15124125175638192</v>
      </c>
    </row>
    <row r="455" spans="2:33" ht="15" x14ac:dyDescent="0.25">
      <c r="B455" s="1">
        <v>444</v>
      </c>
      <c r="C455" s="1">
        <v>0.71518434871421099</v>
      </c>
      <c r="D455" s="1">
        <v>10.53241350255411</v>
      </c>
      <c r="E455" s="1">
        <v>2.4897298643097223E-2</v>
      </c>
      <c r="G455" s="1">
        <v>0.71518434871421099</v>
      </c>
      <c r="H455" s="1">
        <v>10.53241350255411</v>
      </c>
      <c r="I455" s="1">
        <v>2.4897298643097223E-2</v>
      </c>
      <c r="K455" s="1">
        <v>1.0000425104403623</v>
      </c>
      <c r="L455" s="1">
        <v>2.8348511225185602</v>
      </c>
      <c r="M455" s="1">
        <v>0.32158387230075325</v>
      </c>
      <c r="O455" s="1">
        <v>9.059863220301112E-3</v>
      </c>
      <c r="P455" s="1">
        <v>0.71518434871421099</v>
      </c>
      <c r="R455" s="1">
        <v>0.18018664466499232</v>
      </c>
      <c r="S455" s="2">
        <f t="shared" si="84"/>
        <v>0.92075943646062308</v>
      </c>
      <c r="T455" s="4">
        <f t="shared" si="85"/>
        <v>0.84779793983128415</v>
      </c>
      <c r="U455" s="1">
        <f t="shared" si="88"/>
        <v>0.63963424715822237</v>
      </c>
      <c r="V455" s="6">
        <f>2*sigma/alpha*corel*(B455/12-1/alpha*(1-EXP(-alpha*Output!B455/12)))</f>
        <v>2.2113677761994146</v>
      </c>
      <c r="W455" s="5">
        <f t="shared" si="86"/>
        <v>-0.20816369267306178</v>
      </c>
      <c r="X455" s="1">
        <f t="shared" si="82"/>
        <v>35.698373957226288</v>
      </c>
      <c r="Y455" s="3">
        <f t="shared" si="87"/>
        <v>5.0857349311498622E-2</v>
      </c>
      <c r="Z455" s="1">
        <f t="shared" si="77"/>
        <v>0.15137191890597793</v>
      </c>
      <c r="AA455" s="8">
        <f t="shared" si="83"/>
        <v>36.916666666666622</v>
      </c>
      <c r="AB455" s="1">
        <v>37</v>
      </c>
      <c r="AC455">
        <v>9.4879558039999996E-3</v>
      </c>
      <c r="AD455" s="8">
        <f t="shared" si="78"/>
        <v>4.2809258369888754</v>
      </c>
      <c r="AE455" s="3">
        <f t="shared" si="79"/>
        <v>4.5119580291300386E-2</v>
      </c>
      <c r="AF455" s="11">
        <f t="shared" si="80"/>
        <v>36.916666666666622</v>
      </c>
      <c r="AG455" s="1">
        <f t="shared" si="81"/>
        <v>0.15137191890597793</v>
      </c>
    </row>
    <row r="456" spans="2:33" ht="15" x14ac:dyDescent="0.25">
      <c r="B456" s="1">
        <v>445</v>
      </c>
      <c r="C456" s="1">
        <v>0.71469692551784725</v>
      </c>
      <c r="D456" s="1">
        <v>10.616049343397348</v>
      </c>
      <c r="E456" s="1">
        <v>2.4586939417781277E-2</v>
      </c>
      <c r="G456" s="1">
        <v>0.71469692551784725</v>
      </c>
      <c r="H456" s="1">
        <v>10.616049343397348</v>
      </c>
      <c r="I456" s="1">
        <v>2.4586939417781277E-2</v>
      </c>
      <c r="K456" s="1">
        <v>1.0001579691968814</v>
      </c>
      <c r="L456" s="1">
        <v>2.8848225556374572</v>
      </c>
      <c r="M456" s="1">
        <v>0.31594323880466263</v>
      </c>
      <c r="O456" s="1">
        <v>9.0578887158320361E-3</v>
      </c>
      <c r="P456" s="1">
        <v>0.71469692551784725</v>
      </c>
      <c r="R456" s="1">
        <v>0.18050093018329744</v>
      </c>
      <c r="S456" s="2">
        <f t="shared" si="84"/>
        <v>0.92279125099948778</v>
      </c>
      <c r="T456" s="4">
        <f t="shared" si="85"/>
        <v>0.85154369292119969</v>
      </c>
      <c r="U456" s="1">
        <f t="shared" si="88"/>
        <v>0.64274429478207873</v>
      </c>
      <c r="V456" s="6">
        <f>2*sigma/alpha*corel*(B456/12-1/alpha*(1-EXP(-alpha*Output!B456/12)))</f>
        <v>2.2194171646011158</v>
      </c>
      <c r="W456" s="5">
        <f t="shared" si="86"/>
        <v>-0.20879939813912096</v>
      </c>
      <c r="X456" s="1">
        <f t="shared" si="82"/>
        <v>35.897723274495668</v>
      </c>
      <c r="Y456" s="3">
        <f t="shared" si="87"/>
        <v>5.0859151183538898E-2</v>
      </c>
      <c r="Z456" s="1">
        <f t="shared" si="77"/>
        <v>0.15153539516854231</v>
      </c>
      <c r="AA456" s="8">
        <f t="shared" si="83"/>
        <v>36.999999999999957</v>
      </c>
      <c r="AB456" s="1">
        <v>37.08</v>
      </c>
      <c r="AC456">
        <v>9.4874679920000007E-3</v>
      </c>
      <c r="AD456" s="8">
        <f t="shared" si="78"/>
        <v>4.2957927616796461</v>
      </c>
      <c r="AE456" s="3">
        <f t="shared" si="79"/>
        <v>4.5278600837461942E-2</v>
      </c>
      <c r="AF456" s="11">
        <f t="shared" si="80"/>
        <v>36.999999999999957</v>
      </c>
      <c r="AG456" s="1">
        <f t="shared" si="81"/>
        <v>0.15153539516854231</v>
      </c>
    </row>
    <row r="457" spans="2:33" ht="15" x14ac:dyDescent="0.25">
      <c r="B457" s="1">
        <v>446</v>
      </c>
      <c r="C457" s="1">
        <v>0.71421048322429981</v>
      </c>
      <c r="D457" s="1">
        <v>10.699993580003852</v>
      </c>
      <c r="E457" s="1">
        <v>2.4280684715308972E-2</v>
      </c>
      <c r="G457" s="1">
        <v>0.71421048322429981</v>
      </c>
      <c r="H457" s="1">
        <v>10.699993580003852</v>
      </c>
      <c r="I457" s="1">
        <v>2.4280684715308972E-2</v>
      </c>
      <c r="K457" s="1">
        <v>1.0000776363175958</v>
      </c>
      <c r="L457" s="1">
        <v>2.8753944481671172</v>
      </c>
      <c r="M457" s="1">
        <v>0.3169191955954328</v>
      </c>
      <c r="O457" s="1">
        <v>9.0558986274646008E-3</v>
      </c>
      <c r="P457" s="1">
        <v>0.71421048322429981</v>
      </c>
      <c r="R457" s="1">
        <v>0.18080589798423072</v>
      </c>
      <c r="S457" s="2">
        <f t="shared" si="84"/>
        <v>0.9247906756773614</v>
      </c>
      <c r="T457" s="4">
        <f t="shared" si="85"/>
        <v>0.85523779381979059</v>
      </c>
      <c r="U457" s="1">
        <f t="shared" si="88"/>
        <v>0.64586043287718642</v>
      </c>
      <c r="V457" s="6">
        <f>2*sigma/alpha*corel*(B457/12-1/alpha*(1-EXP(-alpha*Output!B457/12)))</f>
        <v>2.2274744307934209</v>
      </c>
      <c r="W457" s="5">
        <f t="shared" si="86"/>
        <v>-0.20937736094260417</v>
      </c>
      <c r="X457" s="1">
        <f t="shared" si="82"/>
        <v>36.08907666663896</v>
      </c>
      <c r="Y457" s="3">
        <f t="shared" si="87"/>
        <v>5.0851265093530815E-2</v>
      </c>
      <c r="Z457" s="1">
        <f t="shared" si="77"/>
        <v>0.1516933826669018</v>
      </c>
      <c r="AA457" s="8">
        <f t="shared" si="83"/>
        <v>37.083333333333293</v>
      </c>
      <c r="AB457" s="1">
        <v>37.17</v>
      </c>
      <c r="AC457">
        <v>9.4869823730000004E-3</v>
      </c>
      <c r="AD457" s="8">
        <f t="shared" si="78"/>
        <v>4.3108374553539957</v>
      </c>
      <c r="AE457" s="3">
        <f t="shared" si="79"/>
        <v>4.543950105380886E-2</v>
      </c>
      <c r="AF457" s="11">
        <f t="shared" si="80"/>
        <v>37.083333333333293</v>
      </c>
      <c r="AG457" s="1">
        <f t="shared" si="81"/>
        <v>0.1516933826669018</v>
      </c>
    </row>
    <row r="458" spans="2:33" ht="15" x14ac:dyDescent="0.25">
      <c r="B458" s="1">
        <v>447</v>
      </c>
      <c r="C458" s="1">
        <v>0.71372585673538291</v>
      </c>
      <c r="D458" s="1">
        <v>10.784926986044304</v>
      </c>
      <c r="E458" s="1">
        <v>2.397736536709346E-2</v>
      </c>
      <c r="G458" s="1">
        <v>0.71372585673538291</v>
      </c>
      <c r="H458" s="1">
        <v>10.784926986044304</v>
      </c>
      <c r="I458" s="1">
        <v>2.397736536709346E-2</v>
      </c>
      <c r="K458" s="1">
        <v>1.0000529242785885</v>
      </c>
      <c r="L458" s="1">
        <v>2.8081945318213686</v>
      </c>
      <c r="M458" s="1">
        <v>0.32443609636557391</v>
      </c>
      <c r="O458" s="1">
        <v>9.05386159795828E-3</v>
      </c>
      <c r="P458" s="1">
        <v>0.71372585673538291</v>
      </c>
      <c r="R458" s="1">
        <v>0.18126671244716058</v>
      </c>
      <c r="S458" s="2">
        <f t="shared" si="84"/>
        <v>0.9273389962132732</v>
      </c>
      <c r="T458" s="4">
        <f t="shared" si="85"/>
        <v>0.85995761389784109</v>
      </c>
      <c r="U458" s="1">
        <f t="shared" si="88"/>
        <v>0.64898264710379383</v>
      </c>
      <c r="V458" s="6">
        <f>2*sigma/alpha*corel*(B458/12-1/alpha*(1-EXP(-alpha*Output!B458/12)))</f>
        <v>2.2355395485607459</v>
      </c>
      <c r="W458" s="5">
        <f t="shared" si="86"/>
        <v>-0.21097496679404726</v>
      </c>
      <c r="X458" s="1">
        <f t="shared" si="82"/>
        <v>36.432907125492228</v>
      </c>
      <c r="Y458" s="3">
        <f t="shared" si="87"/>
        <v>5.1012459576132943E-2</v>
      </c>
      <c r="Z458" s="1">
        <f t="shared" si="77"/>
        <v>0.1519411413679998</v>
      </c>
      <c r="AA458" s="8">
        <f t="shared" si="83"/>
        <v>37.166666666666629</v>
      </c>
      <c r="AB458" s="1">
        <v>37.25</v>
      </c>
      <c r="AC458">
        <v>9.4864989319999992E-3</v>
      </c>
      <c r="AD458" s="8">
        <f t="shared" si="78"/>
        <v>4.3263733404171925</v>
      </c>
      <c r="AE458" s="3">
        <f t="shared" si="79"/>
        <v>4.5605585068095096E-2</v>
      </c>
      <c r="AF458" s="11">
        <f t="shared" si="80"/>
        <v>37.166666666666629</v>
      </c>
      <c r="AG458" s="1">
        <f t="shared" si="81"/>
        <v>0.1519411413679998</v>
      </c>
    </row>
    <row r="459" spans="2:33" ht="15" x14ac:dyDescent="0.25">
      <c r="B459" s="1">
        <v>448</v>
      </c>
      <c r="C459" s="1">
        <v>0.71323996823196401</v>
      </c>
      <c r="D459" s="1">
        <v>10.868974512254768</v>
      </c>
      <c r="E459" s="1">
        <v>2.3681530774149244E-2</v>
      </c>
      <c r="G459" s="1">
        <v>0.71323996823196401</v>
      </c>
      <c r="H459" s="1">
        <v>10.868974512254768</v>
      </c>
      <c r="I459" s="1">
        <v>2.3681530774149244E-2</v>
      </c>
      <c r="K459" s="1">
        <v>0.99991694446806612</v>
      </c>
      <c r="L459" s="1">
        <v>2.786444539949795</v>
      </c>
      <c r="M459" s="1">
        <v>0.32689994952132317</v>
      </c>
      <c r="O459" s="1">
        <v>9.0518934068772264E-3</v>
      </c>
      <c r="P459" s="1">
        <v>0.71323996823196401</v>
      </c>
      <c r="R459" s="1">
        <v>0.18154074484298305</v>
      </c>
      <c r="S459" s="2">
        <f t="shared" si="84"/>
        <v>0.92923309343912486</v>
      </c>
      <c r="T459" s="4">
        <f t="shared" si="85"/>
        <v>0.86347414194244532</v>
      </c>
      <c r="U459" s="1">
        <f t="shared" si="88"/>
        <v>0.65211092313047914</v>
      </c>
      <c r="V459" s="6">
        <f>2*sigma/alpha*corel*(B459/12-1/alpha*(1-EXP(-alpha*Output!B459/12)))</f>
        <v>2.2436124917747455</v>
      </c>
      <c r="W459" s="5">
        <f t="shared" si="86"/>
        <v>-0.21136321881196618</v>
      </c>
      <c r="X459" s="1">
        <f t="shared" si="82"/>
        <v>36.597371022501299</v>
      </c>
      <c r="Y459" s="3">
        <f t="shared" si="87"/>
        <v>5.0972726932192264E-2</v>
      </c>
      <c r="Z459" s="1">
        <f t="shared" si="77"/>
        <v>0.15208146389081295</v>
      </c>
      <c r="AA459" s="8">
        <f t="shared" si="83"/>
        <v>37.249999999999964</v>
      </c>
      <c r="AB459" s="1">
        <v>37.33</v>
      </c>
      <c r="AC459">
        <v>9.4860176539999994E-3</v>
      </c>
      <c r="AD459" s="8">
        <f t="shared" si="78"/>
        <v>4.3412424712277291</v>
      </c>
      <c r="AE459" s="3">
        <f t="shared" si="79"/>
        <v>4.5764646762987457E-2</v>
      </c>
      <c r="AF459" s="11">
        <f t="shared" si="80"/>
        <v>37.249999999999964</v>
      </c>
      <c r="AG459" s="1">
        <f t="shared" si="81"/>
        <v>0.15208146389081295</v>
      </c>
    </row>
    <row r="460" spans="2:33" ht="15" x14ac:dyDescent="0.25">
      <c r="B460" s="1">
        <v>449</v>
      </c>
      <c r="C460" s="1">
        <v>0.71275254639903052</v>
      </c>
      <c r="D460" s="1">
        <v>10.951702989814915</v>
      </c>
      <c r="E460" s="1">
        <v>2.339290727051558E-2</v>
      </c>
      <c r="G460" s="1">
        <v>0.71275254639903052</v>
      </c>
      <c r="H460" s="1">
        <v>10.951702989814915</v>
      </c>
      <c r="I460" s="1">
        <v>2.339290727051558E-2</v>
      </c>
      <c r="K460" s="1">
        <v>0.99985542037393715</v>
      </c>
      <c r="L460" s="1">
        <v>2.7965147470429144</v>
      </c>
      <c r="M460" s="1">
        <v>0.32565725939205126</v>
      </c>
      <c r="O460" s="1">
        <v>9.0500038812272397E-3</v>
      </c>
      <c r="P460" s="1">
        <v>0.71275254639903052</v>
      </c>
      <c r="R460" s="1">
        <v>0.18179855734868378</v>
      </c>
      <c r="S460" s="2">
        <f t="shared" si="84"/>
        <v>0.93107490686435801</v>
      </c>
      <c r="T460" s="4">
        <f t="shared" si="85"/>
        <v>0.86690048219247295</v>
      </c>
      <c r="U460" s="1">
        <f t="shared" si="88"/>
        <v>0.65524524663438388</v>
      </c>
      <c r="V460" s="6">
        <f>2*sigma/alpha*corel*(B460/12-1/alpha*(1-EXP(-alpha*Output!B460/12)))</f>
        <v>2.2516932343940228</v>
      </c>
      <c r="W460" s="5">
        <f t="shared" si="86"/>
        <v>-0.21165523555808907</v>
      </c>
      <c r="X460" s="1">
        <f t="shared" si="82"/>
        <v>36.747856010343149</v>
      </c>
      <c r="Y460" s="3">
        <f t="shared" si="87"/>
        <v>5.0917252867234232E-2</v>
      </c>
      <c r="Z460" s="1">
        <f t="shared" si="77"/>
        <v>0.15221311535545512</v>
      </c>
      <c r="AA460" s="8">
        <f t="shared" si="83"/>
        <v>37.3333333333333</v>
      </c>
      <c r="AB460" s="1">
        <v>37.42</v>
      </c>
      <c r="AC460">
        <v>9.485538525E-3</v>
      </c>
      <c r="AD460" s="8">
        <f t="shared" si="78"/>
        <v>4.3553464377276034</v>
      </c>
      <c r="AE460" s="3">
        <f t="shared" si="79"/>
        <v>4.5915647553891555E-2</v>
      </c>
      <c r="AF460" s="11">
        <f t="shared" si="80"/>
        <v>37.3333333333333</v>
      </c>
      <c r="AG460" s="1">
        <f t="shared" si="81"/>
        <v>0.15221311535545512</v>
      </c>
    </row>
    <row r="461" spans="2:33" ht="15" x14ac:dyDescent="0.25">
      <c r="B461" s="1">
        <v>450</v>
      </c>
      <c r="C461" s="1">
        <v>0.71226377113893169</v>
      </c>
      <c r="D461" s="1">
        <v>11.036309458117206</v>
      </c>
      <c r="E461" s="1">
        <v>2.3105360443622922E-2</v>
      </c>
      <c r="G461" s="1">
        <v>0.71226377113893169</v>
      </c>
      <c r="H461" s="1">
        <v>11.036309458117206</v>
      </c>
      <c r="I461" s="1">
        <v>2.3105360443622922E-2</v>
      </c>
      <c r="K461" s="1">
        <v>0.99967897735691769</v>
      </c>
      <c r="L461" s="1">
        <v>2.7886772065896017</v>
      </c>
      <c r="M461" s="1">
        <v>0.32649726834193499</v>
      </c>
      <c r="O461" s="1">
        <v>9.0481858958036659E-3</v>
      </c>
      <c r="P461" s="1">
        <v>0.71226377113893169</v>
      </c>
      <c r="R461" s="1">
        <v>0.18200217717735676</v>
      </c>
      <c r="S461" s="2">
        <f t="shared" si="84"/>
        <v>0.93272963563694278</v>
      </c>
      <c r="T461" s="4">
        <f t="shared" si="85"/>
        <v>0.86998457319542399</v>
      </c>
      <c r="U461" s="1">
        <f t="shared" si="88"/>
        <v>0.65838560330144968</v>
      </c>
      <c r="V461" s="6">
        <f>2*sigma/alpha*corel*(B461/12-1/alpha*(1-EXP(-alpha*Output!B461/12)))</f>
        <v>2.2597817504638429</v>
      </c>
      <c r="W461" s="5">
        <f t="shared" si="86"/>
        <v>-0.21159896989397431</v>
      </c>
      <c r="X461" s="1">
        <f t="shared" si="82"/>
        <v>36.846459043825575</v>
      </c>
      <c r="Y461" s="3">
        <f t="shared" si="87"/>
        <v>5.0804622269854632E-2</v>
      </c>
      <c r="Z461" s="1">
        <f t="shared" ref="Z461:Z524" si="89">S461/SQRT(B461/12)</f>
        <v>0.15231411168550549</v>
      </c>
      <c r="AA461" s="8">
        <f t="shared" si="83"/>
        <v>37.416666666666636</v>
      </c>
      <c r="AB461" s="1">
        <v>37.5</v>
      </c>
      <c r="AC461">
        <v>9.4850615310000004E-3</v>
      </c>
      <c r="AD461" s="8">
        <f t="shared" ref="AD461:AD524" si="90">(AC461-O461)*10000</f>
        <v>4.368756351963345</v>
      </c>
      <c r="AE461" s="3">
        <f t="shared" ref="AE461:AE524" si="91">AD461/AC461/10000</f>
        <v>4.6059335911369161E-2</v>
      </c>
      <c r="AF461" s="11">
        <f t="shared" ref="AF461:AF524" si="92">AA461</f>
        <v>37.416666666666636</v>
      </c>
      <c r="AG461" s="1">
        <f t="shared" ref="AG461:AG524" si="93">Z461</f>
        <v>0.15231411168550549</v>
      </c>
    </row>
    <row r="462" spans="2:33" ht="15" x14ac:dyDescent="0.25">
      <c r="B462" s="1">
        <v>451</v>
      </c>
      <c r="C462" s="1">
        <v>0.71178110120996307</v>
      </c>
      <c r="D462" s="1">
        <v>11.123099340400209</v>
      </c>
      <c r="E462" s="1">
        <v>2.2817505590288868E-2</v>
      </c>
      <c r="G462" s="1">
        <v>0.71178110120996307</v>
      </c>
      <c r="H462" s="1">
        <v>11.123099340400209</v>
      </c>
      <c r="I462" s="1">
        <v>2.2817505590288868E-2</v>
      </c>
      <c r="K462" s="1">
        <v>0.99969765366051033</v>
      </c>
      <c r="L462" s="1">
        <v>2.8839913093633553</v>
      </c>
      <c r="M462" s="1">
        <v>0.3156430076216119</v>
      </c>
      <c r="O462" s="1">
        <v>9.0461602739073336E-3</v>
      </c>
      <c r="P462" s="1">
        <v>0.71178110120996307</v>
      </c>
      <c r="R462" s="1">
        <v>0.18229859864119702</v>
      </c>
      <c r="S462" s="2">
        <f t="shared" si="84"/>
        <v>0.93470300225080605</v>
      </c>
      <c r="T462" s="4">
        <f t="shared" si="85"/>
        <v>0.8736697024166703</v>
      </c>
      <c r="U462" s="1">
        <f t="shared" si="88"/>
        <v>0.66153197882663939</v>
      </c>
      <c r="V462" s="6">
        <f>2*sigma/alpha*corel*(B462/12-1/alpha*(1-EXP(-alpha*Output!B462/12)))</f>
        <v>2.2678780141158428</v>
      </c>
      <c r="W462" s="5">
        <f t="shared" si="86"/>
        <v>-0.21213772359003091</v>
      </c>
      <c r="X462" s="1">
        <f t="shared" ref="X462:X525" si="94">V462*V462-4*W462*B462/12</f>
        <v>37.034641799944666</v>
      </c>
      <c r="Y462" s="3">
        <f t="shared" si="87"/>
        <v>5.0790218027445738E-2</v>
      </c>
      <c r="Z462" s="1">
        <f t="shared" si="89"/>
        <v>0.1524670472848498</v>
      </c>
      <c r="AA462" s="8">
        <f t="shared" ref="AA462:AA525" si="95">AA461+1/12</f>
        <v>37.499999999999972</v>
      </c>
      <c r="AB462" s="1">
        <v>37.58</v>
      </c>
      <c r="AC462">
        <v>9.4845866560000006E-3</v>
      </c>
      <c r="AD462" s="8">
        <f t="shared" si="90"/>
        <v>4.3842638209266696</v>
      </c>
      <c r="AE462" s="3">
        <f t="shared" si="91"/>
        <v>4.6225143803743526E-2</v>
      </c>
      <c r="AF462" s="11">
        <f t="shared" si="92"/>
        <v>37.499999999999972</v>
      </c>
      <c r="AG462" s="1">
        <f t="shared" si="93"/>
        <v>0.1524670472848498</v>
      </c>
    </row>
    <row r="463" spans="2:33" ht="15" x14ac:dyDescent="0.25">
      <c r="B463" s="1">
        <v>452</v>
      </c>
      <c r="C463" s="1">
        <v>0.71130284425025891</v>
      </c>
      <c r="D463" s="1">
        <v>11.214030995581671</v>
      </c>
      <c r="E463" s="1">
        <v>2.2526581366011891E-2</v>
      </c>
      <c r="G463" s="1">
        <v>0.71130284425025891</v>
      </c>
      <c r="H463" s="1">
        <v>11.214030995581671</v>
      </c>
      <c r="I463" s="1">
        <v>2.2526581366011891E-2</v>
      </c>
      <c r="K463" s="1">
        <v>0.99971685506053676</v>
      </c>
      <c r="L463" s="1">
        <v>2.9007400886196737</v>
      </c>
      <c r="M463" s="1">
        <v>0.31376019405946443</v>
      </c>
      <c r="O463" s="1">
        <v>9.0439911128994948E-3</v>
      </c>
      <c r="P463" s="1">
        <v>0.71130284425025891</v>
      </c>
      <c r="R463" s="1">
        <v>0.18244494556282276</v>
      </c>
      <c r="S463" s="2">
        <f t="shared" si="84"/>
        <v>0.93613839372083296</v>
      </c>
      <c r="T463" s="4">
        <f t="shared" si="85"/>
        <v>0.87635509219822127</v>
      </c>
      <c r="U463" s="1">
        <f t="shared" si="88"/>
        <v>0.66468435891416977</v>
      </c>
      <c r="V463" s="6">
        <f>2*sigma/alpha*corel*(B463/12-1/alpha*(1-EXP(-alpha*Output!B463/12)))</f>
        <v>2.2759819995677404</v>
      </c>
      <c r="W463" s="5">
        <f t="shared" si="86"/>
        <v>-0.2116707332840515</v>
      </c>
      <c r="X463" s="1">
        <f t="shared" si="94"/>
        <v>37.071817877153464</v>
      </c>
      <c r="Y463" s="3">
        <f t="shared" si="87"/>
        <v>5.0610810557362988E-2</v>
      </c>
      <c r="Z463" s="1">
        <f t="shared" si="89"/>
        <v>0.15253217494890398</v>
      </c>
      <c r="AA463" s="8">
        <f t="shared" si="95"/>
        <v>37.583333333333307</v>
      </c>
      <c r="AB463" s="1">
        <v>37.67</v>
      </c>
      <c r="AC463">
        <v>9.4841138880000005E-3</v>
      </c>
      <c r="AD463" s="8">
        <f t="shared" si="90"/>
        <v>4.4012277510050577</v>
      </c>
      <c r="AE463" s="3">
        <f t="shared" si="91"/>
        <v>4.640631484374956E-2</v>
      </c>
      <c r="AF463" s="11">
        <f t="shared" si="92"/>
        <v>37.583333333333307</v>
      </c>
      <c r="AG463" s="1">
        <f t="shared" si="93"/>
        <v>0.15253217494890398</v>
      </c>
    </row>
    <row r="464" spans="2:33" ht="15" x14ac:dyDescent="0.25">
      <c r="B464" s="1">
        <v>453</v>
      </c>
      <c r="C464" s="1">
        <v>0.71082495976420101</v>
      </c>
      <c r="D464" s="1">
        <v>11.307868014564534</v>
      </c>
      <c r="E464" s="1">
        <v>2.2235069151065063E-2</v>
      </c>
      <c r="G464" s="1">
        <v>0.71082495976420101</v>
      </c>
      <c r="H464" s="1">
        <v>11.307868014564534</v>
      </c>
      <c r="I464" s="1">
        <v>2.2235069151065063E-2</v>
      </c>
      <c r="K464" s="1">
        <v>0.99980565878566974</v>
      </c>
      <c r="L464" s="1">
        <v>2.9332292633542645</v>
      </c>
      <c r="M464" s="1">
        <v>0.31021717030133561</v>
      </c>
      <c r="O464" s="1">
        <v>9.0418296234947067E-3</v>
      </c>
      <c r="P464" s="1">
        <v>0.71082495976420101</v>
      </c>
      <c r="R464" s="1">
        <v>0.18277681625487049</v>
      </c>
      <c r="S464" s="2">
        <f t="shared" si="84"/>
        <v>0.93823233768384684</v>
      </c>
      <c r="T464" s="4">
        <f t="shared" si="85"/>
        <v>0.88027991947569606</v>
      </c>
      <c r="U464" s="1">
        <f t="shared" si="88"/>
        <v>0.66784272927773447</v>
      </c>
      <c r="V464" s="6">
        <f>2*sigma/alpha*corel*(B464/12-1/alpha*(1-EXP(-alpha*Output!B464/12)))</f>
        <v>2.284093681123057</v>
      </c>
      <c r="W464" s="5">
        <f t="shared" si="86"/>
        <v>-0.21243719019796159</v>
      </c>
      <c r="X464" s="1">
        <f t="shared" si="94"/>
        <v>37.295099664038474</v>
      </c>
      <c r="Y464" s="3">
        <f t="shared" si="87"/>
        <v>5.063414195411782E-2</v>
      </c>
      <c r="Z464" s="1">
        <f t="shared" si="89"/>
        <v>0.15270452961059994</v>
      </c>
      <c r="AA464" s="8">
        <f t="shared" si="95"/>
        <v>37.666666666666643</v>
      </c>
      <c r="AB464" s="1">
        <v>37.75</v>
      </c>
      <c r="AC464">
        <v>9.4836432120000008E-3</v>
      </c>
      <c r="AD464" s="8">
        <f t="shared" si="90"/>
        <v>4.4181358850529406</v>
      </c>
      <c r="AE464" s="3">
        <f t="shared" si="91"/>
        <v>4.6586905330458991E-2</v>
      </c>
      <c r="AF464" s="11">
        <f t="shared" si="92"/>
        <v>37.666666666666643</v>
      </c>
      <c r="AG464" s="1">
        <f t="shared" si="93"/>
        <v>0.15270452961059994</v>
      </c>
    </row>
    <row r="465" spans="2:33" ht="15" x14ac:dyDescent="0.25">
      <c r="B465" s="1">
        <v>454</v>
      </c>
      <c r="C465" s="1">
        <v>0.71035106902781853</v>
      </c>
      <c r="D465" s="1">
        <v>11.403938920503141</v>
      </c>
      <c r="E465" s="1">
        <v>2.1944261575597982E-2</v>
      </c>
      <c r="G465" s="1">
        <v>0.71035106902781853</v>
      </c>
      <c r="H465" s="1">
        <v>11.403938920503141</v>
      </c>
      <c r="I465" s="1">
        <v>2.1944261575597982E-2</v>
      </c>
      <c r="K465" s="1">
        <v>0.99986974334239853</v>
      </c>
      <c r="L465" s="1">
        <v>2.9409384131810619</v>
      </c>
      <c r="M465" s="1">
        <v>0.30934218204612945</v>
      </c>
      <c r="O465" s="1">
        <v>9.0395409973762202E-3</v>
      </c>
      <c r="P465" s="1">
        <v>0.71035106902781853</v>
      </c>
      <c r="R465" s="1">
        <v>0.18298822924757224</v>
      </c>
      <c r="S465" s="2">
        <f t="shared" si="84"/>
        <v>0.93989355514626305</v>
      </c>
      <c r="T465" s="4">
        <f t="shared" si="85"/>
        <v>0.88339989500548144</v>
      </c>
      <c r="U465" s="1">
        <f t="shared" si="88"/>
        <v>0.67100707564072248</v>
      </c>
      <c r="V465" s="6">
        <f>2*sigma/alpha*corel*(B465/12-1/alpha*(1-EXP(-alpha*Output!B465/12)))</f>
        <v>2.292213033170821</v>
      </c>
      <c r="W465" s="5">
        <f t="shared" si="86"/>
        <v>-0.21239281936475896</v>
      </c>
      <c r="X465" s="1">
        <f t="shared" si="94"/>
        <v>37.396353919971702</v>
      </c>
      <c r="Y465" s="3">
        <f t="shared" si="87"/>
        <v>5.0524794729694081E-2</v>
      </c>
      <c r="Z465" s="1">
        <f t="shared" si="89"/>
        <v>0.15280633809007171</v>
      </c>
      <c r="AA465" s="8">
        <f t="shared" si="95"/>
        <v>37.749999999999979</v>
      </c>
      <c r="AB465" s="1">
        <v>37.83</v>
      </c>
      <c r="AC465">
        <v>9.4831746140000006E-3</v>
      </c>
      <c r="AD465" s="8">
        <f t="shared" si="90"/>
        <v>4.4363361662378038</v>
      </c>
      <c r="AE465" s="3">
        <f t="shared" si="91"/>
        <v>4.6781129176810113E-2</v>
      </c>
      <c r="AF465" s="11">
        <f t="shared" si="92"/>
        <v>37.749999999999979</v>
      </c>
      <c r="AG465" s="1">
        <f t="shared" si="93"/>
        <v>0.15280633809007171</v>
      </c>
    </row>
    <row r="466" spans="2:33" ht="15" x14ac:dyDescent="0.25">
      <c r="B466" s="1">
        <v>455</v>
      </c>
      <c r="C466" s="1">
        <v>0.7098792099725445</v>
      </c>
      <c r="D466" s="1">
        <v>11.504699669815119</v>
      </c>
      <c r="E466" s="1">
        <v>2.165017644893806E-2</v>
      </c>
      <c r="G466" s="1">
        <v>0.7098792099725445</v>
      </c>
      <c r="H466" s="1">
        <v>11.504699669815119</v>
      </c>
      <c r="I466" s="1">
        <v>2.165017644893806E-2</v>
      </c>
      <c r="K466" s="1">
        <v>0.99962580917078636</v>
      </c>
      <c r="L466" s="1">
        <v>2.8625377688245974</v>
      </c>
      <c r="M466" s="1">
        <v>0.31774671718895359</v>
      </c>
      <c r="O466" s="1">
        <v>9.0371986871001612E-3</v>
      </c>
      <c r="P466" s="1">
        <v>0.7098792099725445</v>
      </c>
      <c r="R466" s="1">
        <v>0.18329831982264597</v>
      </c>
      <c r="S466" s="2">
        <f t="shared" si="84"/>
        <v>0.94190304964277005</v>
      </c>
      <c r="T466" s="4">
        <f t="shared" si="85"/>
        <v>0.88718135492635053</v>
      </c>
      <c r="U466" s="1">
        <f t="shared" si="88"/>
        <v>0.67417738373644021</v>
      </c>
      <c r="V466" s="6">
        <f>2*sigma/alpha*corel*(B466/12-1/alpha*(1-EXP(-alpha*Output!B466/12)))</f>
        <v>2.3003400301852914</v>
      </c>
      <c r="W466" s="5">
        <f t="shared" si="86"/>
        <v>-0.21300397118991032</v>
      </c>
      <c r="X466" s="1">
        <f t="shared" si="94"/>
        <v>37.597166551609263</v>
      </c>
      <c r="Y466" s="3">
        <f t="shared" si="87"/>
        <v>5.052280628470017E-2</v>
      </c>
      <c r="Z466" s="1">
        <f t="shared" si="89"/>
        <v>0.15296466775198506</v>
      </c>
      <c r="AA466" s="8">
        <f t="shared" si="95"/>
        <v>37.833333333333314</v>
      </c>
      <c r="AB466" s="1">
        <v>37.92</v>
      </c>
      <c r="AC466">
        <v>9.4827080800000008E-3</v>
      </c>
      <c r="AD466" s="8">
        <f t="shared" si="90"/>
        <v>4.4550939289983962</v>
      </c>
      <c r="AE466" s="3">
        <f t="shared" si="91"/>
        <v>4.6981240922038335E-2</v>
      </c>
      <c r="AF466" s="11">
        <f t="shared" si="92"/>
        <v>37.833333333333314</v>
      </c>
      <c r="AG466" s="1">
        <f t="shared" si="93"/>
        <v>0.15296466775198506</v>
      </c>
    </row>
    <row r="467" spans="2:33" ht="15" x14ac:dyDescent="0.25">
      <c r="B467" s="1">
        <v>456</v>
      </c>
      <c r="C467" s="1">
        <v>0.7094069454608446</v>
      </c>
      <c r="D467" s="1">
        <v>11.607122130139054</v>
      </c>
      <c r="E467" s="1">
        <v>2.135793767753786E-2</v>
      </c>
      <c r="G467" s="1">
        <v>0.7094069454608446</v>
      </c>
      <c r="H467" s="1">
        <v>11.607122130139054</v>
      </c>
      <c r="I467" s="1">
        <v>2.135793767753786E-2</v>
      </c>
      <c r="K467" s="1">
        <v>0.99957495334127766</v>
      </c>
      <c r="L467" s="1">
        <v>2.8867183122753852</v>
      </c>
      <c r="M467" s="1">
        <v>0.31502128205396623</v>
      </c>
      <c r="O467" s="1">
        <v>9.0348933178307413E-3</v>
      </c>
      <c r="P467" s="1">
        <v>0.7094069454608446</v>
      </c>
      <c r="R467" s="1">
        <v>0.1835186845274836</v>
      </c>
      <c r="S467" s="2">
        <f t="shared" si="84"/>
        <v>0.94359671382596155</v>
      </c>
      <c r="T467" s="4">
        <f t="shared" si="85"/>
        <v>0.89037475834315361</v>
      </c>
      <c r="U467" s="1">
        <f t="shared" si="88"/>
        <v>0.67735363930832859</v>
      </c>
      <c r="V467" s="6">
        <f>2*sigma/alpha*corel*(B467/12-1/alpha*(1-EXP(-alpha*Output!B467/12)))</f>
        <v>2.3084746467256707</v>
      </c>
      <c r="W467" s="5">
        <f t="shared" si="86"/>
        <v>-0.21302111903482501</v>
      </c>
      <c r="X467" s="1">
        <f t="shared" si="94"/>
        <v>37.708265287868613</v>
      </c>
      <c r="Y467" s="3">
        <f t="shared" si="87"/>
        <v>5.0424091514018818E-2</v>
      </c>
      <c r="Z467" s="1">
        <f t="shared" si="89"/>
        <v>0.15307159989116495</v>
      </c>
      <c r="AA467" s="8">
        <f t="shared" si="95"/>
        <v>37.91666666666665</v>
      </c>
      <c r="AB467" s="1">
        <v>38</v>
      </c>
      <c r="AC467">
        <v>9.4822435979999998E-3</v>
      </c>
      <c r="AD467" s="8">
        <f t="shared" si="90"/>
        <v>4.4735028016925842</v>
      </c>
      <c r="AE467" s="3">
        <f t="shared" si="91"/>
        <v>4.7177682744157068E-2</v>
      </c>
      <c r="AF467" s="11">
        <f t="shared" si="92"/>
        <v>37.91666666666665</v>
      </c>
      <c r="AG467" s="1">
        <f t="shared" si="93"/>
        <v>0.15307159989116495</v>
      </c>
    </row>
    <row r="468" spans="2:33" ht="15" x14ac:dyDescent="0.25">
      <c r="B468" s="1">
        <v>457</v>
      </c>
      <c r="C468" s="1">
        <v>0.70893141655988634</v>
      </c>
      <c r="D468" s="1">
        <v>11.711796121053125</v>
      </c>
      <c r="E468" s="1">
        <v>2.106726778604083E-2</v>
      </c>
      <c r="G468" s="1">
        <v>0.70893141655988634</v>
      </c>
      <c r="H468" s="1">
        <v>11.711796121053125</v>
      </c>
      <c r="I468" s="1">
        <v>2.106726778604083E-2</v>
      </c>
      <c r="K468" s="1">
        <v>0.99948812048982183</v>
      </c>
      <c r="L468" s="1">
        <v>2.8197266274434476</v>
      </c>
      <c r="M468" s="1">
        <v>0.32243674610105161</v>
      </c>
      <c r="O468" s="1">
        <v>9.0327305846807215E-3</v>
      </c>
      <c r="P468" s="1">
        <v>0.70893141655988634</v>
      </c>
      <c r="R468" s="1">
        <v>0.18388525785867871</v>
      </c>
      <c r="S468" s="2">
        <f t="shared" si="84"/>
        <v>0.94581853080892797</v>
      </c>
      <c r="T468" s="4">
        <f t="shared" si="85"/>
        <v>0.89457269322155908</v>
      </c>
      <c r="U468" s="1">
        <f t="shared" si="88"/>
        <v>0.68053582811017543</v>
      </c>
      <c r="V468" s="6">
        <f>2*sigma/alpha*corel*(B468/12-1/alpha*(1-EXP(-alpha*Output!B468/12)))</f>
        <v>2.3166168574358239</v>
      </c>
      <c r="W468" s="5">
        <f t="shared" si="86"/>
        <v>-0.21403686511138365</v>
      </c>
      <c r="X468" s="1">
        <f t="shared" si="94"/>
        <v>37.971662782789942</v>
      </c>
      <c r="Y468" s="3">
        <f t="shared" si="87"/>
        <v>5.0487942210744957E-2</v>
      </c>
      <c r="Z468" s="1">
        <f t="shared" si="89"/>
        <v>0.1532640655294743</v>
      </c>
      <c r="AA468" s="8">
        <f t="shared" si="95"/>
        <v>37.999999999999986</v>
      </c>
      <c r="AB468" s="1">
        <v>38.08</v>
      </c>
      <c r="AC468">
        <v>9.4817811529999997E-3</v>
      </c>
      <c r="AD468" s="8">
        <f t="shared" si="90"/>
        <v>4.4905056831927821</v>
      </c>
      <c r="AE468" s="3">
        <f t="shared" si="91"/>
        <v>4.7359305290145863E-2</v>
      </c>
      <c r="AF468" s="11">
        <f t="shared" si="92"/>
        <v>37.999999999999986</v>
      </c>
      <c r="AG468" s="1">
        <f t="shared" si="93"/>
        <v>0.1532640655294743</v>
      </c>
    </row>
    <row r="469" spans="2:33" ht="15" x14ac:dyDescent="0.25">
      <c r="B469" s="1">
        <v>458</v>
      </c>
      <c r="C469" s="1">
        <v>0.70845629663677989</v>
      </c>
      <c r="D469" s="1">
        <v>11.820750144804189</v>
      </c>
      <c r="E469" s="1">
        <v>2.0774903916069388E-2</v>
      </c>
      <c r="G469" s="1">
        <v>0.70845629663677989</v>
      </c>
      <c r="H469" s="1">
        <v>11.820750144804189</v>
      </c>
      <c r="I469" s="1">
        <v>2.0774903916069388E-2</v>
      </c>
      <c r="K469" s="1">
        <v>0.99950939157491847</v>
      </c>
      <c r="L469" s="1">
        <v>2.8908671809772613</v>
      </c>
      <c r="M469" s="1">
        <v>0.31443273094352397</v>
      </c>
      <c r="O469" s="1">
        <v>9.0305739591017599E-3</v>
      </c>
      <c r="P469" s="1">
        <v>0.70845629663677989</v>
      </c>
      <c r="R469" s="1">
        <v>0.18431351033115037</v>
      </c>
      <c r="S469" s="2">
        <f t="shared" si="84"/>
        <v>0.94826176427443198</v>
      </c>
      <c r="T469" s="4">
        <f t="shared" si="85"/>
        <v>0.89920037358485838</v>
      </c>
      <c r="U469" s="1">
        <f t="shared" si="88"/>
        <v>0.68372393590632896</v>
      </c>
      <c r="V469" s="6">
        <f>2*sigma/alpha*corel*(B469/12-1/alpha*(1-EXP(-alpha*Output!B469/12)))</f>
        <v>2.3247666370439926</v>
      </c>
      <c r="W469" s="5">
        <f t="shared" si="86"/>
        <v>-0.21547643767852942</v>
      </c>
      <c r="X469" s="1">
        <f t="shared" si="94"/>
        <v>38.30060940230166</v>
      </c>
      <c r="Y469" s="3">
        <f t="shared" si="87"/>
        <v>5.0619851221221479E-2</v>
      </c>
      <c r="Z469" s="1">
        <f t="shared" si="89"/>
        <v>0.15349213372600071</v>
      </c>
      <c r="AA469" s="8">
        <f t="shared" si="95"/>
        <v>38.083333333333321</v>
      </c>
      <c r="AB469" s="1">
        <v>38.17</v>
      </c>
      <c r="AC469">
        <v>9.4813207320000002E-3</v>
      </c>
      <c r="AD469" s="8">
        <f t="shared" si="90"/>
        <v>4.5074677289824034</v>
      </c>
      <c r="AE469" s="3">
        <f t="shared" si="91"/>
        <v>4.7540504708056569E-2</v>
      </c>
      <c r="AF469" s="11">
        <f t="shared" si="92"/>
        <v>38.083333333333321</v>
      </c>
      <c r="AG469" s="1">
        <f t="shared" si="93"/>
        <v>0.15349213372600071</v>
      </c>
    </row>
    <row r="470" spans="2:33" ht="15" x14ac:dyDescent="0.25">
      <c r="B470" s="1">
        <v>459</v>
      </c>
      <c r="C470" s="1">
        <v>0.70798297111286912</v>
      </c>
      <c r="D470" s="1">
        <v>11.932747037695547</v>
      </c>
      <c r="E470" s="1">
        <v>2.0482569333497194E-2</v>
      </c>
      <c r="G470" s="1">
        <v>0.70798297111286912</v>
      </c>
      <c r="H470" s="1">
        <v>11.932747037695547</v>
      </c>
      <c r="I470" s="1">
        <v>2.0482569333497194E-2</v>
      </c>
      <c r="K470" s="1">
        <v>0.9995272338367609</v>
      </c>
      <c r="L470" s="1">
        <v>2.8734602259337994</v>
      </c>
      <c r="M470" s="1">
        <v>0.31627641268604978</v>
      </c>
      <c r="O470" s="1">
        <v>9.0283722268795046E-3</v>
      </c>
      <c r="P470" s="1">
        <v>0.70798297111286912</v>
      </c>
      <c r="R470" s="1">
        <v>0.18469723809010094</v>
      </c>
      <c r="S470" s="2">
        <f t="shared" si="84"/>
        <v>0.95054588869149637</v>
      </c>
      <c r="T470" s="4">
        <f t="shared" si="85"/>
        <v>0.90353748650830656</v>
      </c>
      <c r="U470" s="1">
        <f t="shared" si="88"/>
        <v>0.68691794847190613</v>
      </c>
      <c r="V470" s="6">
        <f>2*sigma/alpha*corel*(B470/12-1/alpha*(1-EXP(-alpha*Output!B470/12)))</f>
        <v>2.332923960362522</v>
      </c>
      <c r="W470" s="5">
        <f t="shared" si="86"/>
        <v>-0.21661953803640044</v>
      </c>
      <c r="X470" s="1">
        <f t="shared" si="94"/>
        <v>38.585323524402824</v>
      </c>
      <c r="Y470" s="3">
        <f t="shared" si="87"/>
        <v>5.0703066967092141E-2</v>
      </c>
      <c r="Z470" s="1">
        <f t="shared" si="89"/>
        <v>0.1536941608263391</v>
      </c>
      <c r="AA470" s="8">
        <f t="shared" si="95"/>
        <v>38.166666666666657</v>
      </c>
      <c r="AB470" s="1">
        <v>38.25</v>
      </c>
      <c r="AC470">
        <v>9.4808623219999992E-3</v>
      </c>
      <c r="AD470" s="8">
        <f t="shared" si="90"/>
        <v>4.5249009512049465</v>
      </c>
      <c r="AE470" s="3">
        <f t="shared" si="91"/>
        <v>4.7726681366367665E-2</v>
      </c>
      <c r="AF470" s="11">
        <f t="shared" si="92"/>
        <v>38.166666666666657</v>
      </c>
      <c r="AG470" s="1">
        <f t="shared" si="93"/>
        <v>0.1536941608263391</v>
      </c>
    </row>
    <row r="471" spans="2:33" ht="15" x14ac:dyDescent="0.25">
      <c r="B471" s="1">
        <v>460</v>
      </c>
      <c r="C471" s="1">
        <v>0.70750756490812428</v>
      </c>
      <c r="D471" s="1">
        <v>12.042824283150885</v>
      </c>
      <c r="E471" s="1">
        <v>2.0199571769078495E-2</v>
      </c>
      <c r="G471" s="1">
        <v>0.70750756490812428</v>
      </c>
      <c r="H471" s="1">
        <v>12.042824283150885</v>
      </c>
      <c r="I471" s="1">
        <v>2.0199571769078495E-2</v>
      </c>
      <c r="K471" s="1">
        <v>0.99961571814965833</v>
      </c>
      <c r="L471" s="1">
        <v>2.9224596689677411</v>
      </c>
      <c r="M471" s="1">
        <v>0.31090741443638248</v>
      </c>
      <c r="O471" s="1">
        <v>9.0262684453633717E-3</v>
      </c>
      <c r="P471" s="1">
        <v>0.70750756490812428</v>
      </c>
      <c r="R471" s="1">
        <v>0.18496938188316003</v>
      </c>
      <c r="S471" s="2">
        <f t="shared" ref="S471:S534" si="96">optim_vol_implied(P471,R471)</f>
        <v>0.95243893054129813</v>
      </c>
      <c r="T471" s="4">
        <f t="shared" ref="T471:T534" si="97">S471*S471</f>
        <v>0.90713991641065173</v>
      </c>
      <c r="U471" s="1">
        <f t="shared" si="88"/>
        <v>0.69011785159300176</v>
      </c>
      <c r="V471" s="6">
        <f>2*sigma/alpha*corel*(B471/12-1/alpha*(1-EXP(-alpha*Output!B471/12)))</f>
        <v>2.3410888022875724</v>
      </c>
      <c r="W471" s="5">
        <f t="shared" ref="W471:W534" si="98">U471-T471</f>
        <v>-0.21702206481764996</v>
      </c>
      <c r="X471" s="1">
        <f t="shared" si="94"/>
        <v>38.757413385569258</v>
      </c>
      <c r="Y471" s="3">
        <f t="shared" ref="Y471:Y534" si="99">(-V471+SQRT(X471))/2/B471*12</f>
        <v>5.0666822943756358E-2</v>
      </c>
      <c r="Z471" s="1">
        <f t="shared" si="89"/>
        <v>0.1538327649057207</v>
      </c>
      <c r="AA471" s="8">
        <f t="shared" si="95"/>
        <v>38.249999999999993</v>
      </c>
      <c r="AB471" s="1">
        <v>38.33</v>
      </c>
      <c r="AC471">
        <v>9.4804059089999993E-3</v>
      </c>
      <c r="AD471" s="8">
        <f t="shared" si="90"/>
        <v>4.5413746363662764</v>
      </c>
      <c r="AE471" s="3">
        <f t="shared" si="91"/>
        <v>4.7902744671038076E-2</v>
      </c>
      <c r="AF471" s="11">
        <f t="shared" si="92"/>
        <v>38.249999999999993</v>
      </c>
      <c r="AG471" s="1">
        <f t="shared" si="93"/>
        <v>0.1538327649057207</v>
      </c>
    </row>
    <row r="472" spans="2:33" ht="15" x14ac:dyDescent="0.25">
      <c r="B472" s="1">
        <v>461</v>
      </c>
      <c r="C472" s="1">
        <v>0.70703273612692596</v>
      </c>
      <c r="D472" s="1">
        <v>12.154951319419967</v>
      </c>
      <c r="E472" s="1">
        <v>1.9918731575173293E-2</v>
      </c>
      <c r="G472" s="1">
        <v>0.70703273612692596</v>
      </c>
      <c r="H472" s="1">
        <v>12.154951319419967</v>
      </c>
      <c r="I472" s="1">
        <v>1.9918731575173293E-2</v>
      </c>
      <c r="K472" s="1">
        <v>0.99949223336722393</v>
      </c>
      <c r="L472" s="1">
        <v>2.882380903801478</v>
      </c>
      <c r="M472" s="1">
        <v>0.31515980422337825</v>
      </c>
      <c r="O472" s="1">
        <v>9.0241642852209054E-3</v>
      </c>
      <c r="P472" s="1">
        <v>0.70703273612692596</v>
      </c>
      <c r="R472" s="1">
        <v>0.18529244961541999</v>
      </c>
      <c r="S472" s="2">
        <f t="shared" si="96"/>
        <v>0.95451469189575633</v>
      </c>
      <c r="T472" s="4">
        <f t="shared" si="97"/>
        <v>0.91109829704485068</v>
      </c>
      <c r="U472" s="1">
        <f t="shared" si="88"/>
        <v>0.69332363106689243</v>
      </c>
      <c r="V472" s="6">
        <f>2*sigma/alpha*corel*(B472/12-1/alpha*(1-EXP(-alpha*Output!B472/12)))</f>
        <v>2.349261137798845</v>
      </c>
      <c r="W472" s="5">
        <f t="shared" si="98"/>
        <v>-0.21777466597795825</v>
      </c>
      <c r="X472" s="1">
        <f t="shared" si="94"/>
        <v>38.983734898851509</v>
      </c>
      <c r="Y472" s="3">
        <f t="shared" si="99"/>
        <v>5.0686782748176798E-2</v>
      </c>
      <c r="Z472" s="1">
        <f t="shared" si="89"/>
        <v>0.15400072938764511</v>
      </c>
      <c r="AA472" s="8">
        <f t="shared" si="95"/>
        <v>38.333333333333329</v>
      </c>
      <c r="AB472" s="1">
        <v>38.42</v>
      </c>
      <c r="AC472">
        <v>9.4799514810000006E-3</v>
      </c>
      <c r="AD472" s="8">
        <f t="shared" si="90"/>
        <v>4.5578719577909519</v>
      </c>
      <c r="AE472" s="3">
        <f t="shared" si="91"/>
        <v>4.8079064190634034E-2</v>
      </c>
      <c r="AF472" s="11">
        <f t="shared" si="92"/>
        <v>38.333333333333329</v>
      </c>
      <c r="AG472" s="1">
        <f t="shared" si="93"/>
        <v>0.15400072938764511</v>
      </c>
    </row>
    <row r="473" spans="2:33" ht="15" x14ac:dyDescent="0.25">
      <c r="B473" s="1">
        <v>462</v>
      </c>
      <c r="C473" s="1">
        <v>0.70655757755641457</v>
      </c>
      <c r="D473" s="1">
        <v>12.266176019625881</v>
      </c>
      <c r="E473" s="1">
        <v>1.9644435713584128E-2</v>
      </c>
      <c r="G473" s="1">
        <v>0.70655757755641457</v>
      </c>
      <c r="H473" s="1">
        <v>12.266176019625881</v>
      </c>
      <c r="I473" s="1">
        <v>1.9644435713584128E-2</v>
      </c>
      <c r="K473" s="1">
        <v>0.9995210227271778</v>
      </c>
      <c r="L473" s="1">
        <v>2.8557508132087683</v>
      </c>
      <c r="M473" s="1">
        <v>0.31803438012717372</v>
      </c>
      <c r="O473" s="1">
        <v>9.0220930722885485E-3</v>
      </c>
      <c r="P473" s="1">
        <v>0.70655757755641457</v>
      </c>
      <c r="R473" s="1">
        <v>0.18551948590277112</v>
      </c>
      <c r="S473" s="2">
        <f t="shared" si="96"/>
        <v>0.95625056381168783</v>
      </c>
      <c r="T473" s="4">
        <f t="shared" si="97"/>
        <v>0.91441514079017083</v>
      </c>
      <c r="U473" s="1">
        <f t="shared" si="88"/>
        <v>0.69653527270224025</v>
      </c>
      <c r="V473" s="6">
        <f>2*sigma/alpha*corel*(B473/12-1/alpha*(1-EXP(-alpha*Output!B473/12)))</f>
        <v>2.3574409419593061</v>
      </c>
      <c r="W473" s="5">
        <f t="shared" si="98"/>
        <v>-0.21787986808793058</v>
      </c>
      <c r="X473" s="1">
        <f t="shared" si="94"/>
        <v>39.111027480367291</v>
      </c>
      <c r="Y473" s="3">
        <f t="shared" si="99"/>
        <v>5.0603117551964394E-2</v>
      </c>
      <c r="Z473" s="1">
        <f t="shared" si="89"/>
        <v>0.15411373273633505</v>
      </c>
      <c r="AA473" s="8">
        <f t="shared" si="95"/>
        <v>38.416666666666664</v>
      </c>
      <c r="AB473" s="1">
        <v>38.5</v>
      </c>
      <c r="AC473">
        <v>9.4794990249999992E-3</v>
      </c>
      <c r="AD473" s="8">
        <f t="shared" si="90"/>
        <v>4.5740595271145068</v>
      </c>
      <c r="AE473" s="3">
        <f t="shared" si="91"/>
        <v>4.8252122976662336E-2</v>
      </c>
      <c r="AF473" s="11">
        <f t="shared" si="92"/>
        <v>38.416666666666664</v>
      </c>
      <c r="AG473" s="1">
        <f t="shared" si="93"/>
        <v>0.15411373273633505</v>
      </c>
    </row>
    <row r="474" spans="2:33" ht="15" x14ac:dyDescent="0.25">
      <c r="B474" s="1">
        <v>463</v>
      </c>
      <c r="C474" s="1">
        <v>0.70608141923979717</v>
      </c>
      <c r="D474" s="1">
        <v>12.374399841607683</v>
      </c>
      <c r="E474" s="1">
        <v>1.9380220546909827E-2</v>
      </c>
      <c r="G474" s="1">
        <v>0.70608141923979717</v>
      </c>
      <c r="H474" s="1">
        <v>12.374399841607683</v>
      </c>
      <c r="I474" s="1">
        <v>1.9380220546909827E-2</v>
      </c>
      <c r="K474" s="1">
        <v>0.99961702547216214</v>
      </c>
      <c r="L474" s="1">
        <v>2.8102037352617151</v>
      </c>
      <c r="M474" s="1">
        <v>0.32312238435042262</v>
      </c>
      <c r="O474" s="1">
        <v>9.0200792251234965E-3</v>
      </c>
      <c r="P474" s="1">
        <v>0.70608141923979717</v>
      </c>
      <c r="R474" s="1">
        <v>0.18592003637988669</v>
      </c>
      <c r="S474" s="2">
        <f t="shared" si="96"/>
        <v>0.95861041726517504</v>
      </c>
      <c r="T474" s="4">
        <f t="shared" si="97"/>
        <v>0.91893393208931295</v>
      </c>
      <c r="U474" s="1">
        <f t="shared" si="88"/>
        <v>0.6997527623192914</v>
      </c>
      <c r="V474" s="6">
        <f>2*sigma/alpha*corel*(B474/12-1/alpha*(1-EXP(-alpha*Output!B474/12)))</f>
        <v>2.3656281899149034</v>
      </c>
      <c r="W474" s="5">
        <f t="shared" si="98"/>
        <v>-0.21918116977002156</v>
      </c>
      <c r="X474" s="1">
        <f t="shared" si="94"/>
        <v>39.423157267426724</v>
      </c>
      <c r="Y474" s="3">
        <f t="shared" si="99"/>
        <v>5.0710472131008662E-2</v>
      </c>
      <c r="Z474" s="1">
        <f t="shared" si="89"/>
        <v>0.15432712713836583</v>
      </c>
      <c r="AA474" s="8">
        <f t="shared" si="95"/>
        <v>38.5</v>
      </c>
      <c r="AB474" s="1">
        <v>38.58</v>
      </c>
      <c r="AC474">
        <v>9.479048528E-3</v>
      </c>
      <c r="AD474" s="8">
        <f t="shared" si="90"/>
        <v>4.5896930287650344</v>
      </c>
      <c r="AE474" s="3">
        <f t="shared" si="91"/>
        <v>4.8419343093429879E-2</v>
      </c>
      <c r="AF474" s="11">
        <f t="shared" si="92"/>
        <v>38.5</v>
      </c>
      <c r="AG474" s="1">
        <f t="shared" si="93"/>
        <v>0.15432712713836583</v>
      </c>
    </row>
    <row r="475" spans="2:33" ht="15" x14ac:dyDescent="0.25">
      <c r="B475" s="1">
        <v>464</v>
      </c>
      <c r="C475" s="1">
        <v>0.70560468680124</v>
      </c>
      <c r="D475" s="1">
        <v>12.483147750536775</v>
      </c>
      <c r="E475" s="1">
        <v>1.9120093306055332E-2</v>
      </c>
      <c r="G475" s="1">
        <v>0.70560468680124</v>
      </c>
      <c r="H475" s="1">
        <v>12.483147750536775</v>
      </c>
      <c r="I475" s="1">
        <v>1.9120093306055332E-2</v>
      </c>
      <c r="K475" s="1">
        <v>0.9997379014983393</v>
      </c>
      <c r="L475" s="1">
        <v>2.7655076533330618</v>
      </c>
      <c r="M475" s="1">
        <v>0.32827851727565233</v>
      </c>
      <c r="O475" s="1">
        <v>9.0181068625760866E-3</v>
      </c>
      <c r="P475" s="1">
        <v>0.70560468680124</v>
      </c>
      <c r="R475" s="1">
        <v>0.18634809769652103</v>
      </c>
      <c r="S475" s="2">
        <f t="shared" si="96"/>
        <v>0.96107269760303038</v>
      </c>
      <c r="T475" s="4">
        <f t="shared" si="97"/>
        <v>0.9236607300779659</v>
      </c>
      <c r="U475" s="1">
        <f t="shared" si="88"/>
        <v>0.70297608575007597</v>
      </c>
      <c r="V475" s="6">
        <f>2*sigma/alpha*corel*(B475/12-1/alpha*(1-EXP(-alpha*Output!B475/12)))</f>
        <v>2.3738228568942943</v>
      </c>
      <c r="W475" s="5">
        <f t="shared" si="98"/>
        <v>-0.22068464432788992</v>
      </c>
      <c r="X475" s="1">
        <f t="shared" si="94"/>
        <v>39.76759327862743</v>
      </c>
      <c r="Y475" s="3">
        <f t="shared" si="99"/>
        <v>5.0849124995276149E-2</v>
      </c>
      <c r="Z475" s="1">
        <f t="shared" si="89"/>
        <v>0.15455671289858736</v>
      </c>
      <c r="AA475" s="8">
        <f t="shared" si="95"/>
        <v>38.583333333333336</v>
      </c>
      <c r="AB475" s="1">
        <v>38.67</v>
      </c>
      <c r="AC475">
        <v>9.4785999760000003E-3</v>
      </c>
      <c r="AD475" s="8">
        <f t="shared" si="90"/>
        <v>4.6049311342391368</v>
      </c>
      <c r="AE475" s="3">
        <f t="shared" si="91"/>
        <v>4.8582397673695613E-2</v>
      </c>
      <c r="AF475" s="11">
        <f t="shared" si="92"/>
        <v>38.583333333333336</v>
      </c>
      <c r="AG475" s="1">
        <f t="shared" si="93"/>
        <v>0.15455671289858736</v>
      </c>
    </row>
    <row r="476" spans="2:33" ht="15" x14ac:dyDescent="0.25">
      <c r="B476" s="1">
        <v>465</v>
      </c>
      <c r="C476" s="1">
        <v>0.7051315044504004</v>
      </c>
      <c r="D476" s="1">
        <v>12.597314252601347</v>
      </c>
      <c r="E476" s="1">
        <v>1.8856895023665405E-2</v>
      </c>
      <c r="G476" s="1">
        <v>0.7051315044504004</v>
      </c>
      <c r="H476" s="1">
        <v>12.597314252601347</v>
      </c>
      <c r="I476" s="1">
        <v>1.8856895023665405E-2</v>
      </c>
      <c r="K476" s="1">
        <v>0.99979987155549244</v>
      </c>
      <c r="L476" s="1">
        <v>2.767934175495713</v>
      </c>
      <c r="M476" s="1">
        <v>0.32791771336530917</v>
      </c>
      <c r="O476" s="1">
        <v>9.0160248368856208E-3</v>
      </c>
      <c r="P476" s="1">
        <v>0.7051315044504004</v>
      </c>
      <c r="R476" s="1">
        <v>0.18681216003513648</v>
      </c>
      <c r="S476" s="2">
        <f t="shared" si="96"/>
        <v>0.96365998464486191</v>
      </c>
      <c r="T476" s="4">
        <f t="shared" si="97"/>
        <v>0.92864056600573552</v>
      </c>
      <c r="U476" s="1">
        <f t="shared" si="88"/>
        <v>0.7062052288386047</v>
      </c>
      <c r="V476" s="6">
        <f>2*sigma/alpha*corel*(B476/12-1/alpha*(1-EXP(-alpha*Output!B476/12)))</f>
        <v>2.3820249182085722</v>
      </c>
      <c r="W476" s="5">
        <f t="shared" si="98"/>
        <v>-0.22243533716713082</v>
      </c>
      <c r="X476" s="1">
        <f t="shared" si="94"/>
        <v>40.151519971871835</v>
      </c>
      <c r="Y476" s="3">
        <f t="shared" si="99"/>
        <v>5.1025777874627185E-2</v>
      </c>
      <c r="Z476" s="1">
        <f t="shared" si="89"/>
        <v>0.15480606523132767</v>
      </c>
      <c r="AA476" s="8">
        <f t="shared" si="95"/>
        <v>38.666666666666671</v>
      </c>
      <c r="AB476" s="1">
        <v>38.75</v>
      </c>
      <c r="AC476">
        <v>9.4781533580000007E-3</v>
      </c>
      <c r="AD476" s="8">
        <f t="shared" si="90"/>
        <v>4.6212852111437996</v>
      </c>
      <c r="AE476" s="3">
        <f t="shared" si="91"/>
        <v>4.8757231884660537E-2</v>
      </c>
      <c r="AF476" s="11">
        <f t="shared" si="92"/>
        <v>38.666666666666671</v>
      </c>
      <c r="AG476" s="1">
        <f t="shared" si="93"/>
        <v>0.15480606523132767</v>
      </c>
    </row>
    <row r="477" spans="2:33" ht="15" x14ac:dyDescent="0.25">
      <c r="B477" s="1">
        <v>466</v>
      </c>
      <c r="C477" s="1">
        <v>0.70466158924489208</v>
      </c>
      <c r="D477" s="1">
        <v>12.715043167571555</v>
      </c>
      <c r="E477" s="1">
        <v>1.8593235780822937E-2</v>
      </c>
      <c r="G477" s="1">
        <v>0.70466158924489208</v>
      </c>
      <c r="H477" s="1">
        <v>12.715043167571555</v>
      </c>
      <c r="I477" s="1">
        <v>1.8593235780822937E-2</v>
      </c>
      <c r="K477" s="1">
        <v>0.99979617149422562</v>
      </c>
      <c r="L477" s="1">
        <v>2.7778921680878996</v>
      </c>
      <c r="M477" s="1">
        <v>0.3266784693719898</v>
      </c>
      <c r="O477" s="1">
        <v>9.0138439485719524E-3</v>
      </c>
      <c r="P477" s="1">
        <v>0.70466158924489208</v>
      </c>
      <c r="R477" s="1">
        <v>0.18727800617871729</v>
      </c>
      <c r="S477" s="2">
        <f t="shared" si="96"/>
        <v>0.96625052473913309</v>
      </c>
      <c r="T477" s="4">
        <f t="shared" si="97"/>
        <v>0.93364007655865</v>
      </c>
      <c r="U477" s="1">
        <f t="shared" si="88"/>
        <v>0.70944017744106125</v>
      </c>
      <c r="V477" s="6">
        <f>2*sigma/alpha*corel*(B477/12-1/alpha*(1-EXP(-alpha*Output!B477/12)))</f>
        <v>2.3902343492509872</v>
      </c>
      <c r="W477" s="5">
        <f t="shared" si="98"/>
        <v>-0.22419989911758875</v>
      </c>
      <c r="X477" s="1">
        <f t="shared" si="94"/>
        <v>40.538937907271411</v>
      </c>
      <c r="Y477" s="3">
        <f t="shared" si="99"/>
        <v>5.1203242884812386E-2</v>
      </c>
      <c r="Z477" s="1">
        <f t="shared" si="89"/>
        <v>0.15505558271511552</v>
      </c>
      <c r="AA477" s="8">
        <f t="shared" si="95"/>
        <v>38.750000000000007</v>
      </c>
      <c r="AB477" s="1">
        <v>38.83</v>
      </c>
      <c r="AC477">
        <v>9.4777086619999996E-3</v>
      </c>
      <c r="AD477" s="8">
        <f t="shared" si="90"/>
        <v>4.6386471342804718</v>
      </c>
      <c r="AE477" s="3">
        <f t="shared" si="91"/>
        <v>4.8942706509630333E-2</v>
      </c>
      <c r="AF477" s="11">
        <f t="shared" si="92"/>
        <v>38.750000000000007</v>
      </c>
      <c r="AG477" s="1">
        <f t="shared" si="93"/>
        <v>0.15505558271511552</v>
      </c>
    </row>
    <row r="478" spans="2:33" ht="15" x14ac:dyDescent="0.25">
      <c r="B478" s="1">
        <v>467</v>
      </c>
      <c r="C478" s="1">
        <v>0.70419657522399559</v>
      </c>
      <c r="D478" s="1">
        <v>12.836640907807245</v>
      </c>
      <c r="E478" s="1">
        <v>1.8329453598988212E-2</v>
      </c>
      <c r="G478" s="1">
        <v>0.70419657522399559</v>
      </c>
      <c r="H478" s="1">
        <v>12.836640907807245</v>
      </c>
      <c r="I478" s="1">
        <v>1.8329453598988212E-2</v>
      </c>
      <c r="K478" s="1">
        <v>0.99980931752409741</v>
      </c>
      <c r="L478" s="1">
        <v>2.7375566753853069</v>
      </c>
      <c r="M478" s="1">
        <v>0.33142208304076504</v>
      </c>
      <c r="O478" s="1">
        <v>9.0115049840689895E-3</v>
      </c>
      <c r="P478" s="1">
        <v>0.70419657522399559</v>
      </c>
      <c r="R478" s="1">
        <v>0.18763800334339414</v>
      </c>
      <c r="S478" s="2">
        <f t="shared" si="96"/>
        <v>0.96845509153402531</v>
      </c>
      <c r="T478" s="4">
        <f t="shared" si="97"/>
        <v>0.93790526431817733</v>
      </c>
      <c r="U478" s="1">
        <f t="shared" si="88"/>
        <v>0.7126809174259936</v>
      </c>
      <c r="V478" s="6">
        <f>2*sigma/alpha*corel*(B478/12-1/alpha*(1-EXP(-alpha*Output!B478/12)))</f>
        <v>2.3984511254966758</v>
      </c>
      <c r="W478" s="5">
        <f t="shared" si="98"/>
        <v>-0.22522434689218374</v>
      </c>
      <c r="X478" s="1">
        <f t="shared" si="94"/>
        <v>40.81249113427954</v>
      </c>
      <c r="Y478" s="3">
        <f t="shared" si="99"/>
        <v>5.126356766863429E-2</v>
      </c>
      <c r="Z478" s="1">
        <f t="shared" si="89"/>
        <v>0.15524287231406625</v>
      </c>
      <c r="AA478" s="8">
        <f t="shared" si="95"/>
        <v>38.833333333333343</v>
      </c>
      <c r="AB478" s="1">
        <v>38.92</v>
      </c>
      <c r="AC478">
        <v>9.4772658739999995E-3</v>
      </c>
      <c r="AD478" s="8">
        <f t="shared" si="90"/>
        <v>4.657608899310099</v>
      </c>
      <c r="AE478" s="3">
        <f t="shared" si="91"/>
        <v>4.9145069487686502E-2</v>
      </c>
      <c r="AF478" s="11">
        <f t="shared" si="92"/>
        <v>38.833333333333343</v>
      </c>
      <c r="AG478" s="1">
        <f t="shared" si="93"/>
        <v>0.15524287231406625</v>
      </c>
    </row>
    <row r="479" spans="2:33" ht="15" x14ac:dyDescent="0.25">
      <c r="B479" s="1">
        <v>468</v>
      </c>
      <c r="C479" s="1">
        <v>0.70372842741024866</v>
      </c>
      <c r="D479" s="1">
        <v>12.959914982957713</v>
      </c>
      <c r="E479" s="1">
        <v>1.806815307339284E-2</v>
      </c>
      <c r="G479" s="1">
        <v>0.70372842741024866</v>
      </c>
      <c r="H479" s="1">
        <v>12.959914982957713</v>
      </c>
      <c r="I479" s="1">
        <v>1.806815307339284E-2</v>
      </c>
      <c r="K479" s="1">
        <v>0.99981505932114834</v>
      </c>
      <c r="L479" s="1">
        <v>2.7573046378194643</v>
      </c>
      <c r="M479" s="1">
        <v>0.3289787632282799</v>
      </c>
      <c r="O479" s="1">
        <v>9.0093013786362586E-3</v>
      </c>
      <c r="P479" s="1">
        <v>0.70372842741024866</v>
      </c>
      <c r="R479" s="1">
        <v>0.18797254854144943</v>
      </c>
      <c r="S479" s="2">
        <f t="shared" si="96"/>
        <v>0.97057709909510215</v>
      </c>
      <c r="T479" s="4">
        <f t="shared" si="97"/>
        <v>0.94201990528786372</v>
      </c>
      <c r="U479" s="1">
        <f t="shared" si="88"/>
        <v>0.71592743467450459</v>
      </c>
      <c r="V479" s="6">
        <f>2*sigma/alpha*corel*(B479/12-1/alpha*(1-EXP(-alpha*Output!B479/12)))</f>
        <v>2.4066752225023897</v>
      </c>
      <c r="W479" s="5">
        <f t="shared" si="98"/>
        <v>-0.22609247061335913</v>
      </c>
      <c r="X479" s="1">
        <f t="shared" si="94"/>
        <v>41.06251104229095</v>
      </c>
      <c r="Y479" s="3">
        <f t="shared" si="99"/>
        <v>5.1299082667785906E-2</v>
      </c>
      <c r="Z479" s="1">
        <f t="shared" si="89"/>
        <v>0.1554167190035958</v>
      </c>
      <c r="AA479" s="8">
        <f t="shared" si="95"/>
        <v>38.916666666666679</v>
      </c>
      <c r="AB479" s="1">
        <v>39</v>
      </c>
      <c r="AC479">
        <v>9.4768249830000009E-3</v>
      </c>
      <c r="AD479" s="8">
        <f t="shared" si="90"/>
        <v>4.6752360436374225</v>
      </c>
      <c r="AE479" s="3">
        <f t="shared" si="91"/>
        <v>4.9333358503761471E-2</v>
      </c>
      <c r="AF479" s="11">
        <f t="shared" si="92"/>
        <v>38.916666666666679</v>
      </c>
      <c r="AG479" s="1">
        <f t="shared" si="93"/>
        <v>0.1554167190035958</v>
      </c>
    </row>
    <row r="480" spans="2:33" ht="15" x14ac:dyDescent="0.25">
      <c r="B480" s="1">
        <v>469</v>
      </c>
      <c r="C480" s="1">
        <v>0.70325997106549776</v>
      </c>
      <c r="D480" s="1">
        <v>13.085922164934964</v>
      </c>
      <c r="E480" s="1">
        <v>1.7808804673030344E-2</v>
      </c>
      <c r="G480" s="1">
        <v>0.70325997106549776</v>
      </c>
      <c r="H480" s="1">
        <v>13.085922164934964</v>
      </c>
      <c r="I480" s="1">
        <v>1.7808804673030344E-2</v>
      </c>
      <c r="K480" s="1">
        <v>0.99985486238658761</v>
      </c>
      <c r="L480" s="1">
        <v>2.7746722252982963</v>
      </c>
      <c r="M480" s="1">
        <v>0.32685319749486075</v>
      </c>
      <c r="O480" s="1">
        <v>9.0071297184405943E-3</v>
      </c>
      <c r="P480" s="1">
        <v>0.70325997106549776</v>
      </c>
      <c r="R480" s="1">
        <v>0.18833621660303562</v>
      </c>
      <c r="S480" s="2">
        <f t="shared" si="96"/>
        <v>0.97280682126327389</v>
      </c>
      <c r="T480" s="4">
        <f t="shared" si="97"/>
        <v>0.94635311149635526</v>
      </c>
      <c r="U480" s="1">
        <f t="shared" si="88"/>
        <v>0.71917971508043976</v>
      </c>
      <c r="V480" s="6">
        <f>2*sigma/alpha*corel*(B480/12-1/alpha*(1-EXP(-alpha*Output!B480/12)))</f>
        <v>2.4149066159062209</v>
      </c>
      <c r="W480" s="5">
        <f t="shared" si="98"/>
        <v>-0.2271733964159155</v>
      </c>
      <c r="X480" s="1">
        <f t="shared" si="94"/>
        <v>41.346548269902421</v>
      </c>
      <c r="Y480" s="3">
        <f t="shared" si="99"/>
        <v>5.1367439911781915E-2</v>
      </c>
      <c r="Z480" s="1">
        <f t="shared" si="89"/>
        <v>0.1556076015729442</v>
      </c>
      <c r="AA480" s="8">
        <f t="shared" si="95"/>
        <v>39.000000000000014</v>
      </c>
      <c r="AB480" s="1">
        <v>39.08</v>
      </c>
      <c r="AC480">
        <v>9.4763859759999999E-3</v>
      </c>
      <c r="AD480" s="8">
        <f t="shared" si="90"/>
        <v>4.6925625755940557</v>
      </c>
      <c r="AE480" s="3">
        <f t="shared" si="91"/>
        <v>4.9518482968913376E-2</v>
      </c>
      <c r="AF480" s="11">
        <f t="shared" si="92"/>
        <v>39.000000000000014</v>
      </c>
      <c r="AG480" s="1">
        <f t="shared" si="93"/>
        <v>0.1556076015729442</v>
      </c>
    </row>
    <row r="481" spans="2:33" ht="15" x14ac:dyDescent="0.25">
      <c r="B481" s="1">
        <v>470</v>
      </c>
      <c r="C481" s="1">
        <v>0.70279262854949509</v>
      </c>
      <c r="D481" s="1">
        <v>13.216674156115356</v>
      </c>
      <c r="E481" s="1">
        <v>1.7548169725897591E-2</v>
      </c>
      <c r="G481" s="1">
        <v>0.70279262854949509</v>
      </c>
      <c r="H481" s="1">
        <v>13.216674156115356</v>
      </c>
      <c r="I481" s="1">
        <v>1.7548169725897591E-2</v>
      </c>
      <c r="K481" s="1">
        <v>0.99975153657142035</v>
      </c>
      <c r="L481" s="1">
        <v>2.738272165114922</v>
      </c>
      <c r="M481" s="1">
        <v>0.33112922245542542</v>
      </c>
      <c r="O481" s="1">
        <v>9.0049381637368024E-3</v>
      </c>
      <c r="P481" s="1">
        <v>0.70279262854949509</v>
      </c>
      <c r="R481" s="1">
        <v>0.18877317954932687</v>
      </c>
      <c r="S481" s="2">
        <f t="shared" si="96"/>
        <v>0.97530051662055195</v>
      </c>
      <c r="T481" s="4">
        <f t="shared" si="97"/>
        <v>0.95121109772031553</v>
      </c>
      <c r="U481" s="1">
        <f t="shared" si="88"/>
        <v>0.7224377445505703</v>
      </c>
      <c r="V481" s="6">
        <f>2*sigma/alpha*corel*(B481/12-1/alpha*(1-EXP(-alpha*Output!B481/12)))</f>
        <v>2.423145281427332</v>
      </c>
      <c r="W481" s="5">
        <f t="shared" si="98"/>
        <v>-0.22877335316974523</v>
      </c>
      <c r="X481" s="1">
        <f t="shared" si="94"/>
        <v>41.712791718163629</v>
      </c>
      <c r="Y481" s="3">
        <f t="shared" si="99"/>
        <v>5.1515729427348583E-2</v>
      </c>
      <c r="Z481" s="1">
        <f t="shared" si="89"/>
        <v>0.15584043375471951</v>
      </c>
      <c r="AA481" s="8">
        <f t="shared" si="95"/>
        <v>39.08333333333335</v>
      </c>
      <c r="AB481" s="1">
        <v>39.17</v>
      </c>
      <c r="AC481">
        <v>9.4759488420000006E-3</v>
      </c>
      <c r="AD481" s="8">
        <f t="shared" si="90"/>
        <v>4.710106782631982</v>
      </c>
      <c r="AE481" s="3">
        <f t="shared" si="91"/>
        <v>4.9705911895128629E-2</v>
      </c>
      <c r="AF481" s="11">
        <f t="shared" si="92"/>
        <v>39.08333333333335</v>
      </c>
      <c r="AG481" s="1">
        <f t="shared" si="93"/>
        <v>0.15584043375471951</v>
      </c>
    </row>
    <row r="482" spans="2:33" ht="15" x14ac:dyDescent="0.25">
      <c r="B482" s="1">
        <v>471</v>
      </c>
      <c r="C482" s="1">
        <v>0.70232188222107061</v>
      </c>
      <c r="D482" s="1">
        <v>13.347748902147654</v>
      </c>
      <c r="E482" s="1">
        <v>1.7292660994673859E-2</v>
      </c>
      <c r="G482" s="1">
        <v>0.70232188222107061</v>
      </c>
      <c r="H482" s="1">
        <v>13.347748902147654</v>
      </c>
      <c r="I482" s="1">
        <v>1.7292660994673859E-2</v>
      </c>
      <c r="K482" s="1">
        <v>0.99969386638363067</v>
      </c>
      <c r="L482" s="1">
        <v>2.6779978034201344</v>
      </c>
      <c r="M482" s="1">
        <v>0.33851040885223121</v>
      </c>
      <c r="O482" s="1">
        <v>9.0028906589256896E-3</v>
      </c>
      <c r="P482" s="1">
        <v>0.70232188222107061</v>
      </c>
      <c r="R482" s="1">
        <v>0.18914591136542203</v>
      </c>
      <c r="S482" s="2">
        <f t="shared" si="96"/>
        <v>0.97757296319899756</v>
      </c>
      <c r="T482" s="4">
        <f t="shared" si="97"/>
        <v>0.95564889837766864</v>
      </c>
      <c r="U482" s="1">
        <f t="shared" si="88"/>
        <v>0.72570150900477826</v>
      </c>
      <c r="V482" s="6">
        <f>2*sigma/alpha*corel*(B482/12-1/alpha*(1-EXP(-alpha*Output!B482/12)))</f>
        <v>2.4313911948656886</v>
      </c>
      <c r="W482" s="5">
        <f t="shared" si="98"/>
        <v>-0.22994738937289039</v>
      </c>
      <c r="X482" s="1">
        <f t="shared" si="94"/>
        <v>42.013403274014195</v>
      </c>
      <c r="Y482" s="3">
        <f t="shared" si="99"/>
        <v>5.1597242115860031E-2</v>
      </c>
      <c r="Z482" s="1">
        <f t="shared" si="89"/>
        <v>0.15603763210785387</v>
      </c>
      <c r="AA482" s="8">
        <f t="shared" si="95"/>
        <v>39.166666666666686</v>
      </c>
      <c r="AB482" s="1">
        <v>39.25</v>
      </c>
      <c r="AC482">
        <v>9.4755135670000004E-3</v>
      </c>
      <c r="AD482" s="8">
        <f t="shared" si="90"/>
        <v>4.7262290807431082</v>
      </c>
      <c r="AE482" s="3">
        <f t="shared" si="91"/>
        <v>4.9878342185092329E-2</v>
      </c>
      <c r="AF482" s="11">
        <f t="shared" si="92"/>
        <v>39.166666666666686</v>
      </c>
      <c r="AG482" s="1">
        <f t="shared" si="93"/>
        <v>0.15603763210785387</v>
      </c>
    </row>
    <row r="483" spans="2:33" ht="15" x14ac:dyDescent="0.25">
      <c r="B483" s="1">
        <v>472</v>
      </c>
      <c r="C483" s="1">
        <v>0.70184872119837161</v>
      </c>
      <c r="D483" s="1">
        <v>13.477270583161499</v>
      </c>
      <c r="E483" s="1">
        <v>1.7044486108743821E-2</v>
      </c>
      <c r="G483" s="1">
        <v>0.70184872119837161</v>
      </c>
      <c r="H483" s="1">
        <v>13.477270583161499</v>
      </c>
      <c r="I483" s="1">
        <v>1.7044486108743821E-2</v>
      </c>
      <c r="K483" s="1">
        <v>0.99969458708642855</v>
      </c>
      <c r="L483" s="1">
        <v>2.6378343815758818</v>
      </c>
      <c r="M483" s="1">
        <v>0.34359791287100155</v>
      </c>
      <c r="O483" s="1">
        <v>9.0009507215473468E-3</v>
      </c>
      <c r="P483" s="1">
        <v>0.70184872119837161</v>
      </c>
      <c r="R483" s="1">
        <v>0.18936038930523005</v>
      </c>
      <c r="S483" s="2">
        <f t="shared" si="96"/>
        <v>0.97928309178116124</v>
      </c>
      <c r="T483" s="4">
        <f t="shared" si="97"/>
        <v>0.95899537384847022</v>
      </c>
      <c r="U483" s="1">
        <f t="shared" si="88"/>
        <v>0.72897099437623503</v>
      </c>
      <c r="V483" s="6">
        <f>2*sigma/alpha*corel*(B483/12-1/alpha*(1-EXP(-alpha*Output!B483/12)))</f>
        <v>2.4396443321017887</v>
      </c>
      <c r="W483" s="5">
        <f t="shared" si="98"/>
        <v>-0.2300243794722352</v>
      </c>
      <c r="X483" s="1">
        <f t="shared" si="94"/>
        <v>42.142366837454723</v>
      </c>
      <c r="Y483" s="3">
        <f t="shared" si="99"/>
        <v>5.1509376026387457E-2</v>
      </c>
      <c r="Z483" s="1">
        <f t="shared" si="89"/>
        <v>0.15614492728930213</v>
      </c>
      <c r="AA483" s="8">
        <f t="shared" si="95"/>
        <v>39.250000000000021</v>
      </c>
      <c r="AB483" s="1">
        <v>39.33</v>
      </c>
      <c r="AC483">
        <v>9.4750801410000002E-3</v>
      </c>
      <c r="AD483" s="8">
        <f t="shared" si="90"/>
        <v>4.7412941945265334</v>
      </c>
      <c r="AE483" s="3">
        <f t="shared" si="91"/>
        <v>5.00396210266369E-2</v>
      </c>
      <c r="AF483" s="11">
        <f t="shared" si="92"/>
        <v>39.250000000000021</v>
      </c>
      <c r="AG483" s="1">
        <f t="shared" si="93"/>
        <v>0.15614492728930213</v>
      </c>
    </row>
    <row r="484" spans="2:33" ht="15" x14ac:dyDescent="0.25">
      <c r="B484" s="1">
        <v>473</v>
      </c>
      <c r="C484" s="1">
        <v>0.70137524445922361</v>
      </c>
      <c r="D484" s="1">
        <v>13.605812403058588</v>
      </c>
      <c r="E484" s="1">
        <v>1.6802204449223739E-2</v>
      </c>
      <c r="G484" s="1">
        <v>0.70137524445922361</v>
      </c>
      <c r="H484" s="1">
        <v>13.605812403058588</v>
      </c>
      <c r="I484" s="1">
        <v>1.6802204449223739E-2</v>
      </c>
      <c r="K484" s="1">
        <v>0.99971940783273805</v>
      </c>
      <c r="L484" s="1">
        <v>2.6262460657655873</v>
      </c>
      <c r="M484" s="1">
        <v>0.34503990137913898</v>
      </c>
      <c r="O484" s="1">
        <v>8.9990419374605616E-3</v>
      </c>
      <c r="P484" s="1">
        <v>0.70137524445922361</v>
      </c>
      <c r="R484" s="1">
        <v>0.18975939933076499</v>
      </c>
      <c r="S484" s="2">
        <f t="shared" si="96"/>
        <v>0.9816607385187246</v>
      </c>
      <c r="T484" s="4">
        <f t="shared" si="97"/>
        <v>0.96365780554912783</v>
      </c>
      <c r="U484" s="1">
        <f t="shared" si="88"/>
        <v>0.73224618661158347</v>
      </c>
      <c r="V484" s="6">
        <f>2*sigma/alpha*corel*(B484/12-1/alpha*(1-EXP(-alpha*Output!B484/12)))</f>
        <v>2.4479046690963924</v>
      </c>
      <c r="W484" s="5">
        <f t="shared" si="98"/>
        <v>-0.23141161893754436</v>
      </c>
      <c r="X484" s="1">
        <f t="shared" si="94"/>
        <v>42.478135854803412</v>
      </c>
      <c r="Y484" s="3">
        <f t="shared" si="99"/>
        <v>5.162309450729987E-2</v>
      </c>
      <c r="Z484" s="1">
        <f t="shared" si="89"/>
        <v>0.15635849242515176</v>
      </c>
      <c r="AA484" s="8">
        <f t="shared" si="95"/>
        <v>39.333333333333357</v>
      </c>
      <c r="AB484" s="1">
        <v>39.42</v>
      </c>
      <c r="AC484">
        <v>9.474648552E-3</v>
      </c>
      <c r="AD484" s="8">
        <f t="shared" si="90"/>
        <v>4.7560661453943842</v>
      </c>
      <c r="AE484" s="3">
        <f t="shared" si="91"/>
        <v>5.0197810708138911E-2</v>
      </c>
      <c r="AF484" s="11">
        <f t="shared" si="92"/>
        <v>39.333333333333357</v>
      </c>
      <c r="AG484" s="1">
        <f t="shared" si="93"/>
        <v>0.15635849242515176</v>
      </c>
    </row>
    <row r="485" spans="2:33" ht="15" x14ac:dyDescent="0.25">
      <c r="B485" s="1">
        <v>474</v>
      </c>
      <c r="C485" s="1">
        <v>0.70090483325594899</v>
      </c>
      <c r="D485" s="1">
        <v>13.738905833539416</v>
      </c>
      <c r="E485" s="1">
        <v>1.6559307158588485E-2</v>
      </c>
      <c r="G485" s="1">
        <v>0.70090483325594899</v>
      </c>
      <c r="H485" s="1">
        <v>13.738905833539416</v>
      </c>
      <c r="I485" s="1">
        <v>1.6559307158588485E-2</v>
      </c>
      <c r="K485" s="1">
        <v>0.99952454675387492</v>
      </c>
      <c r="L485" s="1">
        <v>2.7201905228727803</v>
      </c>
      <c r="M485" s="1">
        <v>0.33304891074033732</v>
      </c>
      <c r="O485" s="1">
        <v>8.9970420180832365E-3</v>
      </c>
      <c r="P485" s="1">
        <v>0.70090483325594899</v>
      </c>
      <c r="R485" s="1">
        <v>0.1900657075554926</v>
      </c>
      <c r="S485" s="2">
        <f t="shared" si="96"/>
        <v>0.98370086873346763</v>
      </c>
      <c r="T485" s="4">
        <f t="shared" si="97"/>
        <v>0.96766739914697886</v>
      </c>
      <c r="U485" s="1">
        <f t="shared" si="88"/>
        <v>0.73552707167111109</v>
      </c>
      <c r="V485" s="6">
        <f>2*sigma/alpha*corel*(B485/12-1/alpha*(1-EXP(-alpha*Output!B485/12)))</f>
        <v>2.4561721818902607</v>
      </c>
      <c r="W485" s="5">
        <f t="shared" si="98"/>
        <v>-0.23214032747586777</v>
      </c>
      <c r="X485" s="1">
        <f t="shared" si="94"/>
        <v>42.710953528278672</v>
      </c>
      <c r="Y485" s="3">
        <f t="shared" si="99"/>
        <v>5.163531130339255E-2</v>
      </c>
      <c r="Z485" s="1">
        <f t="shared" si="89"/>
        <v>0.15651807831418077</v>
      </c>
      <c r="AA485" s="8">
        <f t="shared" si="95"/>
        <v>39.416666666666693</v>
      </c>
      <c r="AB485" s="1">
        <v>39.5</v>
      </c>
      <c r="AC485">
        <v>9.4742187890000003E-3</v>
      </c>
      <c r="AD485" s="8">
        <f t="shared" si="90"/>
        <v>4.7717677091676372</v>
      </c>
      <c r="AE485" s="3">
        <f t="shared" si="91"/>
        <v>5.03658171237071E-2</v>
      </c>
      <c r="AF485" s="11">
        <f t="shared" si="92"/>
        <v>39.416666666666693</v>
      </c>
      <c r="AG485" s="1">
        <f t="shared" si="93"/>
        <v>0.15651807831418077</v>
      </c>
    </row>
    <row r="486" spans="2:33" ht="15" x14ac:dyDescent="0.25">
      <c r="B486" s="1">
        <v>475</v>
      </c>
      <c r="C486" s="1">
        <v>0.70043395822147569</v>
      </c>
      <c r="D486" s="1">
        <v>13.872319174319562</v>
      </c>
      <c r="E486" s="1">
        <v>1.6321201240411292E-2</v>
      </c>
      <c r="G486" s="1">
        <v>0.70043395822147569</v>
      </c>
      <c r="H486" s="1">
        <v>13.872319174319562</v>
      </c>
      <c r="I486" s="1">
        <v>1.6321201240411292E-2</v>
      </c>
      <c r="K486" s="1">
        <v>0.99958655302817223</v>
      </c>
      <c r="L486" s="1">
        <v>2.7190072804232583</v>
      </c>
      <c r="M486" s="1">
        <v>0.3331281887550363</v>
      </c>
      <c r="O486" s="1">
        <v>8.9950786283609363E-3</v>
      </c>
      <c r="P486" s="1">
        <v>0.70043395822147569</v>
      </c>
      <c r="R486" s="1">
        <v>0.19028966336041914</v>
      </c>
      <c r="S486" s="2">
        <f t="shared" si="96"/>
        <v>0.98544704001641947</v>
      </c>
      <c r="T486" s="4">
        <f t="shared" si="97"/>
        <v>0.97110586867712267</v>
      </c>
      <c r="U486" s="1">
        <f t="shared" si="88"/>
        <v>0.73881363552892809</v>
      </c>
      <c r="V486" s="6">
        <f>2*sigma/alpha*corel*(B486/12-1/alpha*(1-EXP(-alpha*Output!B486/12)))</f>
        <v>2.4644468466038836</v>
      </c>
      <c r="W486" s="5">
        <f t="shared" si="98"/>
        <v>-0.23229223314819458</v>
      </c>
      <c r="X486" s="1">
        <f t="shared" si="94"/>
        <v>42.853101841533302</v>
      </c>
      <c r="Y486" s="3">
        <f t="shared" si="99"/>
        <v>5.1559341669914535E-2</v>
      </c>
      <c r="Z486" s="1">
        <f t="shared" si="89"/>
        <v>0.15663077888108623</v>
      </c>
      <c r="AA486" s="8">
        <f t="shared" si="95"/>
        <v>39.500000000000028</v>
      </c>
      <c r="AB486" s="1">
        <v>39.58</v>
      </c>
      <c r="AC486">
        <v>9.4737908380000003E-3</v>
      </c>
      <c r="AD486" s="8">
        <f t="shared" si="90"/>
        <v>4.7871220963906396</v>
      </c>
      <c r="AE486" s="3">
        <f t="shared" si="91"/>
        <v>5.0530164516501427E-2</v>
      </c>
      <c r="AF486" s="11">
        <f t="shared" si="92"/>
        <v>39.500000000000028</v>
      </c>
      <c r="AG486" s="1">
        <f t="shared" si="93"/>
        <v>0.15663077888108623</v>
      </c>
    </row>
    <row r="487" spans="2:33" ht="15" x14ac:dyDescent="0.25">
      <c r="B487" s="1">
        <v>476</v>
      </c>
      <c r="C487" s="1">
        <v>0.69996403755053316</v>
      </c>
      <c r="D487" s="1">
        <v>14.00324875371086</v>
      </c>
      <c r="E487" s="1">
        <v>1.609062238527386E-2</v>
      </c>
      <c r="G487" s="1">
        <v>0.69996403755053316</v>
      </c>
      <c r="H487" s="1">
        <v>14.00324875371086</v>
      </c>
      <c r="I487" s="1">
        <v>1.609062238527386E-2</v>
      </c>
      <c r="K487" s="1">
        <v>0.99966736761152497</v>
      </c>
      <c r="L487" s="1">
        <v>2.7212112164444293</v>
      </c>
      <c r="M487" s="1">
        <v>0.33279266292687465</v>
      </c>
      <c r="O487" s="1">
        <v>8.9931005088977889E-3</v>
      </c>
      <c r="P487" s="1">
        <v>0.69996403755053316</v>
      </c>
      <c r="R487" s="1">
        <v>0.1906914237370658</v>
      </c>
      <c r="S487" s="2">
        <f t="shared" si="96"/>
        <v>0.98783558058200227</v>
      </c>
      <c r="T487" s="4">
        <f t="shared" si="97"/>
        <v>0.97581913426378153</v>
      </c>
      <c r="U487" s="1">
        <f t="shared" si="88"/>
        <v>0.74210586417313484</v>
      </c>
      <c r="V487" s="6">
        <f>2*sigma/alpha*corel*(B487/12-1/alpha*(1-EXP(-alpha*Output!B487/12)))</f>
        <v>2.4727286394372157</v>
      </c>
      <c r="W487" s="5">
        <f t="shared" si="98"/>
        <v>-0.23371327009064669</v>
      </c>
      <c r="X487" s="1">
        <f t="shared" si="94"/>
        <v>43.1968924453423</v>
      </c>
      <c r="Y487" s="3">
        <f t="shared" si="99"/>
        <v>5.1676961932953805E-2</v>
      </c>
      <c r="Z487" s="1">
        <f t="shared" si="89"/>
        <v>0.15684540916583392</v>
      </c>
      <c r="AA487" s="8">
        <f t="shared" si="95"/>
        <v>39.583333333333364</v>
      </c>
      <c r="AB487" s="1">
        <v>39.67</v>
      </c>
      <c r="AC487">
        <v>9.4733646899999996E-3</v>
      </c>
      <c r="AD487" s="8">
        <f t="shared" si="90"/>
        <v>4.8026418110221067</v>
      </c>
      <c r="AE487" s="3">
        <f t="shared" si="91"/>
        <v>5.0696262290965459E-2</v>
      </c>
      <c r="AF487" s="11">
        <f t="shared" si="92"/>
        <v>39.583333333333364</v>
      </c>
      <c r="AG487" s="1">
        <f t="shared" si="93"/>
        <v>0.15684540916583392</v>
      </c>
    </row>
    <row r="488" spans="2:33" ht="15" x14ac:dyDescent="0.25">
      <c r="B488" s="1">
        <v>477</v>
      </c>
      <c r="C488" s="1">
        <v>0.6994920969473627</v>
      </c>
      <c r="D488" s="1">
        <v>14.133676310545136</v>
      </c>
      <c r="E488" s="1">
        <v>1.5865460891638903E-2</v>
      </c>
      <c r="G488" s="1">
        <v>0.6994920969473627</v>
      </c>
      <c r="H488" s="1">
        <v>14.133676310545136</v>
      </c>
      <c r="I488" s="1">
        <v>1.5865460891638903E-2</v>
      </c>
      <c r="K488" s="1">
        <v>0.9996240835707827</v>
      </c>
      <c r="L488" s="1">
        <v>2.7619140943131484</v>
      </c>
      <c r="M488" s="1">
        <v>0.32782020604635548</v>
      </c>
      <c r="O488" s="1">
        <v>8.9912146688232858E-3</v>
      </c>
      <c r="P488" s="1">
        <v>0.6994920969473627</v>
      </c>
      <c r="R488" s="1">
        <v>0.19084417710072829</v>
      </c>
      <c r="S488" s="2">
        <f t="shared" si="96"/>
        <v>0.98933079996631923</v>
      </c>
      <c r="T488" s="4">
        <f t="shared" si="97"/>
        <v>0.97877543176199711</v>
      </c>
      <c r="U488" s="1">
        <f t="shared" si="88"/>
        <v>0.74540374360600037</v>
      </c>
      <c r="V488" s="6">
        <f>2*sigma/alpha*corel*(B488/12-1/alpha*(1-EXP(-alpha*Output!B488/12)))</f>
        <v>2.4810175366694169</v>
      </c>
      <c r="W488" s="5">
        <f t="shared" si="98"/>
        <v>-0.23337168815599674</v>
      </c>
      <c r="X488" s="1">
        <f t="shared" si="94"/>
        <v>43.261546434064662</v>
      </c>
      <c r="Y488" s="3">
        <f t="shared" si="99"/>
        <v>5.1526207331534082E-2</v>
      </c>
      <c r="Z488" s="1">
        <f t="shared" si="89"/>
        <v>0.15691807194261789</v>
      </c>
      <c r="AA488" s="8">
        <f t="shared" si="95"/>
        <v>39.6666666666667</v>
      </c>
      <c r="AB488" s="1">
        <v>39.75</v>
      </c>
      <c r="AC488">
        <v>9.4729403319999995E-3</v>
      </c>
      <c r="AD488" s="8">
        <f t="shared" si="90"/>
        <v>4.8172566317671377</v>
      </c>
      <c r="AE488" s="3">
        <f t="shared" si="91"/>
        <v>5.0852812990853938E-2</v>
      </c>
      <c r="AF488" s="11">
        <f t="shared" si="92"/>
        <v>39.6666666666667</v>
      </c>
      <c r="AG488" s="1">
        <f t="shared" si="93"/>
        <v>0.15691807194261789</v>
      </c>
    </row>
    <row r="489" spans="2:33" ht="15" x14ac:dyDescent="0.25">
      <c r="B489" s="1">
        <v>478</v>
      </c>
      <c r="C489" s="1">
        <v>0.69901989061238257</v>
      </c>
      <c r="D489" s="1">
        <v>14.269610011558383</v>
      </c>
      <c r="E489" s="1">
        <v>1.5638439283759482E-2</v>
      </c>
      <c r="G489" s="1">
        <v>0.69901989061238257</v>
      </c>
      <c r="H489" s="1">
        <v>14.269610011558383</v>
      </c>
      <c r="I489" s="1">
        <v>1.5638439283759482E-2</v>
      </c>
      <c r="K489" s="1">
        <v>0.99960092901986586</v>
      </c>
      <c r="L489" s="1">
        <v>2.7275276052522606</v>
      </c>
      <c r="M489" s="1">
        <v>0.33188106016010066</v>
      </c>
      <c r="O489" s="1">
        <v>8.9893576905810783E-3</v>
      </c>
      <c r="P489" s="1">
        <v>0.69901989061238257</v>
      </c>
      <c r="R489" s="1">
        <v>0.19116954690740715</v>
      </c>
      <c r="S489" s="2">
        <f t="shared" si="96"/>
        <v>0.99145269261349855</v>
      </c>
      <c r="T489" s="4">
        <f t="shared" si="97"/>
        <v>0.98297844169055648</v>
      </c>
      <c r="U489" s="1">
        <f t="shared" si="88"/>
        <v>0.74870725984412356</v>
      </c>
      <c r="V489" s="6">
        <f>2*sigma/alpha*corel*(B489/12-1/alpha*(1-EXP(-alpha*Output!B489/12)))</f>
        <v>2.4893135146585816</v>
      </c>
      <c r="W489" s="5">
        <f t="shared" si="98"/>
        <v>-0.23427118184643292</v>
      </c>
      <c r="X489" s="1">
        <f t="shared" si="94"/>
        <v>43.523890081793503</v>
      </c>
      <c r="Y489" s="3">
        <f t="shared" si="99"/>
        <v>5.1564229936943901E-2</v>
      </c>
      <c r="Z489" s="1">
        <f t="shared" si="89"/>
        <v>0.1570900476000725</v>
      </c>
      <c r="AA489" s="8">
        <f t="shared" si="95"/>
        <v>39.750000000000036</v>
      </c>
      <c r="AB489" s="1">
        <v>39.83</v>
      </c>
      <c r="AC489">
        <v>9.4725177539999993E-3</v>
      </c>
      <c r="AD489" s="8">
        <f t="shared" si="90"/>
        <v>4.8316006341892104</v>
      </c>
      <c r="AE489" s="3">
        <f t="shared" si="91"/>
        <v>5.1006509142186095E-2</v>
      </c>
      <c r="AF489" s="11">
        <f t="shared" si="92"/>
        <v>39.750000000000036</v>
      </c>
      <c r="AG489" s="1">
        <f t="shared" si="93"/>
        <v>0.1570900476000725</v>
      </c>
    </row>
    <row r="490" spans="2:33" ht="15" x14ac:dyDescent="0.25">
      <c r="B490" s="1">
        <v>479</v>
      </c>
      <c r="C490" s="1">
        <v>0.69854902691572196</v>
      </c>
      <c r="D490" s="1">
        <v>14.411921541499128</v>
      </c>
      <c r="E490" s="1">
        <v>1.5409032775012712E-2</v>
      </c>
      <c r="G490" s="1">
        <v>0.69854902691572196</v>
      </c>
      <c r="H490" s="1">
        <v>14.411921541499128</v>
      </c>
      <c r="I490" s="1">
        <v>1.5409032775012712E-2</v>
      </c>
      <c r="K490" s="1">
        <v>0.99967820538158592</v>
      </c>
      <c r="L490" s="1">
        <v>2.6721349629795541</v>
      </c>
      <c r="M490" s="1">
        <v>0.33868755964221842</v>
      </c>
      <c r="O490" s="1">
        <v>8.9874717467854897E-3</v>
      </c>
      <c r="P490" s="1">
        <v>0.69854902691572196</v>
      </c>
      <c r="R490" s="1">
        <v>0.19157900063370895</v>
      </c>
      <c r="S490" s="2">
        <f t="shared" si="96"/>
        <v>0.99387895370343071</v>
      </c>
      <c r="T490" s="4">
        <f t="shared" si="97"/>
        <v>0.98779537461462619</v>
      </c>
      <c r="U490" s="1">
        <f t="shared" si="88"/>
        <v>0.7520163989186015</v>
      </c>
      <c r="V490" s="6">
        <f>2*sigma/alpha*corel*(B490/12-1/alpha*(1-EXP(-alpha*Output!B490/12)))</f>
        <v>2.4976165498414806</v>
      </c>
      <c r="W490" s="5">
        <f t="shared" si="98"/>
        <v>-0.23577897569602468</v>
      </c>
      <c r="X490" s="1">
        <f t="shared" si="94"/>
        <v>43.884131549507337</v>
      </c>
      <c r="Y490" s="3">
        <f t="shared" si="99"/>
        <v>5.1693862550678357E-2</v>
      </c>
      <c r="Z490" s="1">
        <f t="shared" si="89"/>
        <v>0.15731001063997183</v>
      </c>
      <c r="AA490" s="8">
        <f t="shared" si="95"/>
        <v>39.833333333333371</v>
      </c>
      <c r="AB490" s="1">
        <v>39.92</v>
      </c>
      <c r="AC490">
        <v>9.4720969440000007E-3</v>
      </c>
      <c r="AD490" s="8">
        <f t="shared" si="90"/>
        <v>4.8462519721451098</v>
      </c>
      <c r="AE490" s="3">
        <f t="shared" si="91"/>
        <v>5.1163454098882684E-2</v>
      </c>
      <c r="AF490" s="11">
        <f t="shared" si="92"/>
        <v>39.833333333333371</v>
      </c>
      <c r="AG490" s="1">
        <f t="shared" si="93"/>
        <v>0.15731001063997183</v>
      </c>
    </row>
    <row r="491" spans="2:33" ht="15" x14ac:dyDescent="0.25">
      <c r="B491" s="1">
        <v>480</v>
      </c>
      <c r="C491" s="1">
        <v>0.69807779959349969</v>
      </c>
      <c r="D491" s="1">
        <v>14.550110580840414</v>
      </c>
      <c r="E491" s="1">
        <v>1.5188796743521979E-2</v>
      </c>
      <c r="G491" s="1">
        <v>0.69807779959349969</v>
      </c>
      <c r="H491" s="1">
        <v>14.550110580840414</v>
      </c>
      <c r="I491" s="1">
        <v>1.5188796743521979E-2</v>
      </c>
      <c r="K491" s="1">
        <v>0.99969826039990672</v>
      </c>
      <c r="L491" s="1">
        <v>2.6729431202229343</v>
      </c>
      <c r="M491" s="1">
        <v>0.33851426187444944</v>
      </c>
      <c r="O491" s="1">
        <v>8.9856180423844474E-3</v>
      </c>
      <c r="P491" s="1">
        <v>0.69807779959349969</v>
      </c>
      <c r="R491" s="1">
        <v>0.19207389568729877</v>
      </c>
      <c r="S491" s="2">
        <f t="shared" si="96"/>
        <v>0.99661872075696745</v>
      </c>
      <c r="T491" s="4">
        <f t="shared" si="97"/>
        <v>0.99324887456325428</v>
      </c>
      <c r="U491" s="1">
        <f t="shared" si="88"/>
        <v>0.75533114687519953</v>
      </c>
      <c r="V491" s="6">
        <f>2*sigma/alpha*corel*(B491/12-1/alpha*(1-EXP(-alpha*Output!B491/12)))</f>
        <v>2.5059266187332985</v>
      </c>
      <c r="W491" s="5">
        <f t="shared" si="98"/>
        <v>-0.23791772768805475</v>
      </c>
      <c r="X491" s="1">
        <f t="shared" si="94"/>
        <v>44.346504648564867</v>
      </c>
      <c r="Y491" s="3">
        <f t="shared" si="99"/>
        <v>5.191738140083238E-2</v>
      </c>
      <c r="Z491" s="1">
        <f t="shared" si="89"/>
        <v>0.1575792558177673</v>
      </c>
      <c r="AA491" s="8">
        <f t="shared" si="95"/>
        <v>39.916666666666707</v>
      </c>
      <c r="AB491" s="1">
        <v>40</v>
      </c>
      <c r="AC491">
        <v>9.4716778919999994E-3</v>
      </c>
      <c r="AD491" s="8">
        <f t="shared" si="90"/>
        <v>4.8605984961555198</v>
      </c>
      <c r="AE491" s="3">
        <f t="shared" si="91"/>
        <v>5.1317185313711891E-2</v>
      </c>
      <c r="AF491" s="11">
        <f t="shared" si="92"/>
        <v>39.916666666666707</v>
      </c>
      <c r="AG491" s="1">
        <f t="shared" si="93"/>
        <v>0.1575792558177673</v>
      </c>
    </row>
    <row r="492" spans="2:33" ht="15" x14ac:dyDescent="0.25">
      <c r="B492" s="1">
        <v>481</v>
      </c>
      <c r="C492" s="1">
        <v>0.69760873205015417</v>
      </c>
      <c r="D492" s="1">
        <v>14.689464715905753</v>
      </c>
      <c r="E492" s="1">
        <v>1.4971852916516948E-2</v>
      </c>
      <c r="G492" s="1">
        <v>0.69760873205015417</v>
      </c>
      <c r="H492" s="1">
        <v>14.689464715905753</v>
      </c>
      <c r="I492" s="1">
        <v>1.4971852916516948E-2</v>
      </c>
      <c r="K492" s="1">
        <v>0.9996644323760826</v>
      </c>
      <c r="L492" s="1">
        <v>2.6685854364657131</v>
      </c>
      <c r="M492" s="1">
        <v>0.33899910603659017</v>
      </c>
      <c r="O492" s="1">
        <v>8.9837061752676278E-3</v>
      </c>
      <c r="P492" s="1">
        <v>0.69760873205015417</v>
      </c>
      <c r="R492" s="1">
        <v>0.19252754544462328</v>
      </c>
      <c r="S492" s="2">
        <f t="shared" si="96"/>
        <v>0.99920811378848717</v>
      </c>
      <c r="T492" s="4">
        <f t="shared" si="97"/>
        <v>0.99841685466074637</v>
      </c>
      <c r="U492" s="1">
        <f t="shared" si="88"/>
        <v>0.75865148977450492</v>
      </c>
      <c r="V492" s="6">
        <f>2*sigma/alpha*corel*(B492/12-1/alpha*(1-EXP(-alpha*Output!B492/12)))</f>
        <v>2.5142436979273706</v>
      </c>
      <c r="W492" s="5">
        <f t="shared" si="98"/>
        <v>-0.23976536488624145</v>
      </c>
      <c r="X492" s="1">
        <f t="shared" si="94"/>
        <v>44.763801542661547</v>
      </c>
      <c r="Y492" s="3">
        <f t="shared" si="99"/>
        <v>5.2095615946883084E-2</v>
      </c>
      <c r="Z492" s="1">
        <f t="shared" si="89"/>
        <v>0.15782435996576985</v>
      </c>
      <c r="AA492" s="8">
        <f t="shared" si="95"/>
        <v>40.000000000000043</v>
      </c>
      <c r="AB492" s="1">
        <v>40.08</v>
      </c>
      <c r="AC492">
        <v>9.4712605850000003E-3</v>
      </c>
      <c r="AD492" s="8">
        <f t="shared" si="90"/>
        <v>4.8755440973237247</v>
      </c>
      <c r="AE492" s="3">
        <f t="shared" si="91"/>
        <v>5.1477245859387621E-2</v>
      </c>
      <c r="AF492" s="11">
        <f t="shared" si="92"/>
        <v>40.000000000000043</v>
      </c>
      <c r="AG492" s="1">
        <f t="shared" si="93"/>
        <v>0.15782435996576985</v>
      </c>
    </row>
    <row r="493" spans="2:33" ht="15" x14ac:dyDescent="0.25">
      <c r="B493" s="1">
        <v>482</v>
      </c>
      <c r="C493" s="1">
        <v>0.69713894512707564</v>
      </c>
      <c r="D493" s="1">
        <v>14.822500555843771</v>
      </c>
      <c r="E493" s="1">
        <v>1.47653781413342E-2</v>
      </c>
      <c r="G493" s="1">
        <v>0.69713894512707564</v>
      </c>
      <c r="H493" s="1">
        <v>14.822500555843771</v>
      </c>
      <c r="I493" s="1">
        <v>1.47653781413342E-2</v>
      </c>
      <c r="K493" s="1">
        <v>0.99970525759049056</v>
      </c>
      <c r="L493" s="1">
        <v>2.7094965951605663</v>
      </c>
      <c r="M493" s="1">
        <v>0.33380581404443205</v>
      </c>
      <c r="O493" s="1">
        <v>8.9818391876526783E-3</v>
      </c>
      <c r="P493" s="1">
        <v>0.69713894512707564</v>
      </c>
      <c r="R493" s="1">
        <v>0.19283347228213235</v>
      </c>
      <c r="S493" s="2">
        <f t="shared" si="96"/>
        <v>1.0012658853127785</v>
      </c>
      <c r="T493" s="4">
        <f t="shared" si="97"/>
        <v>1.0025333730911821</v>
      </c>
      <c r="U493" s="1">
        <f t="shared" si="88"/>
        <v>0.76197741369209426</v>
      </c>
      <c r="V493" s="6">
        <f>2*sigma/alpha*corel*(B493/12-1/alpha*(1-EXP(-alpha*Output!B493/12)))</f>
        <v>2.5225677640949256</v>
      </c>
      <c r="W493" s="5">
        <f t="shared" si="98"/>
        <v>-0.2405559593990878</v>
      </c>
      <c r="X493" s="1">
        <f t="shared" si="94"/>
        <v>45.012672267904314</v>
      </c>
      <c r="Y493" s="3">
        <f t="shared" si="99"/>
        <v>5.2115111663890878E-2</v>
      </c>
      <c r="Z493" s="1">
        <f t="shared" si="89"/>
        <v>0.15798524326470187</v>
      </c>
      <c r="AA493" s="8">
        <f t="shared" si="95"/>
        <v>40.083333333333378</v>
      </c>
      <c r="AB493" s="1">
        <v>40.17</v>
      </c>
      <c r="AC493">
        <v>9.4708450139999994E-3</v>
      </c>
      <c r="AD493" s="8">
        <f t="shared" si="90"/>
        <v>4.890058263473211</v>
      </c>
      <c r="AE493" s="3">
        <f t="shared" si="91"/>
        <v>5.1632755643711052E-2</v>
      </c>
      <c r="AF493" s="11">
        <f t="shared" si="92"/>
        <v>40.083333333333378</v>
      </c>
      <c r="AG493" s="1">
        <f t="shared" si="93"/>
        <v>0.15798524326470187</v>
      </c>
    </row>
    <row r="494" spans="2:33" ht="15" x14ac:dyDescent="0.25">
      <c r="B494" s="1">
        <v>483</v>
      </c>
      <c r="C494" s="1">
        <v>0.6966693071945077</v>
      </c>
      <c r="D494" s="1">
        <v>14.956178397295922</v>
      </c>
      <c r="E494" s="1">
        <v>1.45623998835008E-2</v>
      </c>
      <c r="G494" s="1">
        <v>0.6966693071945077</v>
      </c>
      <c r="H494" s="1">
        <v>14.956178397295922</v>
      </c>
      <c r="I494" s="1">
        <v>1.45623998835008E-2</v>
      </c>
      <c r="K494" s="1">
        <v>0.99987344988473381</v>
      </c>
      <c r="L494" s="1">
        <v>2.7752243008654673</v>
      </c>
      <c r="M494" s="1">
        <v>0.3258385695121741</v>
      </c>
      <c r="O494" s="1">
        <v>8.9799858998067632E-3</v>
      </c>
      <c r="P494" s="1">
        <v>0.6966693071945077</v>
      </c>
      <c r="R494" s="1">
        <v>0.19330125894530978</v>
      </c>
      <c r="S494" s="2">
        <f t="shared" si="96"/>
        <v>1.003914049045026</v>
      </c>
      <c r="T494" s="4">
        <f t="shared" si="97"/>
        <v>1.0078434178699789</v>
      </c>
      <c r="U494" s="1">
        <f t="shared" si="88"/>
        <v>0.76530890471869073</v>
      </c>
      <c r="V494" s="6">
        <f>2*sigma/alpha*corel*(B494/12-1/alpha*(1-EXP(-alpha*Output!B494/12)))</f>
        <v>2.5308987939848264</v>
      </c>
      <c r="W494" s="5">
        <f t="shared" si="98"/>
        <v>-0.24253451315128816</v>
      </c>
      <c r="X494" s="1">
        <f t="shared" si="94"/>
        <v>45.453505322751248</v>
      </c>
      <c r="Y494" s="3">
        <f t="shared" si="99"/>
        <v>5.2310840894011404E-2</v>
      </c>
      <c r="Z494" s="1">
        <f t="shared" si="89"/>
        <v>0.15823902180440316</v>
      </c>
      <c r="AA494" s="8">
        <f t="shared" si="95"/>
        <v>40.166666666666714</v>
      </c>
      <c r="AB494" s="1">
        <v>40.25</v>
      </c>
      <c r="AC494">
        <v>9.4704311670000003E-3</v>
      </c>
      <c r="AD494" s="8">
        <f t="shared" si="90"/>
        <v>4.9044526719323711</v>
      </c>
      <c r="AE494" s="3">
        <f t="shared" si="91"/>
        <v>5.1787005105132733E-2</v>
      </c>
      <c r="AF494" s="11">
        <f t="shared" si="92"/>
        <v>40.166666666666714</v>
      </c>
      <c r="AG494" s="1">
        <f t="shared" si="93"/>
        <v>0.15823902180440316</v>
      </c>
    </row>
    <row r="495" spans="2:33" ht="15" x14ac:dyDescent="0.25">
      <c r="B495" s="1">
        <v>484</v>
      </c>
      <c r="C495" s="1">
        <v>0.69619954890378322</v>
      </c>
      <c r="D495" s="1">
        <v>15.087735180072118</v>
      </c>
      <c r="E495" s="1">
        <v>1.4365339309314487E-2</v>
      </c>
      <c r="G495" s="1">
        <v>0.69619954890378322</v>
      </c>
      <c r="H495" s="1">
        <v>15.087735180072118</v>
      </c>
      <c r="I495" s="1">
        <v>1.4365339309314487E-2</v>
      </c>
      <c r="K495" s="1">
        <v>0.99977762234991419</v>
      </c>
      <c r="L495" s="1">
        <v>2.8292471203219143</v>
      </c>
      <c r="M495" s="1">
        <v>0.31954508899495615</v>
      </c>
      <c r="O495" s="1">
        <v>8.9781558234438077E-3</v>
      </c>
      <c r="P495" s="1">
        <v>0.69619954890378322</v>
      </c>
      <c r="R495" s="1">
        <v>0.19346247066467886</v>
      </c>
      <c r="S495" s="2">
        <f t="shared" si="96"/>
        <v>1.0054507673468531</v>
      </c>
      <c r="T495" s="4">
        <f t="shared" si="97"/>
        <v>1.0109312455583759</v>
      </c>
      <c r="U495" s="1">
        <f t="shared" si="88"/>
        <v>0.76864594896031857</v>
      </c>
      <c r="V495" s="6">
        <f>2*sigma/alpha*corel*(B495/12-1/alpha*(1-EXP(-alpha*Output!B495/12)))</f>
        <v>2.5392367644233094</v>
      </c>
      <c r="W495" s="5">
        <f t="shared" si="98"/>
        <v>-0.24228529659805731</v>
      </c>
      <c r="X495" s="1">
        <f t="shared" si="94"/>
        <v>45.536417863618865</v>
      </c>
      <c r="Y495" s="3">
        <f t="shared" si="99"/>
        <v>5.2175590275640393E-2</v>
      </c>
      <c r="Z495" s="1">
        <f t="shared" si="89"/>
        <v>0.15831743759580585</v>
      </c>
      <c r="AA495" s="8">
        <f t="shared" si="95"/>
        <v>40.25000000000005</v>
      </c>
      <c r="AB495" s="1">
        <v>40.33</v>
      </c>
      <c r="AC495">
        <v>9.4700190340000004E-3</v>
      </c>
      <c r="AD495" s="8">
        <f t="shared" si="90"/>
        <v>4.918632105561926</v>
      </c>
      <c r="AE495" s="3">
        <f t="shared" si="91"/>
        <v>5.1938988590230599E-2</v>
      </c>
      <c r="AF495" s="11">
        <f t="shared" si="92"/>
        <v>40.25000000000005</v>
      </c>
      <c r="AG495" s="1">
        <f t="shared" si="93"/>
        <v>0.15831743759580585</v>
      </c>
    </row>
    <row r="496" spans="2:33" ht="15" x14ac:dyDescent="0.25">
      <c r="B496" s="1">
        <v>485</v>
      </c>
      <c r="C496" s="1">
        <v>0.69572985749667493</v>
      </c>
      <c r="D496" s="1">
        <v>15.221626887481733</v>
      </c>
      <c r="E496" s="1">
        <v>1.4169323414806942E-2</v>
      </c>
      <c r="G496" s="1">
        <v>0.69572985749667493</v>
      </c>
      <c r="H496" s="1">
        <v>15.221626887481733</v>
      </c>
      <c r="I496" s="1">
        <v>1.4169323414806942E-2</v>
      </c>
      <c r="K496" s="1">
        <v>0.99982222458347647</v>
      </c>
      <c r="L496" s="1">
        <v>2.86691167029718</v>
      </c>
      <c r="M496" s="1">
        <v>0.3152854170271604</v>
      </c>
      <c r="O496" s="1">
        <v>8.9763421799392701E-3</v>
      </c>
      <c r="P496" s="1">
        <v>0.69572985749667493</v>
      </c>
      <c r="R496" s="1">
        <v>0.19369087427591425</v>
      </c>
      <c r="S496" s="2">
        <f t="shared" si="96"/>
        <v>1.0072335509199795</v>
      </c>
      <c r="T496" s="4">
        <f t="shared" si="97"/>
        <v>1.0145194260988708</v>
      </c>
      <c r="U496" s="1">
        <f t="shared" si="88"/>
        <v>0.77198853253846123</v>
      </c>
      <c r="V496" s="6">
        <f>2*sigma/alpha*corel*(B496/12-1/alpha*(1-EXP(-alpha*Output!B496/12)))</f>
        <v>2.5475816523137271</v>
      </c>
      <c r="W496" s="5">
        <f t="shared" si="98"/>
        <v>-0.24253089356040958</v>
      </c>
      <c r="X496" s="1">
        <f t="shared" si="94"/>
        <v>45.699333400805088</v>
      </c>
      <c r="Y496" s="3">
        <f t="shared" si="99"/>
        <v>5.2113978019660195E-2</v>
      </c>
      <c r="Z496" s="1">
        <f t="shared" si="89"/>
        <v>0.1584345655896475</v>
      </c>
      <c r="AA496" s="8">
        <f t="shared" si="95"/>
        <v>40.333333333333385</v>
      </c>
      <c r="AB496" s="1">
        <v>40.42</v>
      </c>
      <c r="AC496">
        <v>9.4696086050000006E-3</v>
      </c>
      <c r="AD496" s="8">
        <f t="shared" si="90"/>
        <v>4.9326642506073055</v>
      </c>
      <c r="AE496" s="3">
        <f t="shared" si="91"/>
        <v>5.2089420549048179E-2</v>
      </c>
      <c r="AF496" s="11">
        <f t="shared" si="92"/>
        <v>40.333333333333385</v>
      </c>
      <c r="AG496" s="1">
        <f t="shared" si="93"/>
        <v>0.1584345655896475</v>
      </c>
    </row>
    <row r="497" spans="2:33" ht="15" x14ac:dyDescent="0.25">
      <c r="B497" s="1">
        <v>486</v>
      </c>
      <c r="C497" s="1">
        <v>0.6952615740738689</v>
      </c>
      <c r="D497" s="1">
        <v>15.352493244902972</v>
      </c>
      <c r="E497" s="1">
        <v>1.398014818957081E-2</v>
      </c>
      <c r="G497" s="1">
        <v>0.6952615740738689</v>
      </c>
      <c r="H497" s="1">
        <v>15.352493244902972</v>
      </c>
      <c r="I497" s="1">
        <v>1.398014818957081E-2</v>
      </c>
      <c r="K497" s="1">
        <v>0.99988644230889445</v>
      </c>
      <c r="L497" s="1">
        <v>2.9669311857809135</v>
      </c>
      <c r="M497" s="1">
        <v>0.30459102629583101</v>
      </c>
      <c r="O497" s="1">
        <v>8.9744972506466559E-3</v>
      </c>
      <c r="P497" s="1">
        <v>0.6952615740738689</v>
      </c>
      <c r="R497" s="1">
        <v>0.19389192158378377</v>
      </c>
      <c r="S497" s="2">
        <f t="shared" si="96"/>
        <v>1.0089158206402693</v>
      </c>
      <c r="T497" s="4">
        <f t="shared" si="97"/>
        <v>1.017911133138228</v>
      </c>
      <c r="U497" s="1">
        <f t="shared" si="88"/>
        <v>0.77533664159021232</v>
      </c>
      <c r="V497" s="6">
        <f>2*sigma/alpha*corel*(B497/12-1/alpha*(1-EXP(-alpha*Output!B497/12)))</f>
        <v>2.5559334346362959</v>
      </c>
      <c r="W497" s="5">
        <f t="shared" si="98"/>
        <v>-0.24257449154801569</v>
      </c>
      <c r="X497" s="1">
        <f t="shared" si="94"/>
        <v>45.829863353070238</v>
      </c>
      <c r="Y497" s="3">
        <f t="shared" si="99"/>
        <v>5.2022744312959363E-2</v>
      </c>
      <c r="Z497" s="1">
        <f t="shared" si="89"/>
        <v>0.15853582631580554</v>
      </c>
      <c r="AA497" s="8">
        <f t="shared" si="95"/>
        <v>40.416666666666721</v>
      </c>
      <c r="AB497" s="1">
        <v>40.5</v>
      </c>
      <c r="AC497">
        <v>9.4691998679999993E-3</v>
      </c>
      <c r="AD497" s="8">
        <f t="shared" si="90"/>
        <v>4.947026173533434</v>
      </c>
      <c r="AE497" s="3">
        <f t="shared" si="91"/>
        <v>5.2243338851166325E-2</v>
      </c>
      <c r="AF497" s="11">
        <f t="shared" si="92"/>
        <v>40.416666666666721</v>
      </c>
      <c r="AG497" s="1">
        <f t="shared" si="93"/>
        <v>0.15853582631580554</v>
      </c>
    </row>
    <row r="498" spans="2:33" ht="15" x14ac:dyDescent="0.25">
      <c r="B498" s="1">
        <v>487</v>
      </c>
      <c r="C498" s="1">
        <v>0.69479352649974035</v>
      </c>
      <c r="D498" s="1">
        <v>15.484430405227544</v>
      </c>
      <c r="E498" s="1">
        <v>1.3793483958178155E-2</v>
      </c>
      <c r="G498" s="1">
        <v>0.69479352649974035</v>
      </c>
      <c r="H498" s="1">
        <v>15.484430405227544</v>
      </c>
      <c r="I498" s="1">
        <v>1.3793483958178155E-2</v>
      </c>
      <c r="K498" s="1">
        <v>0.9998180302002414</v>
      </c>
      <c r="L498" s="1">
        <v>2.9940564598891286</v>
      </c>
      <c r="M498" s="1">
        <v>0.30177080797173089</v>
      </c>
      <c r="O498" s="1">
        <v>8.9726627119989816E-3</v>
      </c>
      <c r="P498" s="1">
        <v>0.69479352649974035</v>
      </c>
      <c r="R498" s="1">
        <v>0.19414130421076367</v>
      </c>
      <c r="S498" s="2">
        <f t="shared" si="96"/>
        <v>1.0107756801174392</v>
      </c>
      <c r="T498" s="4">
        <f t="shared" si="97"/>
        <v>1.0216674755168718</v>
      </c>
      <c r="U498" s="1">
        <f t="shared" si="88"/>
        <v>0.77869026226842797</v>
      </c>
      <c r="V498" s="6">
        <f>2*sigma/alpha*corel*(B498/12-1/alpha*(1-EXP(-alpha*Output!B498/12)))</f>
        <v>2.564292088447834</v>
      </c>
      <c r="W498" s="5">
        <f t="shared" si="98"/>
        <v>-0.24297721324844379</v>
      </c>
      <c r="X498" s="1">
        <f t="shared" si="94"/>
        <v>46.018894865540197</v>
      </c>
      <c r="Y498" s="3">
        <f t="shared" si="99"/>
        <v>5.1984772480089828E-2</v>
      </c>
      <c r="Z498" s="1">
        <f t="shared" si="89"/>
        <v>0.15866492340237084</v>
      </c>
      <c r="AA498" s="8">
        <f t="shared" si="95"/>
        <v>40.500000000000057</v>
      </c>
      <c r="AB498" s="1">
        <v>40.58</v>
      </c>
      <c r="AC498">
        <v>9.4687928139999995E-3</v>
      </c>
      <c r="AD498" s="8">
        <f t="shared" si="90"/>
        <v>4.961301020010179</v>
      </c>
      <c r="AE498" s="3">
        <f t="shared" si="91"/>
        <v>5.2396341513299263E-2</v>
      </c>
      <c r="AF498" s="11">
        <f t="shared" si="92"/>
        <v>40.500000000000057</v>
      </c>
      <c r="AG498" s="1">
        <f t="shared" si="93"/>
        <v>0.15866492340237084</v>
      </c>
    </row>
    <row r="499" spans="2:33" ht="15" x14ac:dyDescent="0.25">
      <c r="B499" s="1">
        <v>488</v>
      </c>
      <c r="C499" s="1">
        <v>0.69432986816775488</v>
      </c>
      <c r="D499" s="1">
        <v>15.620362704822004</v>
      </c>
      <c r="E499" s="1">
        <v>1.3606738056685672E-2</v>
      </c>
      <c r="G499" s="1">
        <v>0.69432986816775488</v>
      </c>
      <c r="H499" s="1">
        <v>15.620362704822004</v>
      </c>
      <c r="I499" s="1">
        <v>1.3606738056685672E-2</v>
      </c>
      <c r="K499" s="1">
        <v>0.99993229234690462</v>
      </c>
      <c r="L499" s="1">
        <v>2.9059763166435157</v>
      </c>
      <c r="M499" s="1">
        <v>0.31084728731157341</v>
      </c>
      <c r="O499" s="1">
        <v>8.9706914025900718E-3</v>
      </c>
      <c r="P499" s="1">
        <v>0.69432986816775488</v>
      </c>
      <c r="R499" s="1">
        <v>0.19424608652392519</v>
      </c>
      <c r="S499" s="2">
        <f t="shared" si="96"/>
        <v>1.0121011215425753</v>
      </c>
      <c r="T499" s="4">
        <f t="shared" si="97"/>
        <v>1.0243486802277386</v>
      </c>
      <c r="U499" s="1">
        <f t="shared" si="88"/>
        <v>0.78204938074187424</v>
      </c>
      <c r="V499" s="6">
        <f>2*sigma/alpha*corel*(B499/12-1/alpha*(1-EXP(-alpha*Output!B499/12)))</f>
        <v>2.5726575908815104</v>
      </c>
      <c r="W499" s="5">
        <f t="shared" si="98"/>
        <v>-0.24229929948586437</v>
      </c>
      <c r="X499" s="1">
        <f t="shared" si="94"/>
        <v>46.032586462954193</v>
      </c>
      <c r="Y499" s="3">
        <f t="shared" si="99"/>
        <v>5.1787798436880153E-2</v>
      </c>
      <c r="Z499" s="1">
        <f t="shared" si="89"/>
        <v>0.15871011931446982</v>
      </c>
      <c r="AA499" s="8">
        <f t="shared" si="95"/>
        <v>40.583333333333393</v>
      </c>
      <c r="AB499" s="1">
        <v>40.67</v>
      </c>
      <c r="AC499">
        <v>9.4683874309999996E-3</v>
      </c>
      <c r="AD499" s="8">
        <f t="shared" si="90"/>
        <v>4.9769602840992775</v>
      </c>
      <c r="AE499" s="3">
        <f t="shared" si="91"/>
        <v>5.2563969528796918E-2</v>
      </c>
      <c r="AF499" s="11">
        <f t="shared" si="92"/>
        <v>40.583333333333393</v>
      </c>
      <c r="AG499" s="1">
        <f t="shared" si="93"/>
        <v>0.15871011931446982</v>
      </c>
    </row>
    <row r="500" spans="2:33" ht="15" x14ac:dyDescent="0.25">
      <c r="B500" s="1">
        <v>489</v>
      </c>
      <c r="C500" s="1">
        <v>0.69386694288611817</v>
      </c>
      <c r="D500" s="1">
        <v>15.758951084215836</v>
      </c>
      <c r="E500" s="1">
        <v>1.3421017313112333E-2</v>
      </c>
      <c r="G500" s="1">
        <v>0.69386694288611817</v>
      </c>
      <c r="H500" s="1">
        <v>15.758951084215836</v>
      </c>
      <c r="I500" s="1">
        <v>1.3421017313112333E-2</v>
      </c>
      <c r="K500" s="1">
        <v>0.99987522993763556</v>
      </c>
      <c r="L500" s="1">
        <v>2.9332210731295452</v>
      </c>
      <c r="M500" s="1">
        <v>0.30789967651835043</v>
      </c>
      <c r="O500" s="1">
        <v>8.968713173125557E-3</v>
      </c>
      <c r="P500" s="1">
        <v>0.69386694288611817</v>
      </c>
      <c r="R500" s="1">
        <v>0.19460598002600585</v>
      </c>
      <c r="S500" s="2">
        <f t="shared" si="96"/>
        <v>1.0143579078948608</v>
      </c>
      <c r="T500" s="4">
        <f t="shared" si="97"/>
        <v>1.0289219653088388</v>
      </c>
      <c r="U500" s="1">
        <f t="shared" si="88"/>
        <v>0.78541398319537903</v>
      </c>
      <c r="V500" s="6">
        <f>2*sigma/alpha*corel*(B500/12-1/alpha*(1-EXP(-alpha*Output!B500/12)))</f>
        <v>2.5810299191465917</v>
      </c>
      <c r="W500" s="5">
        <f t="shared" si="98"/>
        <v>-0.24350798211345981</v>
      </c>
      <c r="X500" s="1">
        <f t="shared" si="94"/>
        <v>46.353516528023818</v>
      </c>
      <c r="Y500" s="3">
        <f t="shared" si="99"/>
        <v>5.1868856048255897E-2</v>
      </c>
      <c r="Z500" s="1">
        <f t="shared" si="89"/>
        <v>0.15890128627731434</v>
      </c>
      <c r="AA500" s="8">
        <f t="shared" si="95"/>
        <v>40.666666666666728</v>
      </c>
      <c r="AB500" s="1">
        <v>40.75</v>
      </c>
      <c r="AC500">
        <v>9.4679837090000003E-3</v>
      </c>
      <c r="AD500" s="8">
        <f t="shared" si="90"/>
        <v>4.9927053587444332</v>
      </c>
      <c r="AE500" s="3">
        <f t="shared" si="91"/>
        <v>5.2732508971244929E-2</v>
      </c>
      <c r="AF500" s="11">
        <f t="shared" si="92"/>
        <v>40.666666666666728</v>
      </c>
      <c r="AG500" s="1">
        <f t="shared" si="93"/>
        <v>0.15890128627731434</v>
      </c>
    </row>
    <row r="501" spans="2:33" ht="15" x14ac:dyDescent="0.25">
      <c r="B501" s="1">
        <v>490</v>
      </c>
      <c r="C501" s="1">
        <v>0.69339957408691466</v>
      </c>
      <c r="D501" s="1">
        <v>15.894460780418024</v>
      </c>
      <c r="E501" s="1">
        <v>1.3241350088054977E-2</v>
      </c>
      <c r="G501" s="1">
        <v>0.69339957408691466</v>
      </c>
      <c r="H501" s="1">
        <v>15.894460780418024</v>
      </c>
      <c r="I501" s="1">
        <v>1.3241350088054977E-2</v>
      </c>
      <c r="K501" s="1">
        <v>0.99969429788124908</v>
      </c>
      <c r="L501" s="1">
        <v>2.8768907528197558</v>
      </c>
      <c r="M501" s="1">
        <v>0.31386417729577032</v>
      </c>
      <c r="O501" s="1">
        <v>8.9669108564096444E-3</v>
      </c>
      <c r="P501" s="1">
        <v>0.69339957408691466</v>
      </c>
      <c r="R501" s="1">
        <v>0.19482225868202485</v>
      </c>
      <c r="S501" s="2">
        <f t="shared" si="96"/>
        <v>1.0161016714189366</v>
      </c>
      <c r="T501" s="4">
        <f t="shared" si="97"/>
        <v>1.0324626066603566</v>
      </c>
      <c r="U501" s="1">
        <f t="shared" si="88"/>
        <v>0.78878405582997191</v>
      </c>
      <c r="V501" s="6">
        <f>2*sigma/alpha*corel*(B501/12-1/alpha*(1-EXP(-alpha*Output!B501/12)))</f>
        <v>2.589409050528185</v>
      </c>
      <c r="W501" s="5">
        <f t="shared" si="98"/>
        <v>-0.2436785508303847</v>
      </c>
      <c r="X501" s="1">
        <f t="shared" si="94"/>
        <v>46.505869199920113</v>
      </c>
      <c r="Y501" s="3">
        <f t="shared" si="99"/>
        <v>5.1797291449026617E-2</v>
      </c>
      <c r="Z501" s="1">
        <f t="shared" si="89"/>
        <v>0.15901194461567253</v>
      </c>
      <c r="AA501" s="8">
        <f t="shared" si="95"/>
        <v>40.750000000000064</v>
      </c>
      <c r="AB501" s="1">
        <v>40.83</v>
      </c>
      <c r="AC501">
        <v>9.4675816389999997E-3</v>
      </c>
      <c r="AD501" s="8">
        <f t="shared" si="90"/>
        <v>5.0067078259035531</v>
      </c>
      <c r="AE501" s="3">
        <f t="shared" si="91"/>
        <v>5.2882647510313734E-2</v>
      </c>
      <c r="AF501" s="11">
        <f t="shared" si="92"/>
        <v>40.750000000000064</v>
      </c>
      <c r="AG501" s="1">
        <f t="shared" si="93"/>
        <v>0.15901194461567253</v>
      </c>
    </row>
    <row r="502" spans="2:33" ht="15" x14ac:dyDescent="0.25">
      <c r="B502" s="1">
        <v>491</v>
      </c>
      <c r="C502" s="1">
        <v>0.69292845157947014</v>
      </c>
      <c r="D502" s="1">
        <v>16.027438975526103</v>
      </c>
      <c r="E502" s="1">
        <v>1.3067283442445151E-2</v>
      </c>
      <c r="G502" s="1">
        <v>0.69292845157947014</v>
      </c>
      <c r="H502" s="1">
        <v>16.027438975526103</v>
      </c>
      <c r="I502" s="1">
        <v>1.3067283442445151E-2</v>
      </c>
      <c r="K502" s="1">
        <v>0.99969218009844329</v>
      </c>
      <c r="L502" s="1">
        <v>2.8931393867828876</v>
      </c>
      <c r="M502" s="1">
        <v>0.31203530287287384</v>
      </c>
      <c r="O502" s="1">
        <v>8.9652593791376082E-3</v>
      </c>
      <c r="P502" s="1">
        <v>0.69292845157947014</v>
      </c>
      <c r="R502" s="1">
        <v>0.19514849739912465</v>
      </c>
      <c r="S502" s="2">
        <f t="shared" si="96"/>
        <v>1.0182572548962703</v>
      </c>
      <c r="T502" s="4">
        <f t="shared" si="97"/>
        <v>1.0368478371488878</v>
      </c>
      <c r="U502" s="1">
        <f t="shared" si="88"/>
        <v>0.79215958486303251</v>
      </c>
      <c r="V502" s="6">
        <f>2*sigma/alpha*corel*(B502/12-1/alpha*(1-EXP(-alpha*Output!B502/12)))</f>
        <v>2.5977949623869874</v>
      </c>
      <c r="W502" s="5">
        <f t="shared" si="98"/>
        <v>-0.24468825228585533</v>
      </c>
      <c r="X502" s="1">
        <f t="shared" si="94"/>
        <v>46.795849290721534</v>
      </c>
      <c r="Y502" s="3">
        <f t="shared" si="99"/>
        <v>5.1848727662845859E-2</v>
      </c>
      <c r="Z502" s="1">
        <f t="shared" si="89"/>
        <v>0.15918692368301879</v>
      </c>
      <c r="AA502" s="8">
        <f t="shared" si="95"/>
        <v>40.8333333333334</v>
      </c>
      <c r="AB502" s="1">
        <v>40.92</v>
      </c>
      <c r="AC502">
        <v>9.4671812110000003E-3</v>
      </c>
      <c r="AD502" s="8">
        <f t="shared" si="90"/>
        <v>5.0192183186239214</v>
      </c>
      <c r="AE502" s="3">
        <f t="shared" si="91"/>
        <v>5.3017030167248173E-2</v>
      </c>
      <c r="AF502" s="11">
        <f t="shared" si="92"/>
        <v>40.8333333333334</v>
      </c>
      <c r="AG502" s="1">
        <f t="shared" si="93"/>
        <v>0.15918692368301879</v>
      </c>
    </row>
    <row r="503" spans="2:33" ht="15" x14ac:dyDescent="0.25">
      <c r="B503" s="1">
        <v>492</v>
      </c>
      <c r="C503" s="1">
        <v>0.69245282636586547</v>
      </c>
      <c r="D503" s="1">
        <v>16.156132868036707</v>
      </c>
      <c r="E503" s="1">
        <v>1.2899563994736976E-2</v>
      </c>
      <c r="G503" s="1">
        <v>0.69245282636586547</v>
      </c>
      <c r="H503" s="1">
        <v>16.156132868036707</v>
      </c>
      <c r="I503" s="1">
        <v>1.2899563994736976E-2</v>
      </c>
      <c r="K503" s="1">
        <v>0.99963371422503622</v>
      </c>
      <c r="L503" s="1">
        <v>2.8484824534271693</v>
      </c>
      <c r="M503" s="1">
        <v>0.31686176280765049</v>
      </c>
      <c r="O503" s="1">
        <v>8.9637844881044395E-3</v>
      </c>
      <c r="P503" s="1">
        <v>0.69245282636586547</v>
      </c>
      <c r="R503" s="1">
        <v>0.19535462411206178</v>
      </c>
      <c r="S503" s="2">
        <f t="shared" si="96"/>
        <v>1.0199849971937811</v>
      </c>
      <c r="T503" s="4">
        <f t="shared" si="97"/>
        <v>1.0403693945003976</v>
      </c>
      <c r="U503" s="1">
        <f t="shared" si="88"/>
        <v>0.79554055652843081</v>
      </c>
      <c r="V503" s="6">
        <f>2*sigma/alpha*corel*(B503/12-1/alpha*(1-EXP(-alpha*Output!B503/12)))</f>
        <v>2.6061876321590374</v>
      </c>
      <c r="W503" s="5">
        <f t="shared" si="98"/>
        <v>-0.24482883797196675</v>
      </c>
      <c r="X503" s="1">
        <f t="shared" si="94"/>
        <v>46.944143401421272</v>
      </c>
      <c r="Y503" s="3">
        <f t="shared" si="99"/>
        <v>5.1773073122322641E-2</v>
      </c>
      <c r="Z503" s="1">
        <f t="shared" si="89"/>
        <v>0.15929489408169209</v>
      </c>
      <c r="AA503" s="8">
        <f t="shared" si="95"/>
        <v>40.916666666666735</v>
      </c>
      <c r="AB503" s="1">
        <v>41</v>
      </c>
      <c r="AC503">
        <v>9.4667824130000005E-3</v>
      </c>
      <c r="AD503" s="8">
        <f t="shared" si="90"/>
        <v>5.0299792489556099</v>
      </c>
      <c r="AE503" s="3">
        <f t="shared" si="91"/>
        <v>5.3132933973937417E-2</v>
      </c>
      <c r="AF503" s="11">
        <f t="shared" si="92"/>
        <v>40.916666666666735</v>
      </c>
      <c r="AG503" s="1">
        <f t="shared" si="93"/>
        <v>0.15929489408169209</v>
      </c>
    </row>
    <row r="504" spans="2:33" ht="15" x14ac:dyDescent="0.25">
      <c r="B504" s="1">
        <v>493</v>
      </c>
      <c r="C504" s="1">
        <v>0.69197811289040556</v>
      </c>
      <c r="D504" s="1">
        <v>16.283462515469289</v>
      </c>
      <c r="E504" s="1">
        <v>1.2735933161822767E-2</v>
      </c>
      <c r="G504" s="1">
        <v>0.69197811289040556</v>
      </c>
      <c r="H504" s="1">
        <v>16.283462515469289</v>
      </c>
      <c r="I504" s="1">
        <v>1.2735933161822767E-2</v>
      </c>
      <c r="K504" s="1">
        <v>0.99964311301872766</v>
      </c>
      <c r="L504" s="1">
        <v>2.8822051994924043</v>
      </c>
      <c r="M504" s="1">
        <v>0.31308486799914326</v>
      </c>
      <c r="O504" s="1">
        <v>8.9622949931624629E-3</v>
      </c>
      <c r="P504" s="1">
        <v>0.69197811289040556</v>
      </c>
      <c r="R504" s="1">
        <v>0.19568987873919422</v>
      </c>
      <c r="S504" s="2">
        <f t="shared" si="96"/>
        <v>1.0221859106527103</v>
      </c>
      <c r="T504" s="4">
        <f t="shared" si="97"/>
        <v>1.0448640359369106</v>
      </c>
      <c r="U504" s="1">
        <f t="shared" si="88"/>
        <v>0.79892695707666705</v>
      </c>
      <c r="V504" s="6">
        <f>2*sigma/alpha*corel*(B504/12-1/alpha*(1-EXP(-alpha*Output!B504/12)))</f>
        <v>2.6145870373554589</v>
      </c>
      <c r="W504" s="5">
        <f t="shared" si="98"/>
        <v>-0.24593707886024352</v>
      </c>
      <c r="X504" s="1">
        <f t="shared" si="94"/>
        <v>47.251725335273882</v>
      </c>
      <c r="Y504" s="3">
        <f t="shared" si="99"/>
        <v>5.1838563938423579E-2</v>
      </c>
      <c r="Z504" s="1">
        <f t="shared" si="89"/>
        <v>0.15947663153759534</v>
      </c>
      <c r="AA504" s="8">
        <f t="shared" si="95"/>
        <v>41.000000000000071</v>
      </c>
      <c r="AB504" s="1">
        <v>41.08</v>
      </c>
      <c r="AC504">
        <v>9.4663852370000003E-3</v>
      </c>
      <c r="AD504" s="8">
        <f t="shared" si="90"/>
        <v>5.0409024383753742</v>
      </c>
      <c r="AE504" s="3">
        <f t="shared" si="91"/>
        <v>5.3250552477757507E-2</v>
      </c>
      <c r="AF504" s="11">
        <f t="shared" si="92"/>
        <v>41.000000000000071</v>
      </c>
      <c r="AG504" s="1">
        <f t="shared" si="93"/>
        <v>0.15947663153759534</v>
      </c>
    </row>
    <row r="505" spans="2:33" ht="15" x14ac:dyDescent="0.25">
      <c r="B505" s="1">
        <v>494</v>
      </c>
      <c r="C505" s="1">
        <v>0.69150464514305654</v>
      </c>
      <c r="D505" s="1">
        <v>16.415778846627379</v>
      </c>
      <c r="E505" s="1">
        <v>1.2571026298587017E-2</v>
      </c>
      <c r="G505" s="1">
        <v>0.69150464514305654</v>
      </c>
      <c r="H505" s="1">
        <v>16.415778846627379</v>
      </c>
      <c r="I505" s="1">
        <v>1.2571026298587017E-2</v>
      </c>
      <c r="K505" s="1">
        <v>0.999775359341468</v>
      </c>
      <c r="L505" s="1">
        <v>2.8030902804690272</v>
      </c>
      <c r="M505" s="1">
        <v>0.3218578590325395</v>
      </c>
      <c r="O505" s="1">
        <v>8.9607792002850649E-3</v>
      </c>
      <c r="P505" s="1">
        <v>0.69150464514305654</v>
      </c>
      <c r="R505" s="1">
        <v>0.19599413068782306</v>
      </c>
      <c r="S505" s="2">
        <f t="shared" si="96"/>
        <v>1.0242733148937038</v>
      </c>
      <c r="T505" s="4">
        <f t="shared" si="97"/>
        <v>1.0491358236033363</v>
      </c>
      <c r="U505" s="1">
        <f t="shared" ref="U505:U568" si="100">sigma*sigma/alpha/alpha*(B505/12+2/alpha*EXP(-alpha*B505/12)-1/2/alpha*EXP(-2*alpha*B505/12)-3/2/alpha)</f>
        <v>0.80231877277500985</v>
      </c>
      <c r="V505" s="6">
        <f>2*sigma/alpha*corel*(B505/12-1/alpha*(1-EXP(-alpha*Output!B505/12)))</f>
        <v>2.6229931555622139</v>
      </c>
      <c r="W505" s="5">
        <f t="shared" si="98"/>
        <v>-0.2468170508283265</v>
      </c>
      <c r="X505" s="1">
        <f t="shared" si="94"/>
        <v>47.522634130523983</v>
      </c>
      <c r="Y505" s="3">
        <f t="shared" si="99"/>
        <v>5.1870523206442226E-2</v>
      </c>
      <c r="Z505" s="1">
        <f t="shared" si="89"/>
        <v>0.15964047336218881</v>
      </c>
      <c r="AA505" s="8">
        <f t="shared" si="95"/>
        <v>41.083333333333407</v>
      </c>
      <c r="AB505" s="1">
        <v>41.17</v>
      </c>
      <c r="AC505">
        <v>9.4659896720000001E-3</v>
      </c>
      <c r="AD505" s="8">
        <f t="shared" si="90"/>
        <v>5.0521047171493523</v>
      </c>
      <c r="AE505" s="3">
        <f t="shared" si="91"/>
        <v>5.3371120106894536E-2</v>
      </c>
      <c r="AF505" s="11">
        <f t="shared" si="92"/>
        <v>41.083333333333407</v>
      </c>
      <c r="AG505" s="1">
        <f t="shared" si="93"/>
        <v>0.15964047336218881</v>
      </c>
    </row>
    <row r="506" spans="2:33" ht="15" x14ac:dyDescent="0.25">
      <c r="B506" s="1">
        <v>495</v>
      </c>
      <c r="C506" s="1">
        <v>0.69103254209948595</v>
      </c>
      <c r="D506" s="1">
        <v>16.554372837585049</v>
      </c>
      <c r="E506" s="1">
        <v>1.2404485461943039E-2</v>
      </c>
      <c r="G506" s="1">
        <v>0.69103254209948595</v>
      </c>
      <c r="H506" s="1">
        <v>16.554372837585049</v>
      </c>
      <c r="I506" s="1">
        <v>1.2404485461943039E-2</v>
      </c>
      <c r="K506" s="1">
        <v>0.99970083900690965</v>
      </c>
      <c r="L506" s="1">
        <v>2.7959610938972599</v>
      </c>
      <c r="M506" s="1">
        <v>0.32261179601289497</v>
      </c>
      <c r="O506" s="1">
        <v>8.9592330209168625E-3</v>
      </c>
      <c r="P506" s="1">
        <v>0.69103254209948595</v>
      </c>
      <c r="R506" s="1">
        <v>0.1962765780193915</v>
      </c>
      <c r="S506" s="2">
        <f t="shared" si="96"/>
        <v>1.0262804272991233</v>
      </c>
      <c r="T506" s="4">
        <f t="shared" si="97"/>
        <v>1.053251515457271</v>
      </c>
      <c r="U506" s="1">
        <f t="shared" si="100"/>
        <v>0.80571598990763782</v>
      </c>
      <c r="V506" s="6">
        <f>2*sigma/alpha*corel*(B506/12-1/alpha*(1-EXP(-alpha*Output!B506/12)))</f>
        <v>2.6314059644398564</v>
      </c>
      <c r="W506" s="5">
        <f t="shared" si="98"/>
        <v>-0.24753552554963321</v>
      </c>
      <c r="X506" s="1">
        <f t="shared" si="94"/>
        <v>47.767659065379128</v>
      </c>
      <c r="Y506" s="3">
        <f t="shared" si="99"/>
        <v>5.187889894683536E-2</v>
      </c>
      <c r="Z506" s="1">
        <f t="shared" si="89"/>
        <v>0.15979164581320082</v>
      </c>
      <c r="AA506" s="8">
        <f t="shared" si="95"/>
        <v>41.166666666666742</v>
      </c>
      <c r="AB506" s="1">
        <v>41.25</v>
      </c>
      <c r="AC506">
        <v>9.4655957089999996E-3</v>
      </c>
      <c r="AD506" s="8">
        <f t="shared" si="90"/>
        <v>5.0636268808313716</v>
      </c>
      <c r="AE506" s="3">
        <f t="shared" si="91"/>
        <v>5.3495068208087693E-2</v>
      </c>
      <c r="AF506" s="11">
        <f t="shared" si="92"/>
        <v>41.166666666666742</v>
      </c>
      <c r="AG506" s="1">
        <f t="shared" si="93"/>
        <v>0.15979164581320082</v>
      </c>
    </row>
    <row r="507" spans="2:33" ht="15" x14ac:dyDescent="0.25">
      <c r="B507" s="1">
        <v>496</v>
      </c>
      <c r="C507" s="1">
        <v>0.69055918470736355</v>
      </c>
      <c r="D507" s="1">
        <v>16.696163221691656</v>
      </c>
      <c r="E507" s="1">
        <v>1.2238404112103782E-2</v>
      </c>
      <c r="G507" s="1">
        <v>0.69055918470736355</v>
      </c>
      <c r="H507" s="1">
        <v>16.696163221691656</v>
      </c>
      <c r="I507" s="1">
        <v>1.2238404112103782E-2</v>
      </c>
      <c r="K507" s="1">
        <v>0.99986076499937915</v>
      </c>
      <c r="L507" s="1">
        <v>2.8252394072598417</v>
      </c>
      <c r="M507" s="1">
        <v>0.31919771032991195</v>
      </c>
      <c r="O507" s="1">
        <v>8.9577483139950294E-3</v>
      </c>
      <c r="P507" s="1">
        <v>0.69055918470736355</v>
      </c>
      <c r="R507" s="1">
        <v>0.19657443683281814</v>
      </c>
      <c r="S507" s="2">
        <f t="shared" si="96"/>
        <v>1.0283491406060319</v>
      </c>
      <c r="T507" s="4">
        <f t="shared" si="97"/>
        <v>1.0575019549851643</v>
      </c>
      <c r="U507" s="1">
        <f t="shared" si="100"/>
        <v>0.80911859477576709</v>
      </c>
      <c r="V507" s="6">
        <f>2*sigma/alpha*corel*(B507/12-1/alpha*(1-EXP(-alpha*Output!B507/12)))</f>
        <v>2.6398254417232785</v>
      </c>
      <c r="W507" s="5">
        <f t="shared" si="98"/>
        <v>-0.24838336020939722</v>
      </c>
      <c r="X507" s="1">
        <f t="shared" si="94"/>
        <v>48.034727250723179</v>
      </c>
      <c r="Y507" s="3">
        <f t="shared" si="99"/>
        <v>5.1905849502301274E-2</v>
      </c>
      <c r="Z507" s="1">
        <f t="shared" si="89"/>
        <v>0.15995225761890017</v>
      </c>
      <c r="AA507" s="8">
        <f t="shared" si="95"/>
        <v>41.250000000000078</v>
      </c>
      <c r="AB507" s="1">
        <v>41.33</v>
      </c>
      <c r="AC507">
        <v>9.4652033379999997E-3</v>
      </c>
      <c r="AD507" s="8">
        <f t="shared" si="90"/>
        <v>5.0745502400497031</v>
      </c>
      <c r="AE507" s="3">
        <f t="shared" si="91"/>
        <v>5.3612691231649308E-2</v>
      </c>
      <c r="AF507" s="11">
        <f t="shared" si="92"/>
        <v>41.250000000000078</v>
      </c>
      <c r="AG507" s="1">
        <f t="shared" si="93"/>
        <v>0.15995225761890017</v>
      </c>
    </row>
    <row r="508" spans="2:33" ht="15" x14ac:dyDescent="0.25">
      <c r="B508" s="1">
        <v>497</v>
      </c>
      <c r="C508" s="1">
        <v>0.69008218808085364</v>
      </c>
      <c r="D508" s="1">
        <v>16.835300257580094</v>
      </c>
      <c r="E508" s="1">
        <v>1.2077294685990338E-2</v>
      </c>
      <c r="G508" s="1">
        <v>0.69008218808085364</v>
      </c>
      <c r="H508" s="1">
        <v>16.835300257580094</v>
      </c>
      <c r="I508" s="1">
        <v>1.2077294685990338E-2</v>
      </c>
      <c r="K508" s="1">
        <v>0.99976875584255687</v>
      </c>
      <c r="L508" s="1">
        <v>2.8513628799833994</v>
      </c>
      <c r="M508" s="1">
        <v>0.31621293053400834</v>
      </c>
      <c r="O508" s="1">
        <v>8.9564082573098704E-3</v>
      </c>
      <c r="P508" s="1">
        <v>0.69008218808085364</v>
      </c>
      <c r="R508" s="1">
        <v>0.19687664107566927</v>
      </c>
      <c r="S508" s="2">
        <f t="shared" si="96"/>
        <v>1.030443861228677</v>
      </c>
      <c r="T508" s="4">
        <f t="shared" si="97"/>
        <v>1.061814551143865</v>
      </c>
      <c r="U508" s="1">
        <f t="shared" si="100"/>
        <v>0.81252657369778891</v>
      </c>
      <c r="V508" s="6">
        <f>2*sigma/alpha*corel*(B508/12-1/alpha*(1-EXP(-alpha*Output!B508/12)))</f>
        <v>2.6482515652214653</v>
      </c>
      <c r="W508" s="5">
        <f t="shared" si="98"/>
        <v>-0.24928797744607611</v>
      </c>
      <c r="X508" s="1">
        <f t="shared" si="94"/>
        <v>48.311944616264554</v>
      </c>
      <c r="Y508" s="3">
        <f t="shared" si="99"/>
        <v>5.1940779119077171E-2</v>
      </c>
      <c r="Z508" s="1">
        <f t="shared" si="89"/>
        <v>0.1601167494931818</v>
      </c>
      <c r="AA508" s="8">
        <f t="shared" si="95"/>
        <v>41.333333333333414</v>
      </c>
      <c r="AB508" s="1">
        <v>41.42</v>
      </c>
      <c r="AC508">
        <v>9.4648125489999995E-3</v>
      </c>
      <c r="AD508" s="8">
        <f t="shared" si="90"/>
        <v>5.0840429169012911</v>
      </c>
      <c r="AE508" s="3">
        <f t="shared" si="91"/>
        <v>5.3715199224293596E-2</v>
      </c>
      <c r="AF508" s="11">
        <f t="shared" si="92"/>
        <v>41.333333333333414</v>
      </c>
      <c r="AG508" s="1">
        <f t="shared" si="93"/>
        <v>0.1601167494931818</v>
      </c>
    </row>
    <row r="509" spans="2:33" ht="15" x14ac:dyDescent="0.25">
      <c r="B509" s="1">
        <v>498</v>
      </c>
      <c r="C509" s="1">
        <v>0.689608292411518</v>
      </c>
      <c r="D509" s="1">
        <v>16.974182268769201</v>
      </c>
      <c r="E509" s="1">
        <v>1.191937733172819E-2</v>
      </c>
      <c r="G509" s="1">
        <v>0.689608292411518</v>
      </c>
      <c r="H509" s="1">
        <v>16.974182268769201</v>
      </c>
      <c r="I509" s="1">
        <v>1.191937733172819E-2</v>
      </c>
      <c r="K509" s="1">
        <v>0.99961617133843261</v>
      </c>
      <c r="L509" s="1">
        <v>2.818496018211722</v>
      </c>
      <c r="M509" s="1">
        <v>0.31983131435937534</v>
      </c>
      <c r="O509" s="1">
        <v>8.9549767408736176E-3</v>
      </c>
      <c r="P509" s="1">
        <v>0.689608292411518</v>
      </c>
      <c r="R509" s="1">
        <v>0.19716805075393445</v>
      </c>
      <c r="S509" s="2">
        <f t="shared" si="96"/>
        <v>1.0324950254368235</v>
      </c>
      <c r="T509" s="4">
        <f t="shared" si="97"/>
        <v>1.0660459775517868</v>
      </c>
      <c r="U509" s="1">
        <f t="shared" si="100"/>
        <v>0.81593991300940294</v>
      </c>
      <c r="V509" s="6">
        <f>2*sigma/alpha*corel*(B509/12-1/alpha*(1-EXP(-alpha*Output!B509/12)))</f>
        <v>2.6566843128172515</v>
      </c>
      <c r="W509" s="5">
        <f t="shared" si="98"/>
        <v>-0.25010606454238382</v>
      </c>
      <c r="X509" s="1">
        <f t="shared" si="94"/>
        <v>48.575578252004988</v>
      </c>
      <c r="Y509" s="3">
        <f t="shared" si="99"/>
        <v>5.196305922592788E-2</v>
      </c>
      <c r="Z509" s="1">
        <f t="shared" si="89"/>
        <v>0.16027431135639281</v>
      </c>
      <c r="AA509" s="8">
        <f t="shared" si="95"/>
        <v>41.41666666666675</v>
      </c>
      <c r="AB509" s="1">
        <v>41.5</v>
      </c>
      <c r="AC509">
        <v>9.4644233330000004E-3</v>
      </c>
      <c r="AD509" s="8">
        <f t="shared" si="90"/>
        <v>5.0944659212638284</v>
      </c>
      <c r="AE509" s="3">
        <f t="shared" si="91"/>
        <v>5.3827536470190854E-2</v>
      </c>
      <c r="AF509" s="11">
        <f t="shared" si="92"/>
        <v>41.41666666666675</v>
      </c>
      <c r="AG509" s="1">
        <f t="shared" si="93"/>
        <v>0.16027431135639281</v>
      </c>
    </row>
    <row r="510" spans="2:33" ht="15" x14ac:dyDescent="0.25">
      <c r="B510" s="1">
        <v>499</v>
      </c>
      <c r="C510" s="1">
        <v>0.6891391508916398</v>
      </c>
      <c r="D510" s="1">
        <v>17.110103516126273</v>
      </c>
      <c r="E510" s="1">
        <v>1.176636701651998E-2</v>
      </c>
      <c r="G510" s="1">
        <v>0.6891391508916398</v>
      </c>
      <c r="H510" s="1">
        <v>17.110103516126273</v>
      </c>
      <c r="I510" s="1">
        <v>1.176636701651998E-2</v>
      </c>
      <c r="K510" s="1">
        <v>0.99948602174805001</v>
      </c>
      <c r="L510" s="1">
        <v>2.823427776062482</v>
      </c>
      <c r="M510" s="1">
        <v>0.31920754086999364</v>
      </c>
      <c r="O510" s="1">
        <v>8.9533964177383359E-3</v>
      </c>
      <c r="P510" s="1">
        <v>0.6891391508916398</v>
      </c>
      <c r="R510" s="1">
        <v>0.19752282790132941</v>
      </c>
      <c r="S510" s="2">
        <f t="shared" si="96"/>
        <v>1.0347722011267895</v>
      </c>
      <c r="T510" s="4">
        <f t="shared" si="97"/>
        <v>1.0707535082247808</v>
      </c>
      <c r="U510" s="1">
        <f t="shared" si="100"/>
        <v>0.81935859906374242</v>
      </c>
      <c r="V510" s="6">
        <f>2*sigma/alpha*corel*(B510/12-1/alpha*(1-EXP(-alpha*Output!B510/12)))</f>
        <v>2.6651236624670713</v>
      </c>
      <c r="W510" s="5">
        <f t="shared" si="98"/>
        <v>-0.25139490916103835</v>
      </c>
      <c r="X510" s="1">
        <f t="shared" si="94"/>
        <v>48.918237360027945</v>
      </c>
      <c r="Y510" s="3">
        <f t="shared" si="99"/>
        <v>5.2052509546979799E-2</v>
      </c>
      <c r="Z510" s="1">
        <f t="shared" si="89"/>
        <v>0.16046676716417946</v>
      </c>
      <c r="AA510" s="8">
        <f t="shared" si="95"/>
        <v>41.500000000000085</v>
      </c>
      <c r="AB510" s="1">
        <v>41.58</v>
      </c>
      <c r="AC510">
        <v>9.4640356799999999E-3</v>
      </c>
      <c r="AD510" s="8">
        <f t="shared" si="90"/>
        <v>5.1063926226166405</v>
      </c>
      <c r="AE510" s="3">
        <f t="shared" si="91"/>
        <v>5.3955762586649927E-2</v>
      </c>
      <c r="AF510" s="11">
        <f t="shared" si="92"/>
        <v>41.500000000000085</v>
      </c>
      <c r="AG510" s="1">
        <f t="shared" si="93"/>
        <v>0.16046676716417946</v>
      </c>
    </row>
    <row r="511" spans="2:33" ht="15" x14ac:dyDescent="0.25">
      <c r="B511" s="1">
        <v>500</v>
      </c>
      <c r="C511" s="1">
        <v>0.68866822352089907</v>
      </c>
      <c r="D511" s="1">
        <v>17.236624379481523</v>
      </c>
      <c r="E511" s="1">
        <v>1.1622095928779795E-2</v>
      </c>
      <c r="G511" s="1">
        <v>0.68866822352089907</v>
      </c>
      <c r="H511" s="1">
        <v>17.236624379481523</v>
      </c>
      <c r="I511" s="1">
        <v>1.1622095928779795E-2</v>
      </c>
      <c r="K511" s="1">
        <v>0.99950935581197486</v>
      </c>
      <c r="L511" s="1">
        <v>2.8330124468093167</v>
      </c>
      <c r="M511" s="1">
        <v>0.3180614141832584</v>
      </c>
      <c r="O511" s="1">
        <v>8.9518957750625953E-3</v>
      </c>
      <c r="P511" s="1">
        <v>0.68866822352089907</v>
      </c>
      <c r="R511" s="1">
        <v>0.19793447365105685</v>
      </c>
      <c r="S511" s="2">
        <f t="shared" si="96"/>
        <v>1.0372655825588988</v>
      </c>
      <c r="T511" s="4">
        <f t="shared" si="97"/>
        <v>1.0759198887612516</v>
      </c>
      <c r="U511" s="1">
        <f t="shared" si="100"/>
        <v>0.82278261823150656</v>
      </c>
      <c r="V511" s="6">
        <f>2*sigma/alpha*corel*(B511/12-1/alpha*(1-EXP(-alpha*Output!B511/12)))</f>
        <v>2.6735695922007134</v>
      </c>
      <c r="W511" s="5">
        <f t="shared" si="98"/>
        <v>-0.253137270529745</v>
      </c>
      <c r="X511" s="1">
        <f t="shared" si="94"/>
        <v>49.337519452631128</v>
      </c>
      <c r="Y511" s="3">
        <f t="shared" si="99"/>
        <v>5.2205970800300552E-2</v>
      </c>
      <c r="Z511" s="1">
        <f t="shared" si="89"/>
        <v>0.16069249307378999</v>
      </c>
      <c r="AA511" s="8">
        <f t="shared" si="95"/>
        <v>41.583333333333421</v>
      </c>
      <c r="AB511" s="1">
        <v>41.67</v>
      </c>
      <c r="AC511">
        <v>9.4636495809999992E-3</v>
      </c>
      <c r="AD511" s="8">
        <f t="shared" si="90"/>
        <v>5.1175380593740378</v>
      </c>
      <c r="AE511" s="3">
        <f t="shared" si="91"/>
        <v>5.4075734900924773E-2</v>
      </c>
      <c r="AF511" s="11">
        <f t="shared" si="92"/>
        <v>41.583333333333421</v>
      </c>
      <c r="AG511" s="1">
        <f t="shared" si="93"/>
        <v>0.16069249307378999</v>
      </c>
    </row>
    <row r="512" spans="2:33" ht="15" x14ac:dyDescent="0.25">
      <c r="B512" s="1">
        <v>501</v>
      </c>
      <c r="C512" s="1">
        <v>0.68819202254982215</v>
      </c>
      <c r="D512" s="1">
        <v>17.362316827557468</v>
      </c>
      <c r="E512" s="1">
        <v>1.1480660826837193E-2</v>
      </c>
      <c r="G512" s="1">
        <v>0.68819202254982215</v>
      </c>
      <c r="H512" s="1">
        <v>17.362316827557468</v>
      </c>
      <c r="I512" s="1">
        <v>1.1480660826837193E-2</v>
      </c>
      <c r="K512" s="1">
        <v>0.99949343573318661</v>
      </c>
      <c r="L512" s="1">
        <v>2.8204544837969365</v>
      </c>
      <c r="M512" s="1">
        <v>0.31941208433462592</v>
      </c>
      <c r="O512" s="1">
        <v>8.9505958670015907E-3</v>
      </c>
      <c r="P512" s="1">
        <v>0.68819202254982215</v>
      </c>
      <c r="R512" s="1">
        <v>0.19821436645330037</v>
      </c>
      <c r="S512" s="2">
        <f t="shared" si="96"/>
        <v>1.0392871152727559</v>
      </c>
      <c r="T512" s="4">
        <f t="shared" si="97"/>
        <v>1.0801177079719666</v>
      </c>
      <c r="U512" s="1">
        <f t="shared" si="100"/>
        <v>0.82621195690108484</v>
      </c>
      <c r="V512" s="6">
        <f>2*sigma/alpha*corel*(B512/12-1/alpha*(1-EXP(-alpha*Output!B512/12)))</f>
        <v>2.6820220801210839</v>
      </c>
      <c r="W512" s="5">
        <f t="shared" si="98"/>
        <v>-0.25390575107088176</v>
      </c>
      <c r="X512" s="1">
        <f t="shared" si="94"/>
        <v>49.595502867094275</v>
      </c>
      <c r="Y512" s="3">
        <f t="shared" si="99"/>
        <v>5.2220184219442356E-2</v>
      </c>
      <c r="Z512" s="1">
        <f t="shared" si="89"/>
        <v>0.16084490301428842</v>
      </c>
      <c r="AA512" s="8">
        <f t="shared" si="95"/>
        <v>41.666666666666757</v>
      </c>
      <c r="AB512" s="1">
        <v>41.75</v>
      </c>
      <c r="AC512">
        <v>9.4632650269999997E-3</v>
      </c>
      <c r="AD512" s="8">
        <f t="shared" si="90"/>
        <v>5.1266915999840892</v>
      </c>
      <c r="AE512" s="3">
        <f t="shared" si="91"/>
        <v>5.4174659436853255E-2</v>
      </c>
      <c r="AF512" s="11">
        <f t="shared" si="92"/>
        <v>41.666666666666757</v>
      </c>
      <c r="AG512" s="1">
        <f t="shared" si="93"/>
        <v>0.16084490301428842</v>
      </c>
    </row>
    <row r="513" spans="2:33" ht="15" x14ac:dyDescent="0.25">
      <c r="B513" s="1">
        <v>502</v>
      </c>
      <c r="C513" s="1">
        <v>0.68771534085862285</v>
      </c>
      <c r="D513" s="1">
        <v>17.493221376716523</v>
      </c>
      <c r="E513" s="1">
        <v>1.1338254135628195E-2</v>
      </c>
      <c r="G513" s="1">
        <v>0.68771534085862285</v>
      </c>
      <c r="H513" s="1">
        <v>17.493221376716523</v>
      </c>
      <c r="I513" s="1">
        <v>1.1338254135628195E-2</v>
      </c>
      <c r="K513" s="1">
        <v>0.99965017087070285</v>
      </c>
      <c r="L513" s="1">
        <v>2.8607331788394008</v>
      </c>
      <c r="M513" s="1">
        <v>0.31484950302315851</v>
      </c>
      <c r="O513" s="1">
        <v>8.949329292870763E-3</v>
      </c>
      <c r="P513" s="1">
        <v>0.68771534085862285</v>
      </c>
      <c r="R513" s="1">
        <v>0.19856525034148445</v>
      </c>
      <c r="S513" s="2">
        <f t="shared" si="96"/>
        <v>1.0415742495100797</v>
      </c>
      <c r="T513" s="4">
        <f t="shared" si="97"/>
        <v>1.0848769172424857</v>
      </c>
      <c r="U513" s="1">
        <f t="shared" si="100"/>
        <v>0.82964660147868274</v>
      </c>
      <c r="V513" s="6">
        <f>2*sigma/alpha*corel*(B513/12-1/alpha*(1-EXP(-alpha*Output!B513/12)))</f>
        <v>2.6904811044039514</v>
      </c>
      <c r="W513" s="5">
        <f t="shared" si="98"/>
        <v>-0.25523031576380295</v>
      </c>
      <c r="X513" s="1">
        <f t="shared" si="94"/>
        <v>49.947228077631067</v>
      </c>
      <c r="Y513" s="3">
        <f t="shared" si="99"/>
        <v>5.231299821421885E-2</v>
      </c>
      <c r="Z513" s="1">
        <f t="shared" si="89"/>
        <v>0.16103823385385405</v>
      </c>
      <c r="AA513" s="8">
        <f t="shared" si="95"/>
        <v>41.750000000000092</v>
      </c>
      <c r="AB513" s="1">
        <v>41.83</v>
      </c>
      <c r="AC513">
        <v>9.4628820070000001E-3</v>
      </c>
      <c r="AD513" s="8">
        <f t="shared" si="90"/>
        <v>5.1355271412923713</v>
      </c>
      <c r="AE513" s="3">
        <f t="shared" si="91"/>
        <v>5.4270222723832501E-2</v>
      </c>
      <c r="AF513" s="11">
        <f t="shared" si="92"/>
        <v>41.750000000000092</v>
      </c>
      <c r="AG513" s="1">
        <f t="shared" si="93"/>
        <v>0.16103823385385405</v>
      </c>
    </row>
    <row r="514" spans="2:33" ht="15" x14ac:dyDescent="0.25">
      <c r="B514" s="1">
        <v>503</v>
      </c>
      <c r="C514" s="1">
        <v>0.68723981015964541</v>
      </c>
      <c r="D514" s="1">
        <v>17.626425537165318</v>
      </c>
      <c r="E514" s="1">
        <v>1.119682905801077E-2</v>
      </c>
      <c r="G514" s="1">
        <v>0.68723981015964541</v>
      </c>
      <c r="H514" s="1">
        <v>17.626425537165318</v>
      </c>
      <c r="I514" s="1">
        <v>1.119682905801077E-2</v>
      </c>
      <c r="K514" s="1">
        <v>0.99958973053926348</v>
      </c>
      <c r="L514" s="1">
        <v>2.8778708783853455</v>
      </c>
      <c r="M514" s="1">
        <v>0.31291014885447876</v>
      </c>
      <c r="O514" s="1">
        <v>8.948039261017126E-3</v>
      </c>
      <c r="P514" s="1">
        <v>0.68723981015964541</v>
      </c>
      <c r="R514" s="1">
        <v>0.19870661510822288</v>
      </c>
      <c r="S514" s="2">
        <f t="shared" si="96"/>
        <v>1.0430875869663165</v>
      </c>
      <c r="T514" s="4">
        <f t="shared" si="97"/>
        <v>1.088031714083213</v>
      </c>
      <c r="U514" s="1">
        <f t="shared" si="100"/>
        <v>0.83308653838844515</v>
      </c>
      <c r="V514" s="6">
        <f>2*sigma/alpha*corel*(B514/12-1/alpha*(1-EXP(-alpha*Output!B514/12)))</f>
        <v>2.6989466432977141</v>
      </c>
      <c r="W514" s="5">
        <f t="shared" si="98"/>
        <v>-0.25494517569476782</v>
      </c>
      <c r="X514" s="1">
        <f t="shared" si="94"/>
        <v>50.030120774857401</v>
      </c>
      <c r="Y514" s="3">
        <f t="shared" si="99"/>
        <v>5.2177940854648955E-2</v>
      </c>
      <c r="Z514" s="1">
        <f t="shared" si="89"/>
        <v>0.16111182149008801</v>
      </c>
      <c r="AA514" s="8">
        <f t="shared" si="95"/>
        <v>41.833333333333428</v>
      </c>
      <c r="AB514" s="1">
        <v>41.92</v>
      </c>
      <c r="AC514">
        <v>9.4625005139999992E-3</v>
      </c>
      <c r="AD514" s="8">
        <f t="shared" si="90"/>
        <v>5.1446125298287324</v>
      </c>
      <c r="AE514" s="3">
        <f t="shared" si="91"/>
        <v>5.4368425367239376E-2</v>
      </c>
      <c r="AF514" s="11">
        <f t="shared" si="92"/>
        <v>41.833333333333428</v>
      </c>
      <c r="AG514" s="1">
        <f t="shared" si="93"/>
        <v>0.16111182149008801</v>
      </c>
    </row>
    <row r="515" spans="2:33" ht="15" x14ac:dyDescent="0.25">
      <c r="B515" s="1">
        <v>504</v>
      </c>
      <c r="C515" s="1">
        <v>0.68676773891218801</v>
      </c>
      <c r="D515" s="1">
        <v>17.760096614925583</v>
      </c>
      <c r="E515" s="1">
        <v>1.1057176660511505E-2</v>
      </c>
      <c r="G515" s="1">
        <v>0.68676773891218801</v>
      </c>
      <c r="H515" s="1">
        <v>17.760096614925583</v>
      </c>
      <c r="I515" s="1">
        <v>1.1057176660511505E-2</v>
      </c>
      <c r="K515" s="1">
        <v>0.99969531812525625</v>
      </c>
      <c r="L515" s="1">
        <v>2.8790569252116924</v>
      </c>
      <c r="M515" s="1">
        <v>0.31272641225212938</v>
      </c>
      <c r="O515" s="1">
        <v>8.9466458120909843E-3</v>
      </c>
      <c r="P515" s="1">
        <v>0.68676773891218801</v>
      </c>
      <c r="R515" s="1">
        <v>0.19904136860172192</v>
      </c>
      <c r="S515" s="2">
        <f t="shared" si="96"/>
        <v>1.0453106007546344</v>
      </c>
      <c r="T515" s="4">
        <f t="shared" si="97"/>
        <v>1.0926742520500148</v>
      </c>
      <c r="U515" s="1">
        <f t="shared" si="100"/>
        <v>0.83653175407257896</v>
      </c>
      <c r="V515" s="6">
        <f>2*sigma/alpha*corel*(B515/12-1/alpha*(1-EXP(-alpha*Output!B515/12)))</f>
        <v>2.7074186751231561</v>
      </c>
      <c r="W515" s="5">
        <f t="shared" si="98"/>
        <v>-0.25614249797743582</v>
      </c>
      <c r="X515" s="1">
        <f t="shared" si="94"/>
        <v>50.362055542614847</v>
      </c>
      <c r="Y515" s="3">
        <f t="shared" si="99"/>
        <v>5.2252430374384359E-2</v>
      </c>
      <c r="Z515" s="1">
        <f t="shared" si="89"/>
        <v>0.1612949274473269</v>
      </c>
      <c r="AA515" s="8">
        <f t="shared" si="95"/>
        <v>41.916666666666764</v>
      </c>
      <c r="AB515" s="1">
        <v>42</v>
      </c>
      <c r="AC515">
        <v>9.4621205390000001E-3</v>
      </c>
      <c r="AD515" s="8">
        <f t="shared" si="90"/>
        <v>5.1547472690901577</v>
      </c>
      <c r="AE515" s="3">
        <f t="shared" si="91"/>
        <v>5.447771720772155E-2</v>
      </c>
      <c r="AF515" s="11">
        <f t="shared" si="92"/>
        <v>41.916666666666764</v>
      </c>
      <c r="AG515" s="1">
        <f t="shared" si="93"/>
        <v>0.1612949274473269</v>
      </c>
    </row>
    <row r="516" spans="2:33" ht="15" x14ac:dyDescent="0.25">
      <c r="B516" s="1">
        <v>505</v>
      </c>
      <c r="C516" s="1">
        <v>0.68629587850485063</v>
      </c>
      <c r="D516" s="1">
        <v>17.89549033643522</v>
      </c>
      <c r="E516" s="1">
        <v>1.091905703023487E-2</v>
      </c>
      <c r="G516" s="1">
        <v>0.68629587850485063</v>
      </c>
      <c r="H516" s="1">
        <v>17.89549033643522</v>
      </c>
      <c r="I516" s="1">
        <v>1.091905703023487E-2</v>
      </c>
      <c r="K516" s="1">
        <v>0.99952865921971079</v>
      </c>
      <c r="L516" s="1">
        <v>2.8898860752569053</v>
      </c>
      <c r="M516" s="1">
        <v>0.31146463663351859</v>
      </c>
      <c r="O516" s="1">
        <v>8.945261809181964E-3</v>
      </c>
      <c r="P516" s="1">
        <v>0.68629587850485063</v>
      </c>
      <c r="R516" s="1">
        <v>0.19919813157334548</v>
      </c>
      <c r="S516" s="2">
        <f t="shared" si="96"/>
        <v>1.0468770739054121</v>
      </c>
      <c r="T516" s="4">
        <f t="shared" si="97"/>
        <v>1.0959516078687577</v>
      </c>
      <c r="U516" s="1">
        <f t="shared" si="100"/>
        <v>0.83998223499147029</v>
      </c>
      <c r="V516" s="6">
        <f>2*sigma/alpha*corel*(B516/12-1/alpha*(1-EXP(-alpha*Output!B516/12)))</f>
        <v>2.7158971782732024</v>
      </c>
      <c r="W516" s="5">
        <f t="shared" si="98"/>
        <v>-0.25596937287728738</v>
      </c>
      <c r="X516" s="1">
        <f t="shared" si="94"/>
        <v>50.464275250629058</v>
      </c>
      <c r="Y516" s="3">
        <f t="shared" si="99"/>
        <v>5.2133750426264482E-2</v>
      </c>
      <c r="Z516" s="1">
        <f t="shared" si="89"/>
        <v>0.16137662297992891</v>
      </c>
      <c r="AA516" s="8">
        <f t="shared" si="95"/>
        <v>42.000000000000099</v>
      </c>
      <c r="AB516" s="1">
        <v>42.08</v>
      </c>
      <c r="AC516">
        <v>9.4617420709999997E-3</v>
      </c>
      <c r="AD516" s="8">
        <f t="shared" si="90"/>
        <v>5.1648026181803575</v>
      </c>
      <c r="AE516" s="3">
        <f t="shared" si="91"/>
        <v>5.458617006703604E-2</v>
      </c>
      <c r="AF516" s="11">
        <f t="shared" si="92"/>
        <v>42.000000000000099</v>
      </c>
      <c r="AG516" s="1">
        <f t="shared" si="93"/>
        <v>0.16137662297992891</v>
      </c>
    </row>
    <row r="517" spans="2:33" ht="15" x14ac:dyDescent="0.25">
      <c r="B517" s="1">
        <v>506</v>
      </c>
      <c r="C517" s="1">
        <v>0.68582362412660636</v>
      </c>
      <c r="D517" s="1">
        <v>18.035240860641693</v>
      </c>
      <c r="E517" s="1">
        <v>1.078039262189929E-2</v>
      </c>
      <c r="G517" s="1">
        <v>0.68582362412660636</v>
      </c>
      <c r="H517" s="1">
        <v>18.035240860641693</v>
      </c>
      <c r="I517" s="1">
        <v>1.078039262189929E-2</v>
      </c>
      <c r="K517" s="1">
        <v>0.99952735459289965</v>
      </c>
      <c r="L517" s="1">
        <v>2.8975632093680943</v>
      </c>
      <c r="M517" s="1">
        <v>0.31059350852188172</v>
      </c>
      <c r="O517" s="1">
        <v>8.9439081107018752E-3</v>
      </c>
      <c r="P517" s="1">
        <v>0.68582362412660636</v>
      </c>
      <c r="R517" s="1">
        <v>0.19962568586568455</v>
      </c>
      <c r="S517" s="2">
        <f t="shared" si="96"/>
        <v>1.049449354217993</v>
      </c>
      <c r="T517" s="4">
        <f t="shared" si="97"/>
        <v>1.1013439470685626</v>
      </c>
      <c r="U517" s="1">
        <f t="shared" si="100"/>
        <v>0.84343796762380485</v>
      </c>
      <c r="V517" s="6">
        <f>2*sigma/alpha*corel*(B517/12-1/alpha*(1-EXP(-alpha*Output!B517/12)))</f>
        <v>2.7243821312126819</v>
      </c>
      <c r="W517" s="5">
        <f t="shared" si="98"/>
        <v>-0.25790597944475779</v>
      </c>
      <c r="X517" s="1">
        <f t="shared" si="94"/>
        <v>50.9223998632201</v>
      </c>
      <c r="Y517" s="3">
        <f t="shared" si="99"/>
        <v>5.2311594459402519E-2</v>
      </c>
      <c r="Z517" s="1">
        <f t="shared" si="89"/>
        <v>0.16161320733230528</v>
      </c>
      <c r="AA517" s="8">
        <f t="shared" si="95"/>
        <v>42.083333333333435</v>
      </c>
      <c r="AB517" s="1">
        <v>42.17</v>
      </c>
      <c r="AC517">
        <v>9.4613651009999994E-3</v>
      </c>
      <c r="AD517" s="8">
        <f t="shared" si="90"/>
        <v>5.1745699029812426</v>
      </c>
      <c r="AE517" s="3">
        <f t="shared" si="91"/>
        <v>5.4691578305484982E-2</v>
      </c>
      <c r="AF517" s="11">
        <f t="shared" si="92"/>
        <v>42.083333333333435</v>
      </c>
      <c r="AG517" s="1">
        <f t="shared" si="93"/>
        <v>0.16161320733230528</v>
      </c>
    </row>
    <row r="518" spans="2:33" ht="15" x14ac:dyDescent="0.25">
      <c r="B518" s="1">
        <v>507</v>
      </c>
      <c r="C518" s="1">
        <v>0.68535331237365349</v>
      </c>
      <c r="D518" s="1">
        <v>18.1775216766946</v>
      </c>
      <c r="E518" s="1">
        <v>1.064271346622535E-2</v>
      </c>
      <c r="G518" s="1">
        <v>0.68535331237365349</v>
      </c>
      <c r="H518" s="1">
        <v>18.1775216766946</v>
      </c>
      <c r="I518" s="1">
        <v>1.064271346622535E-2</v>
      </c>
      <c r="K518" s="1">
        <v>0.99962659517211505</v>
      </c>
      <c r="L518" s="1">
        <v>3.002923389157405</v>
      </c>
      <c r="M518" s="1">
        <v>0.29962262600599066</v>
      </c>
      <c r="O518" s="1">
        <v>8.9425038864834067E-3</v>
      </c>
      <c r="P518" s="1">
        <v>0.68535331237365349</v>
      </c>
      <c r="R518" s="1">
        <v>0.19987373127721919</v>
      </c>
      <c r="S518" s="2">
        <f t="shared" si="96"/>
        <v>1.0513552966560054</v>
      </c>
      <c r="T518" s="4">
        <f t="shared" si="97"/>
        <v>1.1053479598066371</v>
      </c>
      <c r="U518" s="1">
        <f t="shared" si="100"/>
        <v>0.84689893846668607</v>
      </c>
      <c r="V518" s="6">
        <f>2*sigma/alpha*corel*(B518/12-1/alpha*(1-EXP(-alpha*Output!B518/12)))</f>
        <v>2.7328735124780912</v>
      </c>
      <c r="W518" s="5">
        <f t="shared" si="98"/>
        <v>-0.25844902133995107</v>
      </c>
      <c r="X518" s="1">
        <f t="shared" si="94"/>
        <v>51.146482241656066</v>
      </c>
      <c r="Y518" s="3">
        <f t="shared" si="99"/>
        <v>5.2293531014426367E-2</v>
      </c>
      <c r="Z518" s="1">
        <f t="shared" si="89"/>
        <v>0.1617469687163085</v>
      </c>
      <c r="AA518" s="8">
        <f t="shared" si="95"/>
        <v>42.166666666666771</v>
      </c>
      <c r="AB518" s="1">
        <v>42.25</v>
      </c>
      <c r="AC518">
        <v>9.4609896219999996E-3</v>
      </c>
      <c r="AD518" s="8">
        <f t="shared" si="90"/>
        <v>5.1848573551659287</v>
      </c>
      <c r="AE518" s="3">
        <f t="shared" si="91"/>
        <v>5.4802484331125174E-2</v>
      </c>
      <c r="AF518" s="11">
        <f t="shared" si="92"/>
        <v>42.166666666666771</v>
      </c>
      <c r="AG518" s="1">
        <f t="shared" si="93"/>
        <v>0.1617469687163085</v>
      </c>
    </row>
    <row r="519" spans="2:33" ht="15" x14ac:dyDescent="0.25">
      <c r="B519" s="1">
        <v>508</v>
      </c>
      <c r="C519" s="1">
        <v>0.68488685837071273</v>
      </c>
      <c r="D519" s="1">
        <v>18.327102118613006</v>
      </c>
      <c r="E519" s="1">
        <v>1.0503098414032141E-2</v>
      </c>
      <c r="G519" s="1">
        <v>0.68488685837071273</v>
      </c>
      <c r="H519" s="1">
        <v>18.327102118613006</v>
      </c>
      <c r="I519" s="1">
        <v>1.0503098414032141E-2</v>
      </c>
      <c r="K519" s="1">
        <v>0.99963176157835676</v>
      </c>
      <c r="L519" s="1">
        <v>2.9492647245278083</v>
      </c>
      <c r="M519" s="1">
        <v>0.30502361816475859</v>
      </c>
      <c r="O519" s="1">
        <v>8.9409832588288555E-3</v>
      </c>
      <c r="P519" s="1">
        <v>0.68488685837071273</v>
      </c>
      <c r="R519" s="1">
        <v>0.20010629357024753</v>
      </c>
      <c r="S519" s="2">
        <f t="shared" si="96"/>
        <v>1.0531979286700512</v>
      </c>
      <c r="T519" s="4">
        <f t="shared" si="97"/>
        <v>1.1092258769548864</v>
      </c>
      <c r="U519" s="1">
        <f t="shared" si="100"/>
        <v>0.85036513403574743</v>
      </c>
      <c r="V519" s="6">
        <f>2*sigma/alpha*corel*(B519/12-1/alpha*(1-EXP(-alpha*Output!B519/12)))</f>
        <v>2.7413713006773492</v>
      </c>
      <c r="W519" s="5">
        <f t="shared" si="98"/>
        <v>-0.25886074291913896</v>
      </c>
      <c r="X519" s="1">
        <f t="shared" si="94"/>
        <v>51.348869075818286</v>
      </c>
      <c r="Y519" s="3">
        <f t="shared" si="99"/>
        <v>5.2257179759100172E-2</v>
      </c>
      <c r="Z519" s="1">
        <f t="shared" si="89"/>
        <v>0.16187089321369813</v>
      </c>
      <c r="AA519" s="8">
        <f t="shared" si="95"/>
        <v>42.250000000000107</v>
      </c>
      <c r="AB519" s="1">
        <v>42.33</v>
      </c>
      <c r="AC519">
        <v>9.460615625E-3</v>
      </c>
      <c r="AD519" s="8">
        <f t="shared" si="90"/>
        <v>5.1963236617114452</v>
      </c>
      <c r="AE519" s="3">
        <f t="shared" si="91"/>
        <v>5.4925851209724479E-2</v>
      </c>
      <c r="AF519" s="11">
        <f t="shared" si="92"/>
        <v>42.250000000000107</v>
      </c>
      <c r="AG519" s="1">
        <f t="shared" si="93"/>
        <v>0.16187089321369813</v>
      </c>
    </row>
    <row r="520" spans="2:33" ht="15" x14ac:dyDescent="0.25">
      <c r="B520" s="1">
        <v>509</v>
      </c>
      <c r="C520" s="1">
        <v>0.68442640683383393</v>
      </c>
      <c r="D520" s="1">
        <v>18.47882326853426</v>
      </c>
      <c r="E520" s="1">
        <v>1.0364842454394693E-2</v>
      </c>
      <c r="G520" s="1">
        <v>0.68442640683383393</v>
      </c>
      <c r="H520" s="1">
        <v>18.47882326853426</v>
      </c>
      <c r="I520" s="1">
        <v>1.0364842454394693E-2</v>
      </c>
      <c r="K520" s="1">
        <v>0.99959469900383624</v>
      </c>
      <c r="L520" s="1">
        <v>2.9120738635034589</v>
      </c>
      <c r="M520" s="1">
        <v>0.30885191820520569</v>
      </c>
      <c r="O520" s="1">
        <v>8.9392727809018604E-3</v>
      </c>
      <c r="P520" s="1">
        <v>0.68442640683383393</v>
      </c>
      <c r="R520" s="1">
        <v>0.20043362241065951</v>
      </c>
      <c r="S520" s="2">
        <f t="shared" si="96"/>
        <v>1.0553820945243031</v>
      </c>
      <c r="T520" s="4">
        <f t="shared" si="97"/>
        <v>1.1138313654425049</v>
      </c>
      <c r="U520" s="1">
        <f t="shared" si="100"/>
        <v>0.85383654086527017</v>
      </c>
      <c r="V520" s="6">
        <f>2*sigma/alpha*corel*(B520/12-1/alpha*(1-EXP(-alpha*Output!B520/12)))</f>
        <v>2.7498754744895639</v>
      </c>
      <c r="W520" s="5">
        <f t="shared" si="98"/>
        <v>-0.25999482457723477</v>
      </c>
      <c r="X520" s="1">
        <f t="shared" si="94"/>
        <v>51.674270361803373</v>
      </c>
      <c r="Y520" s="3">
        <f t="shared" si="99"/>
        <v>5.2321488916059658E-2</v>
      </c>
      <c r="Z520" s="1">
        <f t="shared" si="89"/>
        <v>0.16204717100058505</v>
      </c>
      <c r="AA520" s="8">
        <f t="shared" si="95"/>
        <v>42.333333333333442</v>
      </c>
      <c r="AB520" s="1">
        <v>42.42</v>
      </c>
      <c r="AC520">
        <v>9.4602430999999997E-3</v>
      </c>
      <c r="AD520" s="8">
        <f t="shared" si="90"/>
        <v>5.2097031909813936</v>
      </c>
      <c r="AE520" s="3">
        <f t="shared" si="91"/>
        <v>5.5069443098998104E-2</v>
      </c>
      <c r="AF520" s="11">
        <f t="shared" si="92"/>
        <v>42.333333333333442</v>
      </c>
      <c r="AG520" s="1">
        <f t="shared" si="93"/>
        <v>0.16204717100058505</v>
      </c>
    </row>
    <row r="521" spans="2:33" ht="15" x14ac:dyDescent="0.25">
      <c r="B521" s="1">
        <v>510</v>
      </c>
      <c r="C521" s="1">
        <v>0.68396885252213313</v>
      </c>
      <c r="D521" s="1">
        <v>18.626830086055957</v>
      </c>
      <c r="E521" s="1">
        <v>1.0231016349164125E-2</v>
      </c>
      <c r="G521" s="1">
        <v>0.68396885252213313</v>
      </c>
      <c r="H521" s="1">
        <v>18.626830086055957</v>
      </c>
      <c r="I521" s="1">
        <v>1.0231016349164125E-2</v>
      </c>
      <c r="K521" s="1">
        <v>0.9996829394858916</v>
      </c>
      <c r="L521" s="1">
        <v>2.9185438010498292</v>
      </c>
      <c r="M521" s="1">
        <v>0.30810781866580433</v>
      </c>
      <c r="O521" s="1">
        <v>8.9374799916419282E-3</v>
      </c>
      <c r="P521" s="1">
        <v>0.68396885252213313</v>
      </c>
      <c r="R521" s="1">
        <v>0.20071339364273397</v>
      </c>
      <c r="S521" s="2">
        <f t="shared" si="96"/>
        <v>1.0573860539638973</v>
      </c>
      <c r="T521" s="4">
        <f t="shared" si="97"/>
        <v>1.1180652671173419</v>
      </c>
      <c r="U521" s="1">
        <f t="shared" si="100"/>
        <v>0.85731314550829074</v>
      </c>
      <c r="V521" s="6">
        <f>2*sigma/alpha*corel*(B521/12-1/alpha*(1-EXP(-alpha*Output!B521/12)))</f>
        <v>2.7583860126647957</v>
      </c>
      <c r="W521" s="5">
        <f t="shared" si="98"/>
        <v>-0.26075212160905115</v>
      </c>
      <c r="X521" s="1">
        <f t="shared" si="94"/>
        <v>51.936554068403495</v>
      </c>
      <c r="Y521" s="3">
        <f t="shared" si="99"/>
        <v>5.233312954975447E-2</v>
      </c>
      <c r="Z521" s="1">
        <f t="shared" si="89"/>
        <v>0.16219561661715709</v>
      </c>
      <c r="AA521" s="8">
        <f t="shared" si="95"/>
        <v>42.416666666666778</v>
      </c>
      <c r="AB521" s="1">
        <v>42.5</v>
      </c>
      <c r="AC521">
        <v>9.4598720390000005E-3</v>
      </c>
      <c r="AD521" s="8">
        <f t="shared" si="90"/>
        <v>5.2239204735807228</v>
      </c>
      <c r="AE521" s="3">
        <f t="shared" si="91"/>
        <v>5.5221893615940938E-2</v>
      </c>
      <c r="AF521" s="11">
        <f t="shared" si="92"/>
        <v>42.416666666666778</v>
      </c>
      <c r="AG521" s="1">
        <f t="shared" si="93"/>
        <v>0.16219561661715709</v>
      </c>
    </row>
    <row r="522" spans="2:33" ht="15" x14ac:dyDescent="0.25">
      <c r="B522" s="1">
        <v>511</v>
      </c>
      <c r="C522" s="1">
        <v>0.68351035446058228</v>
      </c>
      <c r="D522" s="1">
        <v>18.777579569993428</v>
      </c>
      <c r="E522" s="1">
        <v>1.00981540574383E-2</v>
      </c>
      <c r="G522" s="1">
        <v>0.68351035446058228</v>
      </c>
      <c r="H522" s="1">
        <v>18.777579569993428</v>
      </c>
      <c r="I522" s="1">
        <v>1.00981540574383E-2</v>
      </c>
      <c r="K522" s="1">
        <v>0.99973545649603335</v>
      </c>
      <c r="L522" s="1">
        <v>2.9783883282391339</v>
      </c>
      <c r="M522" s="1">
        <v>0.3018543353074617</v>
      </c>
      <c r="O522" s="1">
        <v>8.9357371528451541E-3</v>
      </c>
      <c r="P522" s="1">
        <v>0.68351035446058228</v>
      </c>
      <c r="R522" s="1">
        <v>0.20094386760752167</v>
      </c>
      <c r="S522" s="2">
        <f t="shared" si="96"/>
        <v>1.0592109760730934</v>
      </c>
      <c r="T522" s="4">
        <f t="shared" si="97"/>
        <v>1.1219278918337154</v>
      </c>
      <c r="U522" s="1">
        <f t="shared" si="100"/>
        <v>0.86079493453671629</v>
      </c>
      <c r="V522" s="6">
        <f>2*sigma/alpha*corel*(B522/12-1/alpha*(1-EXP(-alpha*Output!B522/12)))</f>
        <v>2.7669028940238198</v>
      </c>
      <c r="W522" s="5">
        <f t="shared" si="98"/>
        <v>-0.26113295729699915</v>
      </c>
      <c r="X522" s="1">
        <f t="shared" si="94"/>
        <v>52.135398684546239</v>
      </c>
      <c r="Y522" s="3">
        <f t="shared" si="99"/>
        <v>5.2292545164239659E-2</v>
      </c>
      <c r="Z522" s="1">
        <f t="shared" si="89"/>
        <v>0.16231649100585913</v>
      </c>
      <c r="AA522" s="8">
        <f t="shared" si="95"/>
        <v>42.500000000000114</v>
      </c>
      <c r="AB522" s="1">
        <v>42.58</v>
      </c>
      <c r="AC522">
        <v>9.4595024330000003E-3</v>
      </c>
      <c r="AD522" s="8">
        <f t="shared" si="90"/>
        <v>5.237652801548462</v>
      </c>
      <c r="AE522" s="3">
        <f t="shared" si="91"/>
        <v>5.5369220935729331E-2</v>
      </c>
      <c r="AF522" s="11">
        <f t="shared" si="92"/>
        <v>42.500000000000114</v>
      </c>
      <c r="AG522" s="1">
        <f t="shared" si="93"/>
        <v>0.16231649100585913</v>
      </c>
    </row>
    <row r="523" spans="2:33" ht="15" x14ac:dyDescent="0.25">
      <c r="B523" s="1">
        <v>512</v>
      </c>
      <c r="C523" s="1">
        <v>0.68304745830215785</v>
      </c>
      <c r="D523" s="1">
        <v>18.931864220669809</v>
      </c>
      <c r="E523" s="1">
        <v>9.9651220727453912E-3</v>
      </c>
      <c r="G523" s="1">
        <v>0.68304745830215785</v>
      </c>
      <c r="H523" s="1">
        <v>18.931864220669809</v>
      </c>
      <c r="I523" s="1">
        <v>9.9651220727453912E-3</v>
      </c>
      <c r="K523" s="1">
        <v>0.99970813556528138</v>
      </c>
      <c r="L523" s="1">
        <v>2.9216109271618191</v>
      </c>
      <c r="M523" s="1">
        <v>0.30765502064940847</v>
      </c>
      <c r="O523" s="1">
        <v>8.9341625802252522E-3</v>
      </c>
      <c r="P523" s="1">
        <v>0.68304745830215785</v>
      </c>
      <c r="R523" s="1">
        <v>0.20118440570547994</v>
      </c>
      <c r="S523" s="2">
        <f t="shared" si="96"/>
        <v>1.061084787445983</v>
      </c>
      <c r="T523" s="4">
        <f t="shared" si="97"/>
        <v>1.1259009261492869</v>
      </c>
      <c r="U523" s="1">
        <f t="shared" si="100"/>
        <v>0.86428189454142856</v>
      </c>
      <c r="V523" s="6">
        <f>2*sigma/alpha*corel*(B523/12-1/alpha*(1-EXP(-alpha*Output!B523/12)))</f>
        <v>2.7754260974578893</v>
      </c>
      <c r="W523" s="5">
        <f t="shared" si="98"/>
        <v>-0.26161903160785838</v>
      </c>
      <c r="X523" s="1">
        <f t="shared" si="94"/>
        <v>52.352638083524823</v>
      </c>
      <c r="Y523" s="3">
        <f t="shared" si="99"/>
        <v>5.2266635056530647E-2</v>
      </c>
      <c r="Z523" s="1">
        <f t="shared" si="89"/>
        <v>0.16244476894201276</v>
      </c>
      <c r="AA523" s="8">
        <f t="shared" si="95"/>
        <v>42.583333333333449</v>
      </c>
      <c r="AB523" s="1">
        <v>42.67</v>
      </c>
      <c r="AC523">
        <v>9.4591342740000008E-3</v>
      </c>
      <c r="AD523" s="8">
        <f t="shared" si="90"/>
        <v>5.2497169377474853</v>
      </c>
      <c r="AE523" s="3">
        <f t="shared" si="91"/>
        <v>5.5498915499880397E-2</v>
      </c>
      <c r="AF523" s="11">
        <f t="shared" si="92"/>
        <v>42.583333333333449</v>
      </c>
      <c r="AG523" s="1">
        <f t="shared" si="93"/>
        <v>0.16244476894201276</v>
      </c>
    </row>
    <row r="524" spans="2:33" ht="15" x14ac:dyDescent="0.25">
      <c r="B524" s="1">
        <v>513</v>
      </c>
      <c r="C524" s="1">
        <v>0.68259016409914286</v>
      </c>
      <c r="D524" s="1">
        <v>19.093443311566809</v>
      </c>
      <c r="E524" s="1">
        <v>9.8318749385507831E-3</v>
      </c>
      <c r="G524" s="1">
        <v>0.68259016409914286</v>
      </c>
      <c r="H524" s="1">
        <v>19.093443311566809</v>
      </c>
      <c r="I524" s="1">
        <v>9.8318749385507831E-3</v>
      </c>
      <c r="K524" s="1">
        <v>0.99978116216080948</v>
      </c>
      <c r="L524" s="1">
        <v>2.9343337529308378</v>
      </c>
      <c r="M524" s="1">
        <v>0.30623240035932925</v>
      </c>
      <c r="O524" s="1">
        <v>8.9324129141150465E-3</v>
      </c>
      <c r="P524" s="1">
        <v>0.68259016409914286</v>
      </c>
      <c r="R524" s="1">
        <v>0.20161907280882857</v>
      </c>
      <c r="S524" s="2">
        <f t="shared" si="96"/>
        <v>1.0636725122863127</v>
      </c>
      <c r="T524" s="4">
        <f t="shared" si="97"/>
        <v>1.131399213393476</v>
      </c>
      <c r="U524" s="1">
        <f t="shared" si="100"/>
        <v>0.86777401213239758</v>
      </c>
      <c r="V524" s="6">
        <f>2*sigma/alpha*corel*(B524/12-1/alpha*(1-EXP(-alpha*Output!B524/12)))</f>
        <v>2.7839556019285068</v>
      </c>
      <c r="W524" s="5">
        <f t="shared" si="98"/>
        <v>-0.26362520126107847</v>
      </c>
      <c r="X524" s="1">
        <f t="shared" si="94"/>
        <v>52.830318209153532</v>
      </c>
      <c r="Y524" s="3">
        <f t="shared" si="99"/>
        <v>5.2450188907823159E-2</v>
      </c>
      <c r="Z524" s="1">
        <f t="shared" si="89"/>
        <v>0.16268214000273903</v>
      </c>
      <c r="AA524" s="8">
        <f t="shared" si="95"/>
        <v>42.666666666666785</v>
      </c>
      <c r="AB524" s="1">
        <v>42.75</v>
      </c>
      <c r="AC524">
        <v>9.4587675529999998E-3</v>
      </c>
      <c r="AD524" s="8">
        <f t="shared" si="90"/>
        <v>5.2635463888495337</v>
      </c>
      <c r="AE524" s="3">
        <f t="shared" si="91"/>
        <v>5.5647274968503857E-2</v>
      </c>
      <c r="AF524" s="11">
        <f t="shared" si="92"/>
        <v>42.666666666666785</v>
      </c>
      <c r="AG524" s="1">
        <f t="shared" si="93"/>
        <v>0.16268214000273903</v>
      </c>
    </row>
    <row r="525" spans="2:33" ht="15" x14ac:dyDescent="0.25">
      <c r="B525" s="1">
        <v>514</v>
      </c>
      <c r="C525" s="1">
        <v>0.68213491703851192</v>
      </c>
      <c r="D525" s="1">
        <v>19.257433369280541</v>
      </c>
      <c r="E525" s="1">
        <v>9.6993210475266739E-3</v>
      </c>
      <c r="G525" s="1">
        <v>0.68213491703851192</v>
      </c>
      <c r="H525" s="1">
        <v>19.257433369280541</v>
      </c>
      <c r="I525" s="1">
        <v>9.6993210475266739E-3</v>
      </c>
      <c r="K525" s="1">
        <v>0.9996570264291067</v>
      </c>
      <c r="L525" s="1">
        <v>2.9806982290856783</v>
      </c>
      <c r="M525" s="1">
        <v>0.30141772533069155</v>
      </c>
      <c r="O525" s="1">
        <v>8.9306104700523064E-3</v>
      </c>
      <c r="P525" s="1">
        <v>0.68213491703851192</v>
      </c>
      <c r="R525" s="1">
        <v>0.20192197310821491</v>
      </c>
      <c r="S525" s="2">
        <f t="shared" si="96"/>
        <v>1.0657677420902443</v>
      </c>
      <c r="T525" s="4">
        <f t="shared" si="97"/>
        <v>1.1358608800801375</v>
      </c>
      <c r="U525" s="1">
        <f t="shared" si="100"/>
        <v>0.87127127393878245</v>
      </c>
      <c r="V525" s="6">
        <f>2*sigma/alpha*corel*(B525/12-1/alpha*(1-EXP(-alpha*Output!B525/12)))</f>
        <v>2.7924913864671823</v>
      </c>
      <c r="W525" s="5">
        <f t="shared" si="98"/>
        <v>-0.26458960614135507</v>
      </c>
      <c r="X525" s="1">
        <f t="shared" si="94"/>
        <v>53.131027329045573</v>
      </c>
      <c r="Y525" s="3">
        <f t="shared" si="99"/>
        <v>5.2489633560978785E-2</v>
      </c>
      <c r="Z525" s="1">
        <f t="shared" ref="Z525:Z588" si="101">S525/SQRT(B525/12)</f>
        <v>0.16284395242789287</v>
      </c>
      <c r="AA525" s="8">
        <f t="shared" si="95"/>
        <v>42.750000000000121</v>
      </c>
      <c r="AB525" s="1">
        <v>42.83</v>
      </c>
      <c r="AC525">
        <v>9.4584022619999993E-3</v>
      </c>
      <c r="AD525" s="8">
        <f t="shared" ref="AD525:AD588" si="102">(AC525-O525)*10000</f>
        <v>5.2779179194769288</v>
      </c>
      <c r="AE525" s="3">
        <f t="shared" ref="AE525:AE588" si="103">AD525/AC525/10000</f>
        <v>5.580136870136565E-2</v>
      </c>
      <c r="AF525" s="11">
        <f t="shared" ref="AF525:AF588" si="104">AA525</f>
        <v>42.750000000000121</v>
      </c>
      <c r="AG525" s="1">
        <f t="shared" ref="AG525:AG588" si="105">Z525</f>
        <v>0.16284395242789287</v>
      </c>
    </row>
    <row r="526" spans="2:33" ht="15" x14ac:dyDescent="0.25">
      <c r="B526" s="1">
        <v>515</v>
      </c>
      <c r="C526" s="1">
        <v>0.68168200936775358</v>
      </c>
      <c r="D526" s="1">
        <v>19.426528867821897</v>
      </c>
      <c r="E526" s="1">
        <v>9.5666315890175074E-3</v>
      </c>
      <c r="G526" s="1">
        <v>0.68168200936775358</v>
      </c>
      <c r="H526" s="1">
        <v>19.426528867821897</v>
      </c>
      <c r="I526" s="1">
        <v>9.5666315890175074E-3</v>
      </c>
      <c r="K526" s="1">
        <v>0.99968434369598946</v>
      </c>
      <c r="L526" s="1">
        <v>2.9957836228712797</v>
      </c>
      <c r="M526" s="1">
        <v>0.29983877750897575</v>
      </c>
      <c r="O526" s="1">
        <v>8.9287454399226678E-3</v>
      </c>
      <c r="P526" s="1">
        <v>0.68168200936775358</v>
      </c>
      <c r="R526" s="1">
        <v>0.20231588914797802</v>
      </c>
      <c r="S526" s="2">
        <f t="shared" si="96"/>
        <v>1.0682004154267888</v>
      </c>
      <c r="T526" s="4">
        <f t="shared" si="97"/>
        <v>1.1410521275179641</v>
      </c>
      <c r="U526" s="1">
        <f t="shared" si="100"/>
        <v>0.87477366660903977</v>
      </c>
      <c r="V526" s="6">
        <f>2*sigma/alpha*corel*(B526/12-1/alpha*(1-EXP(-alpha*Output!B526/12)))</f>
        <v>2.801033430175206</v>
      </c>
      <c r="W526" s="5">
        <f t="shared" si="98"/>
        <v>-0.26627846090892437</v>
      </c>
      <c r="X526" s="1">
        <f t="shared" ref="X526:X589" si="106">V526*V526-4*W526*B526/12</f>
        <v>53.556924066324427</v>
      </c>
      <c r="Y526" s="3">
        <f t="shared" si="99"/>
        <v>5.2627878099382915E-2</v>
      </c>
      <c r="Z526" s="1">
        <f t="shared" si="101"/>
        <v>0.16305711388580413</v>
      </c>
      <c r="AA526" s="8">
        <f t="shared" ref="AA526:AA589" si="107">AA525+1/12</f>
        <v>42.833333333333456</v>
      </c>
      <c r="AB526" s="1">
        <v>42.92</v>
      </c>
      <c r="AC526">
        <v>9.4580383920000004E-3</v>
      </c>
      <c r="AD526" s="8">
        <f t="shared" si="102"/>
        <v>5.2929295207733258</v>
      </c>
      <c r="AE526" s="3">
        <f t="shared" si="103"/>
        <v>5.5962233408254132E-2</v>
      </c>
      <c r="AF526" s="11">
        <f t="shared" si="104"/>
        <v>42.833333333333456</v>
      </c>
      <c r="AG526" s="1">
        <f t="shared" si="105"/>
        <v>0.16305711388580413</v>
      </c>
    </row>
    <row r="527" spans="2:33" ht="15" x14ac:dyDescent="0.25">
      <c r="B527" s="1">
        <v>516</v>
      </c>
      <c r="C527" s="1">
        <v>0.68122634491400946</v>
      </c>
      <c r="D527" s="1">
        <v>19.599388499078831</v>
      </c>
      <c r="E527" s="1">
        <v>9.433962264150943E-3</v>
      </c>
      <c r="G527" s="1">
        <v>0.68122634491400946</v>
      </c>
      <c r="H527" s="1">
        <v>19.599388499078831</v>
      </c>
      <c r="I527" s="1">
        <v>9.433962264150943E-3</v>
      </c>
      <c r="K527" s="1">
        <v>0.99956049376423639</v>
      </c>
      <c r="L527" s="1">
        <v>3.064687980919607</v>
      </c>
      <c r="M527" s="1">
        <v>0.29304012649182659</v>
      </c>
      <c r="O527" s="1">
        <v>8.926992015570864E-3</v>
      </c>
      <c r="P527" s="1">
        <v>0.68122634491400946</v>
      </c>
      <c r="R527" s="1">
        <v>0.20266748005730817</v>
      </c>
      <c r="S527" s="2">
        <f t="shared" si="96"/>
        <v>1.0704839322643991</v>
      </c>
      <c r="T527" s="4">
        <f t="shared" si="97"/>
        <v>1.1459358492362506</v>
      </c>
      <c r="U527" s="1">
        <f t="shared" si="100"/>
        <v>0.87828117681102524</v>
      </c>
      <c r="V527" s="6">
        <f>2*sigma/alpha*corel*(B527/12-1/alpha*(1-EXP(-alpha*Output!B527/12)))</f>
        <v>2.8095817122234163</v>
      </c>
      <c r="W527" s="5">
        <f t="shared" si="98"/>
        <v>-0.26765467242522534</v>
      </c>
      <c r="X527" s="1">
        <f t="shared" si="106"/>
        <v>53.930353054799021</v>
      </c>
      <c r="Y527" s="3">
        <f t="shared" si="99"/>
        <v>5.2722640845972661E-2</v>
      </c>
      <c r="Z527" s="1">
        <f t="shared" si="101"/>
        <v>0.16324726923434568</v>
      </c>
      <c r="AA527" s="8">
        <f t="shared" si="107"/>
        <v>42.916666666666792</v>
      </c>
      <c r="AB527" s="1">
        <v>43</v>
      </c>
      <c r="AC527">
        <v>9.4576759360000002E-3</v>
      </c>
      <c r="AD527" s="8">
        <f t="shared" si="102"/>
        <v>5.3068392042913626</v>
      </c>
      <c r="AE527" s="3">
        <f t="shared" si="103"/>
        <v>5.6111451060521539E-2</v>
      </c>
      <c r="AF527" s="11">
        <f t="shared" si="104"/>
        <v>42.916666666666792</v>
      </c>
      <c r="AG527" s="1">
        <f t="shared" si="105"/>
        <v>0.16324726923434568</v>
      </c>
    </row>
    <row r="528" spans="2:33" ht="15" x14ac:dyDescent="0.25">
      <c r="B528" s="1">
        <v>517</v>
      </c>
      <c r="C528" s="1">
        <v>0.68077245703851397</v>
      </c>
      <c r="D528" s="1">
        <v>19.767533802482802</v>
      </c>
      <c r="E528" s="1">
        <v>9.3066542577943234E-3</v>
      </c>
      <c r="G528" s="1">
        <v>0.68077245703851397</v>
      </c>
      <c r="H528" s="1">
        <v>19.767533802482802</v>
      </c>
      <c r="I528" s="1">
        <v>9.3066542577943234E-3</v>
      </c>
      <c r="K528" s="1">
        <v>0.99954512717025901</v>
      </c>
      <c r="L528" s="1">
        <v>3.1109750446480038</v>
      </c>
      <c r="M528" s="1">
        <v>0.28861153569453385</v>
      </c>
      <c r="O528" s="1">
        <v>8.9251951868543657E-3</v>
      </c>
      <c r="P528" s="1">
        <v>0.68077245703851397</v>
      </c>
      <c r="R528" s="1">
        <v>0.20300759331324686</v>
      </c>
      <c r="S528" s="2">
        <f t="shared" si="96"/>
        <v>1.0727236259607451</v>
      </c>
      <c r="T528" s="4">
        <f t="shared" si="97"/>
        <v>1.1507359776943686</v>
      </c>
      <c r="U528" s="1">
        <f t="shared" si="100"/>
        <v>0.881793791232095</v>
      </c>
      <c r="V528" s="6">
        <f>2*sigma/alpha*corel*(B528/12-1/alpha*(1-EXP(-alpha*Output!B528/12)))</f>
        <v>2.8181362118519639</v>
      </c>
      <c r="W528" s="5">
        <f t="shared" si="98"/>
        <v>-0.26894218646227364</v>
      </c>
      <c r="X528" s="1">
        <f t="shared" si="106"/>
        <v>54.289595175549827</v>
      </c>
      <c r="Y528" s="3">
        <f t="shared" si="99"/>
        <v>5.2804771275013693E-2</v>
      </c>
      <c r="Z528" s="1">
        <f t="shared" si="101"/>
        <v>0.16343053305335961</v>
      </c>
      <c r="AA528" s="8">
        <f t="shared" si="107"/>
        <v>43.000000000000128</v>
      </c>
      <c r="AB528" s="1">
        <v>43.08</v>
      </c>
      <c r="AC528">
        <v>9.457314885E-3</v>
      </c>
      <c r="AD528" s="8">
        <f t="shared" si="102"/>
        <v>5.3211969814563433</v>
      </c>
      <c r="AE528" s="3">
        <f t="shared" si="103"/>
        <v>5.6265409856408134E-2</v>
      </c>
      <c r="AF528" s="11">
        <f t="shared" si="104"/>
        <v>43.000000000000128</v>
      </c>
      <c r="AG528" s="1">
        <f t="shared" si="105"/>
        <v>0.16343053305335961</v>
      </c>
    </row>
    <row r="529" spans="2:33" ht="15" x14ac:dyDescent="0.25">
      <c r="B529" s="1">
        <v>518</v>
      </c>
      <c r="C529" s="1">
        <v>0.68032161385948065</v>
      </c>
      <c r="D529" s="1">
        <v>19.935409273952395</v>
      </c>
      <c r="E529" s="1">
        <v>9.1818933063997805E-3</v>
      </c>
      <c r="G529" s="1">
        <v>0.68032161385948065</v>
      </c>
      <c r="H529" s="1">
        <v>19.935409273952395</v>
      </c>
      <c r="I529" s="1">
        <v>9.1818933063997805E-3</v>
      </c>
      <c r="K529" s="1">
        <v>0.99961427907939138</v>
      </c>
      <c r="L529" s="1">
        <v>3.1083932465490971</v>
      </c>
      <c r="M529" s="1">
        <v>0.28879659358687126</v>
      </c>
      <c r="O529" s="1">
        <v>8.9233119165634533E-3</v>
      </c>
      <c r="P529" s="1">
        <v>0.68032161385948065</v>
      </c>
      <c r="R529" s="1">
        <v>0.20332425831290218</v>
      </c>
      <c r="S529" s="2">
        <f t="shared" si="96"/>
        <v>1.0748718414678884</v>
      </c>
      <c r="T529" s="4">
        <f t="shared" si="97"/>
        <v>1.1553494755805693</v>
      </c>
      <c r="U529" s="1">
        <f t="shared" si="100"/>
        <v>0.88531149657920638</v>
      </c>
      <c r="V529" s="6">
        <f>2*sigma/alpha*corel*(B529/12-1/alpha*(1-EXP(-alpha*Output!B529/12)))</f>
        <v>2.8266969083700837</v>
      </c>
      <c r="W529" s="5">
        <f t="shared" si="98"/>
        <v>-0.27003797900136295</v>
      </c>
      <c r="X529" s="1">
        <f t="shared" si="106"/>
        <v>54.61677311935766</v>
      </c>
      <c r="Y529" s="3">
        <f t="shared" si="99"/>
        <v>5.2860454788911666E-2</v>
      </c>
      <c r="Z529" s="1">
        <f t="shared" si="101"/>
        <v>0.16359967211505097</v>
      </c>
      <c r="AA529" s="8">
        <f t="shared" si="107"/>
        <v>43.083333333333464</v>
      </c>
      <c r="AB529" s="1">
        <v>43.17</v>
      </c>
      <c r="AC529">
        <v>9.4569552309999999E-3</v>
      </c>
      <c r="AD529" s="8">
        <f t="shared" si="102"/>
        <v>5.3364331443654658</v>
      </c>
      <c r="AE529" s="3">
        <f t="shared" si="103"/>
        <v>5.6428660324758448E-2</v>
      </c>
      <c r="AF529" s="11">
        <f t="shared" si="104"/>
        <v>43.083333333333464</v>
      </c>
      <c r="AG529" s="1">
        <f t="shared" si="105"/>
        <v>0.16359967211505097</v>
      </c>
    </row>
    <row r="530" spans="2:33" ht="15" x14ac:dyDescent="0.25">
      <c r="B530" s="1">
        <v>519</v>
      </c>
      <c r="C530" s="1">
        <v>0.67987494310737784</v>
      </c>
      <c r="D530" s="1">
        <v>20.10454362685967</v>
      </c>
      <c r="E530" s="1">
        <v>9.058791557206269E-3</v>
      </c>
      <c r="G530" s="1">
        <v>0.67987494310737784</v>
      </c>
      <c r="H530" s="1">
        <v>20.10454362685967</v>
      </c>
      <c r="I530" s="1">
        <v>9.058791557206269E-3</v>
      </c>
      <c r="K530" s="1">
        <v>0.99949659243454914</v>
      </c>
      <c r="L530" s="1">
        <v>3.0657255398267926</v>
      </c>
      <c r="M530" s="1">
        <v>0.29274930268460558</v>
      </c>
      <c r="O530" s="1">
        <v>8.9213041600004414E-3</v>
      </c>
      <c r="P530" s="1">
        <v>0.67987494310737784</v>
      </c>
      <c r="R530" s="1">
        <v>0.20358369057920259</v>
      </c>
      <c r="S530" s="2">
        <f t="shared" si="96"/>
        <v>1.0767993123208945</v>
      </c>
      <c r="T530" s="4">
        <f t="shared" si="97"/>
        <v>1.1594967590147514</v>
      </c>
      <c r="U530" s="1">
        <f t="shared" si="100"/>
        <v>0.88883427957901828</v>
      </c>
      <c r="V530" s="6">
        <f>2*sigma/alpha*corel*(B530/12-1/alpha*(1-EXP(-alpha*Output!B530/12)))</f>
        <v>2.8352637811558683</v>
      </c>
      <c r="W530" s="5">
        <f t="shared" si="98"/>
        <v>-0.27066247943573307</v>
      </c>
      <c r="X530" s="1">
        <f t="shared" si="106"/>
        <v>54.863329651116089</v>
      </c>
      <c r="Y530" s="3">
        <f t="shared" si="99"/>
        <v>5.2852192619392488E-2</v>
      </c>
      <c r="Z530" s="1">
        <f t="shared" si="101"/>
        <v>0.16373507143809535</v>
      </c>
      <c r="AA530" s="8">
        <f t="shared" si="107"/>
        <v>43.166666666666799</v>
      </c>
      <c r="AB530" s="1">
        <v>43.25</v>
      </c>
      <c r="AC530">
        <v>9.4565969649999995E-3</v>
      </c>
      <c r="AD530" s="8">
        <f t="shared" si="102"/>
        <v>5.3529280499955805</v>
      </c>
      <c r="AE530" s="3">
        <f t="shared" si="103"/>
        <v>5.6605225640972222E-2</v>
      </c>
      <c r="AF530" s="11">
        <f t="shared" si="104"/>
        <v>43.166666666666799</v>
      </c>
      <c r="AG530" s="1">
        <f t="shared" si="105"/>
        <v>0.16373507143809535</v>
      </c>
    </row>
    <row r="531" spans="2:33" ht="15" x14ac:dyDescent="0.25">
      <c r="B531" s="1">
        <v>520</v>
      </c>
      <c r="C531" s="1">
        <v>0.67943133821119339</v>
      </c>
      <c r="D531" s="1">
        <v>20.277805941397141</v>
      </c>
      <c r="E531" s="1">
        <v>8.9357519435260477E-3</v>
      </c>
      <c r="G531" s="1">
        <v>0.67943133821119339</v>
      </c>
      <c r="H531" s="1">
        <v>20.277805941397141</v>
      </c>
      <c r="I531" s="1">
        <v>8.9357519435260477E-3</v>
      </c>
      <c r="K531" s="1">
        <v>0.99961525201187962</v>
      </c>
      <c r="L531" s="1">
        <v>3.073319713734084</v>
      </c>
      <c r="M531" s="1">
        <v>0.29196580152325163</v>
      </c>
      <c r="O531" s="1">
        <v>8.9192099541937457E-3</v>
      </c>
      <c r="P531" s="1">
        <v>0.67943133821119339</v>
      </c>
      <c r="R531" s="1">
        <v>0.20392617628412907</v>
      </c>
      <c r="S531" s="2">
        <f t="shared" si="96"/>
        <v>1.0790339570353813</v>
      </c>
      <c r="T531" s="4">
        <f t="shared" si="97"/>
        <v>1.1643142804354332</v>
      </c>
      <c r="U531" s="1">
        <f t="shared" si="100"/>
        <v>0.89236212697798711</v>
      </c>
      <c r="V531" s="6">
        <f>2*sigma/alpha*corel*(B531/12-1/alpha*(1-EXP(-alpha*Output!B531/12)))</f>
        <v>2.843836809656032</v>
      </c>
      <c r="W531" s="5">
        <f t="shared" si="98"/>
        <v>-0.27195215345744606</v>
      </c>
      <c r="X531" s="1">
        <f t="shared" si="106"/>
        <v>55.22578106591191</v>
      </c>
      <c r="Y531" s="3">
        <f t="shared" si="99"/>
        <v>5.2933479734119902E-2</v>
      </c>
      <c r="Z531" s="1">
        <f t="shared" si="101"/>
        <v>0.16391702500646946</v>
      </c>
      <c r="AA531" s="8">
        <f t="shared" si="107"/>
        <v>43.250000000000135</v>
      </c>
      <c r="AB531" s="1">
        <v>43.33</v>
      </c>
      <c r="AC531">
        <v>9.4562400800000009E-3</v>
      </c>
      <c r="AD531" s="8">
        <f t="shared" si="102"/>
        <v>5.3703012580625513</v>
      </c>
      <c r="AE531" s="3">
        <f t="shared" si="103"/>
        <v>5.6791084116199285E-2</v>
      </c>
      <c r="AF531" s="11">
        <f t="shared" si="104"/>
        <v>43.250000000000135</v>
      </c>
      <c r="AG531" s="1">
        <f t="shared" si="105"/>
        <v>0.16391702500646946</v>
      </c>
    </row>
    <row r="532" spans="2:33" ht="15" x14ac:dyDescent="0.25">
      <c r="B532" s="1">
        <v>521</v>
      </c>
      <c r="C532" s="1">
        <v>0.67898871233774782</v>
      </c>
      <c r="D532" s="1">
        <v>20.444880601897285</v>
      </c>
      <c r="E532" s="1">
        <v>8.8183421516754845E-3</v>
      </c>
      <c r="G532" s="1">
        <v>0.67898871233774782</v>
      </c>
      <c r="H532" s="1">
        <v>20.444880601897285</v>
      </c>
      <c r="I532" s="1">
        <v>8.8183421516754845E-3</v>
      </c>
      <c r="K532" s="1">
        <v>0.99953037625630292</v>
      </c>
      <c r="L532" s="1">
        <v>3.1479790620901245</v>
      </c>
      <c r="M532" s="1">
        <v>0.28498505709383154</v>
      </c>
      <c r="O532" s="1">
        <v>8.9171003956679783E-3</v>
      </c>
      <c r="P532" s="1">
        <v>0.67898871233774782</v>
      </c>
      <c r="R532" s="1">
        <v>0.20422634301044504</v>
      </c>
      <c r="S532" s="2">
        <f t="shared" si="96"/>
        <v>1.0811104327905598</v>
      </c>
      <c r="T532" s="4">
        <f t="shared" si="97"/>
        <v>1.1687997678885915</v>
      </c>
      <c r="U532" s="1">
        <f t="shared" si="100"/>
        <v>0.89589502554246048</v>
      </c>
      <c r="V532" s="6">
        <f>2*sigma/alpha*corel*(B532/12-1/alpha*(1-EXP(-alpha*Output!B532/12)))</f>
        <v>2.8524159733856864</v>
      </c>
      <c r="W532" s="5">
        <f t="shared" si="98"/>
        <v>-0.27290474234613105</v>
      </c>
      <c r="X532" s="1">
        <f t="shared" si="106"/>
        <v>55.530733806003902</v>
      </c>
      <c r="Y532" s="3">
        <f t="shared" si="99"/>
        <v>5.296904420735242E-2</v>
      </c>
      <c r="Z532" s="1">
        <f t="shared" si="101"/>
        <v>0.16407477588553016</v>
      </c>
      <c r="AA532" s="8">
        <f t="shared" si="107"/>
        <v>43.333333333333471</v>
      </c>
      <c r="AB532" s="1">
        <v>43.42</v>
      </c>
      <c r="AC532">
        <v>9.4558845680000007E-3</v>
      </c>
      <c r="AD532" s="8">
        <f t="shared" si="102"/>
        <v>5.387841723320224</v>
      </c>
      <c r="AE532" s="3">
        <f t="shared" si="103"/>
        <v>5.6978717163631766E-2</v>
      </c>
      <c r="AF532" s="11">
        <f t="shared" si="104"/>
        <v>43.333333333333471</v>
      </c>
      <c r="AG532" s="1">
        <f t="shared" si="105"/>
        <v>0.16407477588553016</v>
      </c>
    </row>
    <row r="533" spans="2:33" ht="15" x14ac:dyDescent="0.25">
      <c r="B533" s="1">
        <v>522</v>
      </c>
      <c r="C533" s="1">
        <v>0.67854755845997261</v>
      </c>
      <c r="D533" s="1">
        <v>20.602414602991473</v>
      </c>
      <c r="E533" s="1">
        <v>8.7062510882813856E-3</v>
      </c>
      <c r="G533" s="1">
        <v>0.67854755845997261</v>
      </c>
      <c r="H533" s="1">
        <v>20.602414602991473</v>
      </c>
      <c r="I533" s="1">
        <v>8.7062510882813856E-3</v>
      </c>
      <c r="K533" s="1">
        <v>0.99952988658400332</v>
      </c>
      <c r="L533" s="1">
        <v>3.1506112031561204</v>
      </c>
      <c r="M533" s="1">
        <v>0.28469260797675999</v>
      </c>
      <c r="O533" s="1">
        <v>8.9149588191688514E-3</v>
      </c>
      <c r="P533" s="1">
        <v>0.67854755845997261</v>
      </c>
      <c r="R533" s="1">
        <v>0.2045020482255139</v>
      </c>
      <c r="S533" s="2">
        <f t="shared" si="96"/>
        <v>1.0830943555929442</v>
      </c>
      <c r="T533" s="4">
        <f t="shared" si="97"/>
        <v>1.1730933831172952</v>
      </c>
      <c r="U533" s="1">
        <f t="shared" si="100"/>
        <v>0.89943296205877843</v>
      </c>
      <c r="V533" s="6">
        <f>2*sigma/alpha*corel*(B533/12-1/alpha*(1-EXP(-alpha*Output!B533/12)))</f>
        <v>2.8610012519281152</v>
      </c>
      <c r="W533" s="5">
        <f t="shared" si="98"/>
        <v>-0.27366042105851673</v>
      </c>
      <c r="X533" s="1">
        <f t="shared" si="106"/>
        <v>55.802241427716154</v>
      </c>
      <c r="Y533" s="3">
        <f t="shared" si="99"/>
        <v>5.2978029140199397E-2</v>
      </c>
      <c r="Z533" s="1">
        <f t="shared" si="101"/>
        <v>0.16421834239727282</v>
      </c>
      <c r="AA533" s="8">
        <f t="shared" si="107"/>
        <v>43.416666666666806</v>
      </c>
      <c r="AB533" s="1">
        <v>43.5</v>
      </c>
      <c r="AC533">
        <v>9.4555304200000002E-3</v>
      </c>
      <c r="AD533" s="8">
        <f t="shared" si="102"/>
        <v>5.4057160083114884</v>
      </c>
      <c r="AE533" s="3">
        <f t="shared" si="103"/>
        <v>5.7169886491798605E-2</v>
      </c>
      <c r="AF533" s="11">
        <f t="shared" si="104"/>
        <v>43.416666666666806</v>
      </c>
      <c r="AG533" s="1">
        <f t="shared" si="105"/>
        <v>0.16421834239727282</v>
      </c>
    </row>
    <row r="534" spans="2:33" ht="15" x14ac:dyDescent="0.25">
      <c r="B534" s="1">
        <v>523</v>
      </c>
      <c r="C534" s="1">
        <v>0.67810378462318355</v>
      </c>
      <c r="D534" s="1">
        <v>20.753777187448115</v>
      </c>
      <c r="E534" s="1">
        <v>8.5991916759824566E-3</v>
      </c>
      <c r="G534" s="1">
        <v>0.67810378462318355</v>
      </c>
      <c r="H534" s="1">
        <v>20.753777187448115</v>
      </c>
      <c r="I534" s="1">
        <v>8.5991916759824566E-3</v>
      </c>
      <c r="K534" s="1">
        <v>0.99960453632305812</v>
      </c>
      <c r="L534" s="1">
        <v>3.1522471017060449</v>
      </c>
      <c r="M534" s="1">
        <v>0.28448721948790107</v>
      </c>
      <c r="O534" s="1">
        <v>8.9129237802908646E-3</v>
      </c>
      <c r="P534" s="1">
        <v>0.67810378462318355</v>
      </c>
      <c r="R534" s="1">
        <v>0.20472760349938457</v>
      </c>
      <c r="S534" s="2">
        <f t="shared" si="96"/>
        <v>1.0848977172288559</v>
      </c>
      <c r="T534" s="4">
        <f t="shared" si="97"/>
        <v>1.1770030568483825</v>
      </c>
      <c r="U534" s="1">
        <f t="shared" si="100"/>
        <v>0.90297592333336052</v>
      </c>
      <c r="V534" s="6">
        <f>2*sigma/alpha*corel*(B534/12-1/alpha*(1-EXP(-alpha*Output!B534/12)))</f>
        <v>2.8695926249345418</v>
      </c>
      <c r="W534" s="5">
        <f t="shared" si="98"/>
        <v>-0.27402713351502195</v>
      </c>
      <c r="X534" s="1">
        <f t="shared" si="106"/>
        <v>56.006625442530868</v>
      </c>
      <c r="Y534" s="3">
        <f t="shared" si="99"/>
        <v>5.2934969214382135E-2</v>
      </c>
      <c r="Z534" s="1">
        <f t="shared" si="101"/>
        <v>0.16433443423604166</v>
      </c>
      <c r="AA534" s="8">
        <f t="shared" si="107"/>
        <v>43.500000000000142</v>
      </c>
      <c r="AB534" s="1">
        <v>43.58</v>
      </c>
      <c r="AC534">
        <v>9.4551776300000005E-3</v>
      </c>
      <c r="AD534" s="8">
        <f t="shared" si="102"/>
        <v>5.4225384970913586</v>
      </c>
      <c r="AE534" s="3">
        <f t="shared" si="103"/>
        <v>5.7349937878336379E-2</v>
      </c>
      <c r="AF534" s="11">
        <f t="shared" si="104"/>
        <v>43.500000000000142</v>
      </c>
      <c r="AG534" s="1">
        <f t="shared" si="105"/>
        <v>0.16433443423604166</v>
      </c>
    </row>
    <row r="535" spans="2:33" ht="15" x14ac:dyDescent="0.25">
      <c r="B535" s="1">
        <v>524</v>
      </c>
      <c r="C535" s="1">
        <v>0.67765600252421876</v>
      </c>
      <c r="D535" s="1">
        <v>20.903010033444815</v>
      </c>
      <c r="E535" s="1">
        <v>8.4940117217361753E-3</v>
      </c>
      <c r="G535" s="1">
        <v>0.67765600252421876</v>
      </c>
      <c r="H535" s="1">
        <v>20.903010033444815</v>
      </c>
      <c r="I535" s="1">
        <v>8.4940117217361753E-3</v>
      </c>
      <c r="K535" s="1">
        <v>0.99953228734618138</v>
      </c>
      <c r="L535" s="1">
        <v>3.1410136308216985</v>
      </c>
      <c r="M535" s="1">
        <v>0.28544795794516992</v>
      </c>
      <c r="O535" s="1">
        <v>8.9110417718964718E-3</v>
      </c>
      <c r="P535" s="1">
        <v>0.67765600252421876</v>
      </c>
      <c r="R535" s="1">
        <v>0.20501796257505844</v>
      </c>
      <c r="S535" s="2">
        <f t="shared" ref="S535:S598" si="108">optim_vol_implied(P535,R535)</f>
        <v>1.0869556554726769</v>
      </c>
      <c r="T535" s="4">
        <f t="shared" ref="T535:T598" si="109">S535*S535</f>
        <v>1.1814725969640367</v>
      </c>
      <c r="U535" s="1">
        <f t="shared" si="100"/>
        <v>0.90652389619279949</v>
      </c>
      <c r="V535" s="6">
        <f>2*sigma/alpha*corel*(B535/12-1/alpha*(1-EXP(-alpha*Output!B535/12)))</f>
        <v>2.878190072123906</v>
      </c>
      <c r="W535" s="5">
        <f t="shared" ref="W535:W598" si="110">U535-T535</f>
        <v>-0.27494870077123723</v>
      </c>
      <c r="X535" s="1">
        <f t="shared" si="106"/>
        <v>56.308351159315386</v>
      </c>
      <c r="Y535" s="3">
        <f t="shared" ref="Y535:Y598" si="111">(-V535+SQRT(X535))/2/B535*12</f>
        <v>5.2966019047785806E-2</v>
      </c>
      <c r="Z535" s="1">
        <f t="shared" si="101"/>
        <v>0.16448897944225638</v>
      </c>
      <c r="AA535" s="8">
        <f t="shared" si="107"/>
        <v>43.583333333333478</v>
      </c>
      <c r="AB535" s="1">
        <v>43.67</v>
      </c>
      <c r="AC535">
        <v>9.4548261889999992E-3</v>
      </c>
      <c r="AD535" s="8">
        <f t="shared" si="102"/>
        <v>5.4378441710352732</v>
      </c>
      <c r="AE535" s="3">
        <f t="shared" si="103"/>
        <v>5.7513951735694603E-2</v>
      </c>
      <c r="AF535" s="11">
        <f t="shared" si="104"/>
        <v>43.583333333333478</v>
      </c>
      <c r="AG535" s="1">
        <f t="shared" si="105"/>
        <v>0.16448897944225638</v>
      </c>
    </row>
    <row r="536" spans="2:33" ht="15" x14ac:dyDescent="0.25">
      <c r="B536" s="1">
        <v>525</v>
      </c>
      <c r="C536" s="1">
        <v>0.67720565062924276</v>
      </c>
      <c r="D536" s="1">
        <v>21.05307480157477</v>
      </c>
      <c r="E536" s="1">
        <v>8.3906695754321185E-3</v>
      </c>
      <c r="G536" s="1">
        <v>0.67720565062924276</v>
      </c>
      <c r="H536" s="1">
        <v>21.05307480157477</v>
      </c>
      <c r="I536" s="1">
        <v>8.3906695754321185E-3</v>
      </c>
      <c r="K536" s="1">
        <v>0.99960346031448133</v>
      </c>
      <c r="L536" s="1">
        <v>3.1671646855017412</v>
      </c>
      <c r="M536" s="1">
        <v>0.28303080451132945</v>
      </c>
      <c r="O536" s="1">
        <v>8.9092636491655934E-3</v>
      </c>
      <c r="P536" s="1">
        <v>0.67720565062924276</v>
      </c>
      <c r="R536" s="1">
        <v>0.20532158299072206</v>
      </c>
      <c r="S536" s="2">
        <f t="shared" si="108"/>
        <v>1.089071605258735</v>
      </c>
      <c r="T536" s="4">
        <f t="shared" si="109"/>
        <v>1.186076961380838</v>
      </c>
      <c r="U536" s="1">
        <f t="shared" si="100"/>
        <v>0.91007686748395455</v>
      </c>
      <c r="V536" s="6">
        <f>2*sigma/alpha*corel*(B536/12-1/alpha*(1-EXP(-alpha*Output!B536/12)))</f>
        <v>2.8867935732826413</v>
      </c>
      <c r="W536" s="5">
        <f t="shared" si="110"/>
        <v>-0.2760000938968834</v>
      </c>
      <c r="X536" s="1">
        <f t="shared" si="106"/>
        <v>56.633593566700554</v>
      </c>
      <c r="Y536" s="3">
        <f t="shared" si="111"/>
        <v>5.3014124353849085E-2</v>
      </c>
      <c r="Z536" s="1">
        <f t="shared" si="101"/>
        <v>0.16465215014037238</v>
      </c>
      <c r="AA536" s="8">
        <f t="shared" si="107"/>
        <v>43.666666666666814</v>
      </c>
      <c r="AB536" s="1">
        <v>43.75</v>
      </c>
      <c r="AC536">
        <v>9.4544760889999999E-3</v>
      </c>
      <c r="AD536" s="8">
        <f t="shared" si="102"/>
        <v>5.4521243983440648</v>
      </c>
      <c r="AE536" s="3">
        <f t="shared" si="103"/>
        <v>5.7667123455814207E-2</v>
      </c>
      <c r="AF536" s="11">
        <f t="shared" si="104"/>
        <v>43.666666666666814</v>
      </c>
      <c r="AG536" s="1">
        <f t="shared" si="105"/>
        <v>0.16465215014037238</v>
      </c>
    </row>
    <row r="537" spans="2:33" ht="15" x14ac:dyDescent="0.25">
      <c r="B537" s="1">
        <v>526</v>
      </c>
      <c r="C537" s="1">
        <v>0.67675217948445565</v>
      </c>
      <c r="D537" s="1">
        <v>21.203511301471522</v>
      </c>
      <c r="E537" s="1">
        <v>8.2891246684350141E-3</v>
      </c>
      <c r="G537" s="1">
        <v>0.67675217948445565</v>
      </c>
      <c r="H537" s="1">
        <v>21.203511301471522</v>
      </c>
      <c r="I537" s="1">
        <v>8.2891246684350141E-3</v>
      </c>
      <c r="K537" s="1">
        <v>0.99953884666308546</v>
      </c>
      <c r="L537" s="1">
        <v>3.2726445739248193</v>
      </c>
      <c r="M537" s="1">
        <v>0.27383840449343755</v>
      </c>
      <c r="O537" s="1">
        <v>8.9076075279818784E-3</v>
      </c>
      <c r="P537" s="1">
        <v>0.67675217948445565</v>
      </c>
      <c r="R537" s="1">
        <v>0.20557556008371672</v>
      </c>
      <c r="S537" s="2">
        <f t="shared" si="108"/>
        <v>1.09100978831258</v>
      </c>
      <c r="T537" s="4">
        <f t="shared" si="109"/>
        <v>1.1903023581938605</v>
      </c>
      <c r="U537" s="1">
        <f t="shared" si="100"/>
        <v>0.91363482407403662</v>
      </c>
      <c r="V537" s="6">
        <f>2*sigma/alpha*corel*(B537/12-1/alpha*(1-EXP(-alpha*Output!B537/12)))</f>
        <v>2.895403108264444</v>
      </c>
      <c r="W537" s="5">
        <f t="shared" si="110"/>
        <v>-0.27666753411982392</v>
      </c>
      <c r="X537" s="1">
        <f t="shared" si="106"/>
        <v>56.892400141689862</v>
      </c>
      <c r="Y537" s="3">
        <f t="shared" si="111"/>
        <v>5.301104927196356E-2</v>
      </c>
      <c r="Z537" s="1">
        <f t="shared" si="101"/>
        <v>0.16478830929088201</v>
      </c>
      <c r="AA537" s="8">
        <f t="shared" si="107"/>
        <v>43.750000000000149</v>
      </c>
      <c r="AB537" s="1">
        <v>43.83</v>
      </c>
      <c r="AC537">
        <v>9.4541273229999997E-3</v>
      </c>
      <c r="AD537" s="8">
        <f t="shared" si="102"/>
        <v>5.4651979501812127</v>
      </c>
      <c r="AE537" s="3">
        <f t="shared" si="103"/>
        <v>5.7807534883579148E-2</v>
      </c>
      <c r="AF537" s="11">
        <f t="shared" si="104"/>
        <v>43.750000000000149</v>
      </c>
      <c r="AG537" s="1">
        <f t="shared" si="105"/>
        <v>0.16478830929088201</v>
      </c>
    </row>
    <row r="538" spans="2:33" ht="15" x14ac:dyDescent="0.25">
      <c r="B538" s="1">
        <v>527</v>
      </c>
      <c r="C538" s="1">
        <v>0.67629419172131777</v>
      </c>
      <c r="D538" s="1">
        <v>21.361587593189924</v>
      </c>
      <c r="E538" s="1">
        <v>8.1859855926653576E-3</v>
      </c>
      <c r="G538" s="1">
        <v>0.67629419172131777</v>
      </c>
      <c r="H538" s="1">
        <v>21.361587593189924</v>
      </c>
      <c r="I538" s="1">
        <v>8.1859855926653576E-3</v>
      </c>
      <c r="K538" s="1">
        <v>0.99965225169105287</v>
      </c>
      <c r="L538" s="1">
        <v>3.2620680260140125</v>
      </c>
      <c r="M538" s="1">
        <v>0.2746877989267158</v>
      </c>
      <c r="O538" s="1">
        <v>8.9061199868303801E-3</v>
      </c>
      <c r="P538" s="1">
        <v>0.67629419172131777</v>
      </c>
      <c r="R538" s="1">
        <v>0.20571597498959113</v>
      </c>
      <c r="S538" s="2">
        <f t="shared" si="108"/>
        <v>1.0925316416109994</v>
      </c>
      <c r="T538" s="4">
        <f t="shared" si="109"/>
        <v>1.1936253879212251</v>
      </c>
      <c r="U538" s="1">
        <f t="shared" si="100"/>
        <v>0.91719775285069671</v>
      </c>
      <c r="V538" s="6">
        <f>2*sigma/alpha*corel*(B538/12-1/alpha*(1-EXP(-alpha*Output!B538/12)))</f>
        <v>2.9040186569900537</v>
      </c>
      <c r="W538" s="5">
        <f t="shared" si="110"/>
        <v>-0.27642763507052837</v>
      </c>
      <c r="X538" s="1">
        <f t="shared" si="106"/>
        <v>56.992445587535798</v>
      </c>
      <c r="Y538" s="3">
        <f t="shared" si="111"/>
        <v>5.2887842032434365E-2</v>
      </c>
      <c r="Z538" s="1">
        <f t="shared" si="101"/>
        <v>0.16486153499578493</v>
      </c>
      <c r="AA538" s="8">
        <f t="shared" si="107"/>
        <v>43.833333333333485</v>
      </c>
      <c r="AB538" s="1">
        <v>43.92</v>
      </c>
      <c r="AC538">
        <v>9.4537798840000006E-3</v>
      </c>
      <c r="AD538" s="8">
        <f t="shared" si="102"/>
        <v>5.4765989716962054</v>
      </c>
      <c r="AE538" s="3">
        <f t="shared" si="103"/>
        <v>5.793025688026697E-2</v>
      </c>
      <c r="AF538" s="11">
        <f t="shared" si="104"/>
        <v>43.833333333333485</v>
      </c>
      <c r="AG538" s="1">
        <f t="shared" si="105"/>
        <v>0.16486153499578493</v>
      </c>
    </row>
    <row r="539" spans="2:33" ht="15" x14ac:dyDescent="0.25">
      <c r="B539" s="1">
        <v>528</v>
      </c>
      <c r="C539" s="1">
        <v>0.67583359852052771</v>
      </c>
      <c r="D539" s="1">
        <v>21.508151589452403</v>
      </c>
      <c r="E539" s="1">
        <v>8.0886516217746496E-3</v>
      </c>
      <c r="G539" s="1">
        <v>0.67583359852052771</v>
      </c>
      <c r="H539" s="1">
        <v>21.508151589452403</v>
      </c>
      <c r="I539" s="1">
        <v>8.0886516217746496E-3</v>
      </c>
      <c r="K539" s="1">
        <v>0.9997141604742128</v>
      </c>
      <c r="L539" s="1">
        <v>3.1744986849629959</v>
      </c>
      <c r="M539" s="1">
        <v>0.28220423376066267</v>
      </c>
      <c r="O539" s="1">
        <v>8.9047361198923789E-3</v>
      </c>
      <c r="P539" s="1">
        <v>0.67583359852052771</v>
      </c>
      <c r="R539" s="1">
        <v>0.20600187074331452</v>
      </c>
      <c r="S539" s="2">
        <f t="shared" si="108"/>
        <v>1.0946101180021113</v>
      </c>
      <c r="T539" s="4">
        <f t="shared" si="109"/>
        <v>1.1981713104325959</v>
      </c>
      <c r="U539" s="1">
        <f t="shared" si="100"/>
        <v>0.92076564072211697</v>
      </c>
      <c r="V539" s="6">
        <f>2*sigma/alpha*corel*(B539/12-1/alpha*(1-EXP(-alpha*Output!B539/12)))</f>
        <v>2.9126401994470328</v>
      </c>
      <c r="W539" s="5">
        <f t="shared" si="110"/>
        <v>-0.27740566971047897</v>
      </c>
      <c r="X539" s="1">
        <f t="shared" si="106"/>
        <v>57.306870800479146</v>
      </c>
      <c r="Y539" s="3">
        <f t="shared" si="111"/>
        <v>5.2926022399953969E-2</v>
      </c>
      <c r="Z539" s="1">
        <f t="shared" si="101"/>
        <v>0.16501868423362054</v>
      </c>
      <c r="AA539" s="8">
        <f t="shared" si="107"/>
        <v>43.916666666666821</v>
      </c>
      <c r="AB539" s="1">
        <v>44</v>
      </c>
      <c r="AC539">
        <v>9.4534337630000007E-3</v>
      </c>
      <c r="AD539" s="8">
        <f t="shared" si="102"/>
        <v>5.4869764310762177</v>
      </c>
      <c r="AE539" s="3">
        <f t="shared" si="103"/>
        <v>5.804215239283543E-2</v>
      </c>
      <c r="AF539" s="11">
        <f t="shared" si="104"/>
        <v>43.916666666666821</v>
      </c>
      <c r="AG539" s="1">
        <f t="shared" si="105"/>
        <v>0.16501868423362054</v>
      </c>
    </row>
    <row r="540" spans="2:33" ht="15" x14ac:dyDescent="0.25">
      <c r="B540" s="1">
        <v>529</v>
      </c>
      <c r="C540" s="1">
        <v>0.67537035645493038</v>
      </c>
      <c r="D540" s="1">
        <v>21.652989195158391</v>
      </c>
      <c r="E540" s="1">
        <v>7.9936051159072742E-3</v>
      </c>
      <c r="G540" s="1">
        <v>0.67537035645493038</v>
      </c>
      <c r="H540" s="1">
        <v>21.652989195158391</v>
      </c>
      <c r="I540" s="1">
        <v>7.9936051159072742E-3</v>
      </c>
      <c r="K540" s="1">
        <v>0.9997889477287647</v>
      </c>
      <c r="L540" s="1">
        <v>3.1347211263393109</v>
      </c>
      <c r="M540" s="1">
        <v>0.28570813415648627</v>
      </c>
      <c r="O540" s="1">
        <v>8.9034569908774362E-3</v>
      </c>
      <c r="P540" s="1">
        <v>0.67537035645493038</v>
      </c>
      <c r="R540" s="1">
        <v>0.20638134780801964</v>
      </c>
      <c r="S540" s="2">
        <f t="shared" si="108"/>
        <v>1.0970506470402592</v>
      </c>
      <c r="T540" s="4">
        <f t="shared" si="109"/>
        <v>1.2035201221714515</v>
      </c>
      <c r="U540" s="1">
        <f t="shared" si="100"/>
        <v>0.92433847461709107</v>
      </c>
      <c r="V540" s="6">
        <f>2*sigma/alpha*corel*(B540/12-1/alpha*(1-EXP(-alpha*Output!B540/12)))</f>
        <v>2.9212677156895372</v>
      </c>
      <c r="W540" s="5">
        <f t="shared" si="110"/>
        <v>-0.27918164755436048</v>
      </c>
      <c r="X540" s="1">
        <f t="shared" si="106"/>
        <v>57.7628355854822</v>
      </c>
      <c r="Y540" s="3">
        <f t="shared" si="111"/>
        <v>5.3069022688439382E-2</v>
      </c>
      <c r="Z540" s="1">
        <f t="shared" si="101"/>
        <v>0.16523021383913394</v>
      </c>
      <c r="AA540" s="8">
        <f t="shared" si="107"/>
        <v>44.000000000000156</v>
      </c>
      <c r="AB540" s="1">
        <v>44.08</v>
      </c>
      <c r="AC540">
        <v>9.4530889530000002E-3</v>
      </c>
      <c r="AD540" s="8">
        <f t="shared" si="102"/>
        <v>5.4963196212256396</v>
      </c>
      <c r="AE540" s="3">
        <f t="shared" si="103"/>
        <v>5.814310696273884E-2</v>
      </c>
      <c r="AF540" s="11">
        <f t="shared" si="104"/>
        <v>44.000000000000156</v>
      </c>
      <c r="AG540" s="1">
        <f t="shared" si="105"/>
        <v>0.16523021383913394</v>
      </c>
    </row>
    <row r="541" spans="2:33" ht="15" x14ac:dyDescent="0.25">
      <c r="B541" s="1">
        <v>530</v>
      </c>
      <c r="C541" s="1">
        <v>0.67490754312000933</v>
      </c>
      <c r="D541" s="1">
        <v>21.80121650788114</v>
      </c>
      <c r="E541" s="1">
        <v>7.8988941548183266E-3</v>
      </c>
      <c r="G541" s="1">
        <v>0.67490754312000933</v>
      </c>
      <c r="H541" s="1">
        <v>21.80121650788114</v>
      </c>
      <c r="I541" s="1">
        <v>7.8988941548183266E-3</v>
      </c>
      <c r="K541" s="1">
        <v>0.99982037712096827</v>
      </c>
      <c r="L541" s="1">
        <v>3.2342053877791344</v>
      </c>
      <c r="M541" s="1">
        <v>0.27687325760009568</v>
      </c>
      <c r="O541" s="1">
        <v>8.9021789580413964E-3</v>
      </c>
      <c r="P541" s="1">
        <v>0.67490754312000933</v>
      </c>
      <c r="R541" s="1">
        <v>0.20648204631728917</v>
      </c>
      <c r="S541" s="2">
        <f t="shared" si="108"/>
        <v>1.098438922839087</v>
      </c>
      <c r="T541" s="4">
        <f t="shared" si="109"/>
        <v>1.2065680672078936</v>
      </c>
      <c r="U541" s="1">
        <f t="shared" si="100"/>
        <v>0.92791624148510765</v>
      </c>
      <c r="V541" s="6">
        <f>2*sigma/alpha*corel*(B541/12-1/alpha*(1-EXP(-alpha*Output!B541/12)))</f>
        <v>2.9299011858380983</v>
      </c>
      <c r="W541" s="5">
        <f t="shared" si="110"/>
        <v>-0.27865182572278591</v>
      </c>
      <c r="X541" s="1">
        <f t="shared" si="106"/>
        <v>57.812810169801004</v>
      </c>
      <c r="Y541" s="3">
        <f t="shared" si="111"/>
        <v>5.2908366494125933E-2</v>
      </c>
      <c r="Z541" s="1">
        <f t="shared" si="101"/>
        <v>0.16528315787280065</v>
      </c>
      <c r="AA541" s="8">
        <f t="shared" si="107"/>
        <v>44.083333333333492</v>
      </c>
      <c r="AB541" s="1">
        <v>44.17</v>
      </c>
      <c r="AC541">
        <v>9.4527454469999998E-3</v>
      </c>
      <c r="AD541" s="8">
        <f t="shared" si="102"/>
        <v>5.5056648895860336</v>
      </c>
      <c r="AE541" s="3">
        <f t="shared" si="103"/>
        <v>5.8244082848262414E-2</v>
      </c>
      <c r="AF541" s="11">
        <f t="shared" si="104"/>
        <v>44.083333333333492</v>
      </c>
      <c r="AG541" s="1">
        <f t="shared" si="105"/>
        <v>0.16528315787280065</v>
      </c>
    </row>
    <row r="542" spans="2:33" ht="15" x14ac:dyDescent="0.25">
      <c r="B542" s="1">
        <v>531</v>
      </c>
      <c r="C542" s="1">
        <v>0.67444645422587024</v>
      </c>
      <c r="D542" s="1">
        <v>21.94811465695097</v>
      </c>
      <c r="E542" s="1">
        <v>7.8057918975880094E-3</v>
      </c>
      <c r="G542" s="1">
        <v>0.67444645422587024</v>
      </c>
      <c r="H542" s="1">
        <v>21.94811465695097</v>
      </c>
      <c r="I542" s="1">
        <v>7.8057918975880094E-3</v>
      </c>
      <c r="K542" s="1">
        <v>0.99965573703765453</v>
      </c>
      <c r="L542" s="1">
        <v>3.258566856400412</v>
      </c>
      <c r="M542" s="1">
        <v>0.2747386714314759</v>
      </c>
      <c r="O542" s="1">
        <v>8.9008585844675761E-3</v>
      </c>
      <c r="P542" s="1">
        <v>0.67444645422587024</v>
      </c>
      <c r="R542" s="1">
        <v>0.20658593051476665</v>
      </c>
      <c r="S542" s="2">
        <f t="shared" si="108"/>
        <v>1.0998369477849785</v>
      </c>
      <c r="T542" s="4">
        <f t="shared" si="109"/>
        <v>1.2096413117129776</v>
      </c>
      <c r="U542" s="1">
        <f t="shared" si="100"/>
        <v>0.93149892829643832</v>
      </c>
      <c r="V542" s="6">
        <f>2*sigma/alpha*corel*(B542/12-1/alpha*(1-EXP(-alpha*Output!B542/12)))</f>
        <v>2.9385405900794042</v>
      </c>
      <c r="W542" s="5">
        <f t="shared" si="110"/>
        <v>-0.2781423834165393</v>
      </c>
      <c r="X542" s="1">
        <f t="shared" si="106"/>
        <v>57.866222664271675</v>
      </c>
      <c r="Y542" s="3">
        <f t="shared" si="111"/>
        <v>5.275078568474495E-2</v>
      </c>
      <c r="Z542" s="1">
        <f t="shared" si="101"/>
        <v>0.16533761465066676</v>
      </c>
      <c r="AA542" s="8">
        <f t="shared" si="107"/>
        <v>44.166666666666828</v>
      </c>
      <c r="AB542" s="1">
        <v>44.25</v>
      </c>
      <c r="AC542">
        <v>9.4524032379999998E-3</v>
      </c>
      <c r="AD542" s="8">
        <f t="shared" si="102"/>
        <v>5.5154465353242363</v>
      </c>
      <c r="AE542" s="3">
        <f t="shared" si="103"/>
        <v>5.8349674643072356E-2</v>
      </c>
      <c r="AF542" s="11">
        <f t="shared" si="104"/>
        <v>44.166666666666828</v>
      </c>
      <c r="AG542" s="1">
        <f t="shared" si="105"/>
        <v>0.16533761465066676</v>
      </c>
    </row>
    <row r="543" spans="2:33" ht="15" x14ac:dyDescent="0.25">
      <c r="B543" s="1">
        <v>532</v>
      </c>
      <c r="C543" s="1">
        <v>0.67398507303428234</v>
      </c>
      <c r="D543" s="1">
        <v>22.096517588828</v>
      </c>
      <c r="E543" s="1">
        <v>7.7136686207960516E-3</v>
      </c>
      <c r="G543" s="1">
        <v>0.67398507303428234</v>
      </c>
      <c r="H543" s="1">
        <v>22.096517588828</v>
      </c>
      <c r="I543" s="1">
        <v>7.7136686207960516E-3</v>
      </c>
      <c r="K543" s="1">
        <v>0.99967561339461608</v>
      </c>
      <c r="L543" s="1">
        <v>3.1907571605520215</v>
      </c>
      <c r="M543" s="1">
        <v>0.28051876848063195</v>
      </c>
      <c r="O543" s="1">
        <v>8.8995634995898583E-3</v>
      </c>
      <c r="P543" s="1">
        <v>0.67398507303428234</v>
      </c>
      <c r="R543" s="1">
        <v>0.20687425579184973</v>
      </c>
      <c r="S543" s="2">
        <f t="shared" si="108"/>
        <v>1.1019358792629579</v>
      </c>
      <c r="T543" s="4">
        <f t="shared" si="109"/>
        <v>1.2142626820070281</v>
      </c>
      <c r="U543" s="1">
        <f t="shared" si="100"/>
        <v>0.9350865220422131</v>
      </c>
      <c r="V543" s="6">
        <f>2*sigma/alpha*corel*(B543/12-1/alpha*(1-EXP(-alpha*Output!B543/12)))</f>
        <v>2.9471859086660768</v>
      </c>
      <c r="W543" s="5">
        <f t="shared" si="110"/>
        <v>-0.27917615996481504</v>
      </c>
      <c r="X543" s="1">
        <f t="shared" si="106"/>
        <v>58.193143814000422</v>
      </c>
      <c r="Y543" s="3">
        <f t="shared" si="111"/>
        <v>5.2796133503301659E-2</v>
      </c>
      <c r="Z543" s="1">
        <f t="shared" si="101"/>
        <v>0.16549738307498946</v>
      </c>
      <c r="AA543" s="8">
        <f t="shared" si="107"/>
        <v>44.250000000000163</v>
      </c>
      <c r="AB543" s="1">
        <v>44.33</v>
      </c>
      <c r="AC543">
        <v>9.4520623169999998E-3</v>
      </c>
      <c r="AD543" s="8">
        <f t="shared" si="102"/>
        <v>5.5249881741014155</v>
      </c>
      <c r="AE543" s="3">
        <f t="shared" si="103"/>
        <v>5.8452726916161483E-2</v>
      </c>
      <c r="AF543" s="11">
        <f t="shared" si="104"/>
        <v>44.250000000000163</v>
      </c>
      <c r="AG543" s="1">
        <f t="shared" si="105"/>
        <v>0.16549738307498946</v>
      </c>
    </row>
    <row r="544" spans="2:33" ht="15" x14ac:dyDescent="0.25">
      <c r="B544" s="1">
        <v>533</v>
      </c>
      <c r="C544" s="1">
        <v>0.67352339333787159</v>
      </c>
      <c r="D544" s="1">
        <v>22.248920927335025</v>
      </c>
      <c r="E544" s="1">
        <v>7.6219512195121958E-3</v>
      </c>
      <c r="G544" s="1">
        <v>0.67352339333787159</v>
      </c>
      <c r="H544" s="1">
        <v>22.248920927335025</v>
      </c>
      <c r="I544" s="1">
        <v>7.6219512195121958E-3</v>
      </c>
      <c r="K544" s="1">
        <v>0.99964302470287347</v>
      </c>
      <c r="L544" s="1">
        <v>3.1672411345841063</v>
      </c>
      <c r="M544" s="1">
        <v>0.28254733807979721</v>
      </c>
      <c r="O544" s="1">
        <v>8.8982938030345762E-3</v>
      </c>
      <c r="P544" s="1">
        <v>0.67352339333787159</v>
      </c>
      <c r="R544" s="1">
        <v>0.20722612720480482</v>
      </c>
      <c r="S544" s="2">
        <f t="shared" si="108"/>
        <v>1.1042791091377768</v>
      </c>
      <c r="T544" s="4">
        <f t="shared" si="109"/>
        <v>1.219432350878122</v>
      </c>
      <c r="U544" s="1">
        <f t="shared" si="100"/>
        <v>0.93867900973450435</v>
      </c>
      <c r="V544" s="6">
        <f>2*sigma/alpha*corel*(B544/12-1/alpha*(1-EXP(-alpha*Output!B544/12)))</f>
        <v>2.955837121916451</v>
      </c>
      <c r="W544" s="5">
        <f t="shared" si="110"/>
        <v>-0.28075334114361761</v>
      </c>
      <c r="X544" s="1">
        <f t="shared" si="106"/>
        <v>58.617483367815382</v>
      </c>
      <c r="Y544" s="3">
        <f t="shared" si="111"/>
        <v>5.2912214909088984E-2</v>
      </c>
      <c r="Z544" s="1">
        <f t="shared" si="101"/>
        <v>0.16569365373049702</v>
      </c>
      <c r="AA544" s="8">
        <f t="shared" si="107"/>
        <v>44.333333333333499</v>
      </c>
      <c r="AB544" s="1">
        <v>44.42</v>
      </c>
      <c r="AC544">
        <v>9.4517226780000008E-3</v>
      </c>
      <c r="AD544" s="8">
        <f t="shared" si="102"/>
        <v>5.5342887496542463</v>
      </c>
      <c r="AE544" s="3">
        <f t="shared" si="103"/>
        <v>5.8553228212418422E-2</v>
      </c>
      <c r="AF544" s="11">
        <f t="shared" si="104"/>
        <v>44.333333333333499</v>
      </c>
      <c r="AG544" s="1">
        <f t="shared" si="105"/>
        <v>0.16569365373049702</v>
      </c>
    </row>
    <row r="545" spans="2:33" ht="15" x14ac:dyDescent="0.25">
      <c r="B545" s="1">
        <v>534</v>
      </c>
      <c r="C545" s="1">
        <v>0.67305804757498167</v>
      </c>
      <c r="D545" s="1">
        <v>22.402437385187511</v>
      </c>
      <c r="E545" s="1">
        <v>7.5306875517734771E-3</v>
      </c>
      <c r="G545" s="1">
        <v>0.67305804757498167</v>
      </c>
      <c r="H545" s="1">
        <v>22.402437385187511</v>
      </c>
      <c r="I545" s="1">
        <v>7.5306875517734771E-3</v>
      </c>
      <c r="K545" s="1">
        <v>0.99955939195377908</v>
      </c>
      <c r="L545" s="1">
        <v>3.1454547801039641</v>
      </c>
      <c r="M545" s="1">
        <v>0.28443822890097553</v>
      </c>
      <c r="O545" s="1">
        <v>8.8971618222051067E-3</v>
      </c>
      <c r="P545" s="1">
        <v>0.67305804757498167</v>
      </c>
      <c r="R545" s="1">
        <v>0.20744883603134995</v>
      </c>
      <c r="S545" s="2">
        <f t="shared" si="108"/>
        <v>1.1061431809539137</v>
      </c>
      <c r="T545" s="4">
        <f t="shared" si="109"/>
        <v>1.2235527367708428</v>
      </c>
      <c r="U545" s="1">
        <f t="shared" si="100"/>
        <v>0.9422763784064041</v>
      </c>
      <c r="V545" s="6">
        <f>2*sigma/alpha*corel*(B545/12-1/alpha*(1-EXP(-alpha*Output!B545/12)))</f>
        <v>2.9644942102143608</v>
      </c>
      <c r="W545" s="5">
        <f t="shared" si="110"/>
        <v>-0.28127635836443865</v>
      </c>
      <c r="X545" s="1">
        <f t="shared" si="106"/>
        <v>58.855417711264543</v>
      </c>
      <c r="Y545" s="3">
        <f t="shared" si="111"/>
        <v>5.289027257736189E-2</v>
      </c>
      <c r="Z545" s="1">
        <f t="shared" si="101"/>
        <v>0.16581787333832834</v>
      </c>
      <c r="AA545" s="8">
        <f t="shared" si="107"/>
        <v>44.416666666666835</v>
      </c>
      <c r="AB545" s="1">
        <v>44.5</v>
      </c>
      <c r="AC545">
        <v>9.4513843139999998E-3</v>
      </c>
      <c r="AD545" s="8">
        <f t="shared" si="102"/>
        <v>5.5422249179489302</v>
      </c>
      <c r="AE545" s="3">
        <f t="shared" si="103"/>
        <v>5.8639292762007675E-2</v>
      </c>
      <c r="AF545" s="11">
        <f t="shared" si="104"/>
        <v>44.416666666666835</v>
      </c>
      <c r="AG545" s="1">
        <f t="shared" si="105"/>
        <v>0.16581787333832834</v>
      </c>
    </row>
    <row r="546" spans="2:33" ht="15" x14ac:dyDescent="0.25">
      <c r="B546" s="1">
        <v>535</v>
      </c>
      <c r="C546" s="1">
        <v>0.67259603842301596</v>
      </c>
      <c r="D546" s="1">
        <v>22.563686003745573</v>
      </c>
      <c r="E546" s="1">
        <v>7.4388157405341068E-3</v>
      </c>
      <c r="G546" s="1">
        <v>0.67259603842301596</v>
      </c>
      <c r="H546" s="1">
        <v>22.563686003745573</v>
      </c>
      <c r="I546" s="1">
        <v>7.4388157405341068E-3</v>
      </c>
      <c r="K546" s="1">
        <v>0.99954852470838884</v>
      </c>
      <c r="L546" s="1">
        <v>3.2223370482243654</v>
      </c>
      <c r="M546" s="1">
        <v>0.27760513524450325</v>
      </c>
      <c r="O546" s="1">
        <v>8.8959335245969232E-3</v>
      </c>
      <c r="P546" s="1">
        <v>0.67259603842301596</v>
      </c>
      <c r="R546" s="1">
        <v>0.20765016085348875</v>
      </c>
      <c r="S546" s="2">
        <f t="shared" si="108"/>
        <v>1.1079209408622497</v>
      </c>
      <c r="T546" s="4">
        <f t="shared" si="109"/>
        <v>1.2274888112010927</v>
      </c>
      <c r="U546" s="1">
        <f t="shared" si="100"/>
        <v>0.94587861511210169</v>
      </c>
      <c r="V546" s="6">
        <f>2*sigma/alpha*corel*(B546/12-1/alpha*(1-EXP(-alpha*Output!B546/12)))</f>
        <v>2.9731571540089172</v>
      </c>
      <c r="W546" s="5">
        <f t="shared" si="110"/>
        <v>-0.28161019608899096</v>
      </c>
      <c r="X546" s="1">
        <f t="shared" si="106"/>
        <v>59.060148431637792</v>
      </c>
      <c r="Y546" s="3">
        <f t="shared" si="111"/>
        <v>5.284377113146338E-2</v>
      </c>
      <c r="Z546" s="1">
        <f t="shared" si="101"/>
        <v>0.16592907917740043</v>
      </c>
      <c r="AA546" s="8">
        <f t="shared" si="107"/>
        <v>44.500000000000171</v>
      </c>
      <c r="AB546" s="1">
        <v>44.58</v>
      </c>
      <c r="AC546">
        <v>9.4510472170000002E-3</v>
      </c>
      <c r="AD546" s="8">
        <f t="shared" si="102"/>
        <v>5.5511369240307706</v>
      </c>
      <c r="AE546" s="3">
        <f t="shared" si="103"/>
        <v>5.8735680783032214E-2</v>
      </c>
      <c r="AF546" s="11">
        <f t="shared" si="104"/>
        <v>44.500000000000171</v>
      </c>
      <c r="AG546" s="1">
        <f t="shared" si="105"/>
        <v>0.16592907917740043</v>
      </c>
    </row>
    <row r="547" spans="2:33" ht="15" x14ac:dyDescent="0.25">
      <c r="B547" s="1">
        <v>536</v>
      </c>
      <c r="C547" s="1">
        <v>0.67213672836821481</v>
      </c>
      <c r="D547" s="1">
        <v>22.726239716376529</v>
      </c>
      <c r="E547" s="1">
        <v>7.3475385745775165E-3</v>
      </c>
      <c r="G547" s="1">
        <v>0.67213672836821481</v>
      </c>
      <c r="H547" s="1">
        <v>22.726239716376529</v>
      </c>
      <c r="I547" s="1">
        <v>7.3475385745775165E-3</v>
      </c>
      <c r="K547" s="1">
        <v>0.99965362842163397</v>
      </c>
      <c r="L547" s="1">
        <v>3.2772629006921736</v>
      </c>
      <c r="M547" s="1">
        <v>0.27288647175550046</v>
      </c>
      <c r="O547" s="1">
        <v>8.8946304698842502E-3</v>
      </c>
      <c r="P547" s="1">
        <v>0.67213672836821481</v>
      </c>
      <c r="R547" s="1">
        <v>0.20810796899320047</v>
      </c>
      <c r="S547" s="2">
        <f t="shared" si="108"/>
        <v>1.110670166504774</v>
      </c>
      <c r="T547" s="4">
        <f t="shared" si="109"/>
        <v>1.2335882187637424</v>
      </c>
      <c r="U547" s="1">
        <f t="shared" si="100"/>
        <v>0.94948570692695977</v>
      </c>
      <c r="V547" s="6">
        <f>2*sigma/alpha*corel*(B547/12-1/alpha*(1-EXP(-alpha*Output!B547/12)))</f>
        <v>2.9818259338142914</v>
      </c>
      <c r="W547" s="5">
        <f t="shared" si="110"/>
        <v>-0.28410251183678259</v>
      </c>
      <c r="X547" s="1">
        <f t="shared" si="106"/>
        <v>59.650934681072627</v>
      </c>
      <c r="Y547" s="3">
        <f t="shared" si="111"/>
        <v>5.3077341290579061E-2</v>
      </c>
      <c r="Z547" s="1">
        <f t="shared" si="101"/>
        <v>0.16618557906370968</v>
      </c>
      <c r="AA547" s="8">
        <f t="shared" si="107"/>
        <v>44.583333333333506</v>
      </c>
      <c r="AB547" s="1">
        <v>44.67</v>
      </c>
      <c r="AC547">
        <v>9.4507113809999994E-3</v>
      </c>
      <c r="AD547" s="8">
        <f t="shared" si="102"/>
        <v>5.5608091111574929</v>
      </c>
      <c r="AE547" s="3">
        <f t="shared" si="103"/>
        <v>5.8840111468615099E-2</v>
      </c>
      <c r="AF547" s="11">
        <f t="shared" si="104"/>
        <v>44.583333333333506</v>
      </c>
      <c r="AG547" s="1">
        <f t="shared" si="105"/>
        <v>0.16618557906370968</v>
      </c>
    </row>
    <row r="548" spans="2:33" ht="15" x14ac:dyDescent="0.25">
      <c r="B548" s="1">
        <v>537</v>
      </c>
      <c r="C548" s="1">
        <v>0.67167948973321523</v>
      </c>
      <c r="D548" s="1">
        <v>22.888008972099517</v>
      </c>
      <c r="E548" s="1">
        <v>7.2579474524604439E-3</v>
      </c>
      <c r="G548" s="1">
        <v>0.67167948973321523</v>
      </c>
      <c r="H548" s="1">
        <v>22.888008972099517</v>
      </c>
      <c r="I548" s="1">
        <v>7.2579474524604439E-3</v>
      </c>
      <c r="K548" s="1">
        <v>0.99950457333017151</v>
      </c>
      <c r="L548" s="1">
        <v>3.2003884683709325</v>
      </c>
      <c r="M548" s="1">
        <v>0.27939615561760545</v>
      </c>
      <c r="O548" s="1">
        <v>8.8932737885471704E-3</v>
      </c>
      <c r="P548" s="1">
        <v>0.67167948973321523</v>
      </c>
      <c r="R548" s="1">
        <v>0.20843535062595128</v>
      </c>
      <c r="S548" s="2">
        <f t="shared" si="108"/>
        <v>1.1129222490568489</v>
      </c>
      <c r="T548" s="4">
        <f t="shared" si="109"/>
        <v>1.2385959324457547</v>
      </c>
      <c r="U548" s="1">
        <f t="shared" si="100"/>
        <v>0.9530976409475902</v>
      </c>
      <c r="V548" s="6">
        <f>2*sigma/alpha*corel*(B548/12-1/alpha*(1-EXP(-alpha*Output!B548/12)))</f>
        <v>2.990500530209502</v>
      </c>
      <c r="W548" s="5">
        <f t="shared" si="110"/>
        <v>-0.28549829149816452</v>
      </c>
      <c r="X548" s="1">
        <f t="shared" si="106"/>
        <v>60.04728759935476</v>
      </c>
      <c r="Y548" s="3">
        <f t="shared" si="111"/>
        <v>5.3167798462966868E-2</v>
      </c>
      <c r="Z548" s="1">
        <f t="shared" si="101"/>
        <v>0.16636742888989978</v>
      </c>
      <c r="AA548" s="8">
        <f t="shared" si="107"/>
        <v>44.666666666666842</v>
      </c>
      <c r="AB548" s="1">
        <v>44.75</v>
      </c>
      <c r="AC548">
        <v>9.4503767970000006E-3</v>
      </c>
      <c r="AD548" s="8">
        <f t="shared" si="102"/>
        <v>5.5710300845283021</v>
      </c>
      <c r="AE548" s="3">
        <f t="shared" si="103"/>
        <v>5.8950348797698858E-2</v>
      </c>
      <c r="AF548" s="11">
        <f t="shared" si="104"/>
        <v>44.666666666666842</v>
      </c>
      <c r="AG548" s="1">
        <f t="shared" si="105"/>
        <v>0.16636742888989978</v>
      </c>
    </row>
    <row r="549" spans="2:33" ht="15" x14ac:dyDescent="0.25">
      <c r="B549" s="1">
        <v>538</v>
      </c>
      <c r="C549" s="1">
        <v>0.67122511443888333</v>
      </c>
      <c r="D549" s="1">
        <v>23.048909786567094</v>
      </c>
      <c r="E549" s="1">
        <v>7.1705148429657244E-3</v>
      </c>
      <c r="G549" s="1">
        <v>0.67122511443888333</v>
      </c>
      <c r="H549" s="1">
        <v>23.048909786567094</v>
      </c>
      <c r="I549" s="1">
        <v>7.1705148429657244E-3</v>
      </c>
      <c r="K549" s="1">
        <v>0.99950418740078273</v>
      </c>
      <c r="L549" s="1">
        <v>3.1902575938787399</v>
      </c>
      <c r="M549" s="1">
        <v>0.28022137115647122</v>
      </c>
      <c r="O549" s="1">
        <v>8.8918373377232709E-3</v>
      </c>
      <c r="P549" s="1">
        <v>0.67122511443888333</v>
      </c>
      <c r="R549" s="1">
        <v>0.20881605506020179</v>
      </c>
      <c r="S549" s="2">
        <f t="shared" si="108"/>
        <v>1.1153741047276331</v>
      </c>
      <c r="T549" s="4">
        <f t="shared" si="109"/>
        <v>1.244059393496969</v>
      </c>
      <c r="U549" s="1">
        <f t="shared" si="100"/>
        <v>0.95671440429192822</v>
      </c>
      <c r="V549" s="6">
        <f>2*sigma/alpha*corel*(B549/12-1/alpha*(1-EXP(-alpha*Output!B549/12)))</f>
        <v>2.9991809238381939</v>
      </c>
      <c r="W549" s="5">
        <f t="shared" si="110"/>
        <v>-0.28734498920504081</v>
      </c>
      <c r="X549" s="1">
        <f t="shared" si="106"/>
        <v>60.525620944685578</v>
      </c>
      <c r="Y549" s="3">
        <f t="shared" si="111"/>
        <v>5.3315692991655055E-2</v>
      </c>
      <c r="Z549" s="1">
        <f t="shared" si="101"/>
        <v>0.16657892020878559</v>
      </c>
      <c r="AA549" s="8">
        <f t="shared" si="107"/>
        <v>44.750000000000178</v>
      </c>
      <c r="AB549" s="1">
        <v>44.83</v>
      </c>
      <c r="AC549">
        <v>9.4500434599999999E-3</v>
      </c>
      <c r="AD549" s="8">
        <f t="shared" si="102"/>
        <v>5.5820612227672903</v>
      </c>
      <c r="AE549" s="3">
        <f t="shared" si="103"/>
        <v>5.9069159273128787E-2</v>
      </c>
      <c r="AF549" s="11">
        <f t="shared" si="104"/>
        <v>44.750000000000178</v>
      </c>
      <c r="AG549" s="1">
        <f t="shared" si="105"/>
        <v>0.16657892020878559</v>
      </c>
    </row>
    <row r="550" spans="2:33" ht="15" x14ac:dyDescent="0.25">
      <c r="B550" s="1">
        <v>539</v>
      </c>
      <c r="C550" s="1">
        <v>0.67077070357000212</v>
      </c>
      <c r="D550" s="1">
        <v>23.214244260278107</v>
      </c>
      <c r="E550" s="1">
        <v>7.0826545789361853E-3</v>
      </c>
      <c r="G550" s="1">
        <v>0.67077070357000212</v>
      </c>
      <c r="H550" s="1">
        <v>23.214244260278107</v>
      </c>
      <c r="I550" s="1">
        <v>7.0826545789361853E-3</v>
      </c>
      <c r="K550" s="1">
        <v>0.99950333121680901</v>
      </c>
      <c r="L550" s="1">
        <v>3.1905747646669935</v>
      </c>
      <c r="M550" s="1">
        <v>0.28012504611994227</v>
      </c>
      <c r="O550" s="1">
        <v>8.8904175997143384E-3</v>
      </c>
      <c r="P550" s="1">
        <v>0.67077070357000212</v>
      </c>
      <c r="R550" s="1">
        <v>0.20921038362993544</v>
      </c>
      <c r="S550" s="2">
        <f t="shared" si="108"/>
        <v>1.1178813015034625</v>
      </c>
      <c r="T550" s="4">
        <f t="shared" si="109"/>
        <v>1.2496586042510753</v>
      </c>
      <c r="U550" s="1">
        <f t="shared" si="100"/>
        <v>0.96033598409930221</v>
      </c>
      <c r="V550" s="6">
        <f>2*sigma/alpha*corel*(B550/12-1/alpha*(1-EXP(-alpha*Output!B550/12)))</f>
        <v>3.0078670954084257</v>
      </c>
      <c r="W550" s="5">
        <f t="shared" si="110"/>
        <v>-0.28932262015177312</v>
      </c>
      <c r="X550" s="1">
        <f t="shared" si="106"/>
        <v>61.02889521757595</v>
      </c>
      <c r="Y550" s="3">
        <f t="shared" si="111"/>
        <v>5.3479393561110103E-2</v>
      </c>
      <c r="Z550" s="1">
        <f t="shared" si="101"/>
        <v>0.16679841994493783</v>
      </c>
      <c r="AA550" s="8">
        <f t="shared" si="107"/>
        <v>44.833333333333513</v>
      </c>
      <c r="AB550" s="1">
        <v>44.92</v>
      </c>
      <c r="AC550">
        <v>9.4497113629999994E-3</v>
      </c>
      <c r="AD550" s="8">
        <f t="shared" si="102"/>
        <v>5.5929376328566098</v>
      </c>
      <c r="AE550" s="3">
        <f t="shared" si="103"/>
        <v>5.9186332978968574E-2</v>
      </c>
      <c r="AF550" s="11">
        <f t="shared" si="104"/>
        <v>44.833333333333513</v>
      </c>
      <c r="AG550" s="1">
        <f t="shared" si="105"/>
        <v>0.16679841994493783</v>
      </c>
    </row>
    <row r="551" spans="2:33" ht="15" x14ac:dyDescent="0.25">
      <c r="B551" s="1">
        <v>540</v>
      </c>
      <c r="C551" s="1">
        <v>0.67032095898844224</v>
      </c>
      <c r="D551" s="1">
        <v>23.37322363500374</v>
      </c>
      <c r="E551" s="1">
        <v>6.9979006298110562E-3</v>
      </c>
      <c r="G551" s="1">
        <v>0.67032095898844224</v>
      </c>
      <c r="H551" s="1">
        <v>23.37322363500374</v>
      </c>
      <c r="I551" s="1">
        <v>6.9979006298110562E-3</v>
      </c>
      <c r="K551" s="1">
        <v>0.99949156601971223</v>
      </c>
      <c r="L551" s="1">
        <v>3.2074154404291146</v>
      </c>
      <c r="M551" s="1">
        <v>0.27860857336905198</v>
      </c>
      <c r="O551" s="1">
        <v>8.8888586230086285E-3</v>
      </c>
      <c r="P551" s="1">
        <v>0.67032095898844224</v>
      </c>
      <c r="R551" s="1">
        <v>0.20949692648350871</v>
      </c>
      <c r="S551" s="2">
        <f t="shared" si="108"/>
        <v>1.1199701229773902</v>
      </c>
      <c r="T551" s="4">
        <f t="shared" si="109"/>
        <v>1.2543330763619904</v>
      </c>
      <c r="U551" s="1">
        <f t="shared" si="100"/>
        <v>0.96396236753051046</v>
      </c>
      <c r="V551" s="6">
        <f>2*sigma/alpha*corel*(B551/12-1/alpha*(1-EXP(-alpha*Output!B551/12)))</f>
        <v>3.0165590256924579</v>
      </c>
      <c r="W551" s="5">
        <f t="shared" si="110"/>
        <v>-0.29037070883147997</v>
      </c>
      <c r="X551" s="1">
        <f t="shared" si="106"/>
        <v>61.366355945153025</v>
      </c>
      <c r="Y551" s="3">
        <f t="shared" si="111"/>
        <v>5.3523434190315619E-2</v>
      </c>
      <c r="Z551" s="1">
        <f t="shared" si="101"/>
        <v>0.16695528851641622</v>
      </c>
      <c r="AA551" s="8">
        <f t="shared" si="107"/>
        <v>44.916666666666849</v>
      </c>
      <c r="AB551" s="1">
        <v>45</v>
      </c>
      <c r="AC551">
        <v>9.4493804970000005E-3</v>
      </c>
      <c r="AD551" s="8">
        <f t="shared" si="102"/>
        <v>5.6052187399137194</v>
      </c>
      <c r="AE551" s="3">
        <f t="shared" si="103"/>
        <v>5.9318372687958434E-2</v>
      </c>
      <c r="AF551" s="11">
        <f t="shared" si="104"/>
        <v>44.916666666666849</v>
      </c>
      <c r="AG551" s="1">
        <f t="shared" si="105"/>
        <v>0.16695528851641622</v>
      </c>
    </row>
    <row r="552" spans="2:33" ht="15" x14ac:dyDescent="0.25">
      <c r="B552" s="1">
        <v>541</v>
      </c>
      <c r="C552" s="1">
        <v>0.66987413400095364</v>
      </c>
      <c r="D552" s="1">
        <v>23.534395519051092</v>
      </c>
      <c r="E552" s="1">
        <v>6.9141948420106481E-3</v>
      </c>
      <c r="G552" s="1">
        <v>0.66987413400095364</v>
      </c>
      <c r="H552" s="1">
        <v>23.534395519051092</v>
      </c>
      <c r="I552" s="1">
        <v>6.9141948420106481E-3</v>
      </c>
      <c r="K552" s="1">
        <v>0.99964470786500648</v>
      </c>
      <c r="L552" s="1">
        <v>3.1417810018276398</v>
      </c>
      <c r="M552" s="1">
        <v>0.284369534848121</v>
      </c>
      <c r="O552" s="1">
        <v>8.8872187196681312E-3</v>
      </c>
      <c r="P552" s="1">
        <v>0.66987413400095364</v>
      </c>
      <c r="R552" s="1">
        <v>0.20980243147984626</v>
      </c>
      <c r="S552" s="2">
        <f t="shared" si="108"/>
        <v>1.1221275331360669</v>
      </c>
      <c r="T552" s="4">
        <f t="shared" si="109"/>
        <v>1.2591702006220351</v>
      </c>
      <c r="U552" s="1">
        <f t="shared" si="100"/>
        <v>0.96759354176788648</v>
      </c>
      <c r="V552" s="6">
        <f>2*sigma/alpha*corel*(B552/12-1/alpha*(1-EXP(-alpha*Output!B552/12)))</f>
        <v>3.0252566955265343</v>
      </c>
      <c r="W552" s="5">
        <f t="shared" si="110"/>
        <v>-0.29157665885414863</v>
      </c>
      <c r="X552" s="1">
        <f t="shared" si="106"/>
        <v>61.733168887192925</v>
      </c>
      <c r="Y552" s="3">
        <f t="shared" si="111"/>
        <v>5.358730997607436E-2</v>
      </c>
      <c r="Z552" s="1">
        <f t="shared" si="101"/>
        <v>0.16712222500742221</v>
      </c>
      <c r="AA552" s="8">
        <f t="shared" si="107"/>
        <v>45.000000000000185</v>
      </c>
      <c r="AB552" s="1">
        <v>45.08</v>
      </c>
      <c r="AC552">
        <v>9.4490508569999992E-3</v>
      </c>
      <c r="AD552" s="8">
        <f t="shared" si="102"/>
        <v>5.6183213733186808</v>
      </c>
      <c r="AE552" s="3">
        <f t="shared" si="103"/>
        <v>5.9459108204042994E-2</v>
      </c>
      <c r="AF552" s="11">
        <f t="shared" si="104"/>
        <v>45.000000000000185</v>
      </c>
      <c r="AG552" s="1">
        <f t="shared" si="105"/>
        <v>0.16712222500742221</v>
      </c>
    </row>
    <row r="553" spans="2:33" ht="15" x14ac:dyDescent="0.25">
      <c r="B553" s="1">
        <v>542</v>
      </c>
      <c r="C553" s="1">
        <v>0.66943162200829542</v>
      </c>
      <c r="D553" s="1">
        <v>23.699490460955086</v>
      </c>
      <c r="E553" s="1">
        <v>6.8306010928961746E-3</v>
      </c>
      <c r="G553" s="1">
        <v>0.66943162200829542</v>
      </c>
      <c r="H553" s="1">
        <v>23.699490460955086</v>
      </c>
      <c r="I553" s="1">
        <v>6.8306010928961746E-3</v>
      </c>
      <c r="K553" s="1">
        <v>0.99956634282959167</v>
      </c>
      <c r="L553" s="1">
        <v>3.129587927613354</v>
      </c>
      <c r="M553" s="1">
        <v>0.28542148779717541</v>
      </c>
      <c r="O553" s="1">
        <v>8.8854520735675482E-3</v>
      </c>
      <c r="P553" s="1">
        <v>0.66943162200829542</v>
      </c>
      <c r="R553" s="1">
        <v>0.20996791162109343</v>
      </c>
      <c r="S553" s="2">
        <f t="shared" si="108"/>
        <v>1.123742653094064</v>
      </c>
      <c r="T553" s="4">
        <f t="shared" si="109"/>
        <v>1.2627975503828859</v>
      </c>
      <c r="U553" s="1">
        <f t="shared" si="100"/>
        <v>0.97122949401537007</v>
      </c>
      <c r="V553" s="6">
        <f>2*sigma/alpha*corel*(B553/12-1/alpha*(1-EXP(-alpha*Output!B553/12)))</f>
        <v>3.0339600858106719</v>
      </c>
      <c r="W553" s="5">
        <f t="shared" si="110"/>
        <v>-0.29156805636751582</v>
      </c>
      <c r="X553" s="1">
        <f t="shared" si="106"/>
        <v>61.881542652690158</v>
      </c>
      <c r="Y553" s="3">
        <f t="shared" si="111"/>
        <v>5.349655508609541E-2</v>
      </c>
      <c r="Z553" s="1">
        <f t="shared" si="101"/>
        <v>0.16720830527115157</v>
      </c>
      <c r="AA553" s="8">
        <f t="shared" si="107"/>
        <v>45.08333333333352</v>
      </c>
      <c r="AB553" s="1">
        <v>45.17</v>
      </c>
      <c r="AC553">
        <v>9.4487224359999997E-3</v>
      </c>
      <c r="AD553" s="8">
        <f t="shared" si="102"/>
        <v>5.632703624324515</v>
      </c>
      <c r="AE553" s="3">
        <f t="shared" si="103"/>
        <v>5.9613388608640842E-2</v>
      </c>
      <c r="AF553" s="11">
        <f t="shared" si="104"/>
        <v>45.08333333333352</v>
      </c>
      <c r="AG553" s="1">
        <f t="shared" si="105"/>
        <v>0.16720830527115157</v>
      </c>
    </row>
    <row r="554" spans="2:33" ht="15" x14ac:dyDescent="0.25">
      <c r="B554" s="1">
        <v>543</v>
      </c>
      <c r="C554" s="1">
        <v>0.66898919281050762</v>
      </c>
      <c r="D554" s="1">
        <v>23.867487708243832</v>
      </c>
      <c r="E554" s="1">
        <v>6.7476383265856954E-3</v>
      </c>
      <c r="G554" s="1">
        <v>0.66898919281050762</v>
      </c>
      <c r="H554" s="1">
        <v>23.867487708243832</v>
      </c>
      <c r="I554" s="1">
        <v>6.7476383265856954E-3</v>
      </c>
      <c r="K554" s="1">
        <v>0.99948262155243173</v>
      </c>
      <c r="L554" s="1">
        <v>3.1534757996969693</v>
      </c>
      <c r="M554" s="1">
        <v>0.28318896118848508</v>
      </c>
      <c r="O554" s="1">
        <v>8.8836988558844872E-3</v>
      </c>
      <c r="P554" s="1">
        <v>0.66898919281050762</v>
      </c>
      <c r="R554" s="1">
        <v>0.21022600958944368</v>
      </c>
      <c r="S554" s="2">
        <f t="shared" si="108"/>
        <v>1.1257138277726273</v>
      </c>
      <c r="T554" s="4">
        <f t="shared" si="109"/>
        <v>1.2672316220385005</v>
      </c>
      <c r="U554" s="1">
        <f t="shared" si="100"/>
        <v>0.97487021149857656</v>
      </c>
      <c r="V554" s="6">
        <f>2*sigma/alpha*corel*(B554/12-1/alpha*(1-EXP(-alpha*Output!B554/12)))</f>
        <v>3.0426691775084502</v>
      </c>
      <c r="W554" s="5">
        <f t="shared" si="110"/>
        <v>-0.29236141053992393</v>
      </c>
      <c r="X554" s="1">
        <f t="shared" si="106"/>
        <v>62.175251031486184</v>
      </c>
      <c r="Y554" s="3">
        <f t="shared" si="111"/>
        <v>5.3507837516280424E-2</v>
      </c>
      <c r="Z554" s="1">
        <f t="shared" si="101"/>
        <v>0.16734729970657694</v>
      </c>
      <c r="AA554" s="8">
        <f t="shared" si="107"/>
        <v>45.166666666666856</v>
      </c>
      <c r="AB554" s="1">
        <v>45.25</v>
      </c>
      <c r="AC554">
        <v>9.4483952270000005E-3</v>
      </c>
      <c r="AD554" s="8">
        <f t="shared" si="102"/>
        <v>5.6469637111551325</v>
      </c>
      <c r="AE554" s="3">
        <f t="shared" si="103"/>
        <v>5.9766379109737172E-2</v>
      </c>
      <c r="AF554" s="11">
        <f t="shared" si="104"/>
        <v>45.166666666666856</v>
      </c>
      <c r="AG554" s="1">
        <f t="shared" si="105"/>
        <v>0.16734729970657694</v>
      </c>
    </row>
    <row r="555" spans="2:33" ht="15" x14ac:dyDescent="0.25">
      <c r="B555" s="1">
        <v>544</v>
      </c>
      <c r="C555" s="1">
        <v>0.6685443810187407</v>
      </c>
      <c r="D555" s="1">
        <v>24.028064779662646</v>
      </c>
      <c r="E555" s="1">
        <v>6.668000266720011E-3</v>
      </c>
      <c r="G555" s="1">
        <v>0.6685443810187407</v>
      </c>
      <c r="H555" s="1">
        <v>24.028064779662646</v>
      </c>
      <c r="I555" s="1">
        <v>6.668000266720011E-3</v>
      </c>
      <c r="K555" s="1">
        <v>0.99943849738131152</v>
      </c>
      <c r="L555" s="1">
        <v>3.2211833147196143</v>
      </c>
      <c r="M555" s="1">
        <v>0.27718281554035912</v>
      </c>
      <c r="O555" s="1">
        <v>8.8820403459995579E-3</v>
      </c>
      <c r="P555" s="1">
        <v>0.6685443810187407</v>
      </c>
      <c r="R555" s="1">
        <v>0.21050993555013878</v>
      </c>
      <c r="S555" s="2">
        <f t="shared" si="108"/>
        <v>1.1277916435184141</v>
      </c>
      <c r="T555" s="4">
        <f t="shared" si="109"/>
        <v>1.2719139911899657</v>
      </c>
      <c r="U555" s="1">
        <f t="shared" si="100"/>
        <v>0.97851568146486079</v>
      </c>
      <c r="V555" s="6">
        <f>2*sigma/alpha*corel*(B555/12-1/alpha*(1-EXP(-alpha*Output!B555/12)))</f>
        <v>3.0513839516467955</v>
      </c>
      <c r="W555" s="5">
        <f t="shared" si="110"/>
        <v>-0.29339830972510494</v>
      </c>
      <c r="X555" s="1">
        <f t="shared" si="106"/>
        <v>62.513837517186644</v>
      </c>
      <c r="Y555" s="3">
        <f t="shared" si="111"/>
        <v>5.354983799744889E-2</v>
      </c>
      <c r="Z555" s="1">
        <f t="shared" si="101"/>
        <v>0.16750201872290746</v>
      </c>
      <c r="AA555" s="8">
        <f t="shared" si="107"/>
        <v>45.250000000000192</v>
      </c>
      <c r="AB555" s="1">
        <v>45.33</v>
      </c>
      <c r="AC555">
        <v>9.4480692230000003E-3</v>
      </c>
      <c r="AD555" s="8">
        <f t="shared" si="102"/>
        <v>5.6602887700044242</v>
      </c>
      <c r="AE555" s="3">
        <f t="shared" si="103"/>
        <v>5.9909476067610136E-2</v>
      </c>
      <c r="AF555" s="11">
        <f t="shared" si="104"/>
        <v>45.250000000000192</v>
      </c>
      <c r="AG555" s="1">
        <f t="shared" si="105"/>
        <v>0.16750201872290746</v>
      </c>
    </row>
    <row r="556" spans="2:33" ht="15" x14ac:dyDescent="0.25">
      <c r="B556" s="1">
        <v>545</v>
      </c>
      <c r="C556" s="1">
        <v>0.66809576028375062</v>
      </c>
      <c r="D556" s="1">
        <v>24.184966624746057</v>
      </c>
      <c r="E556" s="1">
        <v>6.5902201133517854E-3</v>
      </c>
      <c r="G556" s="1">
        <v>0.66809576028375062</v>
      </c>
      <c r="H556" s="1">
        <v>24.184966624746057</v>
      </c>
      <c r="I556" s="1">
        <v>6.5902201133517854E-3</v>
      </c>
      <c r="K556" s="1">
        <v>0.99946952205550277</v>
      </c>
      <c r="L556" s="1">
        <v>3.2051735999702915</v>
      </c>
      <c r="M556" s="1">
        <v>0.27850557672103299</v>
      </c>
      <c r="O556" s="1">
        <v>8.8805232000322368E-3</v>
      </c>
      <c r="P556" s="1">
        <v>0.66809576028375062</v>
      </c>
      <c r="R556" s="1">
        <v>0.21064021002911881</v>
      </c>
      <c r="S556" s="2">
        <f t="shared" si="108"/>
        <v>1.1292915003294703</v>
      </c>
      <c r="T556" s="4">
        <f t="shared" si="109"/>
        <v>1.2752992927163862</v>
      </c>
      <c r="U556" s="1">
        <f t="shared" si="100"/>
        <v>0.98216589118338549</v>
      </c>
      <c r="V556" s="6">
        <f>2*sigma/alpha*corel*(B556/12-1/alpha*(1-EXP(-alpha*Output!B556/12)))</f>
        <v>3.0601043893157729</v>
      </c>
      <c r="W556" s="5">
        <f t="shared" si="110"/>
        <v>-0.29313340153300071</v>
      </c>
      <c r="X556" s="1">
        <f t="shared" si="106"/>
        <v>62.616806818671449</v>
      </c>
      <c r="Y556" s="3">
        <f t="shared" si="111"/>
        <v>5.3427234765628467E-2</v>
      </c>
      <c r="Z556" s="1">
        <f t="shared" si="101"/>
        <v>0.16757083405766893</v>
      </c>
      <c r="AA556" s="8">
        <f t="shared" si="107"/>
        <v>45.333333333333528</v>
      </c>
      <c r="AB556" s="1">
        <v>45.42</v>
      </c>
      <c r="AC556">
        <v>9.4477444180000002E-3</v>
      </c>
      <c r="AD556" s="8">
        <f t="shared" si="102"/>
        <v>5.6722121796776337</v>
      </c>
      <c r="AE556" s="3">
        <f t="shared" si="103"/>
        <v>6.003773947219445E-2</v>
      </c>
      <c r="AF556" s="11">
        <f t="shared" si="104"/>
        <v>45.333333333333528</v>
      </c>
      <c r="AG556" s="1">
        <f t="shared" si="105"/>
        <v>0.16757083405766893</v>
      </c>
    </row>
    <row r="557" spans="2:33" ht="15" x14ac:dyDescent="0.25">
      <c r="B557" s="1">
        <v>546</v>
      </c>
      <c r="C557" s="1">
        <v>0.66764359546406971</v>
      </c>
      <c r="D557" s="1">
        <v>24.339783375927951</v>
      </c>
      <c r="E557" s="1">
        <v>6.5146579804560263E-3</v>
      </c>
      <c r="G557" s="1">
        <v>0.66764359546406971</v>
      </c>
      <c r="H557" s="1">
        <v>24.339783375927951</v>
      </c>
      <c r="I557" s="1">
        <v>6.5146579804560263E-3</v>
      </c>
      <c r="K557" s="1">
        <v>0.99936970640844136</v>
      </c>
      <c r="L557" s="1">
        <v>3.1605147436726302</v>
      </c>
      <c r="M557" s="1">
        <v>0.28237986777008295</v>
      </c>
      <c r="O557" s="1">
        <v>8.8791381879759004E-3</v>
      </c>
      <c r="P557" s="1">
        <v>0.66764359546406971</v>
      </c>
      <c r="R557" s="1">
        <v>0.21084571888726208</v>
      </c>
      <c r="S557" s="2">
        <f t="shared" si="108"/>
        <v>1.1310895592185271</v>
      </c>
      <c r="T557" s="4">
        <f t="shared" si="109"/>
        <v>1.2793635909731618</v>
      </c>
      <c r="U557" s="1">
        <f t="shared" si="100"/>
        <v>0.98582082794518389</v>
      </c>
      <c r="V557" s="6">
        <f>2*sigma/alpha*corel*(B557/12-1/alpha*(1-EXP(-alpha*Output!B557/12)))</f>
        <v>3.0688304716683774</v>
      </c>
      <c r="W557" s="5">
        <f t="shared" si="110"/>
        <v>-0.29354276302797788</v>
      </c>
      <c r="X557" s="1">
        <f t="shared" si="106"/>
        <v>62.842503334932324</v>
      </c>
      <c r="Y557" s="3">
        <f t="shared" si="111"/>
        <v>5.3390064788021885E-2</v>
      </c>
      <c r="Z557" s="1">
        <f t="shared" si="101"/>
        <v>0.16768387257064787</v>
      </c>
      <c r="AA557" s="8">
        <f t="shared" si="107"/>
        <v>45.416666666666863</v>
      </c>
      <c r="AB557" s="1">
        <v>45.5</v>
      </c>
      <c r="AC557">
        <v>9.4474208050000005E-3</v>
      </c>
      <c r="AD557" s="8">
        <f t="shared" si="102"/>
        <v>5.6828261702410003</v>
      </c>
      <c r="AE557" s="3">
        <f t="shared" si="103"/>
        <v>6.0152144035262971E-2</v>
      </c>
      <c r="AF557" s="11">
        <f t="shared" si="104"/>
        <v>45.416666666666863</v>
      </c>
      <c r="AG557" s="1">
        <f t="shared" si="105"/>
        <v>0.16768387257064787</v>
      </c>
    </row>
    <row r="558" spans="2:33" ht="15" x14ac:dyDescent="0.25">
      <c r="B558" s="1">
        <v>547</v>
      </c>
      <c r="C558" s="1">
        <v>0.66718934018149501</v>
      </c>
      <c r="D558" s="1">
        <v>24.49479485609308</v>
      </c>
      <c r="E558" s="1">
        <v>6.439979392065945E-3</v>
      </c>
      <c r="G558" s="1">
        <v>0.66718934018149501</v>
      </c>
      <c r="H558" s="1">
        <v>24.49479485609308</v>
      </c>
      <c r="I558" s="1">
        <v>6.439979392065945E-3</v>
      </c>
      <c r="K558" s="1">
        <v>0.99921899680136816</v>
      </c>
      <c r="L558" s="1">
        <v>3.1620552875773078</v>
      </c>
      <c r="M558" s="1">
        <v>0.28219319781476748</v>
      </c>
      <c r="O558" s="1">
        <v>8.8778370386420474E-3</v>
      </c>
      <c r="P558" s="1">
        <v>0.66718934018149501</v>
      </c>
      <c r="R558" s="1">
        <v>0.21108459679171884</v>
      </c>
      <c r="S558" s="2">
        <f t="shared" si="108"/>
        <v>1.1330225734589352</v>
      </c>
      <c r="T558" s="4">
        <f t="shared" si="109"/>
        <v>1.2837401519675082</v>
      </c>
      <c r="U558" s="1">
        <f t="shared" si="100"/>
        <v>0.98948047906322367</v>
      </c>
      <c r="V558" s="6">
        <f>2*sigma/alpha*corel*(B558/12-1/alpha*(1-EXP(-alpha*Output!B558/12)))</f>
        <v>3.0775621799203203</v>
      </c>
      <c r="W558" s="5">
        <f t="shared" si="110"/>
        <v>-0.29425967290428456</v>
      </c>
      <c r="X558" s="1">
        <f t="shared" si="106"/>
        <v>63.124735997490468</v>
      </c>
      <c r="Y558" s="3">
        <f t="shared" si="111"/>
        <v>5.3391723915651092E-2</v>
      </c>
      <c r="Z558" s="1">
        <f t="shared" si="101"/>
        <v>0.16781683354981872</v>
      </c>
      <c r="AA558" s="8">
        <f t="shared" si="107"/>
        <v>45.500000000000199</v>
      </c>
      <c r="AB558" s="1">
        <v>45.58</v>
      </c>
      <c r="AC558">
        <v>9.4470983769999999E-3</v>
      </c>
      <c r="AD558" s="8">
        <f t="shared" si="102"/>
        <v>5.6926133835795252</v>
      </c>
      <c r="AE558" s="3">
        <f t="shared" si="103"/>
        <v>6.0257797224159526E-2</v>
      </c>
      <c r="AF558" s="11">
        <f t="shared" si="104"/>
        <v>45.500000000000199</v>
      </c>
      <c r="AG558" s="1">
        <f t="shared" si="105"/>
        <v>0.16781683354981872</v>
      </c>
    </row>
    <row r="559" spans="2:33" ht="15" x14ac:dyDescent="0.25">
      <c r="B559" s="1">
        <v>548</v>
      </c>
      <c r="C559" s="1">
        <v>0.66673091062309775</v>
      </c>
      <c r="D559" s="1">
        <v>24.644503043596124</v>
      </c>
      <c r="E559" s="1">
        <v>6.3673989175421835E-3</v>
      </c>
      <c r="G559" s="1">
        <v>0.66673091062309775</v>
      </c>
      <c r="H559" s="1">
        <v>24.644503043596124</v>
      </c>
      <c r="I559" s="1">
        <v>6.3673989175421835E-3</v>
      </c>
      <c r="K559" s="1">
        <v>0.99914095328970776</v>
      </c>
      <c r="L559" s="1">
        <v>3.1339901176304767</v>
      </c>
      <c r="M559" s="1">
        <v>0.28465840099885625</v>
      </c>
      <c r="O559" s="1">
        <v>8.8766878864908645E-3</v>
      </c>
      <c r="P559" s="1">
        <v>0.66673091062309775</v>
      </c>
      <c r="R559" s="1">
        <v>0.21127912137352933</v>
      </c>
      <c r="S559" s="2">
        <f t="shared" si="108"/>
        <v>1.1347968459668387</v>
      </c>
      <c r="T559" s="4">
        <f t="shared" si="109"/>
        <v>1.2877638816162851</v>
      </c>
      <c r="U559" s="1">
        <f t="shared" si="100"/>
        <v>0.9931448318724696</v>
      </c>
      <c r="V559" s="6">
        <f>2*sigma/alpha*corel*(B559/12-1/alpha*(1-EXP(-alpha*Output!B559/12)))</f>
        <v>3.0862994953498246</v>
      </c>
      <c r="W559" s="5">
        <f t="shared" si="110"/>
        <v>-0.29461904974381548</v>
      </c>
      <c r="X559" s="1">
        <f t="shared" si="106"/>
        <v>63.342324328200206</v>
      </c>
      <c r="Y559" s="3">
        <f t="shared" si="111"/>
        <v>5.3348426596493997E-2</v>
      </c>
      <c r="Z559" s="1">
        <f t="shared" si="101"/>
        <v>0.16792620131024222</v>
      </c>
      <c r="AA559" s="8">
        <f t="shared" si="107"/>
        <v>45.583333333333535</v>
      </c>
      <c r="AB559" s="1">
        <v>45.67</v>
      </c>
      <c r="AC559">
        <v>9.4467771279999994E-3</v>
      </c>
      <c r="AD559" s="8">
        <f t="shared" si="102"/>
        <v>5.7008924150913494</v>
      </c>
      <c r="AE559" s="3">
        <f t="shared" si="103"/>
        <v>6.0347485050685212E-2</v>
      </c>
      <c r="AF559" s="11">
        <f t="shared" si="104"/>
        <v>45.583333333333535</v>
      </c>
      <c r="AG559" s="1">
        <f t="shared" si="105"/>
        <v>0.16792620131024222</v>
      </c>
    </row>
    <row r="560" spans="2:33" ht="15" x14ac:dyDescent="0.25">
      <c r="B560" s="1">
        <v>549</v>
      </c>
      <c r="C560" s="1">
        <v>0.6662682896659049</v>
      </c>
      <c r="D560" s="1">
        <v>24.791134690234774</v>
      </c>
      <c r="E560" s="1">
        <v>6.2968326931553426E-3</v>
      </c>
      <c r="G560" s="1">
        <v>0.6662682896659049</v>
      </c>
      <c r="H560" s="1">
        <v>24.791134690234774</v>
      </c>
      <c r="I560" s="1">
        <v>6.2968326931553426E-3</v>
      </c>
      <c r="K560" s="1">
        <v>0.99916785892980786</v>
      </c>
      <c r="L560" s="1">
        <v>3.1986876201202752</v>
      </c>
      <c r="M560" s="1">
        <v>0.27884441192125492</v>
      </c>
      <c r="O560" s="1">
        <v>8.8756907589667804E-3</v>
      </c>
      <c r="P560" s="1">
        <v>0.6662682896659049</v>
      </c>
      <c r="R560" s="1">
        <v>0.21153605827347868</v>
      </c>
      <c r="S560" s="2">
        <f t="shared" si="108"/>
        <v>1.1368227393106205</v>
      </c>
      <c r="T560" s="4">
        <f t="shared" si="109"/>
        <v>1.2923659406137029</v>
      </c>
      <c r="U560" s="1">
        <f t="shared" si="100"/>
        <v>0.99681387372994612</v>
      </c>
      <c r="V560" s="6">
        <f>2*sigma/alpha*corel*(B560/12-1/alpha*(1-EXP(-alpha*Output!B560/12)))</f>
        <v>3.095042399297415</v>
      </c>
      <c r="W560" s="5">
        <f t="shared" si="110"/>
        <v>-0.29555206688375679</v>
      </c>
      <c r="X560" s="1">
        <f t="shared" si="106"/>
        <v>63.66531569317619</v>
      </c>
      <c r="Y560" s="3">
        <f t="shared" si="111"/>
        <v>5.3377184838468525E-2</v>
      </c>
      <c r="Z560" s="1">
        <f t="shared" si="101"/>
        <v>0.16807271004065119</v>
      </c>
      <c r="AA560" s="8">
        <f t="shared" si="107"/>
        <v>45.66666666666687</v>
      </c>
      <c r="AB560" s="1">
        <v>45.75</v>
      </c>
      <c r="AC560">
        <v>9.4464570519999999E-3</v>
      </c>
      <c r="AD560" s="8">
        <f t="shared" si="102"/>
        <v>5.7076629303321953</v>
      </c>
      <c r="AE560" s="3">
        <f t="shared" si="103"/>
        <v>6.042120235039624E-2</v>
      </c>
      <c r="AF560" s="11">
        <f t="shared" si="104"/>
        <v>45.66666666666687</v>
      </c>
      <c r="AG560" s="1">
        <f t="shared" si="105"/>
        <v>0.16807271004065119</v>
      </c>
    </row>
    <row r="561" spans="2:33" ht="15" x14ac:dyDescent="0.25">
      <c r="B561" s="1">
        <v>550</v>
      </c>
      <c r="C561" s="1">
        <v>0.66580797831375249</v>
      </c>
      <c r="D561" s="1">
        <v>24.940765681506424</v>
      </c>
      <c r="E561" s="1">
        <v>6.2266500622665012E-3</v>
      </c>
      <c r="G561" s="1">
        <v>0.66580797831375249</v>
      </c>
      <c r="H561" s="1">
        <v>24.940765681506424</v>
      </c>
      <c r="I561" s="1">
        <v>6.2266500622665012E-3</v>
      </c>
      <c r="K561" s="1">
        <v>0.99926806018643854</v>
      </c>
      <c r="L561" s="1">
        <v>3.1871370582631102</v>
      </c>
      <c r="M561" s="1">
        <v>0.2797914024933858</v>
      </c>
      <c r="O561" s="1">
        <v>8.8746320915872728E-3</v>
      </c>
      <c r="P561" s="1">
        <v>0.66580797831375249</v>
      </c>
      <c r="R561" s="1">
        <v>0.21196409375270142</v>
      </c>
      <c r="S561" s="2">
        <f t="shared" si="108"/>
        <v>1.1395048778706316</v>
      </c>
      <c r="T561" s="4">
        <f t="shared" si="109"/>
        <v>1.2984713666909631</v>
      </c>
      <c r="U561" s="1">
        <f t="shared" si="100"/>
        <v>1.0004875920147929</v>
      </c>
      <c r="V561" s="6">
        <f>2*sigma/alpha*corel*(B561/12-1/alpha*(1-EXP(-alpha*Output!B561/12)))</f>
        <v>3.1037908731657105</v>
      </c>
      <c r="W561" s="5">
        <f t="shared" si="110"/>
        <v>-0.29798377467617021</v>
      </c>
      <c r="X561" s="1">
        <f t="shared" si="106"/>
        <v>64.263876474977963</v>
      </c>
      <c r="Y561" s="3">
        <f t="shared" si="111"/>
        <v>5.3592921182948422E-2</v>
      </c>
      <c r="Z561" s="1">
        <f t="shared" si="101"/>
        <v>0.16831602527438219</v>
      </c>
      <c r="AA561" s="8">
        <f t="shared" si="107"/>
        <v>45.750000000000206</v>
      </c>
      <c r="AB561" s="1">
        <v>45.83</v>
      </c>
      <c r="AC561">
        <v>9.4461381420000001E-3</v>
      </c>
      <c r="AD561" s="8">
        <f t="shared" si="102"/>
        <v>5.7150605041272717</v>
      </c>
      <c r="AE561" s="3">
        <f t="shared" si="103"/>
        <v>6.0501555431596105E-2</v>
      </c>
      <c r="AF561" s="11">
        <f t="shared" si="104"/>
        <v>45.750000000000206</v>
      </c>
      <c r="AG561" s="1">
        <f t="shared" si="105"/>
        <v>0.16831602527438219</v>
      </c>
    </row>
    <row r="562" spans="2:33" ht="15" x14ac:dyDescent="0.25">
      <c r="B562" s="1">
        <v>551</v>
      </c>
      <c r="C562" s="1">
        <v>0.66534999120810312</v>
      </c>
      <c r="D562" s="1">
        <v>25.103552152629597</v>
      </c>
      <c r="E562" s="1">
        <v>6.1542248753769461E-3</v>
      </c>
      <c r="G562" s="1">
        <v>0.66534999120810312</v>
      </c>
      <c r="H562" s="1">
        <v>25.103552152629597</v>
      </c>
      <c r="I562" s="1">
        <v>6.1542248753769461E-3</v>
      </c>
      <c r="K562" s="1">
        <v>0.99918544329345527</v>
      </c>
      <c r="L562" s="1">
        <v>3.1751128032323415</v>
      </c>
      <c r="M562" s="1">
        <v>0.28079724577603088</v>
      </c>
      <c r="O562" s="1">
        <v>8.8735115979599669E-3</v>
      </c>
      <c r="P562" s="1">
        <v>0.66534999120810312</v>
      </c>
      <c r="R562" s="1">
        <v>0.21213326441685454</v>
      </c>
      <c r="S562" s="2">
        <f t="shared" si="108"/>
        <v>1.1411877954309959</v>
      </c>
      <c r="T562" s="4">
        <f t="shared" si="109"/>
        <v>1.3023095844406565</v>
      </c>
      <c r="U562" s="1">
        <f t="shared" si="100"/>
        <v>1.0041659741283282</v>
      </c>
      <c r="V562" s="6">
        <f>2*sigma/alpha*corel*(B562/12-1/alpha*(1-EXP(-alpha*Output!B562/12)))</f>
        <v>3.1125448984192174</v>
      </c>
      <c r="W562" s="5">
        <f t="shared" si="110"/>
        <v>-0.29814361031232828</v>
      </c>
      <c r="X562" s="1">
        <f t="shared" si="106"/>
        <v>64.446978838706457</v>
      </c>
      <c r="Y562" s="3">
        <f t="shared" si="111"/>
        <v>5.3524602595801496E-2</v>
      </c>
      <c r="Z562" s="1">
        <f t="shared" si="101"/>
        <v>0.16841157676736537</v>
      </c>
      <c r="AA562" s="8">
        <f t="shared" si="107"/>
        <v>45.833333333333542</v>
      </c>
      <c r="AB562" s="1">
        <v>45.92</v>
      </c>
      <c r="AC562">
        <v>9.4458203920000008E-3</v>
      </c>
      <c r="AD562" s="8">
        <f t="shared" si="102"/>
        <v>5.7230879404003394</v>
      </c>
      <c r="AE562" s="3">
        <f t="shared" si="103"/>
        <v>6.0588574659406244E-2</v>
      </c>
      <c r="AF562" s="11">
        <f t="shared" si="104"/>
        <v>45.833333333333542</v>
      </c>
      <c r="AG562" s="1">
        <f t="shared" si="105"/>
        <v>0.16841157676736537</v>
      </c>
    </row>
    <row r="563" spans="2:33" ht="15" x14ac:dyDescent="0.25">
      <c r="B563" s="1">
        <v>552</v>
      </c>
      <c r="C563" s="1">
        <v>0.66489195587166527</v>
      </c>
      <c r="D563" s="1">
        <v>25.260817945285069</v>
      </c>
      <c r="E563" s="1">
        <v>6.0838352497414368E-3</v>
      </c>
      <c r="G563" s="1">
        <v>0.66489195587166527</v>
      </c>
      <c r="H563" s="1">
        <v>25.260817945285069</v>
      </c>
      <c r="I563" s="1">
        <v>6.0838352497414368E-3</v>
      </c>
      <c r="K563" s="1">
        <v>0.99913272300842959</v>
      </c>
      <c r="L563" s="1">
        <v>3.1287767041484886</v>
      </c>
      <c r="M563" s="1">
        <v>0.28489561456680756</v>
      </c>
      <c r="O563" s="1">
        <v>8.8724070412996604E-3</v>
      </c>
      <c r="P563" s="1">
        <v>0.66489195587166527</v>
      </c>
      <c r="R563" s="1">
        <v>0.21236525498149364</v>
      </c>
      <c r="S563" s="2">
        <f t="shared" si="108"/>
        <v>1.1431151208416359</v>
      </c>
      <c r="T563" s="4">
        <f t="shared" si="109"/>
        <v>1.306712179496788</v>
      </c>
      <c r="U563" s="1">
        <f t="shared" si="100"/>
        <v>1.007849007494106</v>
      </c>
      <c r="V563" s="6">
        <f>2*sigma/alpha*corel*(B563/12-1/alpha*(1-EXP(-alpha*Output!B563/12)))</f>
        <v>3.1213044565841268</v>
      </c>
      <c r="W563" s="5">
        <f t="shared" si="110"/>
        <v>-0.29886317200268198</v>
      </c>
      <c r="X563" s="1">
        <f t="shared" si="106"/>
        <v>64.733365159185411</v>
      </c>
      <c r="Y563" s="3">
        <f t="shared" si="111"/>
        <v>5.3526090304573226E-2</v>
      </c>
      <c r="Z563" s="1">
        <f t="shared" si="101"/>
        <v>0.16854312952713241</v>
      </c>
      <c r="AA563" s="8">
        <f t="shared" si="107"/>
        <v>45.916666666666877</v>
      </c>
      <c r="AB563" s="1">
        <v>46</v>
      </c>
      <c r="AC563">
        <v>9.4455037950000008E-3</v>
      </c>
      <c r="AD563" s="8">
        <f t="shared" si="102"/>
        <v>5.7309675370034032</v>
      </c>
      <c r="AE563" s="3">
        <f t="shared" si="103"/>
        <v>6.0674027149691098E-2</v>
      </c>
      <c r="AF563" s="11">
        <f t="shared" si="104"/>
        <v>45.916666666666877</v>
      </c>
      <c r="AG563" s="1">
        <f t="shared" si="105"/>
        <v>0.16854312952713241</v>
      </c>
    </row>
    <row r="564" spans="2:33" ht="15" x14ac:dyDescent="0.25">
      <c r="B564" s="1">
        <v>553</v>
      </c>
      <c r="C564" s="1">
        <v>0.66442715816558251</v>
      </c>
      <c r="D564" s="1">
        <v>25.414898213332656</v>
      </c>
      <c r="E564" s="1">
        <v>6.0153994225216551E-3</v>
      </c>
      <c r="G564" s="1">
        <v>0.66442715816558251</v>
      </c>
      <c r="H564" s="1">
        <v>25.414898213332656</v>
      </c>
      <c r="I564" s="1">
        <v>6.0153994225216551E-3</v>
      </c>
      <c r="K564" s="1">
        <v>0.99922464958599388</v>
      </c>
      <c r="L564" s="1">
        <v>3.1579382584256921</v>
      </c>
      <c r="M564" s="1">
        <v>0.28219776879801722</v>
      </c>
      <c r="O564" s="1">
        <v>8.8715376314834008E-3</v>
      </c>
      <c r="P564" s="1">
        <v>0.66442715816558251</v>
      </c>
      <c r="R564" s="1">
        <v>0.21263829863347763</v>
      </c>
      <c r="S564" s="2">
        <f t="shared" si="108"/>
        <v>1.1452186386584107</v>
      </c>
      <c r="T564" s="4">
        <f t="shared" si="109"/>
        <v>1.3115257303306234</v>
      </c>
      <c r="U564" s="1">
        <f t="shared" si="100"/>
        <v>1.0115366795579708</v>
      </c>
      <c r="V564" s="6">
        <f>2*sigma/alpha*corel*(B564/12-1/alpha*(1-EXP(-alpha*Output!B564/12)))</f>
        <v>3.1300695292481047</v>
      </c>
      <c r="W564" s="5">
        <f t="shared" si="110"/>
        <v>-0.29998905077265259</v>
      </c>
      <c r="X564" s="1">
        <f t="shared" si="106"/>
        <v>65.09531695035308</v>
      </c>
      <c r="Y564" s="3">
        <f t="shared" si="111"/>
        <v>5.3577909871799709E-2</v>
      </c>
      <c r="Z564" s="1">
        <f t="shared" si="101"/>
        <v>0.16870053699553342</v>
      </c>
      <c r="AA564" s="8">
        <f t="shared" si="107"/>
        <v>46.000000000000213</v>
      </c>
      <c r="AB564" s="1">
        <v>46.08</v>
      </c>
      <c r="AC564">
        <v>9.4451883459999997E-3</v>
      </c>
      <c r="AD564" s="8">
        <f t="shared" si="102"/>
        <v>5.736507145165989</v>
      </c>
      <c r="AE564" s="3">
        <f t="shared" si="103"/>
        <v>6.0734703586883765E-2</v>
      </c>
      <c r="AF564" s="11">
        <f t="shared" si="104"/>
        <v>46.000000000000213</v>
      </c>
      <c r="AG564" s="1">
        <f t="shared" si="105"/>
        <v>0.16870053699553342</v>
      </c>
    </row>
    <row r="565" spans="2:33" ht="15" x14ac:dyDescent="0.25">
      <c r="B565" s="1">
        <v>554</v>
      </c>
      <c r="C565" s="1">
        <v>0.66395961091582667</v>
      </c>
      <c r="D565" s="1">
        <v>25.570869665277314</v>
      </c>
      <c r="E565" s="1">
        <v>5.9474247650767222E-3</v>
      </c>
      <c r="G565" s="1">
        <v>0.66395961091582667</v>
      </c>
      <c r="H565" s="1">
        <v>25.570869665277314</v>
      </c>
      <c r="I565" s="1">
        <v>5.9474247650767222E-3</v>
      </c>
      <c r="K565" s="1">
        <v>0.99916305433616492</v>
      </c>
      <c r="L565" s="1">
        <v>3.2431397049062269</v>
      </c>
      <c r="M565" s="1">
        <v>0.27473777856480891</v>
      </c>
      <c r="O565" s="1">
        <v>8.8707716597053905E-3</v>
      </c>
      <c r="P565" s="1">
        <v>0.66395961091582667</v>
      </c>
      <c r="R565" s="1">
        <v>0.21287235273422034</v>
      </c>
      <c r="S565" s="2">
        <f t="shared" si="108"/>
        <v>1.1471804281009306</v>
      </c>
      <c r="T565" s="4">
        <f t="shared" si="109"/>
        <v>1.3160229346178343</v>
      </c>
      <c r="U565" s="1">
        <f t="shared" si="100"/>
        <v>1.0152289777881145</v>
      </c>
      <c r="V565" s="6">
        <f>2*sigma/alpha*corel*(B565/12-1/alpha*(1-EXP(-alpha*Output!B565/12)))</f>
        <v>3.1388400980600886</v>
      </c>
      <c r="W565" s="5">
        <f t="shared" si="110"/>
        <v>-0.30079395682971977</v>
      </c>
      <c r="X565" s="1">
        <f t="shared" si="106"/>
        <v>65.398934522411452</v>
      </c>
      <c r="Y565" s="3">
        <f t="shared" si="111"/>
        <v>5.3589754587753974E-2</v>
      </c>
      <c r="Z565" s="1">
        <f t="shared" si="101"/>
        <v>0.16883693891201809</v>
      </c>
      <c r="AA565" s="8">
        <f t="shared" si="107"/>
        <v>46.083333333333549</v>
      </c>
      <c r="AB565" s="1">
        <v>46.17</v>
      </c>
      <c r="AC565">
        <v>9.4448740369999992E-3</v>
      </c>
      <c r="AD565" s="8">
        <f t="shared" si="102"/>
        <v>5.7410237729460869</v>
      </c>
      <c r="AE565" s="3">
        <f t="shared" si="103"/>
        <v>6.0784545674784078E-2</v>
      </c>
      <c r="AF565" s="11">
        <f t="shared" si="104"/>
        <v>46.083333333333549</v>
      </c>
      <c r="AG565" s="1">
        <f t="shared" si="105"/>
        <v>0.16883693891201809</v>
      </c>
    </row>
    <row r="566" spans="2:33" ht="15" x14ac:dyDescent="0.25">
      <c r="B566" s="1">
        <v>555</v>
      </c>
      <c r="C566" s="1">
        <v>0.6634935198513815</v>
      </c>
      <c r="D566" s="1">
        <v>25.725457913150855</v>
      </c>
      <c r="E566" s="1">
        <v>5.8809691837214779E-3</v>
      </c>
      <c r="G566" s="1">
        <v>0.6634935198513815</v>
      </c>
      <c r="H566" s="1">
        <v>25.725457913150855</v>
      </c>
      <c r="I566" s="1">
        <v>5.8809691837214779E-3</v>
      </c>
      <c r="K566" s="1">
        <v>0.99924644798184525</v>
      </c>
      <c r="L566" s="1">
        <v>3.1299969034131125</v>
      </c>
      <c r="M566" s="1">
        <v>0.28460575421067147</v>
      </c>
      <c r="O566" s="1">
        <v>8.8699717161495016E-3</v>
      </c>
      <c r="P566" s="1">
        <v>0.6634935198513815</v>
      </c>
      <c r="R566" s="1">
        <v>0.21304638447512675</v>
      </c>
      <c r="S566" s="2">
        <f t="shared" si="108"/>
        <v>1.1489092163507755</v>
      </c>
      <c r="T566" s="4">
        <f t="shared" si="109"/>
        <v>1.3199923874157531</v>
      </c>
      <c r="U566" s="1">
        <f t="shared" si="100"/>
        <v>1.0189258896751339</v>
      </c>
      <c r="V566" s="6">
        <f>2*sigma/alpha*corel*(B566/12-1/alpha*(1-EXP(-alpha*Output!B566/12)))</f>
        <v>3.1476161447300863</v>
      </c>
      <c r="W566" s="5">
        <f t="shared" si="110"/>
        <v>-0.30106649774061922</v>
      </c>
      <c r="X566" s="1">
        <f t="shared" si="106"/>
        <v>65.604789476580038</v>
      </c>
      <c r="Y566" s="3">
        <f t="shared" si="111"/>
        <v>5.3535807693358695E-2</v>
      </c>
      <c r="Z566" s="1">
        <f t="shared" si="101"/>
        <v>0.16893897106388564</v>
      </c>
      <c r="AA566" s="8">
        <f t="shared" si="107"/>
        <v>46.166666666666885</v>
      </c>
      <c r="AB566" s="1">
        <v>46.25</v>
      </c>
      <c r="AC566">
        <v>9.4445608630000007E-3</v>
      </c>
      <c r="AD566" s="8">
        <f t="shared" si="102"/>
        <v>5.7458914685049916</v>
      </c>
      <c r="AE566" s="3">
        <f t="shared" si="103"/>
        <v>6.0838100911764864E-2</v>
      </c>
      <c r="AF566" s="11">
        <f t="shared" si="104"/>
        <v>46.166666666666885</v>
      </c>
      <c r="AG566" s="1">
        <f t="shared" si="105"/>
        <v>0.16893897106388564</v>
      </c>
    </row>
    <row r="567" spans="2:33" ht="15" x14ac:dyDescent="0.25">
      <c r="B567" s="1">
        <v>556</v>
      </c>
      <c r="C567" s="1">
        <v>0.66303044717907123</v>
      </c>
      <c r="D567" s="1">
        <v>25.876568766981499</v>
      </c>
      <c r="E567" s="1">
        <v>5.8159823194137488E-3</v>
      </c>
      <c r="G567" s="1">
        <v>0.66303044717907123</v>
      </c>
      <c r="H567" s="1">
        <v>25.876568766981499</v>
      </c>
      <c r="I567" s="1">
        <v>5.8159823194137488E-3</v>
      </c>
      <c r="K567" s="1">
        <v>0.99938110617912213</v>
      </c>
      <c r="L567" s="1">
        <v>3.1800899152532875</v>
      </c>
      <c r="M567" s="1">
        <v>0.28006782986229112</v>
      </c>
      <c r="O567" s="1">
        <v>8.8690870468425276E-3</v>
      </c>
      <c r="P567" s="1">
        <v>0.66303044717907123</v>
      </c>
      <c r="R567" s="1">
        <v>0.21344149614368207</v>
      </c>
      <c r="S567" s="2">
        <f t="shared" si="108"/>
        <v>1.1514892252120841</v>
      </c>
      <c r="T567" s="4">
        <f t="shared" si="109"/>
        <v>1.3259274357795257</v>
      </c>
      <c r="U567" s="1">
        <f t="shared" si="100"/>
        <v>1.0226274027320783</v>
      </c>
      <c r="V567" s="6">
        <f>2*sigma/alpha*corel*(B567/12-1/alpha*(1-EXP(-alpha*Output!B567/12)))</f>
        <v>3.15639765102897</v>
      </c>
      <c r="W567" s="5">
        <f t="shared" si="110"/>
        <v>-0.30330003304744735</v>
      </c>
      <c r="X567" s="1">
        <f t="shared" si="106"/>
        <v>66.174452256214778</v>
      </c>
      <c r="Y567" s="3">
        <f t="shared" si="111"/>
        <v>5.3723422254094794E-2</v>
      </c>
      <c r="Z567" s="1">
        <f t="shared" si="101"/>
        <v>0.16916600988885558</v>
      </c>
      <c r="AA567" s="8">
        <f t="shared" si="107"/>
        <v>46.25000000000022</v>
      </c>
      <c r="AB567" s="1">
        <v>46.33</v>
      </c>
      <c r="AC567">
        <v>9.4442488179999999E-3</v>
      </c>
      <c r="AD567" s="8">
        <f t="shared" si="102"/>
        <v>5.7516177115747231</v>
      </c>
      <c r="AE567" s="3">
        <f t="shared" si="103"/>
        <v>6.0900743112703569E-2</v>
      </c>
      <c r="AF567" s="11">
        <f t="shared" si="104"/>
        <v>46.25000000000022</v>
      </c>
      <c r="AG567" s="1">
        <f t="shared" si="105"/>
        <v>0.16916600988885558</v>
      </c>
    </row>
    <row r="568" spans="2:33" ht="15" x14ac:dyDescent="0.25">
      <c r="B568" s="1">
        <v>557</v>
      </c>
      <c r="C568" s="1">
        <v>0.66256158376612573</v>
      </c>
      <c r="D568" s="1">
        <v>26.031498112716388</v>
      </c>
      <c r="E568" s="1">
        <v>5.7510927076144473E-3</v>
      </c>
      <c r="G568" s="1">
        <v>0.66256158376612573</v>
      </c>
      <c r="H568" s="1">
        <v>26.031498112716388</v>
      </c>
      <c r="I568" s="1">
        <v>5.7510927076144473E-3</v>
      </c>
      <c r="K568" s="1">
        <v>0.99942100442271276</v>
      </c>
      <c r="L568" s="1">
        <v>3.1910678141363653</v>
      </c>
      <c r="M568" s="1">
        <v>0.27903824450615139</v>
      </c>
      <c r="O568" s="1">
        <v>8.8684043550559099E-3</v>
      </c>
      <c r="P568" s="1">
        <v>0.66256158376612573</v>
      </c>
      <c r="R568" s="1">
        <v>0.21370243044046577</v>
      </c>
      <c r="S568" s="2">
        <f t="shared" si="108"/>
        <v>1.1535660160671484</v>
      </c>
      <c r="T568" s="4">
        <f t="shared" si="109"/>
        <v>1.3307145534250324</v>
      </c>
      <c r="U568" s="1">
        <f t="shared" si="100"/>
        <v>1.0263335044945086</v>
      </c>
      <c r="V568" s="6">
        <f>2*sigma/alpha*corel*(B568/12-1/alpha*(1-EXP(-alpha*Output!B568/12)))</f>
        <v>3.1651845987882723</v>
      </c>
      <c r="W568" s="5">
        <f t="shared" si="110"/>
        <v>-0.30438104893052387</v>
      </c>
      <c r="X568" s="1">
        <f t="shared" si="106"/>
        <v>66.531808295840406</v>
      </c>
      <c r="Y568" s="3">
        <f t="shared" si="111"/>
        <v>5.3768603320844183E-2</v>
      </c>
      <c r="Z568" s="1">
        <f t="shared" si="101"/>
        <v>0.16931891573711449</v>
      </c>
      <c r="AA568" s="8">
        <f t="shared" si="107"/>
        <v>46.333333333333556</v>
      </c>
      <c r="AB568" s="1">
        <v>46.42</v>
      </c>
      <c r="AC568">
        <v>9.4439378959999994E-3</v>
      </c>
      <c r="AD568" s="8">
        <f t="shared" si="102"/>
        <v>5.7553354094408951</v>
      </c>
      <c r="AE568" s="3">
        <f t="shared" si="103"/>
        <v>6.0942114114055958E-2</v>
      </c>
      <c r="AF568" s="11">
        <f t="shared" si="104"/>
        <v>46.333333333333556</v>
      </c>
      <c r="AG568" s="1">
        <f t="shared" si="105"/>
        <v>0.16931891573711449</v>
      </c>
    </row>
    <row r="569" spans="2:33" ht="15" x14ac:dyDescent="0.25">
      <c r="B569" s="1">
        <v>558</v>
      </c>
      <c r="C569" s="1">
        <v>0.6620948019216355</v>
      </c>
      <c r="D569" s="1">
        <v>26.188293832656804</v>
      </c>
      <c r="E569" s="1">
        <v>5.6869881710646039E-3</v>
      </c>
      <c r="G569" s="1">
        <v>0.6620948019216355</v>
      </c>
      <c r="H569" s="1">
        <v>26.188293832656804</v>
      </c>
      <c r="I569" s="1">
        <v>5.6869881710646039E-3</v>
      </c>
      <c r="K569" s="1">
        <v>0.99947139962045206</v>
      </c>
      <c r="L569" s="1">
        <v>3.1892943418086421</v>
      </c>
      <c r="M569" s="1">
        <v>0.27913348412111488</v>
      </c>
      <c r="O569" s="1">
        <v>8.8676672683514132E-3</v>
      </c>
      <c r="P569" s="1">
        <v>0.6620948019216355</v>
      </c>
      <c r="R569" s="1">
        <v>0.21405881897341261</v>
      </c>
      <c r="S569" s="2">
        <f t="shared" si="108"/>
        <v>1.1560111059706621</v>
      </c>
      <c r="T569" s="4">
        <f t="shared" si="109"/>
        <v>1.3363616771275135</v>
      </c>
      <c r="U569" s="1">
        <f t="shared" ref="U569:U632" si="112">sigma*sigma/alpha/alpha*(B569/12+2/alpha*EXP(-alpha*B569/12)-1/2/alpha*EXP(-2*alpha*B569/12)-3/2/alpha)</f>
        <v>1.0300441825205455</v>
      </c>
      <c r="V569" s="6">
        <f>2*sigma/alpha*corel*(B569/12-1/alpha*(1-EXP(-alpha*Output!B569/12)))</f>
        <v>3.1739769698999916</v>
      </c>
      <c r="W569" s="5">
        <f t="shared" si="110"/>
        <v>-0.306317494606968</v>
      </c>
      <c r="X569" s="1">
        <f t="shared" si="106"/>
        <v>67.049183802351578</v>
      </c>
      <c r="Y569" s="3">
        <f t="shared" si="111"/>
        <v>5.3918060534499768E-2</v>
      </c>
      <c r="Z569" s="1">
        <f t="shared" si="101"/>
        <v>0.16952569362324152</v>
      </c>
      <c r="AA569" s="8">
        <f t="shared" si="107"/>
        <v>46.416666666666892</v>
      </c>
      <c r="AB569" s="1">
        <v>46.5</v>
      </c>
      <c r="AC569">
        <v>9.4436280899999996E-3</v>
      </c>
      <c r="AD569" s="8">
        <f t="shared" si="102"/>
        <v>5.7596082164858631</v>
      </c>
      <c r="AE569" s="3">
        <f t="shared" si="103"/>
        <v>6.0989358767577891E-2</v>
      </c>
      <c r="AF569" s="11">
        <f t="shared" si="104"/>
        <v>46.416666666666892</v>
      </c>
      <c r="AG569" s="1">
        <f t="shared" si="105"/>
        <v>0.16952569362324152</v>
      </c>
    </row>
    <row r="570" spans="2:33" ht="15" x14ac:dyDescent="0.25">
      <c r="B570" s="1">
        <v>559</v>
      </c>
      <c r="C570" s="1">
        <v>0.66162702068584167</v>
      </c>
      <c r="D570" s="1">
        <v>26.340743862606683</v>
      </c>
      <c r="E570" s="1">
        <v>5.6242969628796397E-3</v>
      </c>
      <c r="G570" s="1">
        <v>0.66162702068584167</v>
      </c>
      <c r="H570" s="1">
        <v>26.340743862606683</v>
      </c>
      <c r="I570" s="1">
        <v>5.6242969628796397E-3</v>
      </c>
      <c r="K570" s="1">
        <v>0.99942906944824628</v>
      </c>
      <c r="L570" s="1">
        <v>3.1249145715117934</v>
      </c>
      <c r="M570" s="1">
        <v>0.28483837363331466</v>
      </c>
      <c r="O570" s="1">
        <v>8.8669759144843364E-3</v>
      </c>
      <c r="P570" s="1">
        <v>0.66162702068584167</v>
      </c>
      <c r="R570" s="1">
        <v>0.21445186546996334</v>
      </c>
      <c r="S570" s="2">
        <f t="shared" si="108"/>
        <v>1.1586042794108293</v>
      </c>
      <c r="T570" s="4">
        <f t="shared" si="109"/>
        <v>1.342363876269087</v>
      </c>
      <c r="U570" s="1">
        <f t="shared" si="112"/>
        <v>1.0337594243909192</v>
      </c>
      <c r="V570" s="6">
        <f>2*sigma/alpha*corel*(B570/12-1/alpha*(1-EXP(-alpha*Output!B570/12)))</f>
        <v>3.1827747463163814</v>
      </c>
      <c r="W570" s="5">
        <f t="shared" si="110"/>
        <v>-0.30860445187816787</v>
      </c>
      <c r="X570" s="1">
        <f t="shared" si="106"/>
        <v>67.633351285754586</v>
      </c>
      <c r="Y570" s="3">
        <f t="shared" si="111"/>
        <v>5.4109214091199086E-2</v>
      </c>
      <c r="Z570" s="1">
        <f t="shared" si="101"/>
        <v>0.16975393385557735</v>
      </c>
      <c r="AA570" s="8">
        <f t="shared" si="107"/>
        <v>46.500000000000227</v>
      </c>
      <c r="AB570" s="1">
        <v>46.58</v>
      </c>
      <c r="AC570">
        <v>9.4433193939999997E-3</v>
      </c>
      <c r="AD570" s="8">
        <f t="shared" si="102"/>
        <v>5.7634347951566332</v>
      </c>
      <c r="AE570" s="3">
        <f t="shared" si="103"/>
        <v>6.1031874012633158E-2</v>
      </c>
      <c r="AF570" s="11">
        <f t="shared" si="104"/>
        <v>46.500000000000227</v>
      </c>
      <c r="AG570" s="1">
        <f t="shared" si="105"/>
        <v>0.16975393385557735</v>
      </c>
    </row>
    <row r="571" spans="2:33" ht="15" x14ac:dyDescent="0.25">
      <c r="B571" s="1">
        <v>560</v>
      </c>
      <c r="C571" s="1">
        <v>0.66116718968604715</v>
      </c>
      <c r="D571" s="1">
        <v>26.493575307987811</v>
      </c>
      <c r="E571" s="1">
        <v>5.5626634032374701E-3</v>
      </c>
      <c r="G571" s="1">
        <v>0.66116718968604715</v>
      </c>
      <c r="H571" s="1">
        <v>26.493575307987811</v>
      </c>
      <c r="I571" s="1">
        <v>5.5626634032374701E-3</v>
      </c>
      <c r="K571" s="1">
        <v>0.99937385143636459</v>
      </c>
      <c r="L571" s="1">
        <v>3.1295083551589049</v>
      </c>
      <c r="M571" s="1">
        <v>0.28435372879603998</v>
      </c>
      <c r="O571" s="1">
        <v>8.8660400708763867E-3</v>
      </c>
      <c r="P571" s="1">
        <v>0.66116718968604715</v>
      </c>
      <c r="R571" s="1">
        <v>0.21466727496397342</v>
      </c>
      <c r="S571" s="2">
        <f t="shared" si="108"/>
        <v>1.1604924296118175</v>
      </c>
      <c r="T571" s="4">
        <f t="shared" si="109"/>
        <v>1.3467426791863393</v>
      </c>
      <c r="U571" s="1">
        <f t="shared" si="112"/>
        <v>1.0374792177090213</v>
      </c>
      <c r="V571" s="6">
        <f>2*sigma/alpha*corel*(B571/12-1/alpha*(1-EXP(-alpha*Output!B571/12)))</f>
        <v>3.1915779100497543</v>
      </c>
      <c r="W571" s="5">
        <f t="shared" si="110"/>
        <v>-0.30926346147731798</v>
      </c>
      <c r="X571" s="1">
        <f t="shared" si="106"/>
        <v>67.915349031683576</v>
      </c>
      <c r="Y571" s="3">
        <f t="shared" si="111"/>
        <v>5.4101775256334625E-2</v>
      </c>
      <c r="Z571" s="1">
        <f t="shared" si="101"/>
        <v>0.16987869700715899</v>
      </c>
      <c r="AA571" s="8">
        <f t="shared" si="107"/>
        <v>46.583333333333563</v>
      </c>
      <c r="AB571" s="1">
        <v>46.67</v>
      </c>
      <c r="AC571">
        <v>9.4430118029999992E-3</v>
      </c>
      <c r="AD571" s="8">
        <f t="shared" si="102"/>
        <v>5.7697173212361248</v>
      </c>
      <c r="AE571" s="3">
        <f t="shared" si="103"/>
        <v>6.1100392984821998E-2</v>
      </c>
      <c r="AF571" s="11">
        <f t="shared" si="104"/>
        <v>46.583333333333563</v>
      </c>
      <c r="AG571" s="1">
        <f t="shared" si="105"/>
        <v>0.16987869700715899</v>
      </c>
    </row>
    <row r="572" spans="2:33" ht="15" x14ac:dyDescent="0.25">
      <c r="B572" s="1">
        <v>561</v>
      </c>
      <c r="C572" s="1">
        <v>0.66071329065545492</v>
      </c>
      <c r="D572" s="1">
        <v>26.643930512629222</v>
      </c>
      <c r="E572" s="1">
        <v>5.5020632737276479E-3</v>
      </c>
      <c r="G572" s="1">
        <v>0.66071329065545492</v>
      </c>
      <c r="H572" s="1">
        <v>26.643930512629222</v>
      </c>
      <c r="I572" s="1">
        <v>5.5020632737276479E-3</v>
      </c>
      <c r="K572" s="1">
        <v>0.99949265693401179</v>
      </c>
      <c r="L572" s="1">
        <v>3.1309919118702361</v>
      </c>
      <c r="M572" s="1">
        <v>0.28416533085676693</v>
      </c>
      <c r="O572" s="1">
        <v>8.8649258636801283E-3</v>
      </c>
      <c r="P572" s="1">
        <v>0.66071329065545492</v>
      </c>
      <c r="R572" s="1">
        <v>0.21482657081001502</v>
      </c>
      <c r="S572" s="2">
        <f t="shared" si="108"/>
        <v>1.1621510168156333</v>
      </c>
      <c r="T572" s="4">
        <f t="shared" si="109"/>
        <v>1.3505949858856103</v>
      </c>
      <c r="U572" s="1">
        <f t="shared" si="112"/>
        <v>1.0412035501009536</v>
      </c>
      <c r="V572" s="6">
        <f>2*sigma/alpha*corel*(B572/12-1/alpha*(1-EXP(-alpha*Output!B572/12)))</f>
        <v>3.2003864431722855</v>
      </c>
      <c r="W572" s="5">
        <f t="shared" si="110"/>
        <v>-0.30939143578465678</v>
      </c>
      <c r="X572" s="1">
        <f t="shared" si="106"/>
        <v>68.098671877371771</v>
      </c>
      <c r="Y572" s="3">
        <f t="shared" si="111"/>
        <v>5.4030005354342193E-2</v>
      </c>
      <c r="Z572" s="1">
        <f t="shared" si="101"/>
        <v>0.16996979825371558</v>
      </c>
      <c r="AA572" s="8">
        <f t="shared" si="107"/>
        <v>46.666666666666899</v>
      </c>
      <c r="AB572" s="1">
        <v>46.75</v>
      </c>
      <c r="AC572">
        <v>9.4427053100000005E-3</v>
      </c>
      <c r="AD572" s="8">
        <f t="shared" si="102"/>
        <v>5.7777944631987221</v>
      </c>
      <c r="AE572" s="3">
        <f t="shared" si="103"/>
        <v>6.1187914623152859E-2</v>
      </c>
      <c r="AF572" s="11">
        <f t="shared" si="104"/>
        <v>46.666666666666899</v>
      </c>
      <c r="AG572" s="1">
        <f t="shared" si="105"/>
        <v>0.16996979825371558</v>
      </c>
    </row>
    <row r="573" spans="2:33" ht="15" x14ac:dyDescent="0.25">
      <c r="B573" s="1">
        <v>562</v>
      </c>
      <c r="C573" s="1">
        <v>0.66025982739333611</v>
      </c>
      <c r="D573" s="1">
        <v>26.791694574681852</v>
      </c>
      <c r="E573" s="1">
        <v>5.4430655345090355E-3</v>
      </c>
      <c r="G573" s="1">
        <v>0.66025982739333611</v>
      </c>
      <c r="H573" s="1">
        <v>26.791694574681852</v>
      </c>
      <c r="I573" s="1">
        <v>5.4430655345090355E-3</v>
      </c>
      <c r="K573" s="1">
        <v>0.99942341069881646</v>
      </c>
      <c r="L573" s="1">
        <v>3.1068483759719725</v>
      </c>
      <c r="M573" s="1">
        <v>0.28630069266657021</v>
      </c>
      <c r="O573" s="1">
        <v>8.8638116063439552E-3</v>
      </c>
      <c r="P573" s="1">
        <v>0.66025982739333611</v>
      </c>
      <c r="R573" s="1">
        <v>0.21506131886608051</v>
      </c>
      <c r="S573" s="2">
        <f t="shared" si="108"/>
        <v>1.1641043513668878</v>
      </c>
      <c r="T573" s="4">
        <f t="shared" si="109"/>
        <v>1.3551389408713226</v>
      </c>
      <c r="U573" s="1">
        <f t="shared" si="112"/>
        <v>1.0449324092155741</v>
      </c>
      <c r="V573" s="6">
        <f>2*sigma/alpha*corel*(B573/12-1/alpha*(1-EXP(-alpha*Output!B573/12)))</f>
        <v>3.2092003278158074</v>
      </c>
      <c r="W573" s="5">
        <f t="shared" si="110"/>
        <v>-0.31020653165574852</v>
      </c>
      <c r="X573" s="1">
        <f t="shared" si="106"/>
        <v>68.410990340896646</v>
      </c>
      <c r="Y573" s="3">
        <f t="shared" si="111"/>
        <v>5.4041565829454671E-2</v>
      </c>
      <c r="Z573" s="1">
        <f t="shared" si="101"/>
        <v>0.17010394190210062</v>
      </c>
      <c r="AA573" s="8">
        <f t="shared" si="107"/>
        <v>46.750000000000234</v>
      </c>
      <c r="AB573" s="1">
        <v>46.83</v>
      </c>
      <c r="AC573">
        <v>9.442399911E-3</v>
      </c>
      <c r="AD573" s="8">
        <f t="shared" si="102"/>
        <v>5.7858830465604489</v>
      </c>
      <c r="AE573" s="3">
        <f t="shared" si="103"/>
        <v>6.1275556014315148E-2</v>
      </c>
      <c r="AF573" s="11">
        <f t="shared" si="104"/>
        <v>46.750000000000234</v>
      </c>
      <c r="AG573" s="1">
        <f t="shared" si="105"/>
        <v>0.17010394190210062</v>
      </c>
    </row>
    <row r="574" spans="2:33" ht="15" x14ac:dyDescent="0.25">
      <c r="B574" s="1">
        <v>563</v>
      </c>
      <c r="C574" s="1">
        <v>0.65980755053800544</v>
      </c>
      <c r="D574" s="1">
        <v>26.939655172413794</v>
      </c>
      <c r="E574" s="1">
        <v>5.3847396478380266E-3</v>
      </c>
      <c r="G574" s="1">
        <v>0.65980755053800544</v>
      </c>
      <c r="H574" s="1">
        <v>26.939655172413794</v>
      </c>
      <c r="I574" s="1">
        <v>5.3847396478380266E-3</v>
      </c>
      <c r="K574" s="1">
        <v>0.99928712131904252</v>
      </c>
      <c r="L574" s="1">
        <v>3.2373746390753499</v>
      </c>
      <c r="M574" s="1">
        <v>0.27470651876289853</v>
      </c>
      <c r="O574" s="1">
        <v>8.8626730353730948E-3</v>
      </c>
      <c r="P574" s="1">
        <v>0.65980755053800544</v>
      </c>
      <c r="R574" s="1">
        <v>0.21519917876470873</v>
      </c>
      <c r="S574" s="2">
        <f t="shared" si="108"/>
        <v>1.1656797867780406</v>
      </c>
      <c r="T574" s="4">
        <f t="shared" si="109"/>
        <v>1.3588093653028983</v>
      </c>
      <c r="U574" s="1">
        <f t="shared" si="112"/>
        <v>1.048665782724544</v>
      </c>
      <c r="V574" s="6">
        <f>2*sigma/alpha*corel*(B574/12-1/alpha*(1-EXP(-alpha*Output!B574/12)))</f>
        <v>3.2180195461716128</v>
      </c>
      <c r="W574" s="5">
        <f t="shared" si="110"/>
        <v>-0.31014358257835428</v>
      </c>
      <c r="X574" s="1">
        <f t="shared" si="106"/>
        <v>68.55926213008037</v>
      </c>
      <c r="Y574" s="3">
        <f t="shared" si="111"/>
        <v>5.3947060546997279E-2</v>
      </c>
      <c r="Z574" s="1">
        <f t="shared" si="101"/>
        <v>0.17018281040839209</v>
      </c>
      <c r="AA574" s="8">
        <f t="shared" si="107"/>
        <v>46.83333333333357</v>
      </c>
      <c r="AB574" s="1">
        <v>46.92</v>
      </c>
      <c r="AC574">
        <v>9.4420955979999995E-3</v>
      </c>
      <c r="AD574" s="8">
        <f t="shared" si="102"/>
        <v>5.7942256262690472</v>
      </c>
      <c r="AE574" s="3">
        <f t="shared" si="103"/>
        <v>6.1365886059196066E-2</v>
      </c>
      <c r="AF574" s="11">
        <f t="shared" si="104"/>
        <v>46.83333333333357</v>
      </c>
      <c r="AG574" s="1">
        <f t="shared" si="105"/>
        <v>0.17018281040839209</v>
      </c>
    </row>
    <row r="575" spans="2:33" ht="15" x14ac:dyDescent="0.25">
      <c r="B575" s="1">
        <v>564</v>
      </c>
      <c r="C575" s="1">
        <v>0.65935371717106761</v>
      </c>
      <c r="D575" s="1">
        <v>27.080456034879628</v>
      </c>
      <c r="E575" s="1">
        <v>5.3285021580433741E-3</v>
      </c>
      <c r="G575" s="1">
        <v>0.65935371717106761</v>
      </c>
      <c r="H575" s="1">
        <v>27.080456034879628</v>
      </c>
      <c r="I575" s="1">
        <v>5.3285021580433741E-3</v>
      </c>
      <c r="K575" s="1">
        <v>0.99924218971700962</v>
      </c>
      <c r="L575" s="1">
        <v>3.2430880610000137</v>
      </c>
      <c r="M575" s="1">
        <v>0.27416894974422396</v>
      </c>
      <c r="O575" s="1">
        <v>8.8615987258454081E-3</v>
      </c>
      <c r="P575" s="1">
        <v>0.65935371717106761</v>
      </c>
      <c r="R575" s="1">
        <v>0.21545940245770254</v>
      </c>
      <c r="S575" s="2">
        <f t="shared" si="108"/>
        <v>1.1677379204787475</v>
      </c>
      <c r="T575" s="4">
        <f t="shared" si="109"/>
        <v>1.3636118509240296</v>
      </c>
      <c r="U575" s="1">
        <f t="shared" si="112"/>
        <v>1.0524036583223739</v>
      </c>
      <c r="V575" s="6">
        <f>2*sigma/alpha*corel*(B575/12-1/alpha*(1-EXP(-alpha*Output!B575/12)))</f>
        <v>3.2268440804902623</v>
      </c>
      <c r="W575" s="5">
        <f t="shared" si="110"/>
        <v>-0.31120819260165566</v>
      </c>
      <c r="X575" s="1">
        <f t="shared" si="106"/>
        <v>68.919662928906305</v>
      </c>
      <c r="Y575" s="3">
        <f t="shared" si="111"/>
        <v>5.3988751602383929E-2</v>
      </c>
      <c r="Z575" s="1">
        <f t="shared" si="101"/>
        <v>0.17033208184240156</v>
      </c>
      <c r="AA575" s="8">
        <f t="shared" si="107"/>
        <v>46.916666666666906</v>
      </c>
      <c r="AB575" s="1">
        <v>47</v>
      </c>
      <c r="AC575">
        <v>9.4417923670000008E-3</v>
      </c>
      <c r="AD575" s="8">
        <f t="shared" si="102"/>
        <v>5.8019364115459267</v>
      </c>
      <c r="AE575" s="3">
        <f t="shared" si="103"/>
        <v>6.1449523417018453E-2</v>
      </c>
      <c r="AF575" s="11">
        <f t="shared" si="104"/>
        <v>46.916666666666906</v>
      </c>
      <c r="AG575" s="1">
        <f t="shared" si="105"/>
        <v>0.17033208184240156</v>
      </c>
    </row>
    <row r="576" spans="2:33" ht="15" x14ac:dyDescent="0.25">
      <c r="B576" s="1">
        <v>565</v>
      </c>
      <c r="C576" s="1">
        <v>0.65889947374216673</v>
      </c>
      <c r="D576" s="1">
        <v>27.22495984318423</v>
      </c>
      <c r="E576" s="1">
        <v>5.272315073548796E-3</v>
      </c>
      <c r="G576" s="1">
        <v>0.65889947374216673</v>
      </c>
      <c r="H576" s="1">
        <v>27.22495984318423</v>
      </c>
      <c r="I576" s="1">
        <v>5.272315073548796E-3</v>
      </c>
      <c r="K576" s="1">
        <v>0.99915730542098935</v>
      </c>
      <c r="L576" s="1">
        <v>3.318113649573657</v>
      </c>
      <c r="M576" s="1">
        <v>0.26791074295866779</v>
      </c>
      <c r="O576" s="1">
        <v>8.8605514992039867E-3</v>
      </c>
      <c r="P576" s="1">
        <v>0.65889947374216673</v>
      </c>
      <c r="R576" s="1">
        <v>0.21560739012454211</v>
      </c>
      <c r="S576" s="2">
        <f t="shared" si="108"/>
        <v>1.1693614240550387</v>
      </c>
      <c r="T576" s="4">
        <f t="shared" si="109"/>
        <v>1.3674061400680282</v>
      </c>
      <c r="U576" s="1">
        <f t="shared" si="112"/>
        <v>1.0561460237264688</v>
      </c>
      <c r="V576" s="6">
        <f>2*sigma/alpha*corel*(B576/12-1/alpha*(1-EXP(-alpha*Output!B576/12)))</f>
        <v>3.2356739130813779</v>
      </c>
      <c r="W576" s="5">
        <f t="shared" si="110"/>
        <v>-0.31126011634155937</v>
      </c>
      <c r="X576" s="1">
        <f t="shared" si="106"/>
        <v>69.090240916122369</v>
      </c>
      <c r="Y576" s="3">
        <f t="shared" si="111"/>
        <v>5.390846059997273E-2</v>
      </c>
      <c r="Z576" s="1">
        <f t="shared" si="101"/>
        <v>0.17041788140429923</v>
      </c>
      <c r="AA576" s="8">
        <f t="shared" si="107"/>
        <v>47.000000000000242</v>
      </c>
      <c r="AB576" s="1">
        <v>47.08</v>
      </c>
      <c r="AC576">
        <v>9.4414902100000003E-3</v>
      </c>
      <c r="AD576" s="8">
        <f t="shared" si="102"/>
        <v>5.8093871079601369</v>
      </c>
      <c r="AE576" s="3">
        <f t="shared" si="103"/>
        <v>6.1530404403820661E-2</v>
      </c>
      <c r="AF576" s="11">
        <f t="shared" si="104"/>
        <v>47.000000000000242</v>
      </c>
      <c r="AG576" s="1">
        <f t="shared" si="105"/>
        <v>0.17041788140429923</v>
      </c>
    </row>
    <row r="577" spans="2:33" ht="15" x14ac:dyDescent="0.25">
      <c r="B577" s="1">
        <v>566</v>
      </c>
      <c r="C577" s="1">
        <v>0.65844241636656364</v>
      </c>
      <c r="D577" s="1">
        <v>27.371014096072262</v>
      </c>
      <c r="E577" s="1">
        <v>5.2164840897235268E-3</v>
      </c>
      <c r="G577" s="1">
        <v>0.65844241636656364</v>
      </c>
      <c r="H577" s="1">
        <v>27.371014096072262</v>
      </c>
      <c r="I577" s="1">
        <v>5.2164840897235268E-3</v>
      </c>
      <c r="K577" s="1">
        <v>0.99930185241792224</v>
      </c>
      <c r="L577" s="1">
        <v>3.3441948004348636</v>
      </c>
      <c r="M577" s="1">
        <v>0.26576121030572969</v>
      </c>
      <c r="O577" s="1">
        <v>8.8596086564177289E-3</v>
      </c>
      <c r="P577" s="1">
        <v>0.65844241636656364</v>
      </c>
      <c r="R577" s="1">
        <v>0.21577621417019385</v>
      </c>
      <c r="S577" s="2">
        <f t="shared" si="108"/>
        <v>1.171074724508774</v>
      </c>
      <c r="T577" s="4">
        <f t="shared" si="109"/>
        <v>1.3714160103833011</v>
      </c>
      <c r="U577" s="1">
        <f t="shared" si="112"/>
        <v>1.059892866677171</v>
      </c>
      <c r="V577" s="6">
        <f>2*sigma/alpha*corel*(B577/12-1/alpha*(1-EXP(-alpha*Output!B577/12)))</f>
        <v>3.2445090263134535</v>
      </c>
      <c r="W577" s="5">
        <f t="shared" si="110"/>
        <v>-0.3115231437061301</v>
      </c>
      <c r="X577" s="1">
        <f t="shared" si="106"/>
        <v>69.300871934386024</v>
      </c>
      <c r="Y577" s="3">
        <f t="shared" si="111"/>
        <v>5.3853768544724442E-2</v>
      </c>
      <c r="Z577" s="1">
        <f t="shared" si="101"/>
        <v>0.17051673764564523</v>
      </c>
      <c r="AA577" s="8">
        <f t="shared" si="107"/>
        <v>47.083333333333577</v>
      </c>
      <c r="AB577" s="1">
        <v>47.17</v>
      </c>
      <c r="AC577">
        <v>9.4411891240000004E-3</v>
      </c>
      <c r="AD577" s="8">
        <f t="shared" si="102"/>
        <v>5.8158046758227142</v>
      </c>
      <c r="AE577" s="3">
        <f t="shared" si="103"/>
        <v>6.1600340798582592E-2</v>
      </c>
      <c r="AF577" s="11">
        <f t="shared" si="104"/>
        <v>47.083333333333577</v>
      </c>
      <c r="AG577" s="1">
        <f t="shared" si="105"/>
        <v>0.17051673764564523</v>
      </c>
    </row>
    <row r="578" spans="2:33" ht="15" x14ac:dyDescent="0.25">
      <c r="B578" s="1">
        <v>567</v>
      </c>
      <c r="C578" s="1">
        <v>0.65798772091183666</v>
      </c>
      <c r="D578" s="1">
        <v>27.510316368638239</v>
      </c>
      <c r="E578" s="1">
        <v>5.16288915276989E-3</v>
      </c>
      <c r="G578" s="1">
        <v>0.65798772091183666</v>
      </c>
      <c r="H578" s="1">
        <v>27.510316368638239</v>
      </c>
      <c r="I578" s="1">
        <v>5.16288915276989E-3</v>
      </c>
      <c r="K578" s="1">
        <v>0.99924640338861648</v>
      </c>
      <c r="L578" s="1">
        <v>3.3085137582225621</v>
      </c>
      <c r="M578" s="1">
        <v>0.26857853035658069</v>
      </c>
      <c r="O578" s="1">
        <v>8.8586033663313121E-3</v>
      </c>
      <c r="P578" s="1">
        <v>0.65798772091183666</v>
      </c>
      <c r="R578" s="1">
        <v>0.21598522238494092</v>
      </c>
      <c r="S578" s="2">
        <f t="shared" si="108"/>
        <v>1.1729417824398511</v>
      </c>
      <c r="T578" s="4">
        <f t="shared" si="109"/>
        <v>1.375792424993175</v>
      </c>
      <c r="U578" s="1">
        <f t="shared" si="112"/>
        <v>1.0636441749378052</v>
      </c>
      <c r="V578" s="6">
        <f>2*sigma/alpha*corel*(B578/12-1/alpha*(1-EXP(-alpha*Output!B578/12)))</f>
        <v>3.2533494026136589</v>
      </c>
      <c r="W578" s="5">
        <f t="shared" si="110"/>
        <v>-0.31214825005536984</v>
      </c>
      <c r="X578" s="1">
        <f t="shared" si="106"/>
        <v>69.580301595951553</v>
      </c>
      <c r="Y578" s="3">
        <f t="shared" si="111"/>
        <v>5.3842660073622109E-2</v>
      </c>
      <c r="Z578" s="1">
        <f t="shared" si="101"/>
        <v>0.17063792075577913</v>
      </c>
      <c r="AA578" s="8">
        <f t="shared" si="107"/>
        <v>47.166666666666913</v>
      </c>
      <c r="AB578" s="1">
        <v>47.25</v>
      </c>
      <c r="AC578">
        <v>9.4408891009999992E-3</v>
      </c>
      <c r="AD578" s="8">
        <f t="shared" si="102"/>
        <v>5.8228573466868712</v>
      </c>
      <c r="AE578" s="3">
        <f t="shared" si="103"/>
        <v>6.167700186278114E-2</v>
      </c>
      <c r="AF578" s="11">
        <f t="shared" si="104"/>
        <v>47.166666666666913</v>
      </c>
      <c r="AG578" s="1">
        <f t="shared" si="105"/>
        <v>0.17063792075577913</v>
      </c>
    </row>
    <row r="579" spans="2:33" ht="15" x14ac:dyDescent="0.25">
      <c r="B579" s="1">
        <v>568</v>
      </c>
      <c r="C579" s="1">
        <v>0.65753092686692005</v>
      </c>
      <c r="D579" s="1">
        <v>27.6441643169127</v>
      </c>
      <c r="E579" s="1">
        <v>5.1106454745234323E-3</v>
      </c>
      <c r="G579" s="1">
        <v>0.65753092686692005</v>
      </c>
      <c r="H579" s="1">
        <v>27.6441643169127</v>
      </c>
      <c r="I579" s="1">
        <v>5.1106454745234323E-3</v>
      </c>
      <c r="K579" s="1">
        <v>0.99922352267110781</v>
      </c>
      <c r="L579" s="1">
        <v>3.3320604521730965</v>
      </c>
      <c r="M579" s="1">
        <v>0.26661618946013571</v>
      </c>
      <c r="O579" s="1">
        <v>8.8576791333057209E-3</v>
      </c>
      <c r="P579" s="1">
        <v>0.65753092686692005</v>
      </c>
      <c r="R579" s="1">
        <v>0.21613727831697846</v>
      </c>
      <c r="S579" s="2">
        <f t="shared" si="108"/>
        <v>1.1745930562701716</v>
      </c>
      <c r="T579" s="4">
        <f t="shared" si="109"/>
        <v>1.3796688478381025</v>
      </c>
      <c r="U579" s="1">
        <f t="shared" si="112"/>
        <v>1.0673999362947155</v>
      </c>
      <c r="V579" s="6">
        <f>2*sigma/alpha*corel*(B579/12-1/alpha*(1-EXP(-alpha*Output!B579/12)))</f>
        <v>3.2621950244676392</v>
      </c>
      <c r="W579" s="5">
        <f t="shared" si="110"/>
        <v>-0.31226891154338698</v>
      </c>
      <c r="X579" s="1">
        <f t="shared" si="106"/>
        <v>69.764830296542684</v>
      </c>
      <c r="Y579" s="3">
        <f t="shared" si="111"/>
        <v>5.3771190203002757E-2</v>
      </c>
      <c r="Z579" s="1">
        <f t="shared" si="101"/>
        <v>0.17072765858240524</v>
      </c>
      <c r="AA579" s="8">
        <f t="shared" si="107"/>
        <v>47.250000000000249</v>
      </c>
      <c r="AB579" s="1">
        <v>47.33</v>
      </c>
      <c r="AC579">
        <v>9.4405901370000003E-3</v>
      </c>
      <c r="AD579" s="8">
        <f t="shared" si="102"/>
        <v>5.8291100369427946</v>
      </c>
      <c r="AE579" s="3">
        <f t="shared" si="103"/>
        <v>6.1745187031233092E-2</v>
      </c>
      <c r="AF579" s="11">
        <f t="shared" si="104"/>
        <v>47.250000000000249</v>
      </c>
      <c r="AG579" s="1">
        <f t="shared" si="105"/>
        <v>0.17072765858240524</v>
      </c>
    </row>
    <row r="580" spans="2:33" ht="15" x14ac:dyDescent="0.25">
      <c r="B580" s="1">
        <v>569</v>
      </c>
      <c r="C580" s="1">
        <v>0.65707503186038752</v>
      </c>
      <c r="D580" s="1">
        <v>27.780092785509904</v>
      </c>
      <c r="E580" s="1">
        <v>5.058680696074464E-3</v>
      </c>
      <c r="G580" s="1">
        <v>0.65707503186038752</v>
      </c>
      <c r="H580" s="1">
        <v>27.780092785509904</v>
      </c>
      <c r="I580" s="1">
        <v>5.058680696074464E-3</v>
      </c>
      <c r="K580" s="1">
        <v>0.99917979473979868</v>
      </c>
      <c r="L580" s="1">
        <v>3.3491330702356827</v>
      </c>
      <c r="M580" s="1">
        <v>0.26520596350213965</v>
      </c>
      <c r="O580" s="1">
        <v>8.8567394714951647E-3</v>
      </c>
      <c r="P580" s="1">
        <v>0.65707503186038752</v>
      </c>
      <c r="R580" s="1">
        <v>0.21627450371651086</v>
      </c>
      <c r="S580" s="2">
        <f t="shared" si="108"/>
        <v>1.1761860803555704</v>
      </c>
      <c r="T580" s="4">
        <f t="shared" si="109"/>
        <v>1.3834136956222003</v>
      </c>
      <c r="U580" s="1">
        <f t="shared" si="112"/>
        <v>1.0711601385573108</v>
      </c>
      <c r="V580" s="6">
        <f>2*sigma/alpha*corel*(B580/12-1/alpha*(1-EXP(-alpha*Output!B580/12)))</f>
        <v>3.2710458744193236</v>
      </c>
      <c r="W580" s="5">
        <f t="shared" si="110"/>
        <v>-0.31225355706488944</v>
      </c>
      <c r="X580" s="1">
        <f t="shared" si="106"/>
        <v>69.923832435863034</v>
      </c>
      <c r="Y580" s="3">
        <f t="shared" si="111"/>
        <v>5.3683668921872943E-2</v>
      </c>
      <c r="Z580" s="1">
        <f t="shared" si="101"/>
        <v>0.17080891155381075</v>
      </c>
      <c r="AA580" s="8">
        <f t="shared" si="107"/>
        <v>47.333333333333584</v>
      </c>
      <c r="AB580" s="1">
        <v>47.42</v>
      </c>
      <c r="AC580">
        <v>9.4402922259999994E-3</v>
      </c>
      <c r="AD580" s="8">
        <f t="shared" si="102"/>
        <v>5.8355275450483468</v>
      </c>
      <c r="AE580" s="3">
        <f t="shared" si="103"/>
        <v>6.1815115521280335E-2</v>
      </c>
      <c r="AF580" s="11">
        <f t="shared" si="104"/>
        <v>47.333333333333584</v>
      </c>
      <c r="AG580" s="1">
        <f t="shared" si="105"/>
        <v>0.17080891155381075</v>
      </c>
    </row>
    <row r="581" spans="2:33" ht="15" x14ac:dyDescent="0.25">
      <c r="B581" s="1">
        <v>570</v>
      </c>
      <c r="C581" s="1">
        <v>0.65661403389097117</v>
      </c>
      <c r="D581" s="1">
        <v>27.924380776856271</v>
      </c>
      <c r="E581" s="1">
        <v>5.0060072086503806E-3</v>
      </c>
      <c r="G581" s="1">
        <v>0.65661403389097117</v>
      </c>
      <c r="H581" s="1">
        <v>27.924380776856271</v>
      </c>
      <c r="I581" s="1">
        <v>5.0060072086503806E-3</v>
      </c>
      <c r="K581" s="1">
        <v>0.9992142131899171</v>
      </c>
      <c r="L581" s="1">
        <v>3.3554441191145776</v>
      </c>
      <c r="M581" s="1">
        <v>0.26466043744226453</v>
      </c>
      <c r="O581" s="1">
        <v>8.8559768540122045E-3</v>
      </c>
      <c r="P581" s="1">
        <v>0.65661403389097117</v>
      </c>
      <c r="R581" s="1">
        <v>0.21657017520509353</v>
      </c>
      <c r="S581" s="2">
        <f t="shared" si="108"/>
        <v>1.1784141503837533</v>
      </c>
      <c r="T581" s="4">
        <f t="shared" si="109"/>
        <v>1.388659909824663</v>
      </c>
      <c r="U581" s="1">
        <f t="shared" si="112"/>
        <v>1.074924769558105</v>
      </c>
      <c r="V581" s="6">
        <f>2*sigma/alpha*corel*(B581/12-1/alpha*(1-EXP(-alpha*Output!B581/12)))</f>
        <v>3.2799019350707348</v>
      </c>
      <c r="W581" s="5">
        <f t="shared" si="110"/>
        <v>-0.31373514026655802</v>
      </c>
      <c r="X581" s="1">
        <f t="shared" si="106"/>
        <v>70.367433354326778</v>
      </c>
      <c r="Y581" s="3">
        <f t="shared" si="111"/>
        <v>5.3775030877958194E-2</v>
      </c>
      <c r="Z581" s="1">
        <f t="shared" si="101"/>
        <v>0.17098229577939614</v>
      </c>
      <c r="AA581" s="8">
        <f t="shared" si="107"/>
        <v>47.41666666666692</v>
      </c>
      <c r="AB581" s="1">
        <v>47.5</v>
      </c>
      <c r="AC581">
        <v>9.4399953620000008E-3</v>
      </c>
      <c r="AD581" s="8">
        <f t="shared" si="102"/>
        <v>5.8401850798779629</v>
      </c>
      <c r="AE581" s="3">
        <f t="shared" si="103"/>
        <v>6.186639776738867E-2</v>
      </c>
      <c r="AF581" s="11">
        <f t="shared" si="104"/>
        <v>47.41666666666692</v>
      </c>
      <c r="AG581" s="1">
        <f t="shared" si="105"/>
        <v>0.17098229577939614</v>
      </c>
    </row>
    <row r="582" spans="2:33" ht="15" x14ac:dyDescent="0.25">
      <c r="B582" s="1">
        <v>571</v>
      </c>
      <c r="C582" s="1">
        <v>0.65615056361116308</v>
      </c>
      <c r="D582" s="1">
        <v>28.065448626196286</v>
      </c>
      <c r="E582" s="1">
        <v>4.9544193420531114E-3</v>
      </c>
      <c r="G582" s="1">
        <v>0.65615056361116308</v>
      </c>
      <c r="H582" s="1">
        <v>28.065448626196286</v>
      </c>
      <c r="I582" s="1">
        <v>4.9544193420531114E-3</v>
      </c>
      <c r="K582" s="1">
        <v>0.99918378839558331</v>
      </c>
      <c r="L582" s="1">
        <v>3.4294731830924126</v>
      </c>
      <c r="M582" s="1">
        <v>0.25888253307729331</v>
      </c>
      <c r="O582" s="1">
        <v>8.8553064519774852E-3</v>
      </c>
      <c r="P582" s="1">
        <v>0.65615056361116308</v>
      </c>
      <c r="R582" s="1">
        <v>0.21678438378185916</v>
      </c>
      <c r="S582" s="2">
        <f t="shared" si="108"/>
        <v>1.1803312000002599</v>
      </c>
      <c r="T582" s="4">
        <f t="shared" si="109"/>
        <v>1.3931817416940535</v>
      </c>
      <c r="U582" s="1">
        <f t="shared" si="112"/>
        <v>1.0786938171527538</v>
      </c>
      <c r="V582" s="6">
        <f>2*sigma/alpha*corel*(B582/12-1/alpha*(1-EXP(-alpha*Output!B582/12)))</f>
        <v>3.2887631890817883</v>
      </c>
      <c r="W582" s="5">
        <f t="shared" si="110"/>
        <v>-0.3144879245412997</v>
      </c>
      <c r="X582" s="1">
        <f t="shared" si="106"/>
        <v>70.67349828488679</v>
      </c>
      <c r="Y582" s="3">
        <f t="shared" si="111"/>
        <v>5.3779228861315198E-2</v>
      </c>
      <c r="Z582" s="1">
        <f t="shared" si="101"/>
        <v>0.17111041948787956</v>
      </c>
      <c r="AA582" s="8">
        <f t="shared" si="107"/>
        <v>47.500000000000256</v>
      </c>
      <c r="AB582" s="1">
        <v>47.58</v>
      </c>
      <c r="AC582">
        <v>9.4396995390000002E-3</v>
      </c>
      <c r="AD582" s="8">
        <f t="shared" si="102"/>
        <v>5.8439308702251491</v>
      </c>
      <c r="AE582" s="3">
        <f t="shared" si="103"/>
        <v>6.1908017793161983E-2</v>
      </c>
      <c r="AF582" s="11">
        <f t="shared" si="104"/>
        <v>47.500000000000256</v>
      </c>
      <c r="AG582" s="1">
        <f t="shared" si="105"/>
        <v>0.17111041948787956</v>
      </c>
    </row>
    <row r="583" spans="2:33" ht="15" x14ac:dyDescent="0.25">
      <c r="B583" s="1">
        <v>572</v>
      </c>
      <c r="C583" s="1">
        <v>0.65568268001717112</v>
      </c>
      <c r="D583" s="1">
        <v>28.206357713028517</v>
      </c>
      <c r="E583" s="1">
        <v>4.9036434070514386E-3</v>
      </c>
      <c r="G583" s="1">
        <v>0.65568268001717112</v>
      </c>
      <c r="H583" s="1">
        <v>28.206357713028517</v>
      </c>
      <c r="I583" s="1">
        <v>4.9036434070514386E-3</v>
      </c>
      <c r="K583" s="1">
        <v>0.99919183834424241</v>
      </c>
      <c r="L583" s="1">
        <v>3.4318603133967494</v>
      </c>
      <c r="M583" s="1">
        <v>0.25864928669233045</v>
      </c>
      <c r="O583" s="1">
        <v>8.8547900675681017E-3</v>
      </c>
      <c r="P583" s="1">
        <v>0.65568268001717112</v>
      </c>
      <c r="R583" s="1">
        <v>0.21704113687154955</v>
      </c>
      <c r="S583" s="2">
        <f t="shared" si="108"/>
        <v>1.1824281318607712</v>
      </c>
      <c r="T583" s="4">
        <f t="shared" si="109"/>
        <v>1.3981362870157534</v>
      </c>
      <c r="U583" s="1">
        <f t="shared" si="112"/>
        <v>1.0824672692200932</v>
      </c>
      <c r="V583" s="6">
        <f>2*sigma/alpha*corel*(B583/12-1/alpha*(1-EXP(-alpha*Output!B583/12)))</f>
        <v>3.2976296191701056</v>
      </c>
      <c r="W583" s="5">
        <f t="shared" si="110"/>
        <v>-0.31566901779566026</v>
      </c>
      <c r="X583" s="1">
        <f t="shared" si="106"/>
        <v>71.061920498267199</v>
      </c>
      <c r="Y583" s="3">
        <f t="shared" si="111"/>
        <v>5.383419921846834E-2</v>
      </c>
      <c r="Z583" s="1">
        <f t="shared" si="101"/>
        <v>0.17126450448599673</v>
      </c>
      <c r="AA583" s="8">
        <f t="shared" si="107"/>
        <v>47.583333333333591</v>
      </c>
      <c r="AB583" s="1">
        <v>47.67</v>
      </c>
      <c r="AC583">
        <v>9.4394047529999994E-3</v>
      </c>
      <c r="AD583" s="8">
        <f t="shared" si="102"/>
        <v>5.8461468543189765</v>
      </c>
      <c r="AE583" s="3">
        <f t="shared" si="103"/>
        <v>6.1933427025268453E-2</v>
      </c>
      <c r="AF583" s="11">
        <f t="shared" si="104"/>
        <v>47.583333333333591</v>
      </c>
      <c r="AG583" s="1">
        <f t="shared" si="105"/>
        <v>0.17126450448599673</v>
      </c>
    </row>
    <row r="584" spans="2:33" ht="15" x14ac:dyDescent="0.25">
      <c r="B584" s="1">
        <v>573</v>
      </c>
      <c r="C584" s="1">
        <v>0.65521701828124268</v>
      </c>
      <c r="D584" s="1">
        <v>28.347885247760516</v>
      </c>
      <c r="E584" s="1">
        <v>4.8531909730647896E-3</v>
      </c>
      <c r="G584" s="1">
        <v>0.65521701828124268</v>
      </c>
      <c r="H584" s="1">
        <v>28.347885247760516</v>
      </c>
      <c r="I584" s="1">
        <v>4.8531909730647896E-3</v>
      </c>
      <c r="K584" s="1">
        <v>0.99936710772004189</v>
      </c>
      <c r="L584" s="1">
        <v>3.4369933892886375</v>
      </c>
      <c r="M584" s="1">
        <v>0.25821306459886922</v>
      </c>
      <c r="O584" s="1">
        <v>8.8542151330446017E-3</v>
      </c>
      <c r="P584" s="1">
        <v>0.65521701828124268</v>
      </c>
      <c r="R584" s="1">
        <v>0.21726958418656228</v>
      </c>
      <c r="S584" s="2">
        <f t="shared" si="108"/>
        <v>1.1844113518779651</v>
      </c>
      <c r="T584" s="4">
        <f t="shared" si="109"/>
        <v>1.4028302504573888</v>
      </c>
      <c r="U584" s="1">
        <f t="shared" si="112"/>
        <v>1.0862451136621782</v>
      </c>
      <c r="V584" s="6">
        <f>2*sigma/alpha*corel*(B584/12-1/alpha*(1-EXP(-alpha*Output!B584/12)))</f>
        <v>3.30650120811082</v>
      </c>
      <c r="W584" s="5">
        <f t="shared" si="110"/>
        <v>-0.31658513679521061</v>
      </c>
      <c r="X584" s="1">
        <f t="shared" si="106"/>
        <v>71.400711367123549</v>
      </c>
      <c r="Y584" s="3">
        <f t="shared" si="111"/>
        <v>5.3857517852999928E-2</v>
      </c>
      <c r="Z584" s="1">
        <f t="shared" si="101"/>
        <v>0.17140199528779243</v>
      </c>
      <c r="AA584" s="8">
        <f t="shared" si="107"/>
        <v>47.666666666666927</v>
      </c>
      <c r="AB584" s="1">
        <v>47.75</v>
      </c>
      <c r="AC584">
        <v>9.4391109970000005E-3</v>
      </c>
      <c r="AD584" s="8">
        <f t="shared" si="102"/>
        <v>5.8489586395539872</v>
      </c>
      <c r="AE584" s="3">
        <f t="shared" si="103"/>
        <v>6.1965143130671321E-2</v>
      </c>
      <c r="AF584" s="11">
        <f t="shared" si="104"/>
        <v>47.666666666666927</v>
      </c>
      <c r="AG584" s="1">
        <f t="shared" si="105"/>
        <v>0.17140199528779243</v>
      </c>
    </row>
    <row r="585" spans="2:33" ht="15" x14ac:dyDescent="0.25">
      <c r="B585" s="1">
        <v>574</v>
      </c>
      <c r="C585" s="1">
        <v>0.65475090720167251</v>
      </c>
      <c r="D585" s="1">
        <v>28.481913984619766</v>
      </c>
      <c r="E585" s="1">
        <v>4.804689376831788E-3</v>
      </c>
      <c r="G585" s="1">
        <v>0.65475090720167251</v>
      </c>
      <c r="H585" s="1">
        <v>28.481913984619766</v>
      </c>
      <c r="I585" s="1">
        <v>4.804689376831788E-3</v>
      </c>
      <c r="K585" s="1">
        <v>0.99943756589921318</v>
      </c>
      <c r="L585" s="1">
        <v>3.435375392110247</v>
      </c>
      <c r="M585" s="1">
        <v>0.25828478901910007</v>
      </c>
      <c r="O585" s="1">
        <v>8.8536671085514482E-3</v>
      </c>
      <c r="P585" s="1">
        <v>0.65475090720167251</v>
      </c>
      <c r="R585" s="1">
        <v>0.21761859459363619</v>
      </c>
      <c r="S585" s="2">
        <f t="shared" si="108"/>
        <v>1.1868728406741218</v>
      </c>
      <c r="T585" s="4">
        <f t="shared" si="109"/>
        <v>1.4086671399298594</v>
      </c>
      <c r="U585" s="1">
        <f t="shared" si="112"/>
        <v>1.0900273384043189</v>
      </c>
      <c r="V585" s="6">
        <f>2*sigma/alpha*corel*(B585/12-1/alpha*(1-EXP(-alpha*Output!B585/12)))</f>
        <v>3.3153779387363862</v>
      </c>
      <c r="W585" s="5">
        <f t="shared" si="110"/>
        <v>-0.3186398015255405</v>
      </c>
      <c r="X585" s="1">
        <f t="shared" si="106"/>
        <v>71.958146235213349</v>
      </c>
      <c r="Y585" s="3">
        <f t="shared" si="111"/>
        <v>5.4015019026964095E-2</v>
      </c>
      <c r="Z585" s="1">
        <f t="shared" si="101"/>
        <v>0.17160852905936932</v>
      </c>
      <c r="AA585" s="8">
        <f t="shared" si="107"/>
        <v>47.750000000000263</v>
      </c>
      <c r="AB585" s="1">
        <v>47.83</v>
      </c>
      <c r="AC585">
        <v>9.4388182670000001E-3</v>
      </c>
      <c r="AD585" s="8">
        <f t="shared" si="102"/>
        <v>5.851511584485519</v>
      </c>
      <c r="AE585" s="3">
        <f t="shared" si="103"/>
        <v>6.1994112175499515E-2</v>
      </c>
      <c r="AF585" s="11">
        <f t="shared" si="104"/>
        <v>47.750000000000263</v>
      </c>
      <c r="AG585" s="1">
        <f t="shared" si="105"/>
        <v>0.17160852905936932</v>
      </c>
    </row>
    <row r="586" spans="2:33" ht="15" x14ac:dyDescent="0.25">
      <c r="B586" s="1">
        <v>575</v>
      </c>
      <c r="C586" s="1">
        <v>0.6542791420376507</v>
      </c>
      <c r="D586" s="1">
        <v>28.612303290414875</v>
      </c>
      <c r="E586" s="1">
        <v>4.7576002664256149E-3</v>
      </c>
      <c r="G586" s="1">
        <v>0.6542791420376507</v>
      </c>
      <c r="H586" s="1">
        <v>28.612303290414875</v>
      </c>
      <c r="I586" s="1">
        <v>4.7576002664256149E-3</v>
      </c>
      <c r="K586" s="1">
        <v>0.99915459229115544</v>
      </c>
      <c r="L586" s="1">
        <v>3.5545285356586653</v>
      </c>
      <c r="M586" s="1">
        <v>0.2495642024078206</v>
      </c>
      <c r="O586" s="1">
        <v>8.8533119144408642E-3</v>
      </c>
      <c r="P586" s="1">
        <v>0.6542791420376507</v>
      </c>
      <c r="R586" s="1">
        <v>0.21783830456397968</v>
      </c>
      <c r="S586" s="2">
        <f t="shared" si="108"/>
        <v>1.1888415254351676</v>
      </c>
      <c r="T586" s="4">
        <f t="shared" si="109"/>
        <v>1.4133441725990163</v>
      </c>
      <c r="U586" s="1">
        <f t="shared" si="112"/>
        <v>1.0938139313951152</v>
      </c>
      <c r="V586" s="6">
        <f>2*sigma/alpha*corel*(B586/12-1/alpha*(1-EXP(-alpha*Output!B586/12)))</f>
        <v>3.3242597939363856</v>
      </c>
      <c r="W586" s="5">
        <f t="shared" si="110"/>
        <v>-0.31953024120390117</v>
      </c>
      <c r="X586" s="1">
        <f t="shared" si="106"/>
        <v>72.293999408329711</v>
      </c>
      <c r="Y586" s="3">
        <f t="shared" si="111"/>
        <v>5.4034727088287479E-2</v>
      </c>
      <c r="Z586" s="1">
        <f t="shared" si="101"/>
        <v>0.17174364146795981</v>
      </c>
      <c r="AA586" s="8">
        <f t="shared" si="107"/>
        <v>47.833333333333599</v>
      </c>
      <c r="AB586" s="1">
        <v>47.92</v>
      </c>
      <c r="AC586">
        <v>9.4385265579999995E-3</v>
      </c>
      <c r="AD586" s="8">
        <f t="shared" si="102"/>
        <v>5.8521464355913535</v>
      </c>
      <c r="AE586" s="3">
        <f t="shared" si="103"/>
        <v>6.2002754345498269E-2</v>
      </c>
      <c r="AF586" s="11">
        <f t="shared" si="104"/>
        <v>47.833333333333599</v>
      </c>
      <c r="AG586" s="1">
        <f t="shared" si="105"/>
        <v>0.17174364146795981</v>
      </c>
    </row>
    <row r="587" spans="2:33" ht="15" x14ac:dyDescent="0.25">
      <c r="B587" s="1">
        <v>576</v>
      </c>
      <c r="C587" s="1">
        <v>0.65381100182843743</v>
      </c>
      <c r="D587" s="1">
        <v>28.746370770690202</v>
      </c>
      <c r="E587" s="1">
        <v>4.7100937308652445E-3</v>
      </c>
      <c r="G587" s="1">
        <v>0.65381100182843743</v>
      </c>
      <c r="H587" s="1">
        <v>28.746370770690202</v>
      </c>
      <c r="I587" s="1">
        <v>4.7100937308652445E-3</v>
      </c>
      <c r="K587" s="1">
        <v>0.99909496522173125</v>
      </c>
      <c r="L587" s="1">
        <v>3.5570663020634852</v>
      </c>
      <c r="M587" s="1">
        <v>0.24933564213173134</v>
      </c>
      <c r="O587" s="1">
        <v>8.8528532774987054E-3</v>
      </c>
      <c r="P587" s="1">
        <v>0.65381100182843743</v>
      </c>
      <c r="R587" s="1">
        <v>0.2181268553560452</v>
      </c>
      <c r="S587" s="2">
        <f t="shared" si="108"/>
        <v>1.1910758383164242</v>
      </c>
      <c r="T587" s="4">
        <f t="shared" si="109"/>
        <v>1.4186616526211726</v>
      </c>
      <c r="U587" s="1">
        <f t="shared" si="112"/>
        <v>1.0976048806064926</v>
      </c>
      <c r="V587" s="6">
        <f>2*sigma/alpha*corel*(B587/12-1/alpha*(1-EXP(-alpha*Output!B587/12)))</f>
        <v>3.3331467566573445</v>
      </c>
      <c r="W587" s="5">
        <f t="shared" si="110"/>
        <v>-0.32105677201467997</v>
      </c>
      <c r="X587" s="1">
        <f t="shared" si="106"/>
        <v>72.752767528233932</v>
      </c>
      <c r="Y587" s="3">
        <f t="shared" si="111"/>
        <v>5.4128922206187556E-2</v>
      </c>
      <c r="Z587" s="1">
        <f t="shared" si="101"/>
        <v>0.17191698896931168</v>
      </c>
      <c r="AA587" s="8">
        <f t="shared" si="107"/>
        <v>47.916666666666934</v>
      </c>
      <c r="AB587" s="1">
        <v>48</v>
      </c>
      <c r="AC587">
        <v>9.4382358620000006E-3</v>
      </c>
      <c r="AD587" s="8">
        <f t="shared" si="102"/>
        <v>5.8538258450129517</v>
      </c>
      <c r="AE587" s="3">
        <f t="shared" si="103"/>
        <v>6.2022457698704951E-2</v>
      </c>
      <c r="AF587" s="11">
        <f t="shared" si="104"/>
        <v>47.916666666666934</v>
      </c>
      <c r="AG587" s="1">
        <f t="shared" si="105"/>
        <v>0.17191698896931168</v>
      </c>
    </row>
    <row r="588" spans="2:33" ht="15" x14ac:dyDescent="0.25">
      <c r="B588" s="1">
        <v>577</v>
      </c>
      <c r="C588" s="1">
        <v>0.65334613143107156</v>
      </c>
      <c r="D588" s="1">
        <v>28.87753039360074</v>
      </c>
      <c r="E588" s="1">
        <v>4.6637440537263316E-3</v>
      </c>
      <c r="G588" s="1">
        <v>0.65334613143107156</v>
      </c>
      <c r="H588" s="1">
        <v>28.87753039360074</v>
      </c>
      <c r="I588" s="1">
        <v>4.6637440537263316E-3</v>
      </c>
      <c r="K588" s="1">
        <v>0.99909288492987869</v>
      </c>
      <c r="L588" s="1">
        <v>3.5737449290888383</v>
      </c>
      <c r="M588" s="1">
        <v>0.24812204796834958</v>
      </c>
      <c r="O588" s="1">
        <v>8.8523028081615544E-3</v>
      </c>
      <c r="P588" s="1">
        <v>0.65334613143107156</v>
      </c>
      <c r="R588" s="1">
        <v>0.21843308300626255</v>
      </c>
      <c r="S588" s="2">
        <f t="shared" si="108"/>
        <v>1.1933753555562434</v>
      </c>
      <c r="T588" s="4">
        <f t="shared" si="109"/>
        <v>1.4241447392489903</v>
      </c>
      <c r="U588" s="1">
        <f t="shared" si="112"/>
        <v>1.1014001740337358</v>
      </c>
      <c r="V588" s="6">
        <f>2*sigma/alpha*corel*(B588/12-1/alpha*(1-EXP(-alpha*Output!B588/12)))</f>
        <v>3.3420388099025344</v>
      </c>
      <c r="W588" s="5">
        <f t="shared" si="110"/>
        <v>-0.32274456521525452</v>
      </c>
      <c r="X588" s="1">
        <f t="shared" si="106"/>
        <v>73.243761449962037</v>
      </c>
      <c r="Y588" s="3">
        <f t="shared" si="111"/>
        <v>5.4241436117825101E-2</v>
      </c>
      <c r="Z588" s="1">
        <f t="shared" si="101"/>
        <v>0.17209956849117611</v>
      </c>
      <c r="AA588" s="8">
        <f t="shared" si="107"/>
        <v>48.00000000000027</v>
      </c>
      <c r="AB588" s="1">
        <v>48.08</v>
      </c>
      <c r="AC588">
        <v>9.4379461770000006E-3</v>
      </c>
      <c r="AD588" s="8">
        <f t="shared" si="102"/>
        <v>5.8564336883844614</v>
      </c>
      <c r="AE588" s="3">
        <f t="shared" si="103"/>
        <v>6.2051992865316603E-2</v>
      </c>
      <c r="AF588" s="11">
        <f t="shared" si="104"/>
        <v>48.00000000000027</v>
      </c>
      <c r="AG588" s="1">
        <f t="shared" si="105"/>
        <v>0.17209956849117611</v>
      </c>
    </row>
    <row r="589" spans="2:33" ht="15" x14ac:dyDescent="0.25">
      <c r="B589" s="1">
        <v>578</v>
      </c>
      <c r="C589" s="1">
        <v>0.6528842767823827</v>
      </c>
      <c r="D589" s="1">
        <v>29.007367871439346</v>
      </c>
      <c r="E589" s="1">
        <v>4.6180844185831722E-3</v>
      </c>
      <c r="G589" s="1">
        <v>0.6528842767823827</v>
      </c>
      <c r="H589" s="1">
        <v>29.007367871439346</v>
      </c>
      <c r="I589" s="1">
        <v>4.6180844185831722E-3</v>
      </c>
      <c r="K589" s="1">
        <v>0.99918105653376932</v>
      </c>
      <c r="L589" s="1">
        <v>3.5972626450781884</v>
      </c>
      <c r="M589" s="1">
        <v>0.24645717517689941</v>
      </c>
      <c r="O589" s="1">
        <v>8.8516688554002472E-3</v>
      </c>
      <c r="P589" s="1">
        <v>0.6528842767823827</v>
      </c>
      <c r="R589" s="1">
        <v>0.21869050936643267</v>
      </c>
      <c r="S589" s="2">
        <f t="shared" si="108"/>
        <v>1.1954780905520048</v>
      </c>
      <c r="T589" s="4">
        <f t="shared" si="109"/>
        <v>1.4291678649898674</v>
      </c>
      <c r="U589" s="1">
        <f t="shared" si="112"/>
        <v>1.1051997996955203</v>
      </c>
      <c r="V589" s="6">
        <f>2*sigma/alpha*corel*(B589/12-1/alpha*(1-EXP(-alpha*Output!B589/12)))</f>
        <v>3.3509359367317915</v>
      </c>
      <c r="W589" s="5">
        <f t="shared" si="110"/>
        <v>-0.32396806529434707</v>
      </c>
      <c r="X589" s="1">
        <f t="shared" si="106"/>
        <v>73.646618898791445</v>
      </c>
      <c r="Y589" s="3">
        <f t="shared" si="111"/>
        <v>5.4299220318412139E-2</v>
      </c>
      <c r="Z589" s="1">
        <f t="shared" ref="Z589:Z652" si="113">S589/SQRT(B589/12)</f>
        <v>0.1722536070899503</v>
      </c>
      <c r="AA589" s="8">
        <f t="shared" si="107"/>
        <v>48.083333333333606</v>
      </c>
      <c r="AB589" s="1">
        <v>48.17</v>
      </c>
      <c r="AC589">
        <v>9.4376574949999997E-3</v>
      </c>
      <c r="AD589" s="8">
        <f t="shared" ref="AD589:AD652" si="114">(AC589-O589)*10000</f>
        <v>5.8598863959975249</v>
      </c>
      <c r="AE589" s="3">
        <f t="shared" ref="AE589:AE652" si="115">AD589/AC589/10000</f>
        <v>6.2090475301758395E-2</v>
      </c>
      <c r="AF589" s="11">
        <f t="shared" ref="AF589:AF652" si="116">AA589</f>
        <v>48.083333333333606</v>
      </c>
      <c r="AG589" s="1">
        <f t="shared" ref="AG589:AG652" si="117">Z589</f>
        <v>0.1722536070899503</v>
      </c>
    </row>
    <row r="590" spans="2:33" ht="15" x14ac:dyDescent="0.25">
      <c r="B590" s="1">
        <v>579</v>
      </c>
      <c r="C590" s="1">
        <v>0.65242520724145514</v>
      </c>
      <c r="D590" s="1">
        <v>29.123951537744642</v>
      </c>
      <c r="E590" s="1">
        <v>4.5751933019170061E-3</v>
      </c>
      <c r="G590" s="1">
        <v>0.65242520724145514</v>
      </c>
      <c r="H590" s="1">
        <v>29.123951537744642</v>
      </c>
      <c r="I590" s="1">
        <v>4.5751933019170061E-3</v>
      </c>
      <c r="K590" s="1">
        <v>0.99932905221696566</v>
      </c>
      <c r="L590" s="1">
        <v>3.6394332766547324</v>
      </c>
      <c r="M590" s="1">
        <v>0.2435437536350665</v>
      </c>
      <c r="O590" s="1">
        <v>8.8509589901043864E-3</v>
      </c>
      <c r="P590" s="1">
        <v>0.65242520724145514</v>
      </c>
      <c r="R590" s="1">
        <v>0.21895066800246391</v>
      </c>
      <c r="S590" s="2">
        <f t="shared" si="108"/>
        <v>1.197587881791051</v>
      </c>
      <c r="T590" s="4">
        <f t="shared" si="109"/>
        <v>1.4342167346127763</v>
      </c>
      <c r="U590" s="1">
        <f t="shared" si="112"/>
        <v>1.1090037456339483</v>
      </c>
      <c r="V590" s="6">
        <f>2*sigma/alpha*corel*(B590/12-1/alpha*(1-EXP(-alpha*Output!B590/12)))</f>
        <v>3.3598381202613239</v>
      </c>
      <c r="W590" s="5">
        <f t="shared" si="110"/>
        <v>-0.325212988978828</v>
      </c>
      <c r="X590" s="1">
        <f t="shared" ref="X590:X653" si="118">V590*V590-4*W590*B590/12</f>
        <v>74.054619067274956</v>
      </c>
      <c r="Y590" s="3">
        <f t="shared" si="111"/>
        <v>5.4359183730525923E-2</v>
      </c>
      <c r="Z590" s="1">
        <f t="shared" si="113"/>
        <v>0.17240852404379287</v>
      </c>
      <c r="AA590" s="8">
        <f t="shared" ref="AA590:AA653" si="119">AA589+1/12</f>
        <v>48.166666666666941</v>
      </c>
      <c r="AB590" s="1">
        <v>48.25</v>
      </c>
      <c r="AC590">
        <v>9.4373698119999995E-3</v>
      </c>
      <c r="AD590" s="8">
        <f t="shared" si="114"/>
        <v>5.8641082189561304</v>
      </c>
      <c r="AE590" s="3">
        <f t="shared" si="115"/>
        <v>6.2137103194787151E-2</v>
      </c>
      <c r="AF590" s="11">
        <f t="shared" si="116"/>
        <v>48.166666666666941</v>
      </c>
      <c r="AG590" s="1">
        <f t="shared" si="117"/>
        <v>0.17240852404379287</v>
      </c>
    </row>
    <row r="591" spans="2:33" ht="15" x14ac:dyDescent="0.25">
      <c r="B591" s="1">
        <v>580</v>
      </c>
      <c r="C591" s="1">
        <v>0.65196905868170418</v>
      </c>
      <c r="D591" s="1">
        <v>29.237201415080552</v>
      </c>
      <c r="E591" s="1">
        <v>4.5330915684496827E-3</v>
      </c>
      <c r="G591" s="1">
        <v>0.65196905868170418</v>
      </c>
      <c r="H591" s="1">
        <v>29.237201415080552</v>
      </c>
      <c r="I591" s="1">
        <v>4.5330915684496827E-3</v>
      </c>
      <c r="K591" s="1">
        <v>0.99921559455691056</v>
      </c>
      <c r="L591" s="1">
        <v>3.65838658852031</v>
      </c>
      <c r="M591" s="1">
        <v>0.24223445069323529</v>
      </c>
      <c r="O591" s="1">
        <v>8.8501691211974962E-3</v>
      </c>
      <c r="P591" s="1">
        <v>0.65196905868170418</v>
      </c>
      <c r="R591" s="1">
        <v>0.21909850924097368</v>
      </c>
      <c r="S591" s="2">
        <f t="shared" si="108"/>
        <v>1.1992488157754531</v>
      </c>
      <c r="T591" s="4">
        <f t="shared" si="109"/>
        <v>1.4381977221388265</v>
      </c>
      <c r="U591" s="1">
        <f t="shared" si="112"/>
        <v>1.1128119999145745</v>
      </c>
      <c r="V591" s="6">
        <f>2*sigma/alpha*corel*(B591/12-1/alpha*(1-EXP(-alpha*Output!B591/12)))</f>
        <v>3.3687453436635266</v>
      </c>
      <c r="W591" s="5">
        <f t="shared" si="110"/>
        <v>-0.32538572222425199</v>
      </c>
      <c r="X591" s="1">
        <f t="shared" si="118"/>
        <v>74.256351487143405</v>
      </c>
      <c r="Y591" s="3">
        <f t="shared" si="111"/>
        <v>5.4294487954415237E-2</v>
      </c>
      <c r="Z591" s="1">
        <f t="shared" si="113"/>
        <v>0.17249873895424078</v>
      </c>
      <c r="AA591" s="8">
        <f t="shared" si="119"/>
        <v>48.250000000000277</v>
      </c>
      <c r="AB591" s="1">
        <v>48.33</v>
      </c>
      <c r="AC591">
        <v>9.4370831240000001E-3</v>
      </c>
      <c r="AD591" s="8">
        <f t="shared" si="114"/>
        <v>5.869140028025039</v>
      </c>
      <c r="AE591" s="3">
        <f t="shared" si="115"/>
        <v>6.2192310387718046E-2</v>
      </c>
      <c r="AF591" s="11">
        <f t="shared" si="116"/>
        <v>48.250000000000277</v>
      </c>
      <c r="AG591" s="1">
        <f t="shared" si="117"/>
        <v>0.17249873895424078</v>
      </c>
    </row>
    <row r="592" spans="2:33" ht="15" x14ac:dyDescent="0.25">
      <c r="B592" s="1">
        <v>581</v>
      </c>
      <c r="C592" s="1">
        <v>0.65151194597001327</v>
      </c>
      <c r="D592" s="1">
        <v>29.351335485764601</v>
      </c>
      <c r="E592" s="1">
        <v>4.4915558749550845E-3</v>
      </c>
      <c r="G592" s="1">
        <v>0.65151194597001327</v>
      </c>
      <c r="H592" s="1">
        <v>29.351335485764601</v>
      </c>
      <c r="I592" s="1">
        <v>4.4915558749550845E-3</v>
      </c>
      <c r="K592" s="1">
        <v>0.99914520506036808</v>
      </c>
      <c r="L592" s="1">
        <v>3.6055921941104643</v>
      </c>
      <c r="M592" s="1">
        <v>0.24572912815206502</v>
      </c>
      <c r="O592" s="1">
        <v>8.8494226468299447E-3</v>
      </c>
      <c r="P592" s="1">
        <v>0.65151194597001327</v>
      </c>
      <c r="R592" s="1">
        <v>0.2193624813123442</v>
      </c>
      <c r="S592" s="2">
        <f t="shared" si="108"/>
        <v>1.2013742970339785</v>
      </c>
      <c r="T592" s="4">
        <f t="shared" si="109"/>
        <v>1.4433002015738858</v>
      </c>
      <c r="U592" s="1">
        <f t="shared" si="112"/>
        <v>1.1166245506264421</v>
      </c>
      <c r="V592" s="6">
        <f>2*sigma/alpha*corel*(B592/12-1/alpha*(1-EXP(-alpha*Output!B592/12)))</f>
        <v>3.3776575901667902</v>
      </c>
      <c r="W592" s="5">
        <f t="shared" si="110"/>
        <v>-0.32667565094744377</v>
      </c>
      <c r="X592" s="1">
        <f t="shared" si="118"/>
        <v>74.674755196566267</v>
      </c>
      <c r="Y592" s="3">
        <f t="shared" si="111"/>
        <v>5.4359360011271625E-2</v>
      </c>
      <c r="Z592" s="1">
        <f t="shared" si="113"/>
        <v>0.17265568902185674</v>
      </c>
      <c r="AA592" s="8">
        <f t="shared" si="119"/>
        <v>48.333333333333613</v>
      </c>
      <c r="AB592" s="1">
        <v>48.42</v>
      </c>
      <c r="AC592">
        <v>9.4367974229999999E-3</v>
      </c>
      <c r="AD592" s="8">
        <f t="shared" si="114"/>
        <v>5.8737477617005522</v>
      </c>
      <c r="AE592" s="3">
        <f t="shared" si="115"/>
        <v>6.2243020575864623E-2</v>
      </c>
      <c r="AF592" s="11">
        <f t="shared" si="116"/>
        <v>48.333333333333613</v>
      </c>
      <c r="AG592" s="1">
        <f t="shared" si="117"/>
        <v>0.17265568902185674</v>
      </c>
    </row>
    <row r="593" spans="2:33" ht="15" x14ac:dyDescent="0.25">
      <c r="B593" s="1">
        <v>582</v>
      </c>
      <c r="C593" s="1">
        <v>0.65105139558124969</v>
      </c>
      <c r="D593" s="1">
        <v>29.46810078090467</v>
      </c>
      <c r="E593" s="1">
        <v>4.4497841854670046E-3</v>
      </c>
      <c r="G593" s="1">
        <v>0.65105139558124969</v>
      </c>
      <c r="H593" s="1">
        <v>29.46810078090467</v>
      </c>
      <c r="I593" s="1">
        <v>4.4497841854670046E-3</v>
      </c>
      <c r="K593" s="1">
        <v>0.9991960481057286</v>
      </c>
      <c r="L593" s="1">
        <v>3.6742157480236739</v>
      </c>
      <c r="M593" s="1">
        <v>0.24109117163757879</v>
      </c>
      <c r="O593" s="1">
        <v>8.8487977572027955E-3</v>
      </c>
      <c r="P593" s="1">
        <v>0.65105139558124969</v>
      </c>
      <c r="R593" s="1">
        <v>0.21952931479071686</v>
      </c>
      <c r="S593" s="2">
        <f t="shared" si="108"/>
        <v>1.2031253755329725</v>
      </c>
      <c r="T593" s="4">
        <f t="shared" si="109"/>
        <v>1.4475106692513562</v>
      </c>
      <c r="U593" s="1">
        <f t="shared" si="112"/>
        <v>1.1204413858821085</v>
      </c>
      <c r="V593" s="6">
        <f>2*sigma/alpha*corel*(B593/12-1/alpha*(1-EXP(-alpha*Output!B593/12)))</f>
        <v>3.3865748430553215</v>
      </c>
      <c r="W593" s="5">
        <f t="shared" si="110"/>
        <v>-0.32706928336924768</v>
      </c>
      <c r="X593" s="1">
        <f t="shared" si="118"/>
        <v>74.920330141249224</v>
      </c>
      <c r="Y593" s="3">
        <f t="shared" si="111"/>
        <v>5.4320394135715405E-2</v>
      </c>
      <c r="Z593" s="1">
        <f t="shared" si="113"/>
        <v>0.17275873584078552</v>
      </c>
      <c r="AA593" s="8">
        <f t="shared" si="119"/>
        <v>48.416666666666949</v>
      </c>
      <c r="AB593" s="1">
        <v>48.5</v>
      </c>
      <c r="AC593">
        <v>9.4365127069999995E-3</v>
      </c>
      <c r="AD593" s="8">
        <f t="shared" si="114"/>
        <v>5.8771494979720407</v>
      </c>
      <c r="AE593" s="3">
        <f t="shared" si="115"/>
        <v>6.2280947214879236E-2</v>
      </c>
      <c r="AF593" s="11">
        <f t="shared" si="116"/>
        <v>48.416666666666949</v>
      </c>
      <c r="AG593" s="1">
        <f t="shared" si="117"/>
        <v>0.17275873584078552</v>
      </c>
    </row>
    <row r="594" spans="2:33" ht="15" x14ac:dyDescent="0.25">
      <c r="B594" s="1">
        <v>583</v>
      </c>
      <c r="C594" s="1">
        <v>0.65059295947351159</v>
      </c>
      <c r="D594" s="1">
        <v>29.579672848818294</v>
      </c>
      <c r="E594" s="1">
        <v>4.4091710758377423E-3</v>
      </c>
      <c r="G594" s="1">
        <v>0.65059295947351159</v>
      </c>
      <c r="H594" s="1">
        <v>29.579672848818294</v>
      </c>
      <c r="I594" s="1">
        <v>4.4091710758377423E-3</v>
      </c>
      <c r="K594" s="1">
        <v>0.99921801832920665</v>
      </c>
      <c r="L594" s="1">
        <v>3.72623938696655</v>
      </c>
      <c r="M594" s="1">
        <v>0.23767360476061006</v>
      </c>
      <c r="O594" s="1">
        <v>8.8481184204080836E-3</v>
      </c>
      <c r="P594" s="1">
        <v>0.65059295947351159</v>
      </c>
      <c r="R594" s="1">
        <v>0.21987621206691119</v>
      </c>
      <c r="S594" s="2">
        <f t="shared" si="108"/>
        <v>1.2055886588937972</v>
      </c>
      <c r="T594" s="4">
        <f t="shared" si="109"/>
        <v>1.4534440144533445</v>
      </c>
      <c r="U594" s="1">
        <f t="shared" si="112"/>
        <v>1.1242624938176773</v>
      </c>
      <c r="V594" s="6">
        <f>2*sigma/alpha*corel*(B594/12-1/alpha*(1-EXP(-alpha*Output!B594/12)))</f>
        <v>3.3954970856689513</v>
      </c>
      <c r="W594" s="5">
        <f t="shared" si="110"/>
        <v>-0.32918152063566719</v>
      </c>
      <c r="X594" s="1">
        <f t="shared" si="118"/>
        <v>75.500342635651009</v>
      </c>
      <c r="Y594" s="3">
        <f t="shared" si="111"/>
        <v>5.4479549529326404E-2</v>
      </c>
      <c r="Z594" s="1">
        <f t="shared" si="113"/>
        <v>0.17296391206623363</v>
      </c>
      <c r="AA594" s="8">
        <f t="shared" si="119"/>
        <v>48.500000000000284</v>
      </c>
      <c r="AB594" s="1">
        <v>48.58</v>
      </c>
      <c r="AC594">
        <v>9.4362289689999997E-3</v>
      </c>
      <c r="AD594" s="8">
        <f t="shared" si="114"/>
        <v>5.8811054859191598</v>
      </c>
      <c r="AE594" s="3">
        <f t="shared" si="115"/>
        <v>6.2324743340160887E-2</v>
      </c>
      <c r="AF594" s="11">
        <f t="shared" si="116"/>
        <v>48.500000000000284</v>
      </c>
      <c r="AG594" s="1">
        <f t="shared" si="117"/>
        <v>0.17296391206623363</v>
      </c>
    </row>
    <row r="595" spans="2:33" ht="15" x14ac:dyDescent="0.25">
      <c r="B595" s="1">
        <v>584</v>
      </c>
      <c r="C595" s="1">
        <v>0.65013747047207116</v>
      </c>
      <c r="D595" s="1">
        <v>29.69209299563526</v>
      </c>
      <c r="E595" s="1">
        <v>4.3691017126878716E-3</v>
      </c>
      <c r="G595" s="1">
        <v>0.65013747047207116</v>
      </c>
      <c r="H595" s="1">
        <v>29.69209299563526</v>
      </c>
      <c r="I595" s="1">
        <v>4.3691017126878716E-3</v>
      </c>
      <c r="K595" s="1">
        <v>0.99928704777646671</v>
      </c>
      <c r="L595" s="1">
        <v>3.6767184601944178</v>
      </c>
      <c r="M595" s="1">
        <v>0.24083097363848333</v>
      </c>
      <c r="O595" s="1">
        <v>8.847358467534195E-3</v>
      </c>
      <c r="P595" s="1">
        <v>0.65013747047207116</v>
      </c>
      <c r="R595" s="1">
        <v>0.22014093832931134</v>
      </c>
      <c r="S595" s="2">
        <f t="shared" si="108"/>
        <v>1.2077218163717525</v>
      </c>
      <c r="T595" s="4">
        <f t="shared" si="109"/>
        <v>1.4585919857402849</v>
      </c>
      <c r="U595" s="1">
        <f t="shared" si="112"/>
        <v>1.1280878625928223</v>
      </c>
      <c r="V595" s="6">
        <f>2*sigma/alpha*corel*(B595/12-1/alpha*(1-EXP(-alpha*Output!B595/12)))</f>
        <v>3.4044243014029525</v>
      </c>
      <c r="W595" s="5">
        <f t="shared" si="110"/>
        <v>-0.33050412314746258</v>
      </c>
      <c r="X595" s="1">
        <f t="shared" si="118"/>
        <v>75.928240796689025</v>
      </c>
      <c r="Y595" s="3">
        <f t="shared" si="111"/>
        <v>5.4547160354204094E-2</v>
      </c>
      <c r="Z595" s="1">
        <f t="shared" si="113"/>
        <v>0.17312154169872346</v>
      </c>
      <c r="AA595" s="8">
        <f t="shared" si="119"/>
        <v>48.58333333333362</v>
      </c>
      <c r="AB595" s="1">
        <v>48.67</v>
      </c>
      <c r="AC595">
        <v>9.4359462039999998E-3</v>
      </c>
      <c r="AD595" s="8">
        <f t="shared" si="114"/>
        <v>5.8858773646580476</v>
      </c>
      <c r="AE595" s="3">
        <f t="shared" si="115"/>
        <v>6.2377182292147448E-2</v>
      </c>
      <c r="AF595" s="11">
        <f t="shared" si="116"/>
        <v>48.58333333333362</v>
      </c>
      <c r="AG595" s="1">
        <f t="shared" si="117"/>
        <v>0.17312154169872346</v>
      </c>
    </row>
    <row r="596" spans="2:33" ht="15" x14ac:dyDescent="0.25">
      <c r="B596" s="1">
        <v>585</v>
      </c>
      <c r="C596" s="1">
        <v>0.64968146516325409</v>
      </c>
      <c r="D596" s="1">
        <v>29.808036246572076</v>
      </c>
      <c r="E596" s="1">
        <v>4.3288169343318472E-3</v>
      </c>
      <c r="G596" s="1">
        <v>0.64968146516325409</v>
      </c>
      <c r="H596" s="1">
        <v>29.808036246572076</v>
      </c>
      <c r="I596" s="1">
        <v>4.3288169343318472E-3</v>
      </c>
      <c r="K596" s="1">
        <v>0.99928783273047483</v>
      </c>
      <c r="L596" s="1">
        <v>3.7584691262986936</v>
      </c>
      <c r="M596" s="1">
        <v>0.2355389884145806</v>
      </c>
      <c r="O596" s="1">
        <v>8.846627483137531E-3</v>
      </c>
      <c r="P596" s="1">
        <v>0.64968146516325409</v>
      </c>
      <c r="R596" s="1">
        <v>0.22032092477343698</v>
      </c>
      <c r="S596" s="2">
        <f t="shared" si="108"/>
        <v>1.2095218856595238</v>
      </c>
      <c r="T596" s="4">
        <f t="shared" si="109"/>
        <v>1.4629431918893701</v>
      </c>
      <c r="U596" s="1">
        <f t="shared" si="112"/>
        <v>1.1319174803908201</v>
      </c>
      <c r="V596" s="6">
        <f>2*sigma/alpha*corel*(B596/12-1/alpha*(1-EXP(-alpha*Output!B596/12)))</f>
        <v>3.4133564737078546</v>
      </c>
      <c r="W596" s="5">
        <f t="shared" si="110"/>
        <v>-0.33102571149854998</v>
      </c>
      <c r="X596" s="1">
        <f t="shared" si="118"/>
        <v>76.201016158820565</v>
      </c>
      <c r="Y596" s="3">
        <f t="shared" si="111"/>
        <v>5.452269607576872E-2</v>
      </c>
      <c r="Z596" s="1">
        <f t="shared" si="113"/>
        <v>0.17323132255940146</v>
      </c>
      <c r="AA596" s="8">
        <f t="shared" si="119"/>
        <v>48.666666666666956</v>
      </c>
      <c r="AB596" s="1">
        <v>48.75</v>
      </c>
      <c r="AC596">
        <v>9.435664408E-3</v>
      </c>
      <c r="AD596" s="8">
        <f t="shared" si="114"/>
        <v>5.8903692486246895</v>
      </c>
      <c r="AE596" s="3">
        <f t="shared" si="115"/>
        <v>6.242665056665811E-2</v>
      </c>
      <c r="AF596" s="11">
        <f t="shared" si="116"/>
        <v>48.666666666666956</v>
      </c>
      <c r="AG596" s="1">
        <f t="shared" si="117"/>
        <v>0.17323132255940146</v>
      </c>
    </row>
    <row r="597" spans="2:33" ht="15" x14ac:dyDescent="0.25">
      <c r="B597" s="1">
        <v>586</v>
      </c>
      <c r="C597" s="1">
        <v>0.64922184721463261</v>
      </c>
      <c r="D597" s="1">
        <v>29.925784055542255</v>
      </c>
      <c r="E597" s="1">
        <v>4.2885324641907538E-3</v>
      </c>
      <c r="G597" s="1">
        <v>0.64922184721463261</v>
      </c>
      <c r="H597" s="1">
        <v>29.925784055542255</v>
      </c>
      <c r="I597" s="1">
        <v>4.2885324641907538E-3</v>
      </c>
      <c r="K597" s="1">
        <v>0.99922644323827059</v>
      </c>
      <c r="L597" s="1">
        <v>3.8383996194972796</v>
      </c>
      <c r="M597" s="1">
        <v>0.23058372281020872</v>
      </c>
      <c r="O597" s="1">
        <v>8.846023031877457E-3</v>
      </c>
      <c r="P597" s="1">
        <v>0.64922184721463261</v>
      </c>
      <c r="R597" s="1">
        <v>0.22054983347009544</v>
      </c>
      <c r="S597" s="2">
        <f t="shared" si="108"/>
        <v>1.2115276471882719</v>
      </c>
      <c r="T597" s="4">
        <f t="shared" si="109"/>
        <v>1.4677992399015498</v>
      </c>
      <c r="U597" s="1">
        <f t="shared" si="112"/>
        <v>1.1357513354185715</v>
      </c>
      <c r="V597" s="6">
        <f>2*sigma/alpha*corel*(B597/12-1/alpha*(1-EXP(-alpha*Output!B597/12)))</f>
        <v>3.4222935860892618</v>
      </c>
      <c r="W597" s="5">
        <f t="shared" si="110"/>
        <v>-0.33204790448297827</v>
      </c>
      <c r="X597" s="1">
        <f t="shared" si="118"/>
        <v>76.572117398396131</v>
      </c>
      <c r="Y597" s="3">
        <f t="shared" si="111"/>
        <v>5.4555521798048165E-2</v>
      </c>
      <c r="Z597" s="1">
        <f t="shared" si="113"/>
        <v>0.17337047706804948</v>
      </c>
      <c r="AA597" s="8">
        <f t="shared" si="119"/>
        <v>48.750000000000291</v>
      </c>
      <c r="AB597" s="1">
        <v>48.83</v>
      </c>
      <c r="AC597">
        <v>9.4353835749999993E-3</v>
      </c>
      <c r="AD597" s="8">
        <f t="shared" si="114"/>
        <v>5.8936054312254234</v>
      </c>
      <c r="AE597" s="3">
        <f t="shared" si="115"/>
        <v>6.2462806990074317E-2</v>
      </c>
      <c r="AF597" s="11">
        <f t="shared" si="116"/>
        <v>48.750000000000291</v>
      </c>
      <c r="AG597" s="1">
        <f t="shared" si="117"/>
        <v>0.17337047706804948</v>
      </c>
    </row>
    <row r="598" spans="2:33" ht="15" x14ac:dyDescent="0.25">
      <c r="B598" s="1">
        <v>587</v>
      </c>
      <c r="C598" s="1">
        <v>0.64876224911373881</v>
      </c>
      <c r="D598" s="1">
        <v>30.035441821349195</v>
      </c>
      <c r="E598" s="1">
        <v>4.2500743763015858E-3</v>
      </c>
      <c r="G598" s="1">
        <v>0.64876224911373881</v>
      </c>
      <c r="H598" s="1">
        <v>30.035441821349195</v>
      </c>
      <c r="I598" s="1">
        <v>4.2500743763015858E-3</v>
      </c>
      <c r="K598" s="1">
        <v>0.99926501001329548</v>
      </c>
      <c r="L598" s="1">
        <v>3.8762381934962975</v>
      </c>
      <c r="M598" s="1">
        <v>0.22828151342366812</v>
      </c>
      <c r="O598" s="1">
        <v>8.8454302605814432E-3</v>
      </c>
      <c r="P598" s="1">
        <v>0.64876224911373881</v>
      </c>
      <c r="R598" s="1">
        <v>0.22078333506878689</v>
      </c>
      <c r="S598" s="2">
        <f t="shared" si="108"/>
        <v>1.2135543122995187</v>
      </c>
      <c r="T598" s="4">
        <f t="shared" si="109"/>
        <v>1.4727140689007578</v>
      </c>
      <c r="U598" s="1">
        <f t="shared" si="112"/>
        <v>1.13958941590663</v>
      </c>
      <c r="V598" s="6">
        <f>2*sigma/alpha*corel*(B598/12-1/alpha*(1-EXP(-alpha*Output!B598/12)))</f>
        <v>3.431235622107665</v>
      </c>
      <c r="W598" s="5">
        <f t="shared" si="110"/>
        <v>-0.33312465299412786</v>
      </c>
      <c r="X598" s="1">
        <f t="shared" si="118"/>
        <v>76.954768330271591</v>
      </c>
      <c r="Y598" s="3">
        <f t="shared" si="111"/>
        <v>5.4594389162870835E-2</v>
      </c>
      <c r="Z598" s="1">
        <f t="shared" si="113"/>
        <v>0.17351250919271727</v>
      </c>
      <c r="AA598" s="8">
        <f t="shared" si="119"/>
        <v>48.833333333333627</v>
      </c>
      <c r="AB598" s="1">
        <v>48.92</v>
      </c>
      <c r="AC598">
        <v>9.4351037009999996E-3</v>
      </c>
      <c r="AD598" s="8">
        <f t="shared" si="114"/>
        <v>5.8967344041855645</v>
      </c>
      <c r="AE598" s="3">
        <f t="shared" si="115"/>
        <v>6.2497822928650873E-2</v>
      </c>
      <c r="AF598" s="11">
        <f t="shared" si="116"/>
        <v>48.833333333333627</v>
      </c>
      <c r="AG598" s="1">
        <f t="shared" si="117"/>
        <v>0.17351250919271727</v>
      </c>
    </row>
    <row r="599" spans="2:33" ht="15" x14ac:dyDescent="0.25">
      <c r="B599" s="1">
        <v>588</v>
      </c>
      <c r="C599" s="1">
        <v>0.64830220083056544</v>
      </c>
      <c r="D599" s="1">
        <v>30.144088744197262</v>
      </c>
      <c r="E599" s="1">
        <v>4.2121224885219664E-3</v>
      </c>
      <c r="G599" s="1">
        <v>0.64830220083056544</v>
      </c>
      <c r="H599" s="1">
        <v>30.144088744197262</v>
      </c>
      <c r="I599" s="1">
        <v>4.2121224885219664E-3</v>
      </c>
      <c r="K599" s="1">
        <v>0.99935433819513075</v>
      </c>
      <c r="L599" s="1">
        <v>3.852057497171621</v>
      </c>
      <c r="M599" s="1">
        <v>0.22967146098574431</v>
      </c>
      <c r="O599" s="1">
        <v>8.8448639190844419E-3</v>
      </c>
      <c r="P599" s="1">
        <v>0.64830220083056544</v>
      </c>
      <c r="R599" s="1">
        <v>0.22089235397425505</v>
      </c>
      <c r="S599" s="2">
        <f t="shared" ref="S599:S662" si="120">optim_vol_implied(P599,R599)</f>
        <v>1.2150880210916217</v>
      </c>
      <c r="T599" s="4">
        <f t="shared" ref="T599:T662" si="121">S599*S599</f>
        <v>1.4764388990003534</v>
      </c>
      <c r="U599" s="1">
        <f t="shared" si="112"/>
        <v>1.1434317101092262</v>
      </c>
      <c r="V599" s="6">
        <f>2*sigma/alpha*corel*(B599/12-1/alpha*(1-EXP(-alpha*Output!B599/12)))</f>
        <v>3.4401825653782656</v>
      </c>
      <c r="W599" s="5">
        <f t="shared" ref="W599:W662" si="122">U599-T599</f>
        <v>-0.33300718889112724</v>
      </c>
      <c r="X599" s="1">
        <f t="shared" si="118"/>
        <v>77.10426510579353</v>
      </c>
      <c r="Y599" s="3">
        <f t="shared" ref="Y599:Y662" si="123">(-V599+SQRT(X599))/2/B599*12</f>
        <v>5.4497151713983186E-2</v>
      </c>
      <c r="Z599" s="1">
        <f t="shared" si="113"/>
        <v>0.17358400301308882</v>
      </c>
      <c r="AA599" s="8">
        <f t="shared" si="119"/>
        <v>48.916666666666963</v>
      </c>
      <c r="AB599" s="1">
        <v>49</v>
      </c>
      <c r="AC599">
        <v>9.4348247810000004E-3</v>
      </c>
      <c r="AD599" s="8">
        <f t="shared" si="114"/>
        <v>5.8996086191555852</v>
      </c>
      <c r="AE599" s="3">
        <f t="shared" si="115"/>
        <v>6.2530134433829765E-2</v>
      </c>
      <c r="AF599" s="11">
        <f t="shared" si="116"/>
        <v>48.916666666666963</v>
      </c>
      <c r="AG599" s="1">
        <f t="shared" si="117"/>
        <v>0.17358400301308882</v>
      </c>
    </row>
    <row r="600" spans="2:33" ht="15" x14ac:dyDescent="0.25">
      <c r="B600" s="1">
        <v>589</v>
      </c>
      <c r="C600" s="1">
        <v>0.64784112363907254</v>
      </c>
      <c r="D600" s="1">
        <v>30.2571860816944</v>
      </c>
      <c r="E600" s="1">
        <v>4.1737969030426975E-3</v>
      </c>
      <c r="G600" s="1">
        <v>0.64784112363907254</v>
      </c>
      <c r="H600" s="1">
        <v>30.2571860816944</v>
      </c>
      <c r="I600" s="1">
        <v>4.1737969030426975E-3</v>
      </c>
      <c r="K600" s="1">
        <v>0.99929834866831824</v>
      </c>
      <c r="L600" s="1">
        <v>3.7795053155777891</v>
      </c>
      <c r="M600" s="1">
        <v>0.23403396902900264</v>
      </c>
      <c r="O600" s="1">
        <v>8.8443421173640575E-3</v>
      </c>
      <c r="P600" s="1">
        <v>0.64784112363907254</v>
      </c>
      <c r="R600" s="1">
        <v>0.22091867711994323</v>
      </c>
      <c r="S600" s="2">
        <f t="shared" si="120"/>
        <v>1.2162957379965726</v>
      </c>
      <c r="T600" s="4">
        <f t="shared" si="121"/>
        <v>1.4793753222686272</v>
      </c>
      <c r="U600" s="1">
        <f t="shared" si="112"/>
        <v>1.1472782063042923</v>
      </c>
      <c r="V600" s="6">
        <f>2*sigma/alpha*corel*(B600/12-1/alpha*(1-EXP(-alpha*Output!B600/12)))</f>
        <v>3.4491343995707879</v>
      </c>
      <c r="W600" s="5">
        <f t="shared" si="122"/>
        <v>-0.33209711596433489</v>
      </c>
      <c r="X600" s="1">
        <f t="shared" si="118"/>
        <v>77.098261873966948</v>
      </c>
      <c r="Y600" s="3">
        <f t="shared" si="123"/>
        <v>5.4309954423805137E-2</v>
      </c>
      <c r="Z600" s="1">
        <f t="shared" si="113"/>
        <v>0.17360897003743583</v>
      </c>
      <c r="AA600" s="8">
        <f t="shared" si="119"/>
        <v>49.000000000000298</v>
      </c>
      <c r="AB600" s="1">
        <v>49.08</v>
      </c>
      <c r="AC600">
        <v>9.4345468089999992E-3</v>
      </c>
      <c r="AD600" s="8">
        <f t="shared" si="114"/>
        <v>5.9020469163594163</v>
      </c>
      <c r="AE600" s="3">
        <f t="shared" si="115"/>
        <v>6.2557821121086737E-2</v>
      </c>
      <c r="AF600" s="11">
        <f t="shared" si="116"/>
        <v>49.000000000000298</v>
      </c>
      <c r="AG600" s="1">
        <f t="shared" si="117"/>
        <v>0.17360897003743583</v>
      </c>
    </row>
    <row r="601" spans="2:33" ht="15" x14ac:dyDescent="0.25">
      <c r="B601" s="1">
        <v>590</v>
      </c>
      <c r="C601" s="1">
        <v>0.64738033953464991</v>
      </c>
      <c r="D601" s="1">
        <v>30.368368307570833</v>
      </c>
      <c r="E601" s="1">
        <v>4.1361624684617612E-3</v>
      </c>
      <c r="G601" s="1">
        <v>0.64738033953464991</v>
      </c>
      <c r="H601" s="1">
        <v>30.368368307570833</v>
      </c>
      <c r="I601" s="1">
        <v>4.1361624684617612E-3</v>
      </c>
      <c r="K601" s="1">
        <v>0.99940907518865518</v>
      </c>
      <c r="L601" s="1">
        <v>3.7042044056459416</v>
      </c>
      <c r="M601" s="1">
        <v>0.23873320376647891</v>
      </c>
      <c r="O601" s="1">
        <v>8.8438231788663547E-3</v>
      </c>
      <c r="P601" s="1">
        <v>0.64738033953464991</v>
      </c>
      <c r="R601" s="1">
        <v>0.22106804211774311</v>
      </c>
      <c r="S601" s="2">
        <f t="shared" si="120"/>
        <v>1.2179957511083701</v>
      </c>
      <c r="T601" s="4">
        <f t="shared" si="121"/>
        <v>1.4835136497180426</v>
      </c>
      <c r="U601" s="1">
        <f t="shared" si="112"/>
        <v>1.1511288927934826</v>
      </c>
      <c r="V601" s="6">
        <f>2*sigma/alpha*corel*(B601/12-1/alpha*(1-EXP(-alpha*Output!B601/12)))</f>
        <v>3.4580911084092998</v>
      </c>
      <c r="W601" s="5">
        <f t="shared" si="122"/>
        <v>-0.33238475692455993</v>
      </c>
      <c r="X601" s="1">
        <f t="shared" si="118"/>
        <v>77.327396309222905</v>
      </c>
      <c r="Y601" s="3">
        <f t="shared" si="123"/>
        <v>5.425940976762382E-2</v>
      </c>
      <c r="Z601" s="1">
        <f t="shared" si="113"/>
        <v>0.17370422843821656</v>
      </c>
      <c r="AA601" s="8">
        <f t="shared" si="119"/>
        <v>49.083333333333634</v>
      </c>
      <c r="AB601" s="1">
        <v>49.17</v>
      </c>
      <c r="AC601">
        <v>9.4342697809999994E-3</v>
      </c>
      <c r="AD601" s="8">
        <f t="shared" si="114"/>
        <v>5.9044660213364475</v>
      </c>
      <c r="AE601" s="3">
        <f t="shared" si="115"/>
        <v>6.2585299746543768E-2</v>
      </c>
      <c r="AF601" s="11">
        <f t="shared" si="116"/>
        <v>49.083333333333634</v>
      </c>
      <c r="AG601" s="1">
        <f t="shared" si="117"/>
        <v>0.17370422843821656</v>
      </c>
    </row>
    <row r="602" spans="2:33" ht="15" x14ac:dyDescent="0.25">
      <c r="B602" s="1">
        <v>591</v>
      </c>
      <c r="C602" s="1">
        <v>0.64692259967296684</v>
      </c>
      <c r="D602" s="1">
        <v>30.489664003902675</v>
      </c>
      <c r="E602" s="1">
        <v>4.0975209997951238E-3</v>
      </c>
      <c r="G602" s="1">
        <v>0.64692259967296684</v>
      </c>
      <c r="H602" s="1">
        <v>30.489664003902675</v>
      </c>
      <c r="I602" s="1">
        <v>4.0975209997951238E-3</v>
      </c>
      <c r="K602" s="1">
        <v>0.99951909548263829</v>
      </c>
      <c r="L602" s="1">
        <v>3.6427154183984229</v>
      </c>
      <c r="M602" s="1">
        <v>0.24272375731128321</v>
      </c>
      <c r="O602" s="1">
        <v>8.8432207350268265E-3</v>
      </c>
      <c r="P602" s="1">
        <v>0.64692259967296684</v>
      </c>
      <c r="R602" s="1">
        <v>0.22132488155098617</v>
      </c>
      <c r="S602" s="2">
        <f t="shared" si="120"/>
        <v>1.2201205101054804</v>
      </c>
      <c r="T602" s="4">
        <f t="shared" si="121"/>
        <v>1.4886940591800577</v>
      </c>
      <c r="U602" s="1">
        <f t="shared" si="112"/>
        <v>1.154983757902202</v>
      </c>
      <c r="V602" s="6">
        <f>2*sigma/alpha*corel*(B602/12-1/alpha*(1-EXP(-alpha*Output!B602/12)))</f>
        <v>3.4670526756720341</v>
      </c>
      <c r="W602" s="5">
        <f t="shared" si="122"/>
        <v>-0.33371030127785573</v>
      </c>
      <c r="X602" s="1">
        <f t="shared" si="118"/>
        <v>77.761383607622193</v>
      </c>
      <c r="Y602" s="3">
        <f t="shared" si="123"/>
        <v>5.4326790356789521E-2</v>
      </c>
      <c r="Z602" s="1">
        <f t="shared" si="113"/>
        <v>0.17385997394951797</v>
      </c>
      <c r="AA602" s="8">
        <f t="shared" si="119"/>
        <v>49.16666666666697</v>
      </c>
      <c r="AB602" s="1">
        <v>49.25</v>
      </c>
      <c r="AC602">
        <v>9.4339936929999993E-3</v>
      </c>
      <c r="AD602" s="8">
        <f t="shared" si="114"/>
        <v>5.9077295797317282</v>
      </c>
      <c r="AE602" s="3">
        <f t="shared" si="115"/>
        <v>6.2621724923509856E-2</v>
      </c>
      <c r="AF602" s="11">
        <f t="shared" si="116"/>
        <v>49.16666666666697</v>
      </c>
      <c r="AG602" s="1">
        <f t="shared" si="117"/>
        <v>0.17385997394951797</v>
      </c>
    </row>
    <row r="603" spans="2:33" ht="15" x14ac:dyDescent="0.25">
      <c r="B603" s="1">
        <v>592</v>
      </c>
      <c r="C603" s="1">
        <v>0.64646394049003075</v>
      </c>
      <c r="D603" s="1">
        <v>30.610995469572668</v>
      </c>
      <c r="E603" s="1">
        <v>4.0594300560201349E-3</v>
      </c>
      <c r="G603" s="1">
        <v>0.64646394049003075</v>
      </c>
      <c r="H603" s="1">
        <v>30.610995469572668</v>
      </c>
      <c r="I603" s="1">
        <v>4.0594300560201349E-3</v>
      </c>
      <c r="K603" s="1">
        <v>0.9992641778304574</v>
      </c>
      <c r="L603" s="1">
        <v>3.6201738332857207</v>
      </c>
      <c r="M603" s="1">
        <v>0.24418005504601678</v>
      </c>
      <c r="O603" s="1">
        <v>8.8426593006080689E-3</v>
      </c>
      <c r="P603" s="1">
        <v>0.64646394049003075</v>
      </c>
      <c r="R603" s="1">
        <v>0.22139322062064307</v>
      </c>
      <c r="S603" s="2">
        <f t="shared" si="120"/>
        <v>1.2214955148858528</v>
      </c>
      <c r="T603" s="4">
        <f t="shared" si="121"/>
        <v>1.4920512928862548</v>
      </c>
      <c r="U603" s="1">
        <f t="shared" si="112"/>
        <v>1.1588427899796212</v>
      </c>
      <c r="V603" s="6">
        <f>2*sigma/alpha*corel*(B603/12-1/alpha*(1-EXP(-alpha*Output!B603/12)))</f>
        <v>3.4760190851912038</v>
      </c>
      <c r="W603" s="5">
        <f t="shared" si="122"/>
        <v>-0.33320850290663362</v>
      </c>
      <c r="X603" s="1">
        <f t="shared" si="118"/>
        <v>77.835853254189189</v>
      </c>
      <c r="Y603" s="3">
        <f t="shared" si="123"/>
        <v>5.4186931493084803E-2</v>
      </c>
      <c r="Z603" s="1">
        <f t="shared" si="113"/>
        <v>0.17390883520945841</v>
      </c>
      <c r="AA603" s="8">
        <f t="shared" si="119"/>
        <v>49.250000000000306</v>
      </c>
      <c r="AB603" s="1">
        <v>49.33</v>
      </c>
      <c r="AC603">
        <v>9.4337185379999994E-3</v>
      </c>
      <c r="AD603" s="8">
        <f t="shared" si="114"/>
        <v>5.9105923739193047</v>
      </c>
      <c r="AE603" s="3">
        <f t="shared" si="115"/>
        <v>6.265389782524064E-2</v>
      </c>
      <c r="AF603" s="11">
        <f t="shared" si="116"/>
        <v>49.250000000000306</v>
      </c>
      <c r="AG603" s="1">
        <f t="shared" si="117"/>
        <v>0.17390883520945841</v>
      </c>
    </row>
    <row r="604" spans="2:33" ht="15" x14ac:dyDescent="0.25">
      <c r="B604" s="1">
        <v>593</v>
      </c>
      <c r="C604" s="1">
        <v>0.64600114017740329</v>
      </c>
      <c r="D604" s="1">
        <v>30.735185640521266</v>
      </c>
      <c r="E604" s="1">
        <v>4.0210704089428603E-3</v>
      </c>
      <c r="G604" s="1">
        <v>0.64600114017740329</v>
      </c>
      <c r="H604" s="1">
        <v>30.735185640521266</v>
      </c>
      <c r="I604" s="1">
        <v>4.0210704089428603E-3</v>
      </c>
      <c r="K604" s="1">
        <v>0.99919526327637775</v>
      </c>
      <c r="L604" s="1">
        <v>3.5902462498363974</v>
      </c>
      <c r="M604" s="1">
        <v>0.24616783812967166</v>
      </c>
      <c r="O604" s="1">
        <v>8.8422396671957969E-3</v>
      </c>
      <c r="P604" s="1">
        <v>0.64600114017740329</v>
      </c>
      <c r="R604" s="1">
        <v>0.22149899963727629</v>
      </c>
      <c r="S604" s="2">
        <f t="shared" si="120"/>
        <v>1.223032042507971</v>
      </c>
      <c r="T604" s="4">
        <f t="shared" si="121"/>
        <v>1.4958073770012195</v>
      </c>
      <c r="U604" s="1">
        <f t="shared" si="112"/>
        <v>1.1627059773987023</v>
      </c>
      <c r="V604" s="6">
        <f>2*sigma/alpha*corel*(B604/12-1/alpha*(1-EXP(-alpha*Output!B604/12)))</f>
        <v>3.484990320852825</v>
      </c>
      <c r="W604" s="5">
        <f t="shared" si="122"/>
        <v>-0.33310139960251717</v>
      </c>
      <c r="X604" s="1">
        <f t="shared" si="118"/>
        <v>77.988200857868776</v>
      </c>
      <c r="Y604" s="3">
        <f t="shared" si="123"/>
        <v>5.4092099750369133E-2</v>
      </c>
      <c r="Z604" s="1">
        <f t="shared" si="113"/>
        <v>0.17398071516095326</v>
      </c>
      <c r="AA604" s="8">
        <f t="shared" si="119"/>
        <v>49.333333333333641</v>
      </c>
      <c r="AB604" s="1">
        <v>49.42</v>
      </c>
      <c r="AC604">
        <v>9.4334443140000005E-3</v>
      </c>
      <c r="AD604" s="8">
        <f t="shared" si="114"/>
        <v>5.9120464680420364</v>
      </c>
      <c r="AE604" s="3">
        <f t="shared" si="115"/>
        <v>6.2671133376682758E-2</v>
      </c>
      <c r="AF604" s="11">
        <f t="shared" si="116"/>
        <v>49.333333333333641</v>
      </c>
      <c r="AG604" s="1">
        <f t="shared" si="117"/>
        <v>0.17398071516095326</v>
      </c>
    </row>
    <row r="605" spans="2:33" ht="15" x14ac:dyDescent="0.25">
      <c r="B605" s="1">
        <v>594</v>
      </c>
      <c r="C605" s="1">
        <v>0.6455383298119215</v>
      </c>
      <c r="D605" s="1">
        <v>30.857530780386956</v>
      </c>
      <c r="E605" s="1">
        <v>3.9835876190096797E-3</v>
      </c>
      <c r="G605" s="1">
        <v>0.6455383298119215</v>
      </c>
      <c r="H605" s="1">
        <v>30.857530780386956</v>
      </c>
      <c r="I605" s="1">
        <v>3.9835876190096797E-3</v>
      </c>
      <c r="K605" s="1">
        <v>0.99902021295081866</v>
      </c>
      <c r="L605" s="1">
        <v>3.6039283698389384</v>
      </c>
      <c r="M605" s="1">
        <v>0.24517795197354669</v>
      </c>
      <c r="O605" s="1">
        <v>8.8418321297859363E-3</v>
      </c>
      <c r="P605" s="1">
        <v>0.6455383298119215</v>
      </c>
      <c r="R605" s="1">
        <v>0.22150892624252666</v>
      </c>
      <c r="S605" s="2">
        <f t="shared" si="120"/>
        <v>1.2241859268897957</v>
      </c>
      <c r="T605" s="4">
        <f t="shared" si="121"/>
        <v>1.4986311835950281</v>
      </c>
      <c r="U605" s="1">
        <f t="shared" si="112"/>
        <v>1.1665733085562184</v>
      </c>
      <c r="V605" s="6">
        <f>2*sigma/alpha*corel*(B605/12-1/alpha*(1-EXP(-alpha*Output!B605/12)))</f>
        <v>3.4939663665965401</v>
      </c>
      <c r="W605" s="5">
        <f t="shared" si="122"/>
        <v>-0.33205787503880968</v>
      </c>
      <c r="X605" s="1">
        <f t="shared" si="118"/>
        <v>77.955260228592138</v>
      </c>
      <c r="Y605" s="3">
        <f t="shared" si="123"/>
        <v>5.3891527733687029E-2</v>
      </c>
      <c r="Z605" s="1">
        <f t="shared" si="113"/>
        <v>0.17399821104357427</v>
      </c>
      <c r="AA605" s="8">
        <f t="shared" si="119"/>
        <v>49.416666666666977</v>
      </c>
      <c r="AB605" s="1">
        <v>49.5</v>
      </c>
      <c r="AC605">
        <v>9.4331710139999997E-3</v>
      </c>
      <c r="AD605" s="8">
        <f t="shared" si="114"/>
        <v>5.913388842140634</v>
      </c>
      <c r="AE605" s="3">
        <f t="shared" si="115"/>
        <v>6.2687179458152817E-2</v>
      </c>
      <c r="AF605" s="11">
        <f t="shared" si="116"/>
        <v>49.416666666666977</v>
      </c>
      <c r="AG605" s="1">
        <f t="shared" si="117"/>
        <v>0.17399821104357427</v>
      </c>
    </row>
    <row r="606" spans="2:33" ht="15" x14ac:dyDescent="0.25">
      <c r="B606" s="1">
        <v>595</v>
      </c>
      <c r="C606" s="1">
        <v>0.64507330338067959</v>
      </c>
      <c r="D606" s="1">
        <v>30.97125867195243</v>
      </c>
      <c r="E606" s="1">
        <v>3.9475761882204327E-3</v>
      </c>
      <c r="G606" s="1">
        <v>0.64507330338067959</v>
      </c>
      <c r="H606" s="1">
        <v>30.97125867195243</v>
      </c>
      <c r="I606" s="1">
        <v>3.9475761882204327E-3</v>
      </c>
      <c r="K606" s="1">
        <v>0.99899752023050692</v>
      </c>
      <c r="L606" s="1">
        <v>3.6107890632262869</v>
      </c>
      <c r="M606" s="1">
        <v>0.24466730111777496</v>
      </c>
      <c r="O606" s="1">
        <v>8.8415056132773173E-3</v>
      </c>
      <c r="P606" s="1">
        <v>0.64507330338067959</v>
      </c>
      <c r="R606" s="1">
        <v>0.22171072030147806</v>
      </c>
      <c r="S606" s="2">
        <f t="shared" si="120"/>
        <v>1.2261165534747402</v>
      </c>
      <c r="T606" s="4">
        <f t="shared" si="121"/>
        <v>1.5033618027047755</v>
      </c>
      <c r="U606" s="1">
        <f t="shared" si="112"/>
        <v>1.1704447718727713</v>
      </c>
      <c r="V606" s="6">
        <f>2*sigma/alpha*corel*(B606/12-1/alpha*(1-EXP(-alpha*Output!B606/12)))</f>
        <v>3.5029472064154339</v>
      </c>
      <c r="W606" s="5">
        <f t="shared" si="122"/>
        <v>-0.33291703083200419</v>
      </c>
      <c r="X606" s="1">
        <f t="shared" si="118"/>
        <v>78.299183579281177</v>
      </c>
      <c r="Y606" s="3">
        <f t="shared" si="123"/>
        <v>5.3906575297056822E-2</v>
      </c>
      <c r="Z606" s="1">
        <f t="shared" si="113"/>
        <v>0.17412610919471436</v>
      </c>
      <c r="AA606" s="8">
        <f t="shared" si="119"/>
        <v>49.500000000000313</v>
      </c>
      <c r="AB606" s="1">
        <v>49.58</v>
      </c>
      <c r="AC606">
        <v>9.4328986350000008E-3</v>
      </c>
      <c r="AD606" s="8">
        <f t="shared" si="114"/>
        <v>5.9139302172268353</v>
      </c>
      <c r="AE606" s="3">
        <f t="shared" si="115"/>
        <v>6.269472880036768E-2</v>
      </c>
      <c r="AF606" s="11">
        <f t="shared" si="116"/>
        <v>49.500000000000313</v>
      </c>
      <c r="AG606" s="1">
        <f t="shared" si="117"/>
        <v>0.17412610919471436</v>
      </c>
    </row>
    <row r="607" spans="2:33" ht="15" x14ac:dyDescent="0.25">
      <c r="B607" s="1">
        <v>596</v>
      </c>
      <c r="C607" s="1">
        <v>0.64460611181107574</v>
      </c>
      <c r="D607" s="1">
        <v>31.091627024842214</v>
      </c>
      <c r="E607" s="1">
        <v>3.9111389236545684E-3</v>
      </c>
      <c r="G607" s="1">
        <v>0.64460611181107574</v>
      </c>
      <c r="H607" s="1">
        <v>31.091627024842214</v>
      </c>
      <c r="I607" s="1">
        <v>3.9111389236545684E-3</v>
      </c>
      <c r="K607" s="1">
        <v>0.99899394240961026</v>
      </c>
      <c r="L607" s="1">
        <v>3.5926290976020612</v>
      </c>
      <c r="M607" s="1">
        <v>0.24584245783997577</v>
      </c>
      <c r="O607" s="1">
        <v>8.8412582836837859E-3</v>
      </c>
      <c r="P607" s="1">
        <v>0.64460611181107574</v>
      </c>
      <c r="R607" s="1">
        <v>0.2218513316219623</v>
      </c>
      <c r="S607" s="2">
        <f t="shared" si="120"/>
        <v>1.2278090824294303</v>
      </c>
      <c r="T607" s="4">
        <f t="shared" si="121"/>
        <v>1.5075151428961997</v>
      </c>
      <c r="U607" s="1">
        <f t="shared" si="112"/>
        <v>1.1743203557928115</v>
      </c>
      <c r="V607" s="6">
        <f>2*sigma/alpha*corel*(B607/12-1/alpha*(1-EXP(-alpha*Output!B607/12)))</f>
        <v>3.5119328243558594</v>
      </c>
      <c r="W607" s="5">
        <f t="shared" si="122"/>
        <v>-0.33319478710338823</v>
      </c>
      <c r="X607" s="1">
        <f t="shared" si="118"/>
        <v>78.52836986732791</v>
      </c>
      <c r="Y607" s="3">
        <f t="shared" si="123"/>
        <v>5.3855945724056276E-2</v>
      </c>
      <c r="Z607" s="1">
        <f t="shared" si="113"/>
        <v>0.1742201305355271</v>
      </c>
      <c r="AA607" s="8">
        <f t="shared" si="119"/>
        <v>49.583333333333648</v>
      </c>
      <c r="AB607" s="1">
        <v>49.67</v>
      </c>
      <c r="AC607">
        <v>9.4326271709999996E-3</v>
      </c>
      <c r="AD607" s="8">
        <f t="shared" si="114"/>
        <v>5.9136888731621369</v>
      </c>
      <c r="AE607" s="3">
        <f t="shared" si="115"/>
        <v>6.269397449889029E-2</v>
      </c>
      <c r="AF607" s="11">
        <f t="shared" si="116"/>
        <v>49.583333333333648</v>
      </c>
      <c r="AG607" s="1">
        <f t="shared" si="117"/>
        <v>0.1742201305355271</v>
      </c>
    </row>
    <row r="608" spans="2:33" ht="15" x14ac:dyDescent="0.25">
      <c r="B608" s="1">
        <v>597</v>
      </c>
      <c r="C608" s="1">
        <v>0.64413208784184206</v>
      </c>
      <c r="D608" s="1">
        <v>31.204168876961962</v>
      </c>
      <c r="E608" s="1">
        <v>3.875968992248062E-3</v>
      </c>
      <c r="G608" s="1">
        <v>0.64413208784184206</v>
      </c>
      <c r="H608" s="1">
        <v>31.204168876961962</v>
      </c>
      <c r="I608" s="1">
        <v>3.875968992248062E-3</v>
      </c>
      <c r="K608" s="1">
        <v>0.99900298580464675</v>
      </c>
      <c r="L608" s="1">
        <v>3.5383643872185293</v>
      </c>
      <c r="M608" s="1">
        <v>0.24956554282078253</v>
      </c>
      <c r="O608" s="1">
        <v>8.8412355490358526E-3</v>
      </c>
      <c r="P608" s="1">
        <v>0.64413208784184206</v>
      </c>
      <c r="R608" s="1">
        <v>0.22200724922667592</v>
      </c>
      <c r="S608" s="2">
        <f t="shared" si="120"/>
        <v>1.2295817999187053</v>
      </c>
      <c r="T608" s="4">
        <f t="shared" si="121"/>
        <v>1.5118714026913231</v>
      </c>
      <c r="U608" s="1">
        <f t="shared" si="112"/>
        <v>1.1782000487846584</v>
      </c>
      <c r="V608" s="6">
        <f>2*sigma/alpha*corel*(B608/12-1/alpha*(1-EXP(-alpha*Output!B608/12)))</f>
        <v>3.520923204517262</v>
      </c>
      <c r="W608" s="5">
        <f t="shared" si="122"/>
        <v>-0.33367135390666469</v>
      </c>
      <c r="X608" s="1">
        <f t="shared" si="118"/>
        <v>78.797499639534379</v>
      </c>
      <c r="Y608" s="3">
        <f t="shared" si="123"/>
        <v>5.3827862996827319E-2</v>
      </c>
      <c r="Z608" s="1">
        <f t="shared" si="113"/>
        <v>0.17432548559653807</v>
      </c>
      <c r="AA608" s="8">
        <f t="shared" si="119"/>
        <v>49.666666666666984</v>
      </c>
      <c r="AB608" s="1">
        <v>49.75</v>
      </c>
      <c r="AC608">
        <v>9.4323566179999995E-3</v>
      </c>
      <c r="AD608" s="8">
        <f t="shared" si="114"/>
        <v>5.9112106896414689</v>
      </c>
      <c r="AE608" s="3">
        <f t="shared" si="115"/>
        <v>6.2669499564519851E-2</v>
      </c>
      <c r="AF608" s="11">
        <f t="shared" si="116"/>
        <v>49.666666666666984</v>
      </c>
      <c r="AG608" s="1">
        <f t="shared" si="117"/>
        <v>0.17432548559653807</v>
      </c>
    </row>
    <row r="609" spans="2:33" ht="15" x14ac:dyDescent="0.25">
      <c r="B609" s="1">
        <v>598</v>
      </c>
      <c r="C609" s="1">
        <v>0.64366085646918592</v>
      </c>
      <c r="D609" s="1">
        <v>31.322433126605272</v>
      </c>
      <c r="E609" s="1">
        <v>3.8403932562694424E-3</v>
      </c>
      <c r="G609" s="1">
        <v>0.64366085646918592</v>
      </c>
      <c r="H609" s="1">
        <v>31.322433126605272</v>
      </c>
      <c r="I609" s="1">
        <v>3.8403932562694424E-3</v>
      </c>
      <c r="K609" s="1">
        <v>0.99922106721981141</v>
      </c>
      <c r="L609" s="1">
        <v>3.5757527045726993</v>
      </c>
      <c r="M609" s="1">
        <v>0.24689519661762607</v>
      </c>
      <c r="O609" s="1">
        <v>8.8411366952601718E-3</v>
      </c>
      <c r="P609" s="1">
        <v>0.64366085646918592</v>
      </c>
      <c r="R609" s="1">
        <v>0.22230043538758287</v>
      </c>
      <c r="S609" s="2">
        <f t="shared" si="120"/>
        <v>1.2319026895184935</v>
      </c>
      <c r="T609" s="4">
        <f t="shared" si="121"/>
        <v>1.5175842364428977</v>
      </c>
      <c r="U609" s="1">
        <f t="shared" si="112"/>
        <v>1.1820838393405149</v>
      </c>
      <c r="V609" s="6">
        <f>2*sigma/alpha*corel*(B609/12-1/alpha*(1-EXP(-alpha*Output!B609/12)))</f>
        <v>3.5299183310519986</v>
      </c>
      <c r="W609" s="5">
        <f t="shared" si="122"/>
        <v>-0.33550039710238289</v>
      </c>
      <c r="X609" s="1">
        <f t="shared" si="118"/>
        <v>79.336735912971903</v>
      </c>
      <c r="Y609" s="3">
        <f t="shared" si="123"/>
        <v>5.3951827608750641E-2</v>
      </c>
      <c r="Z609" s="1">
        <f t="shared" si="113"/>
        <v>0.17450843928052603</v>
      </c>
      <c r="AA609" s="8">
        <f t="shared" si="119"/>
        <v>49.75000000000032</v>
      </c>
      <c r="AB609" s="1">
        <v>49.83</v>
      </c>
      <c r="AC609">
        <v>9.4320869720000006E-3</v>
      </c>
      <c r="AD609" s="8">
        <f t="shared" si="114"/>
        <v>5.9095027673982878</v>
      </c>
      <c r="AE609" s="3">
        <f t="shared" si="115"/>
        <v>6.2653183594905126E-2</v>
      </c>
      <c r="AF609" s="11">
        <f t="shared" si="116"/>
        <v>49.75000000000032</v>
      </c>
      <c r="AG609" s="1">
        <f t="shared" si="117"/>
        <v>0.17450843928052603</v>
      </c>
    </row>
    <row r="610" spans="2:33" ht="15" x14ac:dyDescent="0.25">
      <c r="B610" s="1">
        <v>599</v>
      </c>
      <c r="C610" s="1">
        <v>0.64319597827990027</v>
      </c>
      <c r="D610" s="1">
        <v>31.44258583825934</v>
      </c>
      <c r="E610" s="1">
        <v>3.8048854729472643E-3</v>
      </c>
      <c r="G610" s="1">
        <v>0.64319597827990027</v>
      </c>
      <c r="H610" s="1">
        <v>31.44258583825934</v>
      </c>
      <c r="I610" s="1">
        <v>3.8048854729472643E-3</v>
      </c>
      <c r="K610" s="1">
        <v>0.99932343195883055</v>
      </c>
      <c r="L610" s="1">
        <v>3.5039741737915486</v>
      </c>
      <c r="M610" s="1">
        <v>0.25190390343665381</v>
      </c>
      <c r="O610" s="1">
        <v>8.8408510279374859E-3</v>
      </c>
      <c r="P610" s="1">
        <v>0.64319597827990027</v>
      </c>
      <c r="R610" s="1">
        <v>0.22244211721474266</v>
      </c>
      <c r="S610" s="2">
        <f t="shared" si="120"/>
        <v>1.2336008845936675</v>
      </c>
      <c r="T610" s="4">
        <f t="shared" si="121"/>
        <v>1.5217711424702789</v>
      </c>
      <c r="U610" s="1">
        <f t="shared" si="112"/>
        <v>1.1859717159764847</v>
      </c>
      <c r="V610" s="6">
        <f>2*sigma/alpha*corel*(B610/12-1/alpha*(1-EXP(-alpha*Output!B610/12)))</f>
        <v>3.5389181881651632</v>
      </c>
      <c r="W610" s="5">
        <f t="shared" si="122"/>
        <v>-0.33579942649379424</v>
      </c>
      <c r="X610" s="1">
        <f t="shared" si="118"/>
        <v>79.571894099120456</v>
      </c>
      <c r="Y610" s="3">
        <f t="shared" si="123"/>
        <v>5.3903737279292832E-2</v>
      </c>
      <c r="Z610" s="1">
        <f t="shared" si="113"/>
        <v>0.17460307339258324</v>
      </c>
      <c r="AA610" s="8">
        <f t="shared" si="119"/>
        <v>49.833333333333655</v>
      </c>
      <c r="AB610" s="1">
        <v>49.92</v>
      </c>
      <c r="AC610">
        <v>9.4318182280000006E-3</v>
      </c>
      <c r="AD610" s="8">
        <f t="shared" si="114"/>
        <v>5.9096720006251466</v>
      </c>
      <c r="AE610" s="3">
        <f t="shared" si="115"/>
        <v>6.265676307333036E-2</v>
      </c>
      <c r="AF610" s="11">
        <f t="shared" si="116"/>
        <v>49.833333333333655</v>
      </c>
      <c r="AG610" s="1">
        <f t="shared" si="117"/>
        <v>0.17460307339258324</v>
      </c>
    </row>
    <row r="611" spans="2:33" ht="15" x14ac:dyDescent="0.25">
      <c r="B611" s="1">
        <v>600</v>
      </c>
      <c r="C611" s="1">
        <v>0.64272273205476571</v>
      </c>
      <c r="D611" s="1">
        <v>31.547731718089473</v>
      </c>
      <c r="E611" s="1">
        <v>3.771734620752084E-3</v>
      </c>
      <c r="G611" s="1">
        <v>0.64272273205476571</v>
      </c>
      <c r="H611" s="1">
        <v>31.547731718089473</v>
      </c>
      <c r="I611" s="1">
        <v>3.771734620752084E-3</v>
      </c>
      <c r="K611" s="1">
        <v>0.9992119893131417</v>
      </c>
      <c r="L611" s="1">
        <v>3.5623225584152358</v>
      </c>
      <c r="M611" s="1">
        <v>0.24773631396214951</v>
      </c>
      <c r="O611" s="1">
        <v>8.8408371522079952E-3</v>
      </c>
      <c r="P611" s="1">
        <v>0.64272273205476571</v>
      </c>
      <c r="R611" s="1">
        <v>0.22256532375803895</v>
      </c>
      <c r="S611" s="2">
        <f t="shared" si="120"/>
        <v>1.2352469983249235</v>
      </c>
      <c r="T611" s="4">
        <f t="shared" si="121"/>
        <v>1.5258351468707334</v>
      </c>
      <c r="U611" s="1">
        <f t="shared" si="112"/>
        <v>1.1898636672325913</v>
      </c>
      <c r="V611" s="6">
        <f>2*sigma/alpha*corel*(B611/12-1/alpha*(1-EXP(-alpha*Output!B611/12)))</f>
        <v>3.5479227601144148</v>
      </c>
      <c r="W611" s="5">
        <f t="shared" si="122"/>
        <v>-0.33597147963814211</v>
      </c>
      <c r="X611" s="1">
        <f t="shared" si="118"/>
        <v>79.782051839366318</v>
      </c>
      <c r="Y611" s="3">
        <f t="shared" si="123"/>
        <v>5.3841571678400091E-2</v>
      </c>
      <c r="Z611" s="1">
        <f t="shared" si="113"/>
        <v>0.17469030579117625</v>
      </c>
      <c r="AA611" s="8">
        <f t="shared" si="119"/>
        <v>49.916666666666991</v>
      </c>
      <c r="AB611" s="1">
        <v>50</v>
      </c>
      <c r="AC611">
        <v>9.4315503809999993E-3</v>
      </c>
      <c r="AD611" s="8">
        <f t="shared" si="114"/>
        <v>5.9071322879200405</v>
      </c>
      <c r="AE611" s="3">
        <f t="shared" si="115"/>
        <v>6.2631614626371998E-2</v>
      </c>
      <c r="AF611" s="11">
        <f t="shared" si="116"/>
        <v>49.916666666666991</v>
      </c>
      <c r="AG611" s="1">
        <f t="shared" si="117"/>
        <v>0.17469030579117625</v>
      </c>
    </row>
    <row r="612" spans="2:33" ht="15" x14ac:dyDescent="0.25">
      <c r="B612" s="1">
        <v>601</v>
      </c>
      <c r="C612" s="1">
        <v>0.64224719033639133</v>
      </c>
      <c r="D612" s="1">
        <v>31.650577623041624</v>
      </c>
      <c r="E612" s="1">
        <v>3.7391564463057133E-3</v>
      </c>
      <c r="G612" s="1">
        <v>0.64224719033639133</v>
      </c>
      <c r="H612" s="1">
        <v>31.650577623041624</v>
      </c>
      <c r="I612" s="1">
        <v>3.7391564463057133E-3</v>
      </c>
      <c r="K612" s="1">
        <v>0.99909144496223201</v>
      </c>
      <c r="L612" s="1">
        <v>3.5377154493375018</v>
      </c>
      <c r="M612" s="1">
        <v>0.24939415566836032</v>
      </c>
      <c r="O612" s="1">
        <v>8.8409055119047265E-3</v>
      </c>
      <c r="P612" s="1">
        <v>0.64224719033639133</v>
      </c>
      <c r="R612" s="1">
        <v>0.22272735714594774</v>
      </c>
      <c r="S612" s="2">
        <f t="shared" si="120"/>
        <v>1.2370575005373932</v>
      </c>
      <c r="T612" s="4">
        <f t="shared" si="121"/>
        <v>1.5303112596358224</v>
      </c>
      <c r="U612" s="1">
        <f t="shared" si="112"/>
        <v>1.1937596816727885</v>
      </c>
      <c r="V612" s="6">
        <f>2*sigma/alpha*corel*(B612/12-1/alpha*(1-EXP(-alpha*Output!B612/12)))</f>
        <v>3.5569320312097963</v>
      </c>
      <c r="W612" s="5">
        <f t="shared" si="122"/>
        <v>-0.33655157796303392</v>
      </c>
      <c r="X612" s="1">
        <f t="shared" si="118"/>
        <v>80.074264926574045</v>
      </c>
      <c r="Y612" s="3">
        <f t="shared" si="123"/>
        <v>5.38251958538511E-2</v>
      </c>
      <c r="Z612" s="1">
        <f t="shared" si="113"/>
        <v>0.17480074282802044</v>
      </c>
      <c r="AA612" s="8">
        <f t="shared" si="119"/>
        <v>50.000000000000327</v>
      </c>
      <c r="AB612" s="1">
        <v>50.08</v>
      </c>
      <c r="AC612">
        <v>9.431283427E-3</v>
      </c>
      <c r="AD612" s="8">
        <f t="shared" si="114"/>
        <v>5.903779150952734</v>
      </c>
      <c r="AE612" s="3">
        <f t="shared" si="115"/>
        <v>6.2597834076869308E-2</v>
      </c>
      <c r="AF612" s="11">
        <f t="shared" si="116"/>
        <v>50.000000000000327</v>
      </c>
      <c r="AG612" s="1">
        <f t="shared" si="117"/>
        <v>0.17480074282802044</v>
      </c>
    </row>
    <row r="613" spans="2:33" ht="15" x14ac:dyDescent="0.25">
      <c r="B613" s="1">
        <v>602</v>
      </c>
      <c r="C613" s="1">
        <v>0.64176924477321884</v>
      </c>
      <c r="D613" s="1">
        <v>31.754096278419919</v>
      </c>
      <c r="E613" s="1">
        <v>3.7067239973311589E-3</v>
      </c>
      <c r="G613" s="1">
        <v>0.64176924477321884</v>
      </c>
      <c r="H613" s="1">
        <v>31.754096278419919</v>
      </c>
      <c r="I613" s="1">
        <v>3.7067239973311589E-3</v>
      </c>
      <c r="K613" s="1">
        <v>0.99885555655812919</v>
      </c>
      <c r="L613" s="1">
        <v>3.5624726077477007</v>
      </c>
      <c r="M613" s="1">
        <v>0.24761982604350091</v>
      </c>
      <c r="O613" s="1">
        <v>8.8410592369572837E-3</v>
      </c>
      <c r="P613" s="1">
        <v>0.64176924477321884</v>
      </c>
      <c r="R613" s="1">
        <v>0.22293866895782666</v>
      </c>
      <c r="S613" s="2">
        <f t="shared" si="120"/>
        <v>1.2390753793732185</v>
      </c>
      <c r="T613" s="4">
        <f t="shared" si="121"/>
        <v>1.5353077957688854</v>
      </c>
      <c r="U613" s="1">
        <f t="shared" si="112"/>
        <v>1.1976597478849791</v>
      </c>
      <c r="V613" s="6">
        <f>2*sigma/alpha*corel*(B613/12-1/alpha*(1-EXP(-alpha*Output!B613/12)))</f>
        <v>3.5659459858135638</v>
      </c>
      <c r="W613" s="5">
        <f t="shared" si="122"/>
        <v>-0.33764804788390634</v>
      </c>
      <c r="X613" s="1">
        <f t="shared" si="118"/>
        <v>80.470679049110402</v>
      </c>
      <c r="Y613" s="3">
        <f t="shared" si="123"/>
        <v>5.3866436164013959E-2</v>
      </c>
      <c r="Z613" s="1">
        <f t="shared" si="113"/>
        <v>0.17494039587342278</v>
      </c>
      <c r="AA613" s="8">
        <f t="shared" si="119"/>
        <v>50.083333333333663</v>
      </c>
      <c r="AB613" s="1">
        <v>50.17</v>
      </c>
      <c r="AC613">
        <v>9.4310173610000006E-3</v>
      </c>
      <c r="AD613" s="8">
        <f t="shared" si="114"/>
        <v>5.8995812404271684</v>
      </c>
      <c r="AE613" s="3">
        <f t="shared" si="115"/>
        <v>6.2555088328260872E-2</v>
      </c>
      <c r="AF613" s="11">
        <f t="shared" si="116"/>
        <v>50.083333333333663</v>
      </c>
      <c r="AG613" s="1">
        <f t="shared" si="117"/>
        <v>0.17494039587342278</v>
      </c>
    </row>
    <row r="614" spans="2:33" ht="15" x14ac:dyDescent="0.25">
      <c r="B614" s="1">
        <v>603</v>
      </c>
      <c r="C614" s="1">
        <v>0.6412910768599368</v>
      </c>
      <c r="D614" s="1">
        <v>31.855249745157998</v>
      </c>
      <c r="E614" s="1">
        <v>3.6749843813163791E-3</v>
      </c>
      <c r="G614" s="1">
        <v>0.6412910768599368</v>
      </c>
      <c r="H614" s="1">
        <v>31.855249745157998</v>
      </c>
      <c r="I614" s="1">
        <v>3.6749843813163791E-3</v>
      </c>
      <c r="K614" s="1">
        <v>0.99890329523177934</v>
      </c>
      <c r="L614" s="1">
        <v>3.5693137816808784</v>
      </c>
      <c r="M614" s="1">
        <v>0.24709349366296793</v>
      </c>
      <c r="O614" s="1">
        <v>8.8412303894003508E-3</v>
      </c>
      <c r="P614" s="1">
        <v>0.6412910768599368</v>
      </c>
      <c r="R614" s="1">
        <v>0.22315501401012197</v>
      </c>
      <c r="S614" s="2">
        <f t="shared" si="120"/>
        <v>1.2411169312881933</v>
      </c>
      <c r="T614" s="4">
        <f t="shared" si="121"/>
        <v>1.5403712371302221</v>
      </c>
      <c r="U614" s="1">
        <f t="shared" si="112"/>
        <v>1.2015638544810288</v>
      </c>
      <c r="V614" s="6">
        <f>2*sigma/alpha*corel*(B614/12-1/alpha*(1-EXP(-alpha*Output!B614/12)))</f>
        <v>3.5749646083400153</v>
      </c>
      <c r="W614" s="5">
        <f t="shared" si="122"/>
        <v>-0.3388073826491933</v>
      </c>
      <c r="X614" s="1">
        <f t="shared" si="118"/>
        <v>80.88065586337153</v>
      </c>
      <c r="Y614" s="3">
        <f t="shared" si="123"/>
        <v>5.3914454903752948E-2</v>
      </c>
      <c r="Z614" s="1">
        <f t="shared" si="113"/>
        <v>0.17508327725040085</v>
      </c>
      <c r="AA614" s="8">
        <f t="shared" si="119"/>
        <v>50.166666666666998</v>
      </c>
      <c r="AB614" s="1">
        <v>50.25</v>
      </c>
      <c r="AC614">
        <v>9.4307521799999999E-3</v>
      </c>
      <c r="AD614" s="8">
        <f t="shared" si="114"/>
        <v>5.8952179059964909</v>
      </c>
      <c r="AE614" s="3">
        <f t="shared" si="115"/>
        <v>6.2510580211179834E-2</v>
      </c>
      <c r="AF614" s="11">
        <f t="shared" si="116"/>
        <v>50.166666666666998</v>
      </c>
      <c r="AG614" s="1">
        <f t="shared" si="117"/>
        <v>0.17508327725040085</v>
      </c>
    </row>
    <row r="615" spans="2:33" ht="15" x14ac:dyDescent="0.25">
      <c r="B615" s="1">
        <v>604</v>
      </c>
      <c r="C615" s="1">
        <v>0.64081023919874325</v>
      </c>
      <c r="D615" s="1">
        <v>31.953986259785903</v>
      </c>
      <c r="E615" s="1">
        <v>3.6437837049992715E-3</v>
      </c>
      <c r="G615" s="1">
        <v>0.64081023919874325</v>
      </c>
      <c r="H615" s="1">
        <v>31.953986259785903</v>
      </c>
      <c r="I615" s="1">
        <v>3.6437837049992715E-3</v>
      </c>
      <c r="K615" s="1">
        <v>0.99878716630259734</v>
      </c>
      <c r="L615" s="1">
        <v>3.5080530747804319</v>
      </c>
      <c r="M615" s="1">
        <v>0.25135337470554464</v>
      </c>
      <c r="O615" s="1">
        <v>8.8414947930015638E-3</v>
      </c>
      <c r="P615" s="1">
        <v>0.64081023919874325</v>
      </c>
      <c r="R615" s="1">
        <v>0.2234443027438156</v>
      </c>
      <c r="S615" s="2">
        <f t="shared" si="120"/>
        <v>1.2434632594637358</v>
      </c>
      <c r="T615" s="4">
        <f t="shared" si="121"/>
        <v>1.546200877636178</v>
      </c>
      <c r="U615" s="1">
        <f t="shared" si="112"/>
        <v>1.2054719900967763</v>
      </c>
      <c r="V615" s="6">
        <f>2*sigma/alpha*corel*(B615/12-1/alpha*(1-EXP(-alpha*Output!B615/12)))</f>
        <v>3.583987883255312</v>
      </c>
      <c r="W615" s="5">
        <f t="shared" si="122"/>
        <v>-0.34072888753940167</v>
      </c>
      <c r="X615" s="1">
        <f t="shared" si="118"/>
        <v>81.445051838587091</v>
      </c>
      <c r="Y615" s="3">
        <f t="shared" si="123"/>
        <v>5.4046722010506809E-2</v>
      </c>
      <c r="Z615" s="1">
        <f t="shared" si="113"/>
        <v>0.17526900106548676</v>
      </c>
      <c r="AA615" s="8">
        <f t="shared" si="119"/>
        <v>50.250000000000334</v>
      </c>
      <c r="AB615" s="1">
        <v>50.33</v>
      </c>
      <c r="AC615">
        <v>9.4304878780000004E-3</v>
      </c>
      <c r="AD615" s="8">
        <f t="shared" si="114"/>
        <v>5.8899308499843661</v>
      </c>
      <c r="AE615" s="3">
        <f t="shared" si="115"/>
        <v>6.2456268712510039E-2</v>
      </c>
      <c r="AF615" s="11">
        <f t="shared" si="116"/>
        <v>50.250000000000334</v>
      </c>
      <c r="AG615" s="1">
        <f t="shared" si="117"/>
        <v>0.17526900106548676</v>
      </c>
    </row>
    <row r="616" spans="2:33" ht="15" x14ac:dyDescent="0.25">
      <c r="B616" s="1">
        <v>605</v>
      </c>
      <c r="C616" s="1">
        <v>0.64032556066284729</v>
      </c>
      <c r="D616" s="1">
        <v>32.043065880543452</v>
      </c>
      <c r="E616" s="1">
        <v>3.613761202659728E-3</v>
      </c>
      <c r="G616" s="1">
        <v>0.64032556066284729</v>
      </c>
      <c r="H616" s="1">
        <v>32.043065880543452</v>
      </c>
      <c r="I616" s="1">
        <v>3.613761202659728E-3</v>
      </c>
      <c r="K616" s="1">
        <v>0.9987459654880706</v>
      </c>
      <c r="L616" s="1">
        <v>3.5248324006543617</v>
      </c>
      <c r="M616" s="1">
        <v>0.25010365113307553</v>
      </c>
      <c r="O616" s="1">
        <v>8.841888464744603E-3</v>
      </c>
      <c r="P616" s="1">
        <v>0.64032556066284729</v>
      </c>
      <c r="R616" s="1">
        <v>0.22360707270081043</v>
      </c>
      <c r="S616" s="2">
        <f t="shared" si="120"/>
        <v>1.2453095142295967</v>
      </c>
      <c r="T616" s="4">
        <f t="shared" si="121"/>
        <v>1.550795786230754</v>
      </c>
      <c r="U616" s="1">
        <f t="shared" si="112"/>
        <v>1.2093841433920489</v>
      </c>
      <c r="V616" s="6">
        <f>2*sigma/alpha*corel*(B616/12-1/alpha*(1-EXP(-alpha*Output!B616/12)))</f>
        <v>3.5930157950773074</v>
      </c>
      <c r="W616" s="5">
        <f t="shared" si="122"/>
        <v>-0.34141164283870507</v>
      </c>
      <c r="X616" s="1">
        <f t="shared" si="118"/>
        <v>81.761110476147209</v>
      </c>
      <c r="Y616" s="3">
        <f t="shared" si="123"/>
        <v>5.4041347981445109E-2</v>
      </c>
      <c r="Z616" s="1">
        <f t="shared" si="113"/>
        <v>0.1753841094358137</v>
      </c>
      <c r="AA616" s="8">
        <f t="shared" si="119"/>
        <v>50.33333333333367</v>
      </c>
      <c r="AB616" s="1">
        <v>50.42</v>
      </c>
      <c r="AC616">
        <v>9.4302244510000004E-3</v>
      </c>
      <c r="AD616" s="8">
        <f t="shared" si="114"/>
        <v>5.8833598625539736</v>
      </c>
      <c r="AE616" s="3">
        <f t="shared" si="115"/>
        <v>6.2388333311940311E-2</v>
      </c>
      <c r="AF616" s="11">
        <f t="shared" si="116"/>
        <v>50.33333333333367</v>
      </c>
      <c r="AG616" s="1">
        <f t="shared" si="117"/>
        <v>0.1753841094358137</v>
      </c>
    </row>
    <row r="617" spans="2:33" ht="15" x14ac:dyDescent="0.25">
      <c r="B617" s="1">
        <v>606</v>
      </c>
      <c r="C617" s="1">
        <v>0.63983650230672107</v>
      </c>
      <c r="D617" s="1">
        <v>32.120258246876304</v>
      </c>
      <c r="E617" s="1">
        <v>3.5855145213338118E-3</v>
      </c>
      <c r="G617" s="1">
        <v>0.63983650230672107</v>
      </c>
      <c r="H617" s="1">
        <v>32.120258246876304</v>
      </c>
      <c r="I617" s="1">
        <v>3.5855145213338118E-3</v>
      </c>
      <c r="K617" s="1">
        <v>0.99877437312338102</v>
      </c>
      <c r="L617" s="1">
        <v>3.5446849935170941</v>
      </c>
      <c r="M617" s="1">
        <v>0.24865440859762417</v>
      </c>
      <c r="O617" s="1">
        <v>8.8424277309098343E-3</v>
      </c>
      <c r="P617" s="1">
        <v>0.63983650230672107</v>
      </c>
      <c r="R617" s="1">
        <v>0.22368461471109558</v>
      </c>
      <c r="S617" s="2">
        <f t="shared" si="120"/>
        <v>1.2468231117657689</v>
      </c>
      <c r="T617" s="4">
        <f t="shared" si="121"/>
        <v>1.554567872033275</v>
      </c>
      <c r="U617" s="1">
        <f t="shared" si="112"/>
        <v>1.2133003030506742</v>
      </c>
      <c r="V617" s="6">
        <f>2*sigma/alpha*corel*(B617/12-1/alpha*(1-EXP(-alpha*Output!B617/12)))</f>
        <v>3.6020483283753801</v>
      </c>
      <c r="W617" s="5">
        <f t="shared" si="122"/>
        <v>-0.3412675689826008</v>
      </c>
      <c r="X617" s="1">
        <f t="shared" si="118"/>
        <v>81.910801094437232</v>
      </c>
      <c r="Y617" s="3">
        <f t="shared" si="123"/>
        <v>5.3944656277292016E-2</v>
      </c>
      <c r="Z617" s="1">
        <f t="shared" si="113"/>
        <v>0.17545233603027546</v>
      </c>
      <c r="AA617" s="8">
        <f t="shared" si="119"/>
        <v>50.416666666667005</v>
      </c>
      <c r="AB617" s="1">
        <v>50.5</v>
      </c>
      <c r="AC617">
        <v>9.4299618950000001E-3</v>
      </c>
      <c r="AD617" s="8">
        <f t="shared" si="114"/>
        <v>5.8753416409016577</v>
      </c>
      <c r="AE617" s="3">
        <f t="shared" si="115"/>
        <v>6.2305041169009499E-2</v>
      </c>
      <c r="AF617" s="11">
        <f t="shared" si="116"/>
        <v>50.416666666667005</v>
      </c>
      <c r="AG617" s="1">
        <f t="shared" si="117"/>
        <v>0.17545233603027546</v>
      </c>
    </row>
    <row r="618" spans="2:33" ht="15" x14ac:dyDescent="0.25">
      <c r="B618" s="1">
        <v>607</v>
      </c>
      <c r="C618" s="1">
        <v>0.63934575742590916</v>
      </c>
      <c r="D618" s="1">
        <v>32.190568163528084</v>
      </c>
      <c r="E618" s="1">
        <v>3.5582123541132932E-3</v>
      </c>
      <c r="G618" s="1">
        <v>0.63934575742590916</v>
      </c>
      <c r="H618" s="1">
        <v>32.190568163528084</v>
      </c>
      <c r="I618" s="1">
        <v>3.5582123541132932E-3</v>
      </c>
      <c r="K618" s="1">
        <v>0.99874747942514563</v>
      </c>
      <c r="L618" s="1">
        <v>3.5408331930507497</v>
      </c>
      <c r="M618" s="1">
        <v>0.2488750241740684</v>
      </c>
      <c r="O618" s="1">
        <v>8.8430289194419524E-3</v>
      </c>
      <c r="P618" s="1">
        <v>0.63934575742590916</v>
      </c>
      <c r="R618" s="1">
        <v>0.22397645025000443</v>
      </c>
      <c r="S618" s="2">
        <f t="shared" si="120"/>
        <v>1.2492131481457245</v>
      </c>
      <c r="T618" s="4">
        <f t="shared" si="121"/>
        <v>1.5605334895001517</v>
      </c>
      <c r="U618" s="1">
        <f t="shared" si="112"/>
        <v>1.2172204577804919</v>
      </c>
      <c r="V618" s="6">
        <f>2*sigma/alpha*corel*(B618/12-1/alpha*(1-EXP(-alpha*Output!B618/12)))</f>
        <v>3.6110854677702555</v>
      </c>
      <c r="W618" s="5">
        <f t="shared" si="122"/>
        <v>-0.34331303171965977</v>
      </c>
      <c r="X618" s="1">
        <f t="shared" si="118"/>
        <v>82.503608340152695</v>
      </c>
      <c r="Y618" s="3">
        <f t="shared" si="123"/>
        <v>5.4089596951614805E-2</v>
      </c>
      <c r="Z618" s="1">
        <f t="shared" si="113"/>
        <v>0.17564379988551762</v>
      </c>
      <c r="AA618" s="8">
        <f t="shared" si="119"/>
        <v>50.500000000000341</v>
      </c>
      <c r="AB618" s="1">
        <v>50.58</v>
      </c>
      <c r="AC618">
        <v>9.4297002059999992E-3</v>
      </c>
      <c r="AD618" s="8">
        <f t="shared" si="114"/>
        <v>5.8667128655804683</v>
      </c>
      <c r="AE618" s="3">
        <f t="shared" si="115"/>
        <v>6.2215263872838218E-2</v>
      </c>
      <c r="AF618" s="11">
        <f t="shared" si="116"/>
        <v>50.500000000000341</v>
      </c>
      <c r="AG618" s="1">
        <f t="shared" si="117"/>
        <v>0.17564379988551762</v>
      </c>
    </row>
    <row r="619" spans="2:33" ht="15" x14ac:dyDescent="0.25">
      <c r="B619" s="1">
        <v>608</v>
      </c>
      <c r="C619" s="1">
        <v>0.63885729536454383</v>
      </c>
      <c r="D619" s="1">
        <v>32.262227384178601</v>
      </c>
      <c r="E619" s="1">
        <v>3.5309487659334064E-3</v>
      </c>
      <c r="G619" s="1">
        <v>0.63885729536454383</v>
      </c>
      <c r="H619" s="1">
        <v>32.262227384178601</v>
      </c>
      <c r="I619" s="1">
        <v>3.5309487659334064E-3</v>
      </c>
      <c r="K619" s="1">
        <v>0.99872994535490811</v>
      </c>
      <c r="L619" s="1">
        <v>3.570923612829632</v>
      </c>
      <c r="M619" s="1">
        <v>0.24673146139326119</v>
      </c>
      <c r="O619" s="1">
        <v>8.8435692332259012E-3</v>
      </c>
      <c r="P619" s="1">
        <v>0.63885729536454383</v>
      </c>
      <c r="R619" s="1">
        <v>0.22402999749976849</v>
      </c>
      <c r="S619" s="2">
        <f t="shared" si="120"/>
        <v>1.2506321914601315</v>
      </c>
      <c r="T619" s="4">
        <f t="shared" si="121"/>
        <v>1.5640808783163711</v>
      </c>
      <c r="U619" s="1">
        <f t="shared" si="112"/>
        <v>1.2211445963133611</v>
      </c>
      <c r="V619" s="6">
        <f>2*sigma/alpha*corel*(B619/12-1/alpha*(1-EXP(-alpha*Output!B619/12)))</f>
        <v>3.6201271979338374</v>
      </c>
      <c r="W619" s="5">
        <f t="shared" si="122"/>
        <v>-0.34293628200300996</v>
      </c>
      <c r="X619" s="1">
        <f t="shared" si="118"/>
        <v>82.607074081830319</v>
      </c>
      <c r="Y619" s="3">
        <f t="shared" si="123"/>
        <v>5.3967593953901508E-2</v>
      </c>
      <c r="Z619" s="1">
        <f t="shared" si="113"/>
        <v>0.17569865490433195</v>
      </c>
      <c r="AA619" s="8">
        <f t="shared" si="119"/>
        <v>50.583333333333677</v>
      </c>
      <c r="AB619" s="1">
        <v>50.67</v>
      </c>
      <c r="AC619">
        <v>9.4294393789999993E-3</v>
      </c>
      <c r="AD619" s="8">
        <f t="shared" si="114"/>
        <v>5.8587014577409811</v>
      </c>
      <c r="AE619" s="3">
        <f t="shared" si="115"/>
        <v>6.2132023148573454E-2</v>
      </c>
      <c r="AF619" s="11">
        <f t="shared" si="116"/>
        <v>50.583333333333677</v>
      </c>
      <c r="AG619" s="1">
        <f t="shared" si="117"/>
        <v>0.17569865490433195</v>
      </c>
    </row>
    <row r="620" spans="2:33" ht="15" x14ac:dyDescent="0.25">
      <c r="B620" s="1">
        <v>609</v>
      </c>
      <c r="C620" s="1">
        <v>0.63836462298124497</v>
      </c>
      <c r="D620" s="1">
        <v>32.338388901464931</v>
      </c>
      <c r="E620" s="1">
        <v>3.5033632286995517E-3</v>
      </c>
      <c r="G620" s="1">
        <v>0.63836462298124497</v>
      </c>
      <c r="H620" s="1">
        <v>32.338388901464931</v>
      </c>
      <c r="I620" s="1">
        <v>3.5033632286995517E-3</v>
      </c>
      <c r="K620" s="1">
        <v>0.99874448829909834</v>
      </c>
      <c r="L620" s="1">
        <v>3.5457292748188634</v>
      </c>
      <c r="M620" s="1">
        <v>0.2484231172780105</v>
      </c>
      <c r="O620" s="1">
        <v>8.8442492514609235E-3</v>
      </c>
      <c r="P620" s="1">
        <v>0.63836462298124497</v>
      </c>
      <c r="R620" s="1">
        <v>0.22428239537092223</v>
      </c>
      <c r="S620" s="2">
        <f t="shared" si="120"/>
        <v>1.2528726096618577</v>
      </c>
      <c r="T620" s="4">
        <f t="shared" si="121"/>
        <v>1.5696897760409134</v>
      </c>
      <c r="U620" s="1">
        <f t="shared" si="112"/>
        <v>1.2250727074051766</v>
      </c>
      <c r="V620" s="6">
        <f>2*sigma/alpha*corel*(B620/12-1/alpha*(1-EXP(-alpha*Output!B620/12)))</f>
        <v>3.6291735035890409</v>
      </c>
      <c r="W620" s="5">
        <f t="shared" si="122"/>
        <v>-0.34461706863573682</v>
      </c>
      <c r="X620" s="1">
        <f t="shared" si="118"/>
        <v>83.128165252207324</v>
      </c>
      <c r="Y620" s="3">
        <f t="shared" si="123"/>
        <v>5.4071835904279504E-2</v>
      </c>
      <c r="Z620" s="1">
        <f t="shared" si="113"/>
        <v>0.17586883693185057</v>
      </c>
      <c r="AA620" s="8">
        <f t="shared" si="119"/>
        <v>50.666666666667012</v>
      </c>
      <c r="AB620" s="1">
        <v>50.75</v>
      </c>
      <c r="AC620">
        <v>9.4291794100000003E-3</v>
      </c>
      <c r="AD620" s="8">
        <f t="shared" si="114"/>
        <v>5.8493015853907684</v>
      </c>
      <c r="AE620" s="3">
        <f t="shared" si="115"/>
        <v>6.2034046983848498E-2</v>
      </c>
      <c r="AF620" s="11">
        <f t="shared" si="116"/>
        <v>50.666666666667012</v>
      </c>
      <c r="AG620" s="1">
        <f t="shared" si="117"/>
        <v>0.17586883693185057</v>
      </c>
    </row>
    <row r="621" spans="2:33" ht="15" x14ac:dyDescent="0.25">
      <c r="B621" s="1">
        <v>610</v>
      </c>
      <c r="C621" s="1">
        <v>0.63786778558756607</v>
      </c>
      <c r="D621" s="1">
        <v>32.414910858995135</v>
      </c>
      <c r="E621" s="1">
        <v>3.4760845383759731E-3</v>
      </c>
      <c r="G621" s="1">
        <v>0.63786778558756607</v>
      </c>
      <c r="H621" s="1">
        <v>32.414910858995135</v>
      </c>
      <c r="I621" s="1">
        <v>3.4760845383759731E-3</v>
      </c>
      <c r="K621" s="1">
        <v>0.99873264115378535</v>
      </c>
      <c r="L621" s="1">
        <v>3.5081400840231671</v>
      </c>
      <c r="M621" s="1">
        <v>0.25104094717200781</v>
      </c>
      <c r="O621" s="1">
        <v>8.8450672078891207E-3</v>
      </c>
      <c r="P621" s="1">
        <v>0.63786778558756607</v>
      </c>
      <c r="R621" s="1">
        <v>0.22441868474983229</v>
      </c>
      <c r="S621" s="2">
        <f t="shared" si="120"/>
        <v>1.2546535185570524</v>
      </c>
      <c r="T621" s="4">
        <f t="shared" si="121"/>
        <v>1.574155451627592</v>
      </c>
      <c r="U621" s="1">
        <f t="shared" si="112"/>
        <v>1.2290047798358721</v>
      </c>
      <c r="V621" s="6">
        <f>2*sigma/alpha*corel*(B621/12-1/alpha*(1-EXP(-alpha*Output!B621/12)))</f>
        <v>3.6382243695096177</v>
      </c>
      <c r="W621" s="5">
        <f t="shared" si="122"/>
        <v>-0.34515067179171988</v>
      </c>
      <c r="X621" s="1">
        <f t="shared" si="118"/>
        <v>83.417313160543358</v>
      </c>
      <c r="Y621" s="3">
        <f t="shared" si="123"/>
        <v>5.405000192004826E-2</v>
      </c>
      <c r="Z621" s="1">
        <f t="shared" si="113"/>
        <v>0.17597440862532993</v>
      </c>
      <c r="AA621" s="8">
        <f t="shared" si="119"/>
        <v>50.750000000000348</v>
      </c>
      <c r="AB621" s="1">
        <v>50.83</v>
      </c>
      <c r="AC621">
        <v>9.4289202950000005E-3</v>
      </c>
      <c r="AD621" s="8">
        <f t="shared" si="114"/>
        <v>5.838530871108798</v>
      </c>
      <c r="AE621" s="3">
        <f t="shared" si="115"/>
        <v>6.1921521112071276E-2</v>
      </c>
      <c r="AF621" s="11">
        <f t="shared" si="116"/>
        <v>50.750000000000348</v>
      </c>
      <c r="AG621" s="1">
        <f t="shared" si="117"/>
        <v>0.17597440862532993</v>
      </c>
    </row>
    <row r="622" spans="2:33" ht="15" x14ac:dyDescent="0.25">
      <c r="B622" s="1">
        <v>611</v>
      </c>
      <c r="C622" s="1">
        <v>0.63736531421649201</v>
      </c>
      <c r="D622" s="1">
        <v>32.480187085877617</v>
      </c>
      <c r="E622" s="1">
        <v>3.4501794093292856E-3</v>
      </c>
      <c r="G622" s="1">
        <v>0.63736531421649201</v>
      </c>
      <c r="H622" s="1">
        <v>32.480187085877617</v>
      </c>
      <c r="I622" s="1">
        <v>3.4501794093292856E-3</v>
      </c>
      <c r="K622" s="1">
        <v>0.99864271687860218</v>
      </c>
      <c r="L622" s="1">
        <v>3.5258575175485469</v>
      </c>
      <c r="M622" s="1">
        <v>0.2497230037358156</v>
      </c>
      <c r="O622" s="1">
        <v>8.8460680082721628E-3</v>
      </c>
      <c r="P622" s="1">
        <v>0.63736531421649201</v>
      </c>
      <c r="R622" s="1">
        <v>0.22441205121779922</v>
      </c>
      <c r="S622" s="2">
        <f t="shared" si="120"/>
        <v>1.2558678507859182</v>
      </c>
      <c r="T622" s="4">
        <f t="shared" si="121"/>
        <v>1.5772040586376415</v>
      </c>
      <c r="U622" s="1">
        <f t="shared" si="112"/>
        <v>1.2329408024094333</v>
      </c>
      <c r="V622" s="6">
        <f>2*sigma/alpha*corel*(B622/12-1/alpha*(1-EXP(-alpha*Output!B622/12)))</f>
        <v>3.6472797805199897</v>
      </c>
      <c r="W622" s="5">
        <f t="shared" si="122"/>
        <v>-0.34426325622820819</v>
      </c>
      <c r="X622" s="1">
        <f t="shared" si="118"/>
        <v>83.417599649201691</v>
      </c>
      <c r="Y622" s="3">
        <f t="shared" si="123"/>
        <v>5.3872770552311829E-2</v>
      </c>
      <c r="Z622" s="1">
        <f t="shared" si="113"/>
        <v>0.17600052402676272</v>
      </c>
      <c r="AA622" s="8">
        <f t="shared" si="119"/>
        <v>50.833333333333684</v>
      </c>
      <c r="AB622" s="1">
        <v>50.92</v>
      </c>
      <c r="AC622">
        <v>9.4286620289999994E-3</v>
      </c>
      <c r="AD622" s="8">
        <f t="shared" si="114"/>
        <v>5.8259402072783661</v>
      </c>
      <c r="AE622" s="3">
        <f t="shared" si="115"/>
        <v>6.178968118020732E-2</v>
      </c>
      <c r="AF622" s="11">
        <f t="shared" si="116"/>
        <v>50.833333333333684</v>
      </c>
      <c r="AG622" s="1">
        <f t="shared" si="117"/>
        <v>0.17600052402676272</v>
      </c>
    </row>
    <row r="623" spans="2:33" ht="15" x14ac:dyDescent="0.25">
      <c r="B623" s="1">
        <v>612</v>
      </c>
      <c r="C623" s="1">
        <v>0.63686057482929415</v>
      </c>
      <c r="D623" s="1">
        <v>32.546786004882016</v>
      </c>
      <c r="E623" s="1">
        <v>3.4243057220148618E-3</v>
      </c>
      <c r="G623" s="1">
        <v>0.63686057482929415</v>
      </c>
      <c r="H623" s="1">
        <v>32.546786004882016</v>
      </c>
      <c r="I623" s="1">
        <v>3.4243057220148618E-3</v>
      </c>
      <c r="K623" s="1">
        <v>0.9987174246514815</v>
      </c>
      <c r="L623" s="1">
        <v>3.5119965823016521</v>
      </c>
      <c r="M623" s="1">
        <v>0.25064916470219789</v>
      </c>
      <c r="O623" s="1">
        <v>8.8471475526710561E-3</v>
      </c>
      <c r="P623" s="1">
        <v>0.63686057482929415</v>
      </c>
      <c r="R623" s="1">
        <v>0.22461897376922621</v>
      </c>
      <c r="S623" s="2">
        <f t="shared" si="120"/>
        <v>1.2579608499939987</v>
      </c>
      <c r="T623" s="4">
        <f t="shared" si="121"/>
        <v>1.5824655001176238</v>
      </c>
      <c r="U623" s="1">
        <f t="shared" si="112"/>
        <v>1.2368807639539052</v>
      </c>
      <c r="V623" s="6">
        <f>2*sigma/alpha*corel*(B623/12-1/alpha*(1-EXP(-alpha*Output!B623/12)))</f>
        <v>3.656339721495081</v>
      </c>
      <c r="W623" s="5">
        <f t="shared" si="122"/>
        <v>-0.34558473616371854</v>
      </c>
      <c r="X623" s="1">
        <f t="shared" si="118"/>
        <v>83.868106336381317</v>
      </c>
      <c r="Y623" s="3">
        <f t="shared" si="123"/>
        <v>5.3937386788838179E-2</v>
      </c>
      <c r="Z623" s="1">
        <f t="shared" si="113"/>
        <v>0.17614975247335429</v>
      </c>
      <c r="AA623" s="8">
        <f t="shared" si="119"/>
        <v>50.91666666666702</v>
      </c>
      <c r="AB623" s="1">
        <v>51</v>
      </c>
      <c r="AC623">
        <v>9.4284046089999993E-3</v>
      </c>
      <c r="AD623" s="8">
        <f t="shared" si="114"/>
        <v>5.812570563289432</v>
      </c>
      <c r="AE623" s="3">
        <f t="shared" si="115"/>
        <v>6.1649566436096426E-2</v>
      </c>
      <c r="AF623" s="11">
        <f t="shared" si="116"/>
        <v>50.91666666666702</v>
      </c>
      <c r="AG623" s="1">
        <f t="shared" si="117"/>
        <v>0.17614975247335429</v>
      </c>
    </row>
    <row r="624" spans="2:33" ht="15" x14ac:dyDescent="0.25">
      <c r="B624" s="1">
        <v>613</v>
      </c>
      <c r="C624" s="1">
        <v>0.63635391686621201</v>
      </c>
      <c r="D624" s="1">
        <v>32.615786040443574</v>
      </c>
      <c r="E624" s="1">
        <v>3.3983551960850948E-3</v>
      </c>
      <c r="G624" s="1">
        <v>0.63635391686621201</v>
      </c>
      <c r="H624" s="1">
        <v>32.615786040443574</v>
      </c>
      <c r="I624" s="1">
        <v>3.3983551960850948E-3</v>
      </c>
      <c r="K624" s="1">
        <v>0.99888055959980615</v>
      </c>
      <c r="L624" s="1">
        <v>3.5635484388985792</v>
      </c>
      <c r="M624" s="1">
        <v>0.24697723489459819</v>
      </c>
      <c r="O624" s="1">
        <v>8.848294891138352E-3</v>
      </c>
      <c r="P624" s="1">
        <v>0.63635391686621201</v>
      </c>
      <c r="R624" s="1">
        <v>0.22486807091482747</v>
      </c>
      <c r="S624" s="2">
        <f t="shared" si="120"/>
        <v>1.260234005811619</v>
      </c>
      <c r="T624" s="4">
        <f t="shared" si="121"/>
        <v>1.5881897494039998</v>
      </c>
      <c r="U624" s="1">
        <f t="shared" si="112"/>
        <v>1.2408246533213974</v>
      </c>
      <c r="V624" s="6">
        <f>2*sigma/alpha*corel*(B624/12-1/alpha*(1-EXP(-alpha*Output!B624/12)))</f>
        <v>3.6654041773601471</v>
      </c>
      <c r="W624" s="5">
        <f t="shared" si="122"/>
        <v>-0.34736509608260246</v>
      </c>
      <c r="X624" s="1">
        <f t="shared" si="118"/>
        <v>84.413455749620994</v>
      </c>
      <c r="Y624" s="3">
        <f t="shared" si="123"/>
        <v>5.4051635094522342E-2</v>
      </c>
      <c r="Z624" s="1">
        <f t="shared" si="113"/>
        <v>0.17632406114798799</v>
      </c>
      <c r="AA624" s="8">
        <f t="shared" si="119"/>
        <v>51.000000000000355</v>
      </c>
      <c r="AB624" s="1">
        <v>51.08</v>
      </c>
      <c r="AC624">
        <v>9.4281480299999998E-3</v>
      </c>
      <c r="AD624" s="8">
        <f t="shared" si="114"/>
        <v>5.7985313886164782</v>
      </c>
      <c r="AE624" s="3">
        <f t="shared" si="115"/>
        <v>6.1502337152172161E-2</v>
      </c>
      <c r="AF624" s="11">
        <f t="shared" si="116"/>
        <v>51.000000000000355</v>
      </c>
      <c r="AG624" s="1">
        <f t="shared" si="117"/>
        <v>0.17632406114798799</v>
      </c>
    </row>
    <row r="625" spans="2:33" ht="15" x14ac:dyDescent="0.25">
      <c r="B625" s="1">
        <v>614</v>
      </c>
      <c r="C625" s="1">
        <v>0.63584698355716207</v>
      </c>
      <c r="D625" s="1">
        <v>32.681874632328913</v>
      </c>
      <c r="E625" s="1">
        <v>3.3730225655209632E-3</v>
      </c>
      <c r="G625" s="1">
        <v>0.63584698355716207</v>
      </c>
      <c r="H625" s="1">
        <v>32.681874632328913</v>
      </c>
      <c r="I625" s="1">
        <v>3.3730225655209632E-3</v>
      </c>
      <c r="K625" s="1">
        <v>0.99887763853046541</v>
      </c>
      <c r="L625" s="1">
        <v>3.5177247787303449</v>
      </c>
      <c r="M625" s="1">
        <v>0.25014656022606829</v>
      </c>
      <c r="O625" s="1">
        <v>8.8494593448887604E-3</v>
      </c>
      <c r="P625" s="1">
        <v>0.63584698355716207</v>
      </c>
      <c r="R625" s="1">
        <v>0.22492256815660766</v>
      </c>
      <c r="S625" s="2">
        <f t="shared" si="120"/>
        <v>1.2617151633590284</v>
      </c>
      <c r="T625" s="4">
        <f t="shared" si="121"/>
        <v>1.5919251534500998</v>
      </c>
      <c r="U625" s="1">
        <f t="shared" si="112"/>
        <v>1.2447724593880944</v>
      </c>
      <c r="V625" s="6">
        <f>2*sigma/alpha*corel*(B625/12-1/alpha*(1-EXP(-alpha*Output!B625/12)))</f>
        <v>3.6744731330906086</v>
      </c>
      <c r="W625" s="5">
        <f t="shared" si="122"/>
        <v>-0.34715269406200533</v>
      </c>
      <c r="X625" s="1">
        <f t="shared" si="118"/>
        <v>84.55233752382847</v>
      </c>
      <c r="Y625" s="3">
        <f t="shared" si="123"/>
        <v>5.3948808153047464E-2</v>
      </c>
      <c r="Z625" s="1">
        <f t="shared" si="113"/>
        <v>0.17638748174299992</v>
      </c>
      <c r="AA625" s="8">
        <f t="shared" si="119"/>
        <v>51.083333333333691</v>
      </c>
      <c r="AB625" s="1">
        <v>51.17</v>
      </c>
      <c r="AC625">
        <v>9.4278922889999995E-3</v>
      </c>
      <c r="AD625" s="8">
        <f t="shared" si="114"/>
        <v>5.7843294411123907</v>
      </c>
      <c r="AE625" s="3">
        <f t="shared" si="115"/>
        <v>6.1353367898159601E-2</v>
      </c>
      <c r="AF625" s="11">
        <f t="shared" si="116"/>
        <v>51.083333333333691</v>
      </c>
      <c r="AG625" s="1">
        <f t="shared" si="117"/>
        <v>0.17638748174299992</v>
      </c>
    </row>
    <row r="626" spans="2:33" ht="15" x14ac:dyDescent="0.25">
      <c r="B626" s="1">
        <v>615</v>
      </c>
      <c r="C626" s="1">
        <v>0.63533907986291771</v>
      </c>
      <c r="D626" s="1">
        <v>32.748231595493841</v>
      </c>
      <c r="E626" s="1">
        <v>3.3477285661678556E-3</v>
      </c>
      <c r="G626" s="1">
        <v>0.63533907986291771</v>
      </c>
      <c r="H626" s="1">
        <v>32.748231595493841</v>
      </c>
      <c r="I626" s="1">
        <v>3.3477285661678556E-3</v>
      </c>
      <c r="K626" s="1">
        <v>0.99881073477316551</v>
      </c>
      <c r="L626" s="1">
        <v>3.4865951628913514</v>
      </c>
      <c r="M626" s="1">
        <v>0.25231855026031402</v>
      </c>
      <c r="O626" s="1">
        <v>8.8506622160409165E-3</v>
      </c>
      <c r="P626" s="1">
        <v>0.63533907986291771</v>
      </c>
      <c r="R626" s="1">
        <v>0.22510676854099473</v>
      </c>
      <c r="S626" s="2">
        <f t="shared" si="120"/>
        <v>1.2637316650410508</v>
      </c>
      <c r="T626" s="4">
        <f t="shared" si="121"/>
        <v>1.5970177212274268</v>
      </c>
      <c r="U626" s="1">
        <f t="shared" si="112"/>
        <v>1.248724171054262</v>
      </c>
      <c r="V626" s="6">
        <f>2*sigma/alpha*corel*(B626/12-1/alpha*(1-EXP(-alpha*Output!B626/12)))</f>
        <v>3.683546573711888</v>
      </c>
      <c r="W626" s="5">
        <f t="shared" si="122"/>
        <v>-0.34829355017316477</v>
      </c>
      <c r="X626" s="1">
        <f t="shared" si="118"/>
        <v>84.968693146203364</v>
      </c>
      <c r="Y626" s="3">
        <f t="shared" si="123"/>
        <v>5.3993169509111497E-2</v>
      </c>
      <c r="Z626" s="1">
        <f t="shared" si="113"/>
        <v>0.17652569611760052</v>
      </c>
      <c r="AA626" s="8">
        <f t="shared" si="119"/>
        <v>51.166666666667027</v>
      </c>
      <c r="AB626" s="1">
        <v>51.25</v>
      </c>
      <c r="AC626">
        <v>9.4276373799999993E-3</v>
      </c>
      <c r="AD626" s="8">
        <f t="shared" si="114"/>
        <v>5.7697516395908286</v>
      </c>
      <c r="AE626" s="3">
        <f t="shared" si="115"/>
        <v>6.1200398435252802E-2</v>
      </c>
      <c r="AF626" s="11">
        <f t="shared" si="116"/>
        <v>51.166666666667027</v>
      </c>
      <c r="AG626" s="1">
        <f t="shared" si="117"/>
        <v>0.17652569611760052</v>
      </c>
    </row>
    <row r="627" spans="2:33" ht="15" x14ac:dyDescent="0.25">
      <c r="B627" s="1">
        <v>616</v>
      </c>
      <c r="C627" s="1">
        <v>0.63483394276903937</v>
      </c>
      <c r="D627" s="1">
        <v>32.806246309297293</v>
      </c>
      <c r="E627" s="1">
        <v>3.3234736947057066E-3</v>
      </c>
      <c r="G627" s="1">
        <v>0.63483394276903937</v>
      </c>
      <c r="H627" s="1">
        <v>32.806246309297293</v>
      </c>
      <c r="I627" s="1">
        <v>3.3234736947057066E-3</v>
      </c>
      <c r="K627" s="1">
        <v>0.99891752182718285</v>
      </c>
      <c r="L627" s="1">
        <v>3.4605180368462278</v>
      </c>
      <c r="M627" s="1">
        <v>0.25417626411384164</v>
      </c>
      <c r="O627" s="1">
        <v>8.8517887351716763E-3</v>
      </c>
      <c r="P627" s="1">
        <v>0.63483394276903937</v>
      </c>
      <c r="R627" s="1">
        <v>0.22520007194491259</v>
      </c>
      <c r="S627" s="2">
        <f t="shared" si="120"/>
        <v>1.2653715607569274</v>
      </c>
      <c r="T627" s="4">
        <f t="shared" si="121"/>
        <v>1.6011651867724224</v>
      </c>
      <c r="U627" s="1">
        <f t="shared" si="112"/>
        <v>1.2526797772442495</v>
      </c>
      <c r="V627" s="6">
        <f>2*sigma/alpha*corel*(B627/12-1/alpha*(1-EXP(-alpha*Output!B627/12)))</f>
        <v>3.6926244842992366</v>
      </c>
      <c r="W627" s="5">
        <f t="shared" si="122"/>
        <v>-0.34848540952817286</v>
      </c>
      <c r="X627" s="1">
        <f t="shared" si="118"/>
        <v>85.191146338497688</v>
      </c>
      <c r="Y627" s="3">
        <f t="shared" si="123"/>
        <v>5.3934550493156E-2</v>
      </c>
      <c r="Z627" s="1">
        <f t="shared" si="113"/>
        <v>0.17661123863573855</v>
      </c>
      <c r="AA627" s="8">
        <f t="shared" si="119"/>
        <v>51.250000000000362</v>
      </c>
      <c r="AB627" s="1">
        <v>51.33</v>
      </c>
      <c r="AC627">
        <v>9.4273833010000002E-3</v>
      </c>
      <c r="AD627" s="8">
        <f t="shared" si="114"/>
        <v>5.7559456582832391</v>
      </c>
      <c r="AE627" s="3">
        <f t="shared" si="115"/>
        <v>6.105560232893769E-2</v>
      </c>
      <c r="AF627" s="11">
        <f t="shared" si="116"/>
        <v>51.250000000000362</v>
      </c>
      <c r="AG627" s="1">
        <f t="shared" si="117"/>
        <v>0.17661123863573855</v>
      </c>
    </row>
    <row r="628" spans="2:33" ht="15" x14ac:dyDescent="0.25">
      <c r="B628" s="1">
        <v>617</v>
      </c>
      <c r="C628" s="1">
        <v>0.63432736926206412</v>
      </c>
      <c r="D628" s="1">
        <v>32.860147213459513</v>
      </c>
      <c r="E628" s="1">
        <v>3.2998944033790917E-3</v>
      </c>
      <c r="G628" s="1">
        <v>0.63432736926206412</v>
      </c>
      <c r="H628" s="1">
        <v>32.860147213459513</v>
      </c>
      <c r="I628" s="1">
        <v>3.2998944033790917E-3</v>
      </c>
      <c r="K628" s="1">
        <v>0.99899747689442797</v>
      </c>
      <c r="L628" s="1">
        <v>3.3884441911030971</v>
      </c>
      <c r="M628" s="1">
        <v>0.25952178786300867</v>
      </c>
      <c r="O628" s="1">
        <v>8.8529679580064309E-3</v>
      </c>
      <c r="P628" s="1">
        <v>0.63432736926206412</v>
      </c>
      <c r="R628" s="1">
        <v>0.2253648068009883</v>
      </c>
      <c r="S628" s="2">
        <f t="shared" si="120"/>
        <v>1.2673102614414964</v>
      </c>
      <c r="T628" s="4">
        <f t="shared" si="121"/>
        <v>1.6060752987549138</v>
      </c>
      <c r="U628" s="1">
        <f t="shared" si="112"/>
        <v>1.2566392669064963</v>
      </c>
      <c r="V628" s="6">
        <f>2*sigma/alpha*corel*(B628/12-1/alpha*(1-EXP(-alpha*Output!B628/12)))</f>
        <v>3.7017068499775716</v>
      </c>
      <c r="W628" s="5">
        <f t="shared" si="122"/>
        <v>-0.34943603184841754</v>
      </c>
      <c r="X628" s="1">
        <f t="shared" si="118"/>
        <v>85.569977486662097</v>
      </c>
      <c r="Y628" s="3">
        <f t="shared" si="123"/>
        <v>5.3958158797345057E-2</v>
      </c>
      <c r="Z628" s="1">
        <f t="shared" si="113"/>
        <v>0.17673842984813665</v>
      </c>
      <c r="AA628" s="8">
        <f t="shared" si="119"/>
        <v>51.333333333333698</v>
      </c>
      <c r="AB628" s="1">
        <v>51.42</v>
      </c>
      <c r="AC628">
        <v>9.427130047E-3</v>
      </c>
      <c r="AD628" s="8">
        <f t="shared" si="114"/>
        <v>5.7416208899356906</v>
      </c>
      <c r="AE628" s="3">
        <f t="shared" si="115"/>
        <v>6.0905289958982256E-2</v>
      </c>
      <c r="AF628" s="11">
        <f t="shared" si="116"/>
        <v>51.333333333333698</v>
      </c>
      <c r="AG628" s="1">
        <f t="shared" si="117"/>
        <v>0.17673842984813665</v>
      </c>
    </row>
    <row r="629" spans="2:33" ht="15" x14ac:dyDescent="0.25">
      <c r="B629" s="1">
        <v>618</v>
      </c>
      <c r="C629" s="1">
        <v>0.63382344638936161</v>
      </c>
      <c r="D629" s="1">
        <v>32.90339563042906</v>
      </c>
      <c r="E629" s="1">
        <v>3.2773990561090717E-3</v>
      </c>
      <c r="G629" s="1">
        <v>0.63382344638936161</v>
      </c>
      <c r="H629" s="1">
        <v>32.90339563042906</v>
      </c>
      <c r="I629" s="1">
        <v>3.2773990561090717E-3</v>
      </c>
      <c r="K629" s="1">
        <v>0.99904206063517964</v>
      </c>
      <c r="L629" s="1">
        <v>3.3991364000218245</v>
      </c>
      <c r="M629" s="1">
        <v>0.25865234002950666</v>
      </c>
      <c r="O629" s="1">
        <v>8.8540745447191309E-3</v>
      </c>
      <c r="P629" s="1">
        <v>0.63382344638936161</v>
      </c>
      <c r="R629" s="1">
        <v>0.2256393502862436</v>
      </c>
      <c r="S629" s="2">
        <f t="shared" si="120"/>
        <v>1.2696961419421469</v>
      </c>
      <c r="T629" s="4">
        <f t="shared" si="121"/>
        <v>1.6121282928627723</v>
      </c>
      <c r="U629" s="1">
        <f t="shared" si="112"/>
        <v>1.2606026290135417</v>
      </c>
      <c r="V629" s="6">
        <f>2*sigma/alpha*corel*(B629/12-1/alpha*(1-EXP(-alpha*Output!B629/12)))</f>
        <v>3.7107936559213148</v>
      </c>
      <c r="W629" s="5">
        <f t="shared" si="122"/>
        <v>-0.35152566384923056</v>
      </c>
      <c r="X629" s="1">
        <f t="shared" si="118"/>
        <v>86.18427630976737</v>
      </c>
      <c r="Y629" s="3">
        <f t="shared" si="123"/>
        <v>5.4104417822363332E-2</v>
      </c>
      <c r="Z629" s="1">
        <f t="shared" si="113"/>
        <v>0.17692784404195794</v>
      </c>
      <c r="AA629" s="8">
        <f t="shared" si="119"/>
        <v>51.416666666667034</v>
      </c>
      <c r="AB629" s="1">
        <v>51.5</v>
      </c>
      <c r="AC629">
        <v>9.4268776129999999E-3</v>
      </c>
      <c r="AD629" s="8">
        <f t="shared" si="114"/>
        <v>5.72803068280869</v>
      </c>
      <c r="AE629" s="3">
        <f t="shared" si="115"/>
        <v>6.0762756428592343E-2</v>
      </c>
      <c r="AF629" s="11">
        <f t="shared" si="116"/>
        <v>51.416666666667034</v>
      </c>
      <c r="AG629" s="1">
        <f t="shared" si="117"/>
        <v>0.17692784404195794</v>
      </c>
    </row>
    <row r="630" spans="2:33" ht="15" x14ac:dyDescent="0.25">
      <c r="B630" s="1">
        <v>619</v>
      </c>
      <c r="C630" s="1">
        <v>0.63332211283300244</v>
      </c>
      <c r="D630" s="1">
        <v>32.948929159802312</v>
      </c>
      <c r="E630" s="1">
        <v>3.2548904729355855E-3</v>
      </c>
      <c r="G630" s="1">
        <v>0.63332211283300244</v>
      </c>
      <c r="H630" s="1">
        <v>32.948929159802312</v>
      </c>
      <c r="I630" s="1">
        <v>3.2548904729355855E-3</v>
      </c>
      <c r="K630" s="1">
        <v>0.99920109545812552</v>
      </c>
      <c r="L630" s="1">
        <v>3.3689177707611853</v>
      </c>
      <c r="M630" s="1">
        <v>0.26091644726364371</v>
      </c>
      <c r="O630" s="1">
        <v>8.8551105505420072E-3</v>
      </c>
      <c r="P630" s="1">
        <v>0.63332211283300244</v>
      </c>
      <c r="R630" s="1">
        <v>0.22574878457575054</v>
      </c>
      <c r="S630" s="2">
        <f t="shared" si="120"/>
        <v>1.2714002536227482</v>
      </c>
      <c r="T630" s="4">
        <f t="shared" si="121"/>
        <v>1.6164586049119885</v>
      </c>
      <c r="U630" s="1">
        <f t="shared" si="112"/>
        <v>1.2645698525620208</v>
      </c>
      <c r="V630" s="6">
        <f>2*sigma/alpha*corel*(B630/12-1/alpha*(1-EXP(-alpha*Output!B630/12)))</f>
        <v>3.7198848873542216</v>
      </c>
      <c r="W630" s="5">
        <f t="shared" si="122"/>
        <v>-0.35188875234996764</v>
      </c>
      <c r="X630" s="1">
        <f t="shared" si="118"/>
        <v>86.443922810042992</v>
      </c>
      <c r="Y630" s="3">
        <f t="shared" si="123"/>
        <v>5.4064337780374741E-2</v>
      </c>
      <c r="Z630" s="1">
        <f t="shared" si="113"/>
        <v>0.17702214230834962</v>
      </c>
      <c r="AA630" s="8">
        <f t="shared" si="119"/>
        <v>51.500000000000369</v>
      </c>
      <c r="AB630" s="1">
        <v>51.58</v>
      </c>
      <c r="AC630">
        <v>9.4266259969999992E-3</v>
      </c>
      <c r="AD630" s="8">
        <f t="shared" si="114"/>
        <v>5.7151544645799195</v>
      </c>
      <c r="AE630" s="3">
        <f t="shared" si="115"/>
        <v>6.0627784176424879E-2</v>
      </c>
      <c r="AF630" s="11">
        <f t="shared" si="116"/>
        <v>51.500000000000369</v>
      </c>
      <c r="AG630" s="1">
        <f t="shared" si="117"/>
        <v>0.17702214230834962</v>
      </c>
    </row>
    <row r="631" spans="2:33" ht="15" x14ac:dyDescent="0.25">
      <c r="B631" s="1">
        <v>620</v>
      </c>
      <c r="C631" s="1">
        <v>0.63282466670602988</v>
      </c>
      <c r="D631" s="1">
        <v>32.996766316900946</v>
      </c>
      <c r="E631" s="1">
        <v>3.2323754727349129E-3</v>
      </c>
      <c r="G631" s="1">
        <v>0.63282466670602988</v>
      </c>
      <c r="H631" s="1">
        <v>32.996766316900946</v>
      </c>
      <c r="I631" s="1">
        <v>3.2323754727349129E-3</v>
      </c>
      <c r="K631" s="1">
        <v>0.99915507256019231</v>
      </c>
      <c r="L631" s="1">
        <v>3.324782418727168</v>
      </c>
      <c r="M631" s="1">
        <v>0.26432649456902935</v>
      </c>
      <c r="O631" s="1">
        <v>8.8560364457874411E-3</v>
      </c>
      <c r="P631" s="1">
        <v>0.63282466670602988</v>
      </c>
      <c r="R631" s="1">
        <v>0.22602678106563967</v>
      </c>
      <c r="S631" s="2">
        <f t="shared" si="120"/>
        <v>1.2737907369079708</v>
      </c>
      <c r="T631" s="4">
        <f t="shared" si="121"/>
        <v>1.6225428414325513</v>
      </c>
      <c r="U631" s="1">
        <f t="shared" si="112"/>
        <v>1.268540926572673</v>
      </c>
      <c r="V631" s="6">
        <f>2*sigma/alpha*corel*(B631/12-1/alpha*(1-EXP(-alpha*Output!B631/12)))</f>
        <v>3.7289805295492191</v>
      </c>
      <c r="W631" s="5">
        <f t="shared" si="122"/>
        <v>-0.35400191485987831</v>
      </c>
      <c r="X631" s="1">
        <f t="shared" si="118"/>
        <v>87.065691527465361</v>
      </c>
      <c r="Y631" s="3">
        <f t="shared" si="123"/>
        <v>5.4212122205369515E-2</v>
      </c>
      <c r="Z631" s="1">
        <f t="shared" si="113"/>
        <v>0.17721189292897002</v>
      </c>
      <c r="AA631" s="8">
        <f t="shared" si="119"/>
        <v>51.583333333333705</v>
      </c>
      <c r="AB631" s="1">
        <v>51.67</v>
      </c>
      <c r="AC631">
        <v>9.4263751930000004E-3</v>
      </c>
      <c r="AD631" s="8">
        <f t="shared" si="114"/>
        <v>5.703387472125593</v>
      </c>
      <c r="AE631" s="3">
        <f t="shared" si="115"/>
        <v>6.0504566764549246E-2</v>
      </c>
      <c r="AF631" s="11">
        <f t="shared" si="116"/>
        <v>51.583333333333705</v>
      </c>
      <c r="AG631" s="1">
        <f t="shared" si="117"/>
        <v>0.17721189292897002</v>
      </c>
    </row>
    <row r="632" spans="2:33" ht="15" x14ac:dyDescent="0.25">
      <c r="B632" s="1">
        <v>621</v>
      </c>
      <c r="C632" s="1">
        <v>0.63232255665585668</v>
      </c>
      <c r="D632" s="1">
        <v>33.050203258750045</v>
      </c>
      <c r="E632" s="1">
        <v>3.2093456144292182E-3</v>
      </c>
      <c r="G632" s="1">
        <v>0.63232255665585668</v>
      </c>
      <c r="H632" s="1">
        <v>33.050203258750045</v>
      </c>
      <c r="I632" s="1">
        <v>3.2093456144292182E-3</v>
      </c>
      <c r="K632" s="1">
        <v>0.99905007407023805</v>
      </c>
      <c r="L632" s="1">
        <v>3.3081477567498414</v>
      </c>
      <c r="M632" s="1">
        <v>0.26559721911213785</v>
      </c>
      <c r="O632" s="1">
        <v>8.8571138275662809E-3</v>
      </c>
      <c r="P632" s="1">
        <v>0.63232255665585668</v>
      </c>
      <c r="R632" s="1">
        <v>0.22607636840915188</v>
      </c>
      <c r="S632" s="2">
        <f t="shared" si="120"/>
        <v>1.2752553669669322</v>
      </c>
      <c r="T632" s="4">
        <f t="shared" si="121"/>
        <v>1.6262762509779649</v>
      </c>
      <c r="U632" s="1">
        <f t="shared" si="112"/>
        <v>1.2725158400903465</v>
      </c>
      <c r="V632" s="6">
        <f>2*sigma/alpha*corel*(B632/12-1/alpha*(1-EXP(-alpha*Output!B632/12)))</f>
        <v>3.7380805678282463</v>
      </c>
      <c r="W632" s="5">
        <f t="shared" si="122"/>
        <v>-0.35376041088761845</v>
      </c>
      <c r="X632" s="1">
        <f t="shared" si="118"/>
        <v>87.201651385312161</v>
      </c>
      <c r="Y632" s="3">
        <f t="shared" si="123"/>
        <v>5.4107264518499273E-2</v>
      </c>
      <c r="Z632" s="1">
        <f t="shared" si="113"/>
        <v>0.17727275041083315</v>
      </c>
      <c r="AA632" s="8">
        <f t="shared" si="119"/>
        <v>51.666666666667041</v>
      </c>
      <c r="AB632" s="1">
        <v>51.75</v>
      </c>
      <c r="AC632">
        <v>9.4261251989999992E-3</v>
      </c>
      <c r="AD632" s="8">
        <f t="shared" si="114"/>
        <v>5.6901137143371834</v>
      </c>
      <c r="AE632" s="3">
        <f t="shared" si="115"/>
        <v>6.0365352615312576E-2</v>
      </c>
      <c r="AF632" s="11">
        <f t="shared" si="116"/>
        <v>51.666666666667041</v>
      </c>
      <c r="AG632" s="1">
        <f t="shared" si="117"/>
        <v>0.17727275041083315</v>
      </c>
    </row>
    <row r="633" spans="2:33" ht="15" x14ac:dyDescent="0.25">
      <c r="B633" s="1">
        <v>622</v>
      </c>
      <c r="C633" s="1">
        <v>0.63181044099481132</v>
      </c>
      <c r="D633" s="1">
        <v>33.107101473266013</v>
      </c>
      <c r="E633" s="1">
        <v>3.1862354628007009E-3</v>
      </c>
      <c r="G633" s="1">
        <v>0.63181044099481132</v>
      </c>
      <c r="H633" s="1">
        <v>33.107101473266013</v>
      </c>
      <c r="I633" s="1">
        <v>3.1862354628007009E-3</v>
      </c>
      <c r="K633" s="1">
        <v>0.99923339313266968</v>
      </c>
      <c r="L633" s="1">
        <v>3.2890125841186477</v>
      </c>
      <c r="M633" s="1">
        <v>0.26708152494314491</v>
      </c>
      <c r="O633" s="1">
        <v>8.8585054333043846E-3</v>
      </c>
      <c r="P633" s="1">
        <v>0.63181044099481132</v>
      </c>
      <c r="R633" s="1">
        <v>0.22619639039200698</v>
      </c>
      <c r="S633" s="2">
        <f t="shared" si="120"/>
        <v>1.2770374727001232</v>
      </c>
      <c r="T633" s="4">
        <f t="shared" si="121"/>
        <v>1.6308247066803181</v>
      </c>
      <c r="U633" s="1">
        <f t="shared" ref="U633:U696" si="124">sigma*sigma/alpha/alpha*(B633/12+2/alpha*EXP(-alpha*B633/12)-1/2/alpha*EXP(-2*alpha*B633/12)-3/2/alpha)</f>
        <v>1.2764945821839939</v>
      </c>
      <c r="V633" s="6">
        <f>2*sigma/alpha*corel*(B633/12-1/alpha*(1-EXP(-alpha*Output!B633/12)))</f>
        <v>3.7471849875620835</v>
      </c>
      <c r="W633" s="5">
        <f t="shared" si="122"/>
        <v>-0.35433012449632417</v>
      </c>
      <c r="X633" s="1">
        <f t="shared" si="118"/>
        <v>87.505841143248531</v>
      </c>
      <c r="Y633" s="3">
        <f t="shared" si="123"/>
        <v>5.4089427939569432E-2</v>
      </c>
      <c r="Z633" s="1">
        <f t="shared" si="113"/>
        <v>0.17737772147999248</v>
      </c>
      <c r="AA633" s="8">
        <f t="shared" si="119"/>
        <v>51.750000000000377</v>
      </c>
      <c r="AB633" s="1">
        <v>51.83</v>
      </c>
      <c r="AC633">
        <v>9.4258760100000005E-3</v>
      </c>
      <c r="AD633" s="8">
        <f t="shared" si="114"/>
        <v>5.673705766956159</v>
      </c>
      <c r="AE633" s="3">
        <f t="shared" si="115"/>
        <v>6.0192875027603496E-2</v>
      </c>
      <c r="AF633" s="11">
        <f t="shared" si="116"/>
        <v>51.750000000000377</v>
      </c>
      <c r="AG633" s="1">
        <f t="shared" si="117"/>
        <v>0.17737772147999248</v>
      </c>
    </row>
    <row r="634" spans="2:33" ht="15" x14ac:dyDescent="0.25">
      <c r="B634" s="1">
        <v>623</v>
      </c>
      <c r="C634" s="1">
        <v>0.6312955557701172</v>
      </c>
      <c r="D634" s="1">
        <v>33.166395807767572</v>
      </c>
      <c r="E634" s="1">
        <v>3.1629554655870445E-3</v>
      </c>
      <c r="G634" s="1">
        <v>0.6312955557701172</v>
      </c>
      <c r="H634" s="1">
        <v>33.166395807767572</v>
      </c>
      <c r="I634" s="1">
        <v>3.1629554655870445E-3</v>
      </c>
      <c r="K634" s="1">
        <v>0.99918069278450583</v>
      </c>
      <c r="L634" s="1">
        <v>3.2419204247593445</v>
      </c>
      <c r="M634" s="1">
        <v>0.27091292557955743</v>
      </c>
      <c r="O634" s="1">
        <v>8.8599897291794343E-3</v>
      </c>
      <c r="P634" s="1">
        <v>0.6312955557701172</v>
      </c>
      <c r="R634" s="1">
        <v>0.22638851302825183</v>
      </c>
      <c r="S634" s="2">
        <f t="shared" si="120"/>
        <v>1.2791267100207377</v>
      </c>
      <c r="T634" s="4">
        <f t="shared" si="121"/>
        <v>1.6361651402884765</v>
      </c>
      <c r="U634" s="1">
        <f t="shared" si="124"/>
        <v>1.2804771419466801</v>
      </c>
      <c r="V634" s="6">
        <f>2*sigma/alpha*corel*(B634/12-1/alpha*(1-EXP(-alpha*Output!B634/12)))</f>
        <v>3.7562937741701954</v>
      </c>
      <c r="W634" s="5">
        <f t="shared" si="122"/>
        <v>-0.35568799834179643</v>
      </c>
      <c r="X634" s="1">
        <f t="shared" si="118"/>
        <v>87.974283906849493</v>
      </c>
      <c r="Y634" s="3">
        <f t="shared" si="123"/>
        <v>5.4155701184150709E-2</v>
      </c>
      <c r="Z634" s="1">
        <f t="shared" si="113"/>
        <v>0.17752526410515401</v>
      </c>
      <c r="AA634" s="8">
        <f t="shared" si="119"/>
        <v>51.833333333333712</v>
      </c>
      <c r="AB634" s="1">
        <v>51.92</v>
      </c>
      <c r="AC634">
        <v>9.4256276220000008E-3</v>
      </c>
      <c r="AD634" s="8">
        <f t="shared" si="114"/>
        <v>5.6563789282056653</v>
      </c>
      <c r="AE634" s="3">
        <f t="shared" si="115"/>
        <v>6.0010634358218497E-2</v>
      </c>
      <c r="AF634" s="11">
        <f t="shared" si="116"/>
        <v>51.833333333333712</v>
      </c>
      <c r="AG634" s="1">
        <f t="shared" si="117"/>
        <v>0.17752526410515401</v>
      </c>
    </row>
    <row r="635" spans="2:33" ht="15" x14ac:dyDescent="0.25">
      <c r="B635" s="1">
        <v>624</v>
      </c>
      <c r="C635" s="1">
        <v>0.63078315599195289</v>
      </c>
      <c r="D635" s="1">
        <v>33.221487658217335</v>
      </c>
      <c r="E635" s="1">
        <v>3.1403090064062306E-3</v>
      </c>
      <c r="G635" s="1">
        <v>0.63078315599195289</v>
      </c>
      <c r="H635" s="1">
        <v>33.221487658217335</v>
      </c>
      <c r="I635" s="1">
        <v>3.1403090064062306E-3</v>
      </c>
      <c r="K635" s="1">
        <v>0.99925991416888504</v>
      </c>
      <c r="L635" s="1">
        <v>3.2882652902555942</v>
      </c>
      <c r="M635" s="1">
        <v>0.26703596709360911</v>
      </c>
      <c r="O635" s="1">
        <v>8.8614062858154794E-3</v>
      </c>
      <c r="P635" s="1">
        <v>0.63078315599195289</v>
      </c>
      <c r="R635" s="1">
        <v>0.22653862277642239</v>
      </c>
      <c r="S635" s="2">
        <f t="shared" si="120"/>
        <v>1.2810391034564825</v>
      </c>
      <c r="T635" s="4">
        <f t="shared" si="121"/>
        <v>1.6410611845845886</v>
      </c>
      <c r="U635" s="1">
        <f t="shared" si="124"/>
        <v>1.2844635084955831</v>
      </c>
      <c r="V635" s="6">
        <f>2*sigma/alpha*corel*(B635/12-1/alpha*(1-EXP(-alpha*Output!B635/12)))</f>
        <v>3.7654069131205703</v>
      </c>
      <c r="W635" s="5">
        <f t="shared" si="122"/>
        <v>-0.3565976760890055</v>
      </c>
      <c r="X635" s="1">
        <f t="shared" si="118"/>
        <v>88.350605847889312</v>
      </c>
      <c r="Y635" s="3">
        <f t="shared" si="123"/>
        <v>5.4173974852455148E-2</v>
      </c>
      <c r="Z635" s="1">
        <f t="shared" si="113"/>
        <v>0.17764816051487561</v>
      </c>
      <c r="AA635" s="8">
        <f t="shared" si="119"/>
        <v>51.916666666667048</v>
      </c>
      <c r="AB635" s="1">
        <v>52</v>
      </c>
      <c r="AC635">
        <v>9.4253800320000004E-3</v>
      </c>
      <c r="AD635" s="8">
        <f t="shared" si="114"/>
        <v>5.6397374618452103</v>
      </c>
      <c r="AE635" s="3">
        <f t="shared" si="115"/>
        <v>5.9835650580642927E-2</v>
      </c>
      <c r="AF635" s="11">
        <f t="shared" si="116"/>
        <v>51.916666666667048</v>
      </c>
      <c r="AG635" s="1">
        <f t="shared" si="117"/>
        <v>0.17764816051487561</v>
      </c>
    </row>
    <row r="636" spans="2:33" ht="15" x14ac:dyDescent="0.25">
      <c r="B636" s="1">
        <v>625</v>
      </c>
      <c r="C636" s="1">
        <v>0.63026808368361176</v>
      </c>
      <c r="D636" s="1">
        <v>33.265693090715544</v>
      </c>
      <c r="E636" s="1">
        <v>3.1189570207722536E-3</v>
      </c>
      <c r="G636" s="1">
        <v>0.63026808368361176</v>
      </c>
      <c r="H636" s="1">
        <v>33.265693090715544</v>
      </c>
      <c r="I636" s="1">
        <v>3.1189570207722536E-3</v>
      </c>
      <c r="K636" s="1">
        <v>0.99919275121792217</v>
      </c>
      <c r="L636" s="1">
        <v>3.2866002899861888</v>
      </c>
      <c r="M636" s="1">
        <v>0.26711130060179833</v>
      </c>
      <c r="O636" s="1">
        <v>8.8629123926803246E-3</v>
      </c>
      <c r="P636" s="1">
        <v>0.63026808368361176</v>
      </c>
      <c r="R636" s="1">
        <v>0.22666828368949377</v>
      </c>
      <c r="S636" s="2">
        <f t="shared" si="120"/>
        <v>1.2828763511897765</v>
      </c>
      <c r="T636" s="4">
        <f t="shared" si="121"/>
        <v>1.6457717324419947</v>
      </c>
      <c r="U636" s="1">
        <f t="shared" si="124"/>
        <v>1.2884536709719918</v>
      </c>
      <c r="V636" s="6">
        <f>2*sigma/alpha*corel*(B636/12-1/alpha*(1-EXP(-alpha*Output!B636/12)))</f>
        <v>3.7745243899295513</v>
      </c>
      <c r="W636" s="5">
        <f t="shared" si="122"/>
        <v>-0.35731806147000289</v>
      </c>
      <c r="X636" s="1">
        <f t="shared" si="118"/>
        <v>88.68829717642366</v>
      </c>
      <c r="Y636" s="3">
        <f t="shared" si="123"/>
        <v>5.4172051541099601E-2</v>
      </c>
      <c r="Z636" s="1">
        <f t="shared" si="113"/>
        <v>0.17776056160714138</v>
      </c>
      <c r="AA636" s="8">
        <f t="shared" si="119"/>
        <v>52.000000000000384</v>
      </c>
      <c r="AB636" s="1">
        <v>52.08</v>
      </c>
      <c r="AC636">
        <v>9.4251332350000008E-3</v>
      </c>
      <c r="AD636" s="8">
        <f t="shared" si="114"/>
        <v>5.6222084231967626</v>
      </c>
      <c r="AE636" s="3">
        <f t="shared" si="115"/>
        <v>5.9651235510590234E-2</v>
      </c>
      <c r="AF636" s="11">
        <f t="shared" si="116"/>
        <v>52.000000000000384</v>
      </c>
      <c r="AG636" s="1">
        <f t="shared" si="117"/>
        <v>0.17776056160714138</v>
      </c>
    </row>
    <row r="637" spans="2:33" ht="15" x14ac:dyDescent="0.25">
      <c r="B637" s="1">
        <v>626</v>
      </c>
      <c r="C637" s="1">
        <v>0.62975008895711793</v>
      </c>
      <c r="D637" s="1">
        <v>33.303360309055179</v>
      </c>
      <c r="E637" s="1">
        <v>3.0981813675372556E-3</v>
      </c>
      <c r="G637" s="1">
        <v>0.62975008895711793</v>
      </c>
      <c r="H637" s="1">
        <v>33.303360309055179</v>
      </c>
      <c r="I637" s="1">
        <v>3.0981813675372556E-3</v>
      </c>
      <c r="K637" s="1">
        <v>0.99910877063628722</v>
      </c>
      <c r="L637" s="1">
        <v>3.3224842078302861</v>
      </c>
      <c r="M637" s="1">
        <v>0.26418046321815181</v>
      </c>
      <c r="O637" s="1">
        <v>8.8645154471232897E-3</v>
      </c>
      <c r="P637" s="1">
        <v>0.62975008895711793</v>
      </c>
      <c r="R637" s="1">
        <v>0.22677251627322689</v>
      </c>
      <c r="S637" s="2">
        <f t="shared" si="120"/>
        <v>1.2846182348474351</v>
      </c>
      <c r="T637" s="4">
        <f t="shared" si="121"/>
        <v>1.6502440093025399</v>
      </c>
      <c r="U637" s="1">
        <f t="shared" si="124"/>
        <v>1.2924476185413067</v>
      </c>
      <c r="V637" s="6">
        <f>2*sigma/alpha*corel*(B637/12-1/alpha*(1-EXP(-alpha*Output!B637/12)))</f>
        <v>3.783646190161682</v>
      </c>
      <c r="W637" s="5">
        <f t="shared" si="122"/>
        <v>-0.35779639076123315</v>
      </c>
      <c r="X637" s="1">
        <f t="shared" si="118"/>
        <v>88.976158697835672</v>
      </c>
      <c r="Y637" s="3">
        <f t="shared" si="123"/>
        <v>5.4144453074508533E-2</v>
      </c>
      <c r="Z637" s="1">
        <f t="shared" si="113"/>
        <v>0.1778596932018702</v>
      </c>
      <c r="AA637" s="8">
        <f t="shared" si="119"/>
        <v>52.083333333333719</v>
      </c>
      <c r="AB637" s="1">
        <v>52.17</v>
      </c>
      <c r="AC637">
        <v>9.4248872280000007E-3</v>
      </c>
      <c r="AD637" s="8">
        <f t="shared" si="114"/>
        <v>5.6037178087671098</v>
      </c>
      <c r="AE637" s="3">
        <f t="shared" si="115"/>
        <v>5.9456603280294541E-2</v>
      </c>
      <c r="AF637" s="11">
        <f t="shared" si="116"/>
        <v>52.083333333333719</v>
      </c>
      <c r="AG637" s="1">
        <f t="shared" si="117"/>
        <v>0.1778596932018702</v>
      </c>
    </row>
    <row r="638" spans="2:33" ht="15" x14ac:dyDescent="0.25">
      <c r="B638" s="1">
        <v>627</v>
      </c>
      <c r="C638" s="1">
        <v>0.62922887664857852</v>
      </c>
      <c r="D638" s="1">
        <v>33.340001333600057</v>
      </c>
      <c r="E638" s="1">
        <v>3.0776806598547335E-3</v>
      </c>
      <c r="G638" s="1">
        <v>0.62922887664857852</v>
      </c>
      <c r="H638" s="1">
        <v>33.340001333600057</v>
      </c>
      <c r="I638" s="1">
        <v>3.0776806598547335E-3</v>
      </c>
      <c r="K638" s="1">
        <v>0.99902336313663342</v>
      </c>
      <c r="L638" s="1">
        <v>3.318816144955246</v>
      </c>
      <c r="M638" s="1">
        <v>0.26440795340875789</v>
      </c>
      <c r="O638" s="1">
        <v>8.8662242033035812E-3</v>
      </c>
      <c r="P638" s="1">
        <v>0.62922887664857852</v>
      </c>
      <c r="R638" s="1">
        <v>0.22691989721184277</v>
      </c>
      <c r="S638" s="2">
        <f t="shared" si="120"/>
        <v>1.286549573199107</v>
      </c>
      <c r="T638" s="4">
        <f t="shared" si="121"/>
        <v>1.6552098042988044</v>
      </c>
      <c r="U638" s="1">
        <f t="shared" si="124"/>
        <v>1.296445340393042</v>
      </c>
      <c r="V638" s="6">
        <f>2*sigma/alpha*corel*(B638/12-1/alpha*(1-EXP(-alpha*Output!B638/12)))</f>
        <v>3.7927722994295459</v>
      </c>
      <c r="W638" s="5">
        <f t="shared" si="122"/>
        <v>-0.35876446390576233</v>
      </c>
      <c r="X638" s="1">
        <f t="shared" si="118"/>
        <v>89.366894671624408</v>
      </c>
      <c r="Y638" s="3">
        <f t="shared" si="123"/>
        <v>5.4168748440842213E-2</v>
      </c>
      <c r="Z638" s="1">
        <f t="shared" si="113"/>
        <v>0.1779849896525095</v>
      </c>
      <c r="AA638" s="8">
        <f t="shared" si="119"/>
        <v>52.166666666667055</v>
      </c>
      <c r="AB638" s="1">
        <v>52.25</v>
      </c>
      <c r="AC638">
        <v>9.4246420080000004E-3</v>
      </c>
      <c r="AD638" s="8">
        <f t="shared" si="114"/>
        <v>5.5841780469641913</v>
      </c>
      <c r="AE638" s="3">
        <f t="shared" si="115"/>
        <v>5.9250823980625741E-2</v>
      </c>
      <c r="AF638" s="11">
        <f t="shared" si="116"/>
        <v>52.166666666667055</v>
      </c>
      <c r="AG638" s="1">
        <f t="shared" si="117"/>
        <v>0.1779849896525095</v>
      </c>
    </row>
    <row r="639" spans="2:33" ht="15" x14ac:dyDescent="0.25">
      <c r="B639" s="1">
        <v>628</v>
      </c>
      <c r="C639" s="1">
        <v>0.62871117285567912</v>
      </c>
      <c r="D639" s="1">
        <v>33.388981636060102</v>
      </c>
      <c r="E639" s="1">
        <v>3.0562347188264061E-3</v>
      </c>
      <c r="G639" s="1">
        <v>0.62871117285567912</v>
      </c>
      <c r="H639" s="1">
        <v>33.388981636060102</v>
      </c>
      <c r="I639" s="1">
        <v>3.0562347188264061E-3</v>
      </c>
      <c r="K639" s="1">
        <v>0.99899176090722352</v>
      </c>
      <c r="L639" s="1">
        <v>3.4293970240598184</v>
      </c>
      <c r="M639" s="1">
        <v>0.25584440628809596</v>
      </c>
      <c r="O639" s="1">
        <v>8.8678339946830047E-3</v>
      </c>
      <c r="P639" s="1">
        <v>0.62871117285567912</v>
      </c>
      <c r="R639" s="1">
        <v>0.22691888341160302</v>
      </c>
      <c r="S639" s="2">
        <f t="shared" si="120"/>
        <v>1.2878588343544461</v>
      </c>
      <c r="T639" s="4">
        <f t="shared" si="121"/>
        <v>1.6585803772247927</v>
      </c>
      <c r="U639" s="1">
        <f t="shared" si="124"/>
        <v>1.3004468257408233</v>
      </c>
      <c r="V639" s="6">
        <f>2*sigma/alpha*corel*(B639/12-1/alpha*(1-EXP(-alpha*Output!B639/12)))</f>
        <v>3.801902703393603</v>
      </c>
      <c r="W639" s="5">
        <f t="shared" si="122"/>
        <v>-0.35813355148396941</v>
      </c>
      <c r="X639" s="1">
        <f t="shared" si="118"/>
        <v>89.423754276715854</v>
      </c>
      <c r="Y639" s="3">
        <f t="shared" si="123"/>
        <v>5.4023987489108874E-2</v>
      </c>
      <c r="Z639" s="1">
        <f t="shared" si="113"/>
        <v>0.17802420810969841</v>
      </c>
      <c r="AA639" s="8">
        <f t="shared" si="119"/>
        <v>52.250000000000391</v>
      </c>
      <c r="AB639" s="1">
        <v>52.33</v>
      </c>
      <c r="AC639">
        <v>9.4243975689999992E-3</v>
      </c>
      <c r="AD639" s="8">
        <f t="shared" si="114"/>
        <v>5.5656357431699455</v>
      </c>
      <c r="AE639" s="3">
        <f t="shared" si="115"/>
        <v>5.9055612864605644E-2</v>
      </c>
      <c r="AF639" s="11">
        <f t="shared" si="116"/>
        <v>52.250000000000391</v>
      </c>
      <c r="AG639" s="1">
        <f t="shared" si="117"/>
        <v>0.17802420810969841</v>
      </c>
    </row>
    <row r="640" spans="2:33" ht="15" x14ac:dyDescent="0.25">
      <c r="B640" s="1">
        <v>629</v>
      </c>
      <c r="C640" s="1">
        <v>0.62819054796997997</v>
      </c>
      <c r="D640" s="1">
        <v>33.439224209998329</v>
      </c>
      <c r="E640" s="1">
        <v>3.0347171643602816E-3</v>
      </c>
      <c r="G640" s="1">
        <v>0.62819054796997997</v>
      </c>
      <c r="H640" s="1">
        <v>33.439224209998329</v>
      </c>
      <c r="I640" s="1">
        <v>3.0347171643602816E-3</v>
      </c>
      <c r="K640" s="1">
        <v>0.99910174632120907</v>
      </c>
      <c r="L640" s="1">
        <v>3.4148437914137708</v>
      </c>
      <c r="M640" s="1">
        <v>0.25686700120081296</v>
      </c>
      <c r="O640" s="1">
        <v>8.8695403154635758E-3</v>
      </c>
      <c r="P640" s="1">
        <v>0.62819054796997997</v>
      </c>
      <c r="R640" s="1">
        <v>0.22689220743890223</v>
      </c>
      <c r="S640" s="2">
        <f t="shared" si="120"/>
        <v>1.2890704453995065</v>
      </c>
      <c r="T640" s="4">
        <f t="shared" si="121"/>
        <v>1.6617026132024821</v>
      </c>
      <c r="U640" s="1">
        <f t="shared" si="124"/>
        <v>1.3044520638223847</v>
      </c>
      <c r="V640" s="6">
        <f>2*sigma/alpha*corel*(B640/12-1/alpha*(1-EXP(-alpha*Output!B640/12)))</f>
        <v>3.8110373877620298</v>
      </c>
      <c r="W640" s="5">
        <f t="shared" si="122"/>
        <v>-0.35725054938009748</v>
      </c>
      <c r="X640" s="1">
        <f t="shared" si="118"/>
        <v>89.427537824280478</v>
      </c>
      <c r="Y640" s="3">
        <f t="shared" si="123"/>
        <v>5.3852871758114436E-2</v>
      </c>
      <c r="Z640" s="1">
        <f t="shared" si="113"/>
        <v>0.17804998922227022</v>
      </c>
      <c r="AA640" s="8">
        <f t="shared" si="119"/>
        <v>52.333333333333727</v>
      </c>
      <c r="AB640" s="1">
        <v>52.42</v>
      </c>
      <c r="AC640">
        <v>9.4241539089999996E-3</v>
      </c>
      <c r="AD640" s="8">
        <f t="shared" si="114"/>
        <v>5.5461359353642381</v>
      </c>
      <c r="AE640" s="3">
        <f t="shared" si="115"/>
        <v>5.8850226650773586E-2</v>
      </c>
      <c r="AF640" s="11">
        <f t="shared" si="116"/>
        <v>52.333333333333727</v>
      </c>
      <c r="AG640" s="1">
        <f t="shared" si="117"/>
        <v>0.17804998922227022</v>
      </c>
    </row>
    <row r="641" spans="2:33" ht="15" x14ac:dyDescent="0.25">
      <c r="B641" s="1">
        <v>630</v>
      </c>
      <c r="C641" s="1">
        <v>0.6276703608910611</v>
      </c>
      <c r="D641" s="1">
        <v>33.485132601125102</v>
      </c>
      <c r="E641" s="1">
        <v>3.0137729423465238E-3</v>
      </c>
      <c r="G641" s="1">
        <v>0.6276703608910611</v>
      </c>
      <c r="H641" s="1">
        <v>33.485132601125102</v>
      </c>
      <c r="I641" s="1">
        <v>3.0137729423465238E-3</v>
      </c>
      <c r="K641" s="1">
        <v>0.99916755402654434</v>
      </c>
      <c r="L641" s="1">
        <v>3.4479157035419989</v>
      </c>
      <c r="M641" s="1">
        <v>0.25434634496958347</v>
      </c>
      <c r="O641" s="1">
        <v>8.8712410164471841E-3</v>
      </c>
      <c r="P641" s="1">
        <v>0.6276703608910611</v>
      </c>
      <c r="R641" s="1">
        <v>0.22692208312803319</v>
      </c>
      <c r="S641" s="2">
        <f t="shared" si="120"/>
        <v>1.290517455728019</v>
      </c>
      <c r="T641" s="4">
        <f t="shared" si="121"/>
        <v>1.6654353035387195</v>
      </c>
      <c r="U641" s="1">
        <f t="shared" si="124"/>
        <v>1.3084610438995701</v>
      </c>
      <c r="V641" s="6">
        <f>2*sigma/alpha*corel*(B641/12-1/alpha*(1-EXP(-alpha*Output!B641/12)))</f>
        <v>3.8201763382905685</v>
      </c>
      <c r="W641" s="5">
        <f t="shared" si="122"/>
        <v>-0.35697425963914942</v>
      </c>
      <c r="X641" s="1">
        <f t="shared" si="118"/>
        <v>89.558341779856505</v>
      </c>
      <c r="Y641" s="3">
        <f t="shared" si="123"/>
        <v>5.3746196023471735E-2</v>
      </c>
      <c r="Z641" s="1">
        <f t="shared" si="113"/>
        <v>0.17810832998560547</v>
      </c>
      <c r="AA641" s="8">
        <f t="shared" si="119"/>
        <v>52.416666666667062</v>
      </c>
      <c r="AB641" s="1">
        <v>52.5</v>
      </c>
      <c r="AC641">
        <v>9.423911024E-3</v>
      </c>
      <c r="AD641" s="8">
        <f t="shared" si="114"/>
        <v>5.5267000755281588</v>
      </c>
      <c r="AE641" s="3">
        <f t="shared" si="115"/>
        <v>5.8645503564849433E-2</v>
      </c>
      <c r="AF641" s="11">
        <f t="shared" si="116"/>
        <v>52.416666666667062</v>
      </c>
      <c r="AG641" s="1">
        <f t="shared" si="117"/>
        <v>0.17810832998560547</v>
      </c>
    </row>
    <row r="642" spans="2:33" ht="15" x14ac:dyDescent="0.25">
      <c r="B642" s="1">
        <v>631</v>
      </c>
      <c r="C642" s="1">
        <v>0.62715113101404263</v>
      </c>
      <c r="D642" s="1">
        <v>33.523298692591354</v>
      </c>
      <c r="E642" s="1">
        <v>2.9936534546760865E-3</v>
      </c>
      <c r="G642" s="1">
        <v>0.62715113101404263</v>
      </c>
      <c r="H642" s="1">
        <v>33.523298692591354</v>
      </c>
      <c r="I642" s="1">
        <v>2.9936534546760865E-3</v>
      </c>
      <c r="K642" s="1">
        <v>0.99937651896719204</v>
      </c>
      <c r="L642" s="1">
        <v>3.464653074273663</v>
      </c>
      <c r="M642" s="1">
        <v>0.25307651640004131</v>
      </c>
      <c r="O642" s="1">
        <v>8.8729203631259263E-3</v>
      </c>
      <c r="P642" s="1">
        <v>0.62715113101404263</v>
      </c>
      <c r="R642" s="1">
        <v>0.22701956944565391</v>
      </c>
      <c r="S642" s="2">
        <f t="shared" si="120"/>
        <v>1.2922452580576749</v>
      </c>
      <c r="T642" s="4">
        <f t="shared" si="121"/>
        <v>1.6698978069725467</v>
      </c>
      <c r="U642" s="1">
        <f t="shared" si="124"/>
        <v>1.3124737552583281</v>
      </c>
      <c r="V642" s="6">
        <f>2*sigma/alpha*corel*(B642/12-1/alpha*(1-EXP(-alpha*Output!B642/12)))</f>
        <v>3.8293195407823579</v>
      </c>
      <c r="W642" s="5">
        <f t="shared" si="122"/>
        <v>-0.35742405171421865</v>
      </c>
      <c r="X642" s="1">
        <f t="shared" si="118"/>
        <v>89.841880355974936</v>
      </c>
      <c r="Y642" s="3">
        <f t="shared" si="123"/>
        <v>5.3716413368253543E-2</v>
      </c>
      <c r="Z642" s="1">
        <f t="shared" si="113"/>
        <v>0.17820541257434713</v>
      </c>
      <c r="AA642" s="8">
        <f t="shared" si="119"/>
        <v>52.500000000000398</v>
      </c>
      <c r="AB642" s="1">
        <v>52.58</v>
      </c>
      <c r="AC642">
        <v>9.4236689100000003E-3</v>
      </c>
      <c r="AD642" s="8">
        <f t="shared" si="114"/>
        <v>5.5074854687407404</v>
      </c>
      <c r="AE642" s="3">
        <f t="shared" si="115"/>
        <v>5.8443112988577399E-2</v>
      </c>
      <c r="AF642" s="11">
        <f t="shared" si="116"/>
        <v>52.500000000000398</v>
      </c>
      <c r="AG642" s="1">
        <f t="shared" si="117"/>
        <v>0.17820541257434713</v>
      </c>
    </row>
    <row r="643" spans="2:33" ht="15" x14ac:dyDescent="0.25">
      <c r="B643" s="1">
        <v>632</v>
      </c>
      <c r="C643" s="1">
        <v>0.62663066489319508</v>
      </c>
      <c r="D643" s="1">
        <v>33.562678301728482</v>
      </c>
      <c r="E643" s="1">
        <v>2.9737123825383611E-3</v>
      </c>
      <c r="G643" s="1">
        <v>0.62663066489319508</v>
      </c>
      <c r="H643" s="1">
        <v>33.562678301728482</v>
      </c>
      <c r="I643" s="1">
        <v>2.9737123825383611E-3</v>
      </c>
      <c r="K643" s="1">
        <v>0.99950279135334785</v>
      </c>
      <c r="L643" s="1">
        <v>3.5397665460987446</v>
      </c>
      <c r="M643" s="1">
        <v>0.24766022555948608</v>
      </c>
      <c r="O643" s="1">
        <v>8.8746448692733678E-3</v>
      </c>
      <c r="P643" s="1">
        <v>0.62663066489319508</v>
      </c>
      <c r="R643" s="1">
        <v>0.22710824733301174</v>
      </c>
      <c r="S643" s="2">
        <f t="shared" si="120"/>
        <v>1.2939418768514208</v>
      </c>
      <c r="T643" s="4">
        <f t="shared" si="121"/>
        <v>1.6742855806697774</v>
      </c>
      <c r="U643" s="1">
        <f t="shared" si="124"/>
        <v>1.3164901872087085</v>
      </c>
      <c r="V643" s="6">
        <f>2*sigma/alpha*corel*(B643/12-1/alpha*(1-EXP(-alpha*Output!B643/12)))</f>
        <v>3.8384669810877834</v>
      </c>
      <c r="W643" s="5">
        <f t="shared" si="122"/>
        <v>-0.35779539346106892</v>
      </c>
      <c r="X643" s="1">
        <f t="shared" si="118"/>
        <v>90.109391654033018</v>
      </c>
      <c r="Y643" s="3">
        <f t="shared" si="123"/>
        <v>5.3678446471099032E-2</v>
      </c>
      <c r="Z643" s="1">
        <f t="shared" si="113"/>
        <v>0.17829815631229298</v>
      </c>
      <c r="AA643" s="8">
        <f t="shared" si="119"/>
        <v>52.583333333333734</v>
      </c>
      <c r="AB643" s="1">
        <v>52.67</v>
      </c>
      <c r="AC643">
        <v>9.4234275630000006E-3</v>
      </c>
      <c r="AD643" s="8">
        <f t="shared" si="114"/>
        <v>5.4878269372663286</v>
      </c>
      <c r="AE643" s="3">
        <f t="shared" si="115"/>
        <v>5.8235996409773942E-2</v>
      </c>
      <c r="AF643" s="11">
        <f t="shared" si="116"/>
        <v>52.583333333333734</v>
      </c>
      <c r="AG643" s="1">
        <f t="shared" si="117"/>
        <v>0.17829815631229298</v>
      </c>
    </row>
    <row r="644" spans="2:33" ht="15" x14ac:dyDescent="0.25">
      <c r="B644" s="1">
        <v>633</v>
      </c>
      <c r="C644" s="1">
        <v>0.62610318878551663</v>
      </c>
      <c r="D644" s="1">
        <v>33.584094572810315</v>
      </c>
      <c r="E644" s="1">
        <v>2.9553447409640336E-3</v>
      </c>
      <c r="G644" s="1">
        <v>0.62610318878551663</v>
      </c>
      <c r="H644" s="1">
        <v>33.584094572810315</v>
      </c>
      <c r="I644" s="1">
        <v>2.9553447409640336E-3</v>
      </c>
      <c r="K644" s="1">
        <v>0.99932691156395836</v>
      </c>
      <c r="L644" s="1">
        <v>3.4894332252458153</v>
      </c>
      <c r="M644" s="1">
        <v>0.2511659809113379</v>
      </c>
      <c r="O644" s="1">
        <v>8.8765892540447217E-3</v>
      </c>
      <c r="P644" s="1">
        <v>0.62610318878551663</v>
      </c>
      <c r="R644" s="1">
        <v>0.22715800086762206</v>
      </c>
      <c r="S644" s="2">
        <f t="shared" si="120"/>
        <v>1.2954963596219666</v>
      </c>
      <c r="T644" s="4">
        <f t="shared" si="121"/>
        <v>1.6783108177937678</v>
      </c>
      <c r="U644" s="1">
        <f t="shared" si="124"/>
        <v>1.320510329084863</v>
      </c>
      <c r="V644" s="6">
        <f>2*sigma/alpha*corel*(B644/12-1/alpha*(1-EXP(-alpha*Output!B644/12)))</f>
        <v>3.8476186451043177</v>
      </c>
      <c r="W644" s="5">
        <f t="shared" si="122"/>
        <v>-0.3578004887089048</v>
      </c>
      <c r="X644" s="1">
        <f t="shared" si="118"/>
        <v>90.300072355733306</v>
      </c>
      <c r="Y644" s="3">
        <f t="shared" si="123"/>
        <v>5.3602050963039105E-2</v>
      </c>
      <c r="Z644" s="1">
        <f t="shared" si="113"/>
        <v>0.17837129483393604</v>
      </c>
      <c r="AA644" s="8">
        <f t="shared" si="119"/>
        <v>52.666666666667069</v>
      </c>
      <c r="AB644" s="1">
        <v>52.75</v>
      </c>
      <c r="AC644">
        <v>9.4231869799999996E-3</v>
      </c>
      <c r="AD644" s="8">
        <f t="shared" si="114"/>
        <v>5.4659772595527789</v>
      </c>
      <c r="AE644" s="3">
        <f t="shared" si="115"/>
        <v>5.80056118079149E-2</v>
      </c>
      <c r="AF644" s="11">
        <f t="shared" si="116"/>
        <v>52.666666666667069</v>
      </c>
      <c r="AG644" s="1">
        <f t="shared" si="117"/>
        <v>0.17837129483393604</v>
      </c>
    </row>
    <row r="645" spans="2:33" ht="15" x14ac:dyDescent="0.25">
      <c r="B645" s="1">
        <v>634</v>
      </c>
      <c r="C645" s="1">
        <v>0.62557297595861405</v>
      </c>
      <c r="D645" s="1">
        <v>33.596505963379812</v>
      </c>
      <c r="E645" s="1">
        <v>2.9378066335673785E-3</v>
      </c>
      <c r="G645" s="1">
        <v>0.62557297595861405</v>
      </c>
      <c r="H645" s="1">
        <v>33.596505963379812</v>
      </c>
      <c r="I645" s="1">
        <v>2.9378066335673785E-3</v>
      </c>
      <c r="K645" s="1">
        <v>0.99945063107631593</v>
      </c>
      <c r="L645" s="1">
        <v>3.5141518043059428</v>
      </c>
      <c r="M645" s="1">
        <v>0.2493675352470712</v>
      </c>
      <c r="O645" s="1">
        <v>8.8786237415991124E-3</v>
      </c>
      <c r="P645" s="1">
        <v>0.62557297595861405</v>
      </c>
      <c r="R645" s="1">
        <v>0.22734400009262296</v>
      </c>
      <c r="S645" s="2">
        <f t="shared" si="120"/>
        <v>1.2976287757196452</v>
      </c>
      <c r="T645" s="4">
        <f t="shared" si="121"/>
        <v>1.6838404395756652</v>
      </c>
      <c r="U645" s="1">
        <f t="shared" si="124"/>
        <v>1.3245341702450366</v>
      </c>
      <c r="V645" s="6">
        <f>2*sigma/alpha*corel*(B645/12-1/alpha*(1-EXP(-alpha*Output!B645/12)))</f>
        <v>3.856774518776362</v>
      </c>
      <c r="W645" s="5">
        <f t="shared" si="122"/>
        <v>-0.35930626933062859</v>
      </c>
      <c r="X645" s="1">
        <f t="shared" si="118"/>
        <v>90.808101273888809</v>
      </c>
      <c r="Y645" s="3">
        <f t="shared" si="123"/>
        <v>5.3683475970820266E-2</v>
      </c>
      <c r="Z645" s="1">
        <f t="shared" si="113"/>
        <v>0.17852393946912909</v>
      </c>
      <c r="AA645" s="8">
        <f t="shared" si="119"/>
        <v>52.750000000000405</v>
      </c>
      <c r="AB645" s="1">
        <v>52.83</v>
      </c>
      <c r="AC645">
        <v>9.4229471570000008E-3</v>
      </c>
      <c r="AD645" s="8">
        <f t="shared" si="114"/>
        <v>5.4432341540088833</v>
      </c>
      <c r="AE645" s="3">
        <f t="shared" si="115"/>
        <v>5.776572937656009E-2</v>
      </c>
      <c r="AF645" s="11">
        <f t="shared" si="116"/>
        <v>52.750000000000405</v>
      </c>
      <c r="AG645" s="1">
        <f t="shared" si="117"/>
        <v>0.17852393946912909</v>
      </c>
    </row>
    <row r="646" spans="2:33" ht="15" x14ac:dyDescent="0.25">
      <c r="B646" s="1">
        <v>635</v>
      </c>
      <c r="C646" s="1">
        <v>0.62504496174966051</v>
      </c>
      <c r="D646" s="1">
        <v>33.608926530886606</v>
      </c>
      <c r="E646" s="1">
        <v>2.920390164125927E-3</v>
      </c>
      <c r="G646" s="1">
        <v>0.62504496174966051</v>
      </c>
      <c r="H646" s="1">
        <v>33.608926530886606</v>
      </c>
      <c r="I646" s="1">
        <v>2.920390164125927E-3</v>
      </c>
      <c r="K646" s="1">
        <v>0.99955433849004172</v>
      </c>
      <c r="L646" s="1">
        <v>3.4509937441741121</v>
      </c>
      <c r="M646" s="1">
        <v>0.25386389136791371</v>
      </c>
      <c r="O646" s="1">
        <v>8.8805989234724426E-3</v>
      </c>
      <c r="P646" s="1">
        <v>0.62504496174966051</v>
      </c>
      <c r="R646" s="1">
        <v>0.22744876221906637</v>
      </c>
      <c r="S646" s="2">
        <f t="shared" si="120"/>
        <v>1.2994192341796544</v>
      </c>
      <c r="T646" s="4">
        <f t="shared" si="121"/>
        <v>1.6884903461560397</v>
      </c>
      <c r="U646" s="1">
        <f t="shared" si="124"/>
        <v>1.3285617000715648</v>
      </c>
      <c r="V646" s="6">
        <f>2*sigma/alpha*corel*(B646/12-1/alpha*(1-EXP(-alpha*Output!B646/12)))</f>
        <v>3.8659345880950915</v>
      </c>
      <c r="W646" s="5">
        <f t="shared" si="122"/>
        <v>-0.35992864608447483</v>
      </c>
      <c r="X646" s="1">
        <f t="shared" si="118"/>
        <v>91.130346993977142</v>
      </c>
      <c r="Y646" s="3">
        <f t="shared" si="123"/>
        <v>5.3672003340124529E-2</v>
      </c>
      <c r="Z646" s="1">
        <f t="shared" si="113"/>
        <v>0.17862944601178254</v>
      </c>
      <c r="AA646" s="8">
        <f t="shared" si="119"/>
        <v>52.833333333333741</v>
      </c>
      <c r="AB646" s="1">
        <v>52.92</v>
      </c>
      <c r="AC646">
        <v>9.4227080909999993E-3</v>
      </c>
      <c r="AD646" s="8">
        <f t="shared" si="114"/>
        <v>5.4210916752755676</v>
      </c>
      <c r="AE646" s="3">
        <f t="shared" si="115"/>
        <v>5.7532204361222514E-2</v>
      </c>
      <c r="AF646" s="11">
        <f t="shared" si="116"/>
        <v>52.833333333333741</v>
      </c>
      <c r="AG646" s="1">
        <f t="shared" si="117"/>
        <v>0.17862944601178254</v>
      </c>
    </row>
    <row r="647" spans="2:33" ht="15" x14ac:dyDescent="0.25">
      <c r="B647" s="1">
        <v>636</v>
      </c>
      <c r="C647" s="1">
        <v>0.62452013830666753</v>
      </c>
      <c r="D647" s="1">
        <v>33.611185802635113</v>
      </c>
      <c r="E647" s="1">
        <v>2.9040220705677361E-3</v>
      </c>
      <c r="G647" s="1">
        <v>0.62452013830666753</v>
      </c>
      <c r="H647" s="1">
        <v>33.611185802635113</v>
      </c>
      <c r="I647" s="1">
        <v>2.9040220705677361E-3</v>
      </c>
      <c r="K647" s="1">
        <v>0.99933695567113079</v>
      </c>
      <c r="L647" s="1">
        <v>3.4358329240635022</v>
      </c>
      <c r="M647" s="1">
        <v>0.25492952628716353</v>
      </c>
      <c r="O647" s="1">
        <v>8.8824849593979668E-3</v>
      </c>
      <c r="P647" s="1">
        <v>0.62452013830666753</v>
      </c>
      <c r="R647" s="1">
        <v>0.22741538036148146</v>
      </c>
      <c r="S647" s="2">
        <f t="shared" si="120"/>
        <v>1.3006259838236167</v>
      </c>
      <c r="T647" s="4">
        <f t="shared" si="121"/>
        <v>1.6916279497971509</v>
      </c>
      <c r="U647" s="1">
        <f t="shared" si="124"/>
        <v>1.3325929079708709</v>
      </c>
      <c r="V647" s="6">
        <f>2*sigma/alpha*corel*(B647/12-1/alpha*(1-EXP(-alpha*Output!B647/12)))</f>
        <v>3.8750988390983023</v>
      </c>
      <c r="W647" s="5">
        <f t="shared" si="122"/>
        <v>-0.35903504182627999</v>
      </c>
      <c r="X647" s="1">
        <f t="shared" si="118"/>
        <v>91.131819879952374</v>
      </c>
      <c r="Y647" s="3">
        <f t="shared" si="123"/>
        <v>5.3501885979425484E-2</v>
      </c>
      <c r="Z647" s="1">
        <f t="shared" si="113"/>
        <v>0.17865471862433049</v>
      </c>
      <c r="AA647" s="8">
        <f t="shared" si="119"/>
        <v>52.916666666667076</v>
      </c>
      <c r="AB647" s="1">
        <v>53</v>
      </c>
      <c r="AC647">
        <v>9.4224697780000005E-3</v>
      </c>
      <c r="AD647" s="8">
        <f t="shared" si="114"/>
        <v>5.3998481860203364</v>
      </c>
      <c r="AE647" s="3">
        <f t="shared" si="115"/>
        <v>5.7308203828131572E-2</v>
      </c>
      <c r="AF647" s="11">
        <f t="shared" si="116"/>
        <v>52.916666666667076</v>
      </c>
      <c r="AG647" s="1">
        <f t="shared" si="117"/>
        <v>0.17865471862433049</v>
      </c>
    </row>
    <row r="648" spans="2:33" ht="15" x14ac:dyDescent="0.25">
      <c r="B648" s="1">
        <v>637</v>
      </c>
      <c r="C648" s="1">
        <v>0.62399941906420775</v>
      </c>
      <c r="D648" s="1">
        <v>33.615705257496302</v>
      </c>
      <c r="E648" s="1">
        <v>2.8875028875028877E-3</v>
      </c>
      <c r="G648" s="1">
        <v>0.62399941906420775</v>
      </c>
      <c r="H648" s="1">
        <v>33.615705257496302</v>
      </c>
      <c r="I648" s="1">
        <v>2.8875028875028877E-3</v>
      </c>
      <c r="K648" s="1">
        <v>0.99936005277127438</v>
      </c>
      <c r="L648" s="1">
        <v>3.4769013645540006</v>
      </c>
      <c r="M648" s="1">
        <v>0.25185967740726833</v>
      </c>
      <c r="O648" s="1">
        <v>8.884254472841243E-3</v>
      </c>
      <c r="P648" s="1">
        <v>0.62399941906420775</v>
      </c>
      <c r="R648" s="1">
        <v>0.22746661136586904</v>
      </c>
      <c r="S648" s="2">
        <f t="shared" si="120"/>
        <v>1.3021779166395151</v>
      </c>
      <c r="T648" s="4">
        <f t="shared" si="121"/>
        <v>1.695667326583628</v>
      </c>
      <c r="U648" s="1">
        <f t="shared" si="124"/>
        <v>1.3366277833734559</v>
      </c>
      <c r="V648" s="6">
        <f>2*sigma/alpha*corel*(B648/12-1/alpha*(1-EXP(-alpha*Output!B648/12)))</f>
        <v>3.8842672578702508</v>
      </c>
      <c r="W648" s="5">
        <f t="shared" si="122"/>
        <v>-0.35903954321017206</v>
      </c>
      <c r="X648" s="1">
        <f t="shared" si="118"/>
        <v>91.323595138856078</v>
      </c>
      <c r="Y648" s="3">
        <f t="shared" si="123"/>
        <v>5.3426097632311972E-2</v>
      </c>
      <c r="Z648" s="1">
        <f t="shared" si="113"/>
        <v>0.1787274391862059</v>
      </c>
      <c r="AA648" s="8">
        <f t="shared" si="119"/>
        <v>53.000000000000412</v>
      </c>
      <c r="AB648" s="1">
        <v>53.08</v>
      </c>
      <c r="AC648">
        <v>9.4222322149999996E-3</v>
      </c>
      <c r="AD648" s="8">
        <f t="shared" si="114"/>
        <v>5.3797774215875656</v>
      </c>
      <c r="AE648" s="3">
        <f t="shared" si="115"/>
        <v>5.7096633778809552E-2</v>
      </c>
      <c r="AF648" s="11">
        <f t="shared" si="116"/>
        <v>53.000000000000412</v>
      </c>
      <c r="AG648" s="1">
        <f t="shared" si="117"/>
        <v>0.1787274391862059</v>
      </c>
    </row>
    <row r="649" spans="2:33" ht="15" x14ac:dyDescent="0.25">
      <c r="B649" s="1">
        <v>638</v>
      </c>
      <c r="C649" s="1">
        <v>0.62347920901962739</v>
      </c>
      <c r="D649" s="1">
        <v>33.627009213800527</v>
      </c>
      <c r="E649" s="1">
        <v>2.8704288420690052E-3</v>
      </c>
      <c r="G649" s="1">
        <v>0.62347920901962739</v>
      </c>
      <c r="H649" s="1">
        <v>33.627009213800527</v>
      </c>
      <c r="I649" s="1">
        <v>2.8704288420690052E-3</v>
      </c>
      <c r="K649" s="1">
        <v>0.99939244150392659</v>
      </c>
      <c r="L649" s="1">
        <v>3.5280872904090641</v>
      </c>
      <c r="M649" s="1">
        <v>0.24816429572021725</v>
      </c>
      <c r="O649" s="1">
        <v>8.8860161758505495E-3</v>
      </c>
      <c r="P649" s="1">
        <v>0.62347920901962739</v>
      </c>
      <c r="R649" s="1">
        <v>0.22764417098858652</v>
      </c>
      <c r="S649" s="2">
        <f t="shared" si="120"/>
        <v>1.3042602189647472</v>
      </c>
      <c r="T649" s="4">
        <f t="shared" si="121"/>
        <v>1.7010947187739702</v>
      </c>
      <c r="U649" s="1">
        <f t="shared" si="124"/>
        <v>1.3406663157338969</v>
      </c>
      <c r="V649" s="6">
        <f>2*sigma/alpha*corel*(B649/12-1/alpha*(1-EXP(-alpha*Output!B649/12)))</f>
        <v>3.893439830541503</v>
      </c>
      <c r="W649" s="5">
        <f t="shared" si="122"/>
        <v>-0.36042840304007329</v>
      </c>
      <c r="X649" s="1">
        <f t="shared" si="118"/>
        <v>91.809980760569303</v>
      </c>
      <c r="Y649" s="3">
        <f t="shared" si="123"/>
        <v>5.3495103371137817E-2</v>
      </c>
      <c r="Z649" s="1">
        <f t="shared" si="113"/>
        <v>0.178872893284202</v>
      </c>
      <c r="AA649" s="8">
        <f t="shared" si="119"/>
        <v>53.083333333333748</v>
      </c>
      <c r="AB649" s="1">
        <v>53.17</v>
      </c>
      <c r="AC649">
        <v>9.4219953969999996E-3</v>
      </c>
      <c r="AD649" s="8">
        <f t="shared" si="114"/>
        <v>5.3597922114945007</v>
      </c>
      <c r="AE649" s="3">
        <f t="shared" si="115"/>
        <v>5.688595659048061E-2</v>
      </c>
      <c r="AF649" s="11">
        <f t="shared" si="116"/>
        <v>53.083333333333748</v>
      </c>
      <c r="AG649" s="1">
        <f t="shared" si="117"/>
        <v>0.178872893284202</v>
      </c>
    </row>
    <row r="650" spans="2:33" ht="15" x14ac:dyDescent="0.25">
      <c r="B650" s="1">
        <v>639</v>
      </c>
      <c r="C650" s="1">
        <v>0.62295672816809788</v>
      </c>
      <c r="D650" s="1">
        <v>33.637189276464063</v>
      </c>
      <c r="E650" s="1">
        <v>2.85363696030591E-3</v>
      </c>
      <c r="G650" s="1">
        <v>0.62295672816809788</v>
      </c>
      <c r="H650" s="1">
        <v>33.637189276464063</v>
      </c>
      <c r="I650" s="1">
        <v>2.85363696030591E-3</v>
      </c>
      <c r="K650" s="1">
        <v>0.99922302414754594</v>
      </c>
      <c r="L650" s="1">
        <v>3.57619974656963</v>
      </c>
      <c r="M650" s="1">
        <v>0.2447753285578862</v>
      </c>
      <c r="O650" s="1">
        <v>8.8878538929767319E-3</v>
      </c>
      <c r="P650" s="1">
        <v>0.62295672816809788</v>
      </c>
      <c r="R650" s="1">
        <v>0.22773690655954335</v>
      </c>
      <c r="S650" s="2">
        <f t="shared" si="120"/>
        <v>1.3059954805818388</v>
      </c>
      <c r="T650" s="4">
        <f t="shared" si="121"/>
        <v>1.7056241953001881</v>
      </c>
      <c r="U650" s="1">
        <f t="shared" si="124"/>
        <v>1.3447084945308392</v>
      </c>
      <c r="V650" s="6">
        <f>2*sigma/alpha*corel*(B650/12-1/alpha*(1-EXP(-alpha*Output!B650/12)))</f>
        <v>3.9026165432887798</v>
      </c>
      <c r="W650" s="5">
        <f t="shared" si="122"/>
        <v>-0.36091570076934887</v>
      </c>
      <c r="X650" s="1">
        <f t="shared" si="118"/>
        <v>92.105460147822583</v>
      </c>
      <c r="Y650" s="3">
        <f t="shared" si="123"/>
        <v>5.3469881868731833E-2</v>
      </c>
      <c r="Z650" s="1">
        <f t="shared" si="113"/>
        <v>0.17897067167609146</v>
      </c>
      <c r="AA650" s="8">
        <f t="shared" si="119"/>
        <v>53.166666666667084</v>
      </c>
      <c r="AB650" s="1">
        <v>53.25</v>
      </c>
      <c r="AC650">
        <v>9.4217593219999996E-3</v>
      </c>
      <c r="AD650" s="8">
        <f t="shared" si="114"/>
        <v>5.3390542902326779</v>
      </c>
      <c r="AE650" s="3">
        <f t="shared" si="115"/>
        <v>5.6667275269554784E-2</v>
      </c>
      <c r="AF650" s="11">
        <f t="shared" si="116"/>
        <v>53.166666666667084</v>
      </c>
      <c r="AG650" s="1">
        <f t="shared" si="117"/>
        <v>0.17897067167609146</v>
      </c>
    </row>
    <row r="651" spans="2:33" ht="15" x14ac:dyDescent="0.25">
      <c r="B651" s="1">
        <v>640</v>
      </c>
      <c r="C651" s="1">
        <v>0.62243794416477016</v>
      </c>
      <c r="D651" s="1">
        <v>33.646243396924731</v>
      </c>
      <c r="E651" s="1">
        <v>2.8369599137564186E-3</v>
      </c>
      <c r="G651" s="1">
        <v>0.62243794416477016</v>
      </c>
      <c r="H651" s="1">
        <v>33.646243396924731</v>
      </c>
      <c r="I651" s="1">
        <v>2.8369599137564186E-3</v>
      </c>
      <c r="K651" s="1">
        <v>0.99923966926644137</v>
      </c>
      <c r="L651" s="1">
        <v>3.5533107359536276</v>
      </c>
      <c r="M651" s="1">
        <v>0.24629491424116187</v>
      </c>
      <c r="O651" s="1">
        <v>8.8895876943972142E-3</v>
      </c>
      <c r="P651" s="1">
        <v>0.62243794416477016</v>
      </c>
      <c r="R651" s="1">
        <v>0.2279362554787864</v>
      </c>
      <c r="S651" s="2">
        <f t="shared" si="120"/>
        <v>1.308171580080715</v>
      </c>
      <c r="T651" s="4">
        <f t="shared" si="121"/>
        <v>1.7113128829308746</v>
      </c>
      <c r="U651" s="1">
        <f t="shared" si="124"/>
        <v>1.3487543092669894</v>
      </c>
      <c r="V651" s="6">
        <f>2*sigma/alpha*corel*(B651/12-1/alpha*(1-EXP(-alpha*Output!B651/12)))</f>
        <v>3.9117973823348038</v>
      </c>
      <c r="W651" s="5">
        <f t="shared" si="122"/>
        <v>-0.36255857366388522</v>
      </c>
      <c r="X651" s="1">
        <f t="shared" si="118"/>
        <v>92.647987808736929</v>
      </c>
      <c r="Y651" s="3">
        <f t="shared" si="123"/>
        <v>5.3564860252842905E-2</v>
      </c>
      <c r="Z651" s="1">
        <f t="shared" si="113"/>
        <v>0.17912877087434584</v>
      </c>
      <c r="AA651" s="8">
        <f t="shared" si="119"/>
        <v>53.250000000000419</v>
      </c>
      <c r="AB651" s="1">
        <v>53.33</v>
      </c>
      <c r="AC651">
        <v>9.4215239849999993E-3</v>
      </c>
      <c r="AD651" s="8">
        <f t="shared" si="114"/>
        <v>5.3193629060278509</v>
      </c>
      <c r="AE651" s="3">
        <f t="shared" si="115"/>
        <v>5.6459686506098207E-2</v>
      </c>
      <c r="AF651" s="11">
        <f t="shared" si="116"/>
        <v>53.250000000000419</v>
      </c>
      <c r="AG651" s="1">
        <f t="shared" si="117"/>
        <v>0.17912877087434584</v>
      </c>
    </row>
    <row r="652" spans="2:33" ht="15" x14ac:dyDescent="0.25">
      <c r="B652" s="1">
        <v>641</v>
      </c>
      <c r="C652" s="1">
        <v>0.62192037878050566</v>
      </c>
      <c r="D652" s="1">
        <v>33.653037186606092</v>
      </c>
      <c r="E652" s="1">
        <v>2.8205562136853386E-3</v>
      </c>
      <c r="G652" s="1">
        <v>0.62192037878050566</v>
      </c>
      <c r="H652" s="1">
        <v>33.653037186606092</v>
      </c>
      <c r="I652" s="1">
        <v>2.8205562136853386E-3</v>
      </c>
      <c r="K652" s="1">
        <v>0.99927130984816248</v>
      </c>
      <c r="L652" s="1">
        <v>3.5234514089384126</v>
      </c>
      <c r="M652" s="1">
        <v>0.24833335983379903</v>
      </c>
      <c r="O652" s="1">
        <v>8.8912924086402677E-3</v>
      </c>
      <c r="P652" s="1">
        <v>0.62192037878050566</v>
      </c>
      <c r="R652" s="1">
        <v>0.22801277739851258</v>
      </c>
      <c r="S652" s="2">
        <f t="shared" si="120"/>
        <v>1.3098312010388968</v>
      </c>
      <c r="T652" s="4">
        <f t="shared" si="121"/>
        <v>1.7156577752149991</v>
      </c>
      <c r="U652" s="1">
        <f t="shared" si="124"/>
        <v>1.3528037494691065</v>
      </c>
      <c r="V652" s="6">
        <f>2*sigma/alpha*corel*(B652/12-1/alpha*(1-EXP(-alpha*Output!B652/12)))</f>
        <v>3.9209823339481416</v>
      </c>
      <c r="W652" s="5">
        <f t="shared" si="122"/>
        <v>-0.36285402574589254</v>
      </c>
      <c r="X652" s="1">
        <f t="shared" si="118"/>
        <v>92.903912630839116</v>
      </c>
      <c r="Y652" s="3">
        <f t="shared" si="123"/>
        <v>5.3519674647835608E-2</v>
      </c>
      <c r="Z652" s="1">
        <f t="shared" si="113"/>
        <v>0.17921606593147921</v>
      </c>
      <c r="AA652" s="8">
        <f t="shared" si="119"/>
        <v>53.333333333333755</v>
      </c>
      <c r="AB652" s="1">
        <v>53.42</v>
      </c>
      <c r="AC652">
        <v>9.421289385E-3</v>
      </c>
      <c r="AD652" s="8">
        <f t="shared" si="114"/>
        <v>5.2999697635973222</v>
      </c>
      <c r="AE652" s="3">
        <f t="shared" si="115"/>
        <v>5.6255248586627747E-2</v>
      </c>
      <c r="AF652" s="11">
        <f t="shared" si="116"/>
        <v>53.333333333333755</v>
      </c>
      <c r="AG652" s="1">
        <f t="shared" si="117"/>
        <v>0.17921606593147921</v>
      </c>
    </row>
    <row r="653" spans="2:33" ht="15" x14ac:dyDescent="0.25">
      <c r="B653" s="1">
        <v>642</v>
      </c>
      <c r="C653" s="1">
        <v>0.621399657306689</v>
      </c>
      <c r="D653" s="1">
        <v>33.66096674296486</v>
      </c>
      <c r="E653" s="1">
        <v>2.8041838422927005E-3</v>
      </c>
      <c r="G653" s="1">
        <v>0.621399657306689</v>
      </c>
      <c r="H653" s="1">
        <v>33.66096674296486</v>
      </c>
      <c r="I653" s="1">
        <v>2.8041838422927005E-3</v>
      </c>
      <c r="K653" s="1">
        <v>0.9993376431491755</v>
      </c>
      <c r="L653" s="1">
        <v>3.4674972078476505</v>
      </c>
      <c r="M653" s="1">
        <v>0.25228532578301138</v>
      </c>
      <c r="O653" s="1">
        <v>8.8930996917607145E-3</v>
      </c>
      <c r="P653" s="1">
        <v>0.621399657306689</v>
      </c>
      <c r="R653" s="1">
        <v>0.22808956610043957</v>
      </c>
      <c r="S653" s="2">
        <f t="shared" si="120"/>
        <v>1.3115023662095615</v>
      </c>
      <c r="T653" s="4">
        <f t="shared" si="121"/>
        <v>1.7200384565732787</v>
      </c>
      <c r="U653" s="1">
        <f t="shared" si="124"/>
        <v>1.3568568046879981</v>
      </c>
      <c r="V653" s="6">
        <f>2*sigma/alpha*corel*(B653/12-1/alpha*(1-EXP(-alpha*Output!B653/12)))</f>
        <v>3.9301713844430601</v>
      </c>
      <c r="W653" s="5">
        <f t="shared" si="122"/>
        <v>-0.36318165188528062</v>
      </c>
      <c r="X653" s="1">
        <f t="shared" si="118"/>
        <v>93.167120614545127</v>
      </c>
      <c r="Y653" s="3">
        <f t="shared" si="123"/>
        <v>5.347794661322279E-2</v>
      </c>
      <c r="Z653" s="1">
        <f t="shared" ref="Z653:Z716" si="125">S653/SQRT(B653/12)</f>
        <v>0.17930491216008049</v>
      </c>
      <c r="AA653" s="8">
        <f t="shared" si="119"/>
        <v>53.416666666667091</v>
      </c>
      <c r="AB653" s="1">
        <v>53.5</v>
      </c>
      <c r="AC653">
        <v>9.4210555160000008E-3</v>
      </c>
      <c r="AD653" s="8">
        <f t="shared" ref="AD653:AD716" si="126">(AC653-O653)*10000</f>
        <v>5.2795582423928629</v>
      </c>
      <c r="AE653" s="3">
        <f t="shared" ref="AE653:AE716" si="127">AD653/AC653/10000</f>
        <v>5.6039986532575518E-2</v>
      </c>
      <c r="AF653" s="11">
        <f t="shared" ref="AF653:AF716" si="128">AA653</f>
        <v>53.416666666667091</v>
      </c>
      <c r="AG653" s="1">
        <f t="shared" ref="AG653:AG716" si="129">Z653</f>
        <v>0.17930491216008049</v>
      </c>
    </row>
    <row r="654" spans="2:33" ht="15" x14ac:dyDescent="0.25">
      <c r="B654" s="1">
        <v>643</v>
      </c>
      <c r="C654" s="1">
        <v>0.6208791447917964</v>
      </c>
      <c r="D654" s="1">
        <v>33.673435027107111</v>
      </c>
      <c r="E654" s="1">
        <v>2.7875341472933042E-3</v>
      </c>
      <c r="G654" s="1">
        <v>0.6208791447917964</v>
      </c>
      <c r="H654" s="1">
        <v>33.673435027107111</v>
      </c>
      <c r="I654" s="1">
        <v>2.7875341472933042E-3</v>
      </c>
      <c r="K654" s="1">
        <v>0.99925491758107077</v>
      </c>
      <c r="L654" s="1">
        <v>3.4555662524145077</v>
      </c>
      <c r="M654" s="1">
        <v>0.25311219535418217</v>
      </c>
      <c r="O654" s="1">
        <v>8.8949081776093595E-3</v>
      </c>
      <c r="P654" s="1">
        <v>0.6208791447917964</v>
      </c>
      <c r="R654" s="1">
        <v>0.22818867158235454</v>
      </c>
      <c r="S654" s="2">
        <f t="shared" si="120"/>
        <v>1.313269334837732</v>
      </c>
      <c r="T654" s="4">
        <f t="shared" si="121"/>
        <v>1.7246763458251391</v>
      </c>
      <c r="U654" s="1">
        <f t="shared" si="124"/>
        <v>1.3609134644985073</v>
      </c>
      <c r="V654" s="6">
        <f>2*sigma/alpha*corel*(B654/12-1/alpha*(1-EXP(-alpha*Output!B654/12)))</f>
        <v>3.9393645201793661</v>
      </c>
      <c r="W654" s="5">
        <f t="shared" si="122"/>
        <v>-0.36376288132663182</v>
      </c>
      <c r="X654" s="1">
        <f t="shared" ref="X654:X717" si="130">V654*V654-4*W654*B654/12</f>
        <v>93.485103720522758</v>
      </c>
      <c r="Y654" s="3">
        <f t="shared" si="123"/>
        <v>5.3462565944987051E-2</v>
      </c>
      <c r="Z654" s="1">
        <f t="shared" si="125"/>
        <v>0.17940681657028643</v>
      </c>
      <c r="AA654" s="8">
        <f t="shared" ref="AA654:AA717" si="131">AA653+1/12</f>
        <v>53.500000000000426</v>
      </c>
      <c r="AB654" s="1">
        <v>53.58</v>
      </c>
      <c r="AC654">
        <v>9.4208223760000008E-3</v>
      </c>
      <c r="AD654" s="8">
        <f t="shared" si="126"/>
        <v>5.2591419839064129</v>
      </c>
      <c r="AE654" s="3">
        <f t="shared" si="127"/>
        <v>5.5824659185851236E-2</v>
      </c>
      <c r="AF654" s="11">
        <f t="shared" si="128"/>
        <v>53.500000000000426</v>
      </c>
      <c r="AG654" s="1">
        <f t="shared" si="129"/>
        <v>0.17940681657028643</v>
      </c>
    </row>
    <row r="655" spans="2:33" ht="15" x14ac:dyDescent="0.25">
      <c r="B655" s="1">
        <v>644</v>
      </c>
      <c r="C655" s="1">
        <v>0.6203638807292231</v>
      </c>
      <c r="D655" s="1">
        <v>33.694992924051483</v>
      </c>
      <c r="E655" s="1">
        <v>2.7701598382226652E-3</v>
      </c>
      <c r="G655" s="1">
        <v>0.6203638807292231</v>
      </c>
      <c r="H655" s="1">
        <v>33.694992924051483</v>
      </c>
      <c r="I655" s="1">
        <v>2.7701598382226652E-3</v>
      </c>
      <c r="K655" s="1">
        <v>0.99913737469836816</v>
      </c>
      <c r="L655" s="1">
        <v>3.480934889637016</v>
      </c>
      <c r="M655" s="1">
        <v>0.25121765899923326</v>
      </c>
      <c r="O655" s="1">
        <v>8.896566497553866E-3</v>
      </c>
      <c r="P655" s="1">
        <v>0.6203638807292231</v>
      </c>
      <c r="R655" s="1">
        <v>0.22842341935350291</v>
      </c>
      <c r="S655" s="2">
        <f t="shared" si="120"/>
        <v>1.3155975364078525</v>
      </c>
      <c r="T655" s="4">
        <f t="shared" si="121"/>
        <v>1.7307968778024108</v>
      </c>
      <c r="U655" s="1">
        <f t="shared" si="124"/>
        <v>1.3649737184995088</v>
      </c>
      <c r="V655" s="6">
        <f>2*sigma/alpha*corel*(B655/12-1/alpha*(1-EXP(-alpha*Output!B655/12)))</f>
        <v>3.9485617275622582</v>
      </c>
      <c r="W655" s="5">
        <f t="shared" si="122"/>
        <v>-0.36582315930290199</v>
      </c>
      <c r="X655" s="1">
        <f t="shared" si="130"/>
        <v>94.121177913392401</v>
      </c>
      <c r="Y655" s="3">
        <f t="shared" si="123"/>
        <v>5.3599800449660603E-2</v>
      </c>
      <c r="Z655" s="1">
        <f t="shared" si="125"/>
        <v>0.17958528196771528</v>
      </c>
      <c r="AA655" s="8">
        <f t="shared" si="131"/>
        <v>53.583333333333762</v>
      </c>
      <c r="AB655" s="1">
        <v>53.67</v>
      </c>
      <c r="AC655">
        <v>9.4205899610000001E-3</v>
      </c>
      <c r="AD655" s="8">
        <f t="shared" si="126"/>
        <v>5.2402346344613413</v>
      </c>
      <c r="AE655" s="3">
        <f t="shared" si="127"/>
        <v>5.5625334041235444E-2</v>
      </c>
      <c r="AF655" s="11">
        <f t="shared" si="128"/>
        <v>53.583333333333762</v>
      </c>
      <c r="AG655" s="1">
        <f t="shared" si="129"/>
        <v>0.17958528196771528</v>
      </c>
    </row>
    <row r="656" spans="2:33" ht="15" x14ac:dyDescent="0.25">
      <c r="B656" s="1">
        <v>645</v>
      </c>
      <c r="C656" s="1">
        <v>0.61985034417553408</v>
      </c>
      <c r="D656" s="1">
        <v>33.727950352457086</v>
      </c>
      <c r="E656" s="1">
        <v>2.7520158516113054E-3</v>
      </c>
      <c r="G656" s="1">
        <v>0.61985034417553408</v>
      </c>
      <c r="H656" s="1">
        <v>33.727950352457086</v>
      </c>
      <c r="I656" s="1">
        <v>2.7520158516113054E-3</v>
      </c>
      <c r="K656" s="1">
        <v>0.99922099667425923</v>
      </c>
      <c r="L656" s="1">
        <v>3.4623811702466947</v>
      </c>
      <c r="M656" s="1">
        <v>0.25250599337071822</v>
      </c>
      <c r="O656" s="1">
        <v>8.8981806593854892E-3</v>
      </c>
      <c r="P656" s="1">
        <v>0.61985034417553408</v>
      </c>
      <c r="R656" s="1">
        <v>0.22853359358676456</v>
      </c>
      <c r="S656" s="2">
        <f t="shared" si="120"/>
        <v>1.3173986560864075</v>
      </c>
      <c r="T656" s="4">
        <f t="shared" si="121"/>
        <v>1.7355392190582726</v>
      </c>
      <c r="U656" s="1">
        <f t="shared" si="124"/>
        <v>1.3690375563138959</v>
      </c>
      <c r="V656" s="6">
        <f>2*sigma/alpha*corel*(B656/12-1/alpha*(1-EXP(-alpha*Output!B656/12)))</f>
        <v>3.957762993042178</v>
      </c>
      <c r="W656" s="5">
        <f t="shared" si="122"/>
        <v>-0.36650166274437668</v>
      </c>
      <c r="X656" s="1">
        <f t="shared" si="130"/>
        <v>94.461745399135168</v>
      </c>
      <c r="Y656" s="3">
        <f t="shared" si="123"/>
        <v>5.3594234893465653E-2</v>
      </c>
      <c r="Z656" s="1">
        <f t="shared" si="125"/>
        <v>0.17969168525538778</v>
      </c>
      <c r="AA656" s="8">
        <f t="shared" si="131"/>
        <v>53.666666666667098</v>
      </c>
      <c r="AB656" s="1">
        <v>53.75</v>
      </c>
      <c r="AC656">
        <v>9.4203582680000009E-3</v>
      </c>
      <c r="AD656" s="8">
        <f t="shared" si="126"/>
        <v>5.2217760861451161</v>
      </c>
      <c r="AE656" s="3">
        <f t="shared" si="127"/>
        <v>5.5430758975303078E-2</v>
      </c>
      <c r="AF656" s="11">
        <f t="shared" si="128"/>
        <v>53.666666666667098</v>
      </c>
      <c r="AG656" s="1">
        <f t="shared" si="129"/>
        <v>0.17969168525538778</v>
      </c>
    </row>
    <row r="657" spans="2:33" ht="15" x14ac:dyDescent="0.25">
      <c r="B657" s="1">
        <v>646</v>
      </c>
      <c r="C657" s="1">
        <v>0.61933668924467244</v>
      </c>
      <c r="D657" s="1">
        <v>33.756413718606531</v>
      </c>
      <c r="E657" s="1">
        <v>2.7343322760581862E-3</v>
      </c>
      <c r="G657" s="1">
        <v>0.61933668924467244</v>
      </c>
      <c r="H657" s="1">
        <v>33.756413718606531</v>
      </c>
      <c r="I657" s="1">
        <v>2.7343322760581862E-3</v>
      </c>
      <c r="K657" s="1">
        <v>0.99926213029515087</v>
      </c>
      <c r="L657" s="1">
        <v>3.5019219908088695</v>
      </c>
      <c r="M657" s="1">
        <v>0.24961050430053472</v>
      </c>
      <c r="O657" s="1">
        <v>8.8998061245414567E-3</v>
      </c>
      <c r="P657" s="1">
        <v>0.61933668924467244</v>
      </c>
      <c r="R657" s="1">
        <v>0.22859579458291013</v>
      </c>
      <c r="S657" s="2">
        <f t="shared" si="120"/>
        <v>1.3189997478495832</v>
      </c>
      <c r="T657" s="4">
        <f t="shared" si="121"/>
        <v>1.7397603348272641</v>
      </c>
      <c r="U657" s="1">
        <f t="shared" si="124"/>
        <v>1.3731049675885738</v>
      </c>
      <c r="V657" s="6">
        <f>2*sigma/alpha*corel*(B657/12-1/alpha*(1-EXP(-alpha*Output!B657/12)))</f>
        <v>3.9669683031146543</v>
      </c>
      <c r="W657" s="5">
        <f t="shared" si="122"/>
        <v>-0.3666553672386903</v>
      </c>
      <c r="X657" s="1">
        <f t="shared" si="130"/>
        <v>94.689959929981001</v>
      </c>
      <c r="Y657" s="3">
        <f t="shared" si="123"/>
        <v>5.3534752234270296E-2</v>
      </c>
      <c r="Z657" s="1">
        <f t="shared" si="125"/>
        <v>0.17977076914647649</v>
      </c>
      <c r="AA657" s="8">
        <f t="shared" si="131"/>
        <v>53.750000000000433</v>
      </c>
      <c r="AB657" s="1">
        <v>53.83</v>
      </c>
      <c r="AC657">
        <v>9.4201272929999996E-3</v>
      </c>
      <c r="AD657" s="8">
        <f t="shared" si="126"/>
        <v>5.2032116845854297</v>
      </c>
      <c r="AE657" s="3">
        <f t="shared" si="127"/>
        <v>5.523504643564512E-2</v>
      </c>
      <c r="AF657" s="11">
        <f t="shared" si="128"/>
        <v>53.750000000000433</v>
      </c>
      <c r="AG657" s="1">
        <f t="shared" si="129"/>
        <v>0.17977076914647649</v>
      </c>
    </row>
    <row r="658" spans="2:33" ht="15" x14ac:dyDescent="0.25">
      <c r="B658" s="1">
        <v>647</v>
      </c>
      <c r="C658" s="1">
        <v>0.61882041219345041</v>
      </c>
      <c r="D658" s="1">
        <v>33.781501249915543</v>
      </c>
      <c r="E658" s="1">
        <v>2.7170221437304715E-3</v>
      </c>
      <c r="G658" s="1">
        <v>0.61882041219345041</v>
      </c>
      <c r="H658" s="1">
        <v>33.781501249915543</v>
      </c>
      <c r="I658" s="1">
        <v>2.7170221437304715E-3</v>
      </c>
      <c r="K658" s="1">
        <v>0.99915139648229145</v>
      </c>
      <c r="L658" s="1">
        <v>3.4753346568195127</v>
      </c>
      <c r="M658" s="1">
        <v>0.25145691908596168</v>
      </c>
      <c r="O658" s="1">
        <v>8.9015179120120278E-3</v>
      </c>
      <c r="P658" s="1">
        <v>0.61882041219345041</v>
      </c>
      <c r="R658" s="1">
        <v>0.22867843278398944</v>
      </c>
      <c r="S658" s="2">
        <f t="shared" si="120"/>
        <v>1.3206963287183442</v>
      </c>
      <c r="T658" s="4">
        <f t="shared" si="121"/>
        <v>1.7442387926901126</v>
      </c>
      <c r="U658" s="1">
        <f t="shared" si="124"/>
        <v>1.3771759419944467</v>
      </c>
      <c r="V658" s="6">
        <f>2*sigma/alpha*corel*(B658/12-1/alpha*(1-EXP(-alpha*Output!B658/12)))</f>
        <v>3.9761776443201557</v>
      </c>
      <c r="W658" s="5">
        <f t="shared" si="122"/>
        <v>-0.36706285069566591</v>
      </c>
      <c r="X658" s="1">
        <f t="shared" si="130"/>
        <v>94.973210125890006</v>
      </c>
      <c r="Y658" s="3">
        <f t="shared" si="123"/>
        <v>5.3501474300248375E-2</v>
      </c>
      <c r="Z658" s="1">
        <f t="shared" si="125"/>
        <v>0.17986284278229059</v>
      </c>
      <c r="AA658" s="8">
        <f t="shared" si="131"/>
        <v>53.833333333333769</v>
      </c>
      <c r="AB658" s="1">
        <v>53.92</v>
      </c>
      <c r="AC658">
        <v>9.4198970340000007E-3</v>
      </c>
      <c r="AD658" s="8">
        <f t="shared" si="126"/>
        <v>5.1837912198797289</v>
      </c>
      <c r="AE658" s="3">
        <f t="shared" si="127"/>
        <v>5.5030232296270853E-2</v>
      </c>
      <c r="AF658" s="11">
        <f t="shared" si="128"/>
        <v>53.833333333333769</v>
      </c>
      <c r="AG658" s="1">
        <f t="shared" si="129"/>
        <v>0.17986284278229059</v>
      </c>
    </row>
    <row r="659" spans="2:33" ht="15" x14ac:dyDescent="0.25">
      <c r="B659" s="1">
        <v>648</v>
      </c>
      <c r="C659" s="1">
        <v>0.61830490442487751</v>
      </c>
      <c r="D659" s="1">
        <v>33.811198268866647</v>
      </c>
      <c r="E659" s="1">
        <v>2.6994924954108629E-3</v>
      </c>
      <c r="G659" s="1">
        <v>0.61830490442487751</v>
      </c>
      <c r="H659" s="1">
        <v>33.811198268866647</v>
      </c>
      <c r="I659" s="1">
        <v>2.6994924954108629E-3</v>
      </c>
      <c r="K659" s="1">
        <v>0.99908514983371466</v>
      </c>
      <c r="L659" s="1">
        <v>3.4972700735280591</v>
      </c>
      <c r="M659" s="1">
        <v>0.24983872888421044</v>
      </c>
      <c r="O659" s="1">
        <v>8.903214265500517E-3</v>
      </c>
      <c r="P659" s="1">
        <v>0.61830490442487751</v>
      </c>
      <c r="R659" s="1">
        <v>0.22888470264455887</v>
      </c>
      <c r="S659" s="2">
        <f t="shared" si="120"/>
        <v>1.3229171680834548</v>
      </c>
      <c r="T659" s="4">
        <f t="shared" si="121"/>
        <v>1.7501098336099479</v>
      </c>
      <c r="U659" s="1">
        <f t="shared" si="124"/>
        <v>1.3812504692264111</v>
      </c>
      <c r="V659" s="6">
        <f>2*sigma/alpha*corel*(B659/12-1/alpha*(1-EXP(-alpha*Output!B659/12)))</f>
        <v>3.985391003243945</v>
      </c>
      <c r="W659" s="5">
        <f t="shared" si="122"/>
        <v>-0.36885936438353673</v>
      </c>
      <c r="X659" s="1">
        <f t="shared" si="130"/>
        <v>95.55696415558171</v>
      </c>
      <c r="Y659" s="3">
        <f t="shared" si="123"/>
        <v>5.3610493007969003E-2</v>
      </c>
      <c r="Z659" s="1">
        <f t="shared" si="125"/>
        <v>0.18002622409845512</v>
      </c>
      <c r="AA659" s="8">
        <f t="shared" si="131"/>
        <v>53.916666666667105</v>
      </c>
      <c r="AB659" s="1">
        <v>54</v>
      </c>
      <c r="AC659">
        <v>9.4196674860000003E-3</v>
      </c>
      <c r="AD659" s="8">
        <f t="shared" si="126"/>
        <v>5.164532204994833</v>
      </c>
      <c r="AE659" s="3">
        <f t="shared" si="127"/>
        <v>5.4827117970678151E-2</v>
      </c>
      <c r="AF659" s="11">
        <f t="shared" si="128"/>
        <v>53.916666666667105</v>
      </c>
      <c r="AG659" s="1">
        <f t="shared" si="129"/>
        <v>0.18002622409845512</v>
      </c>
    </row>
    <row r="660" spans="2:33" ht="15" x14ac:dyDescent="0.25">
      <c r="B660" s="1">
        <v>649</v>
      </c>
      <c r="C660" s="1">
        <v>0.61778666805348303</v>
      </c>
      <c r="D660" s="1">
        <v>33.843238121023418</v>
      </c>
      <c r="E660" s="1">
        <v>2.681756013837861E-3</v>
      </c>
      <c r="G660" s="1">
        <v>0.61778666805348303</v>
      </c>
      <c r="H660" s="1">
        <v>33.843238121023418</v>
      </c>
      <c r="I660" s="1">
        <v>2.681756013837861E-3</v>
      </c>
      <c r="K660" s="1">
        <v>0.99908050728215458</v>
      </c>
      <c r="L660" s="1">
        <v>3.5342200210911505</v>
      </c>
      <c r="M660" s="1">
        <v>0.24717207016723353</v>
      </c>
      <c r="O660" s="1">
        <v>8.9049999095818563E-3</v>
      </c>
      <c r="P660" s="1">
        <v>0.61778666805348303</v>
      </c>
      <c r="R660" s="1">
        <v>0.22898872169815554</v>
      </c>
      <c r="S660" s="2">
        <f t="shared" si="120"/>
        <v>1.3247148062919447</v>
      </c>
      <c r="T660" s="4">
        <f t="shared" si="121"/>
        <v>1.7548693180091046</v>
      </c>
      <c r="U660" s="1">
        <f t="shared" si="124"/>
        <v>1.3853285390033414</v>
      </c>
      <c r="V660" s="6">
        <f>2*sigma/alpha*corel*(B660/12-1/alpha*(1-EXP(-alpha*Output!B660/12)))</f>
        <v>3.9946083665159229</v>
      </c>
      <c r="W660" s="5">
        <f t="shared" si="122"/>
        <v>-0.36954077900576321</v>
      </c>
      <c r="X660" s="1">
        <f t="shared" si="130"/>
        <v>95.900884526752449</v>
      </c>
      <c r="Y660" s="3">
        <f t="shared" si="123"/>
        <v>5.3605158703550905E-2</v>
      </c>
      <c r="Z660" s="1">
        <f t="shared" si="125"/>
        <v>0.18013191458039707</v>
      </c>
      <c r="AA660" s="8">
        <f t="shared" si="131"/>
        <v>54.000000000000441</v>
      </c>
      <c r="AB660" s="1">
        <v>54.08</v>
      </c>
      <c r="AC660">
        <v>9.4194386469999992E-3</v>
      </c>
      <c r="AD660" s="8">
        <f t="shared" si="126"/>
        <v>5.144387374181429</v>
      </c>
      <c r="AE660" s="3">
        <f t="shared" si="127"/>
        <v>5.4614585507384426E-2</v>
      </c>
      <c r="AF660" s="11">
        <f t="shared" si="128"/>
        <v>54.000000000000441</v>
      </c>
      <c r="AG660" s="1">
        <f t="shared" si="129"/>
        <v>0.18013191458039707</v>
      </c>
    </row>
    <row r="661" spans="2:33" ht="15" x14ac:dyDescent="0.25">
      <c r="B661" s="1">
        <v>650</v>
      </c>
      <c r="C661" s="1">
        <v>0.61727502663360645</v>
      </c>
      <c r="D661" s="1">
        <v>33.873043831718718</v>
      </c>
      <c r="E661" s="1">
        <v>2.6643930512629224E-3</v>
      </c>
      <c r="G661" s="1">
        <v>0.61727502663360645</v>
      </c>
      <c r="H661" s="1">
        <v>33.873043831718718</v>
      </c>
      <c r="I661" s="1">
        <v>2.6643930512629224E-3</v>
      </c>
      <c r="K661" s="1">
        <v>0.99909679130765994</v>
      </c>
      <c r="L661" s="1">
        <v>3.5272900963034459</v>
      </c>
      <c r="M661" s="1">
        <v>0.24760485320967099</v>
      </c>
      <c r="O661" s="1">
        <v>8.9065958068126443E-3</v>
      </c>
      <c r="P661" s="1">
        <v>0.61727502663360645</v>
      </c>
      <c r="R661" s="1">
        <v>0.22908939568432735</v>
      </c>
      <c r="S661" s="2">
        <f t="shared" si="120"/>
        <v>1.3264834896298547</v>
      </c>
      <c r="T661" s="4">
        <f t="shared" si="121"/>
        <v>1.759558448260597</v>
      </c>
      <c r="U661" s="1">
        <f t="shared" si="124"/>
        <v>1.3894101410680806</v>
      </c>
      <c r="V661" s="6">
        <f>2*sigma/alpha*corel*(B661/12-1/alpha*(1-EXP(-alpha*Output!B661/12)))</f>
        <v>4.0038297208104821</v>
      </c>
      <c r="W661" s="5">
        <f t="shared" si="122"/>
        <v>-0.37014830719251646</v>
      </c>
      <c r="X661" s="1">
        <f t="shared" si="130"/>
        <v>96.229452324957236</v>
      </c>
      <c r="Y661" s="3">
        <f t="shared" si="123"/>
        <v>5.3592290325971154E-2</v>
      </c>
      <c r="Z661" s="1">
        <f t="shared" si="125"/>
        <v>0.18023361497758386</v>
      </c>
      <c r="AA661" s="8">
        <f t="shared" si="131"/>
        <v>54.083333333333776</v>
      </c>
      <c r="AB661" s="1">
        <v>54.17</v>
      </c>
      <c r="AC661">
        <v>9.4192105129999992E-3</v>
      </c>
      <c r="AD661" s="8">
        <f t="shared" si="126"/>
        <v>5.1261470618735494</v>
      </c>
      <c r="AE661" s="3">
        <f t="shared" si="127"/>
        <v>5.4422258158458782E-2</v>
      </c>
      <c r="AF661" s="11">
        <f t="shared" si="128"/>
        <v>54.083333333333776</v>
      </c>
      <c r="AG661" s="1">
        <f t="shared" si="129"/>
        <v>0.18023361497758386</v>
      </c>
    </row>
    <row r="662" spans="2:33" ht="15" x14ac:dyDescent="0.25">
      <c r="B662" s="1">
        <v>651</v>
      </c>
      <c r="C662" s="1">
        <v>0.61676389607315962</v>
      </c>
      <c r="D662" s="1">
        <v>33.896007050369469</v>
      </c>
      <c r="E662" s="1">
        <v>2.6476740183748577E-3</v>
      </c>
      <c r="G662" s="1">
        <v>0.61676389607315962</v>
      </c>
      <c r="H662" s="1">
        <v>33.896007050369469</v>
      </c>
      <c r="I662" s="1">
        <v>2.6476740183748577E-3</v>
      </c>
      <c r="K662" s="1">
        <v>0.99915963488672388</v>
      </c>
      <c r="L662" s="1">
        <v>3.5734359129960001</v>
      </c>
      <c r="M662" s="1">
        <v>0.24434180116993198</v>
      </c>
      <c r="O662" s="1">
        <v>8.9081841972082736E-3</v>
      </c>
      <c r="P662" s="1">
        <v>0.61676389607315962</v>
      </c>
      <c r="R662" s="1">
        <v>0.22926240583394877</v>
      </c>
      <c r="S662" s="2">
        <f t="shared" si="120"/>
        <v>1.3285608658862273</v>
      </c>
      <c r="T662" s="4">
        <f t="shared" si="121"/>
        <v>1.7650739743643622</v>
      </c>
      <c r="U662" s="1">
        <f t="shared" si="124"/>
        <v>1.3934952651874286</v>
      </c>
      <c r="V662" s="6">
        <f>2*sigma/alpha*corel*(B662/12-1/alpha*(1-EXP(-alpha*Output!B662/12)))</f>
        <v>4.0130550528463642</v>
      </c>
      <c r="W662" s="5">
        <f t="shared" si="122"/>
        <v>-0.37157870917693359</v>
      </c>
      <c r="X662" s="1">
        <f t="shared" si="130"/>
        <v>96.737190748570328</v>
      </c>
      <c r="Y662" s="3">
        <f t="shared" si="123"/>
        <v>5.3663148213918731E-2</v>
      </c>
      <c r="Z662" s="1">
        <f t="shared" si="125"/>
        <v>0.18037717647955018</v>
      </c>
      <c r="AA662" s="8">
        <f t="shared" si="131"/>
        <v>54.166666666667112</v>
      </c>
      <c r="AB662" s="1">
        <v>54.25</v>
      </c>
      <c r="AC662">
        <v>9.4189830810000007E-3</v>
      </c>
      <c r="AD662" s="8">
        <f t="shared" si="126"/>
        <v>5.1079888379172713</v>
      </c>
      <c r="AE662" s="3">
        <f t="shared" si="127"/>
        <v>5.4230788971488031E-2</v>
      </c>
      <c r="AF662" s="11">
        <f t="shared" si="128"/>
        <v>54.166666666667112</v>
      </c>
      <c r="AG662" s="1">
        <f t="shared" si="129"/>
        <v>0.18037717647955018</v>
      </c>
    </row>
    <row r="663" spans="2:33" ht="15" x14ac:dyDescent="0.25">
      <c r="B663" s="1">
        <v>652</v>
      </c>
      <c r="C663" s="1">
        <v>0.61625372734433304</v>
      </c>
      <c r="D663" s="1">
        <v>33.916700583367252</v>
      </c>
      <c r="E663" s="1">
        <v>2.6311635004999212E-3</v>
      </c>
      <c r="G663" s="1">
        <v>0.61625372734433304</v>
      </c>
      <c r="H663" s="1">
        <v>33.916700583367252</v>
      </c>
      <c r="I663" s="1">
        <v>2.6311635004999212E-3</v>
      </c>
      <c r="K663" s="1">
        <v>0.99919512838054503</v>
      </c>
      <c r="L663" s="1">
        <v>3.5421614839312139</v>
      </c>
      <c r="M663" s="1">
        <v>0.24646159161379039</v>
      </c>
      <c r="O663" s="1">
        <v>8.9097516297163958E-3</v>
      </c>
      <c r="P663" s="1">
        <v>0.61625372734433304</v>
      </c>
      <c r="R663" s="1">
        <v>0.22933190045482571</v>
      </c>
      <c r="S663" s="2">
        <f t="shared" ref="S663:S726" si="132">optim_vol_implied(P663,R663)</f>
        <v>1.3301982541825581</v>
      </c>
      <c r="T663" s="4">
        <f t="shared" ref="T663:T726" si="133">S663*S663</f>
        <v>1.7694273954303255</v>
      </c>
      <c r="U663" s="1">
        <f t="shared" si="124"/>
        <v>1.397583901152128</v>
      </c>
      <c r="V663" s="6">
        <f>2*sigma/alpha*corel*(B663/12-1/alpha*(1-EXP(-alpha*Output!B663/12)))</f>
        <v>4.0222843493865046</v>
      </c>
      <c r="W663" s="5">
        <f t="shared" ref="W663:W726" si="134">U663-T663</f>
        <v>-0.37184349427819741</v>
      </c>
      <c r="X663" s="1">
        <f t="shared" si="130"/>
        <v>96.992757477114523</v>
      </c>
      <c r="Y663" s="3">
        <f t="shared" ref="Y663:Y726" si="135">(-V663+SQRT(X663))/2/B663*12</f>
        <v>5.3615390449271542E-2</v>
      </c>
      <c r="Z663" s="1">
        <f t="shared" si="125"/>
        <v>0.1804609331189253</v>
      </c>
      <c r="AA663" s="8">
        <f t="shared" si="131"/>
        <v>54.250000000000448</v>
      </c>
      <c r="AB663" s="1">
        <v>54.33</v>
      </c>
      <c r="AC663">
        <v>9.4187563480000007E-3</v>
      </c>
      <c r="AD663" s="8">
        <f t="shared" si="126"/>
        <v>5.0900471828360487</v>
      </c>
      <c r="AE663" s="3">
        <f t="shared" si="127"/>
        <v>5.4041605863569035E-2</v>
      </c>
      <c r="AF663" s="11">
        <f t="shared" si="128"/>
        <v>54.250000000000448</v>
      </c>
      <c r="AG663" s="1">
        <f t="shared" si="129"/>
        <v>0.1804609331189253</v>
      </c>
    </row>
    <row r="664" spans="2:33" ht="15" x14ac:dyDescent="0.25">
      <c r="B664" s="1">
        <v>653</v>
      </c>
      <c r="C664" s="1">
        <v>0.61574014508453534</v>
      </c>
      <c r="D664" s="1">
        <v>33.935116058096916</v>
      </c>
      <c r="E664" s="1">
        <v>2.6149943777620875E-3</v>
      </c>
      <c r="G664" s="1">
        <v>0.61574014508453534</v>
      </c>
      <c r="H664" s="1">
        <v>33.935116058096916</v>
      </c>
      <c r="I664" s="1">
        <v>2.6149943777620875E-3</v>
      </c>
      <c r="K664" s="1">
        <v>0.99913180277367697</v>
      </c>
      <c r="L664" s="1">
        <v>3.4938217402496576</v>
      </c>
      <c r="M664" s="1">
        <v>0.24980586753293885</v>
      </c>
      <c r="O664" s="1">
        <v>8.9114287322092315E-3</v>
      </c>
      <c r="P664" s="1">
        <v>0.61574014508453534</v>
      </c>
      <c r="R664" s="1">
        <v>0.22950753946683564</v>
      </c>
      <c r="S664" s="2">
        <f t="shared" si="132"/>
        <v>1.3322991139967819</v>
      </c>
      <c r="T664" s="4">
        <f t="shared" si="133"/>
        <v>1.7750209291566101</v>
      </c>
      <c r="U664" s="1">
        <f t="shared" si="124"/>
        <v>1.4016760387768556</v>
      </c>
      <c r="V664" s="6">
        <f>2*sigma/alpha*corel*(B664/12-1/alpha*(1-EXP(-alpha*Output!B664/12)))</f>
        <v>4.0315175972378867</v>
      </c>
      <c r="W664" s="5">
        <f t="shared" si="134"/>
        <v>-0.37334489037975449</v>
      </c>
      <c r="X664" s="1">
        <f t="shared" si="130"/>
        <v>97.51787194283196</v>
      </c>
      <c r="Y664" s="3">
        <f t="shared" si="135"/>
        <v>5.369307355005272E-2</v>
      </c>
      <c r="Z664" s="1">
        <f t="shared" si="125"/>
        <v>0.18060749599848072</v>
      </c>
      <c r="AA664" s="8">
        <f t="shared" si="131"/>
        <v>54.333333333333783</v>
      </c>
      <c r="AB664" s="1">
        <v>54.42</v>
      </c>
      <c r="AC664">
        <v>9.4185303109999997E-3</v>
      </c>
      <c r="AD664" s="8">
        <f t="shared" si="126"/>
        <v>5.0710157879076814</v>
      </c>
      <c r="AE664" s="3">
        <f t="shared" si="127"/>
        <v>5.3840839498973524E-2</v>
      </c>
      <c r="AF664" s="11">
        <f t="shared" si="128"/>
        <v>54.333333333333783</v>
      </c>
      <c r="AG664" s="1">
        <f t="shared" si="129"/>
        <v>0.18060749599848072</v>
      </c>
    </row>
    <row r="665" spans="2:33" ht="15" x14ac:dyDescent="0.25">
      <c r="B665" s="1">
        <v>654</v>
      </c>
      <c r="C665" s="1">
        <v>0.61522300008637298</v>
      </c>
      <c r="D665" s="1">
        <v>33.955857385398978</v>
      </c>
      <c r="E665" s="1">
        <v>2.5986850653569294E-3</v>
      </c>
      <c r="G665" s="1">
        <v>0.61522300008637298</v>
      </c>
      <c r="H665" s="1">
        <v>33.955857385398978</v>
      </c>
      <c r="I665" s="1">
        <v>2.5986850653569294E-3</v>
      </c>
      <c r="K665" s="1">
        <v>0.99922034084834921</v>
      </c>
      <c r="L665" s="1">
        <v>3.4688754598289027</v>
      </c>
      <c r="M665" s="1">
        <v>0.25156010374337595</v>
      </c>
      <c r="O665" s="1">
        <v>8.9132197272163705E-3</v>
      </c>
      <c r="P665" s="1">
        <v>0.61522300008637298</v>
      </c>
      <c r="R665" s="1">
        <v>0.22961486315278806</v>
      </c>
      <c r="S665" s="2">
        <f t="shared" si="132"/>
        <v>1.334121185595927</v>
      </c>
      <c r="T665" s="4">
        <f t="shared" si="133"/>
        <v>1.7798793378558817</v>
      </c>
      <c r="U665" s="1">
        <f t="shared" si="124"/>
        <v>1.4057716679002059</v>
      </c>
      <c r="V665" s="6">
        <f>2*sigma/alpha*corel*(B665/12-1/alpha*(1-EXP(-alpha*Output!B665/12)))</f>
        <v>4.0407547832514057</v>
      </c>
      <c r="W665" s="5">
        <f t="shared" si="134"/>
        <v>-0.37410766995567579</v>
      </c>
      <c r="X665" s="1">
        <f t="shared" si="130"/>
        <v>97.883171268706434</v>
      </c>
      <c r="Y665" s="3">
        <f t="shared" si="135"/>
        <v>5.369575827237448E-2</v>
      </c>
      <c r="Z665" s="1">
        <f t="shared" si="125"/>
        <v>0.18071617657094191</v>
      </c>
      <c r="AA665" s="8">
        <f t="shared" si="131"/>
        <v>54.416666666667119</v>
      </c>
      <c r="AB665" s="1">
        <v>54.5</v>
      </c>
      <c r="AC665">
        <v>9.4183049659999993E-3</v>
      </c>
      <c r="AD665" s="8">
        <f t="shared" si="126"/>
        <v>5.0508523878362892</v>
      </c>
      <c r="AE665" s="3">
        <f t="shared" si="127"/>
        <v>5.3628040354074577E-2</v>
      </c>
      <c r="AF665" s="11">
        <f t="shared" si="128"/>
        <v>54.416666666667119</v>
      </c>
      <c r="AG665" s="1">
        <f t="shared" si="129"/>
        <v>0.18071617657094191</v>
      </c>
    </row>
    <row r="666" spans="2:33" ht="15" x14ac:dyDescent="0.25">
      <c r="B666" s="1">
        <v>655</v>
      </c>
      <c r="C666" s="1">
        <v>0.61470632333460562</v>
      </c>
      <c r="D666" s="1">
        <v>33.98124235422047</v>
      </c>
      <c r="E666" s="1">
        <v>2.5821778087639115E-3</v>
      </c>
      <c r="G666" s="1">
        <v>0.61470632333460562</v>
      </c>
      <c r="H666" s="1">
        <v>33.98124235422047</v>
      </c>
      <c r="I666" s="1">
        <v>2.5821778087639115E-3</v>
      </c>
      <c r="K666" s="1">
        <v>0.99915356227143204</v>
      </c>
      <c r="L666" s="1">
        <v>3.4439850626147446</v>
      </c>
      <c r="M666" s="1">
        <v>0.25332807472757102</v>
      </c>
      <c r="O666" s="1">
        <v>8.9150042429168904E-3</v>
      </c>
      <c r="P666" s="1">
        <v>0.61470632333460562</v>
      </c>
      <c r="R666" s="1">
        <v>0.22973597769904991</v>
      </c>
      <c r="S666" s="2">
        <f t="shared" si="132"/>
        <v>1.3360035279823455</v>
      </c>
      <c r="T666" s="4">
        <f t="shared" si="133"/>
        <v>1.7849054267812736</v>
      </c>
      <c r="U666" s="1">
        <f t="shared" si="124"/>
        <v>1.4098707783846791</v>
      </c>
      <c r="V666" s="6">
        <f>2*sigma/alpha*corel*(B666/12-1/alpha*(1-EXP(-alpha*Output!B666/12)))</f>
        <v>4.0499958943217056</v>
      </c>
      <c r="W666" s="5">
        <f t="shared" si="134"/>
        <v>-0.37503464839659451</v>
      </c>
      <c r="X666" s="1">
        <f t="shared" si="130"/>
        <v>98.285031643945814</v>
      </c>
      <c r="Y666" s="3">
        <f t="shared" si="135"/>
        <v>5.3714975832056096E-2</v>
      </c>
      <c r="Z666" s="1">
        <f t="shared" si="125"/>
        <v>0.18083295451110171</v>
      </c>
      <c r="AA666" s="8">
        <f t="shared" si="131"/>
        <v>54.500000000000455</v>
      </c>
      <c r="AB666" s="1">
        <v>54.58</v>
      </c>
      <c r="AC666">
        <v>9.4180803100000002E-3</v>
      </c>
      <c r="AD666" s="8">
        <f t="shared" si="126"/>
        <v>5.0307606708310981</v>
      </c>
      <c r="AE666" s="3">
        <f t="shared" si="127"/>
        <v>5.3415988240082209E-2</v>
      </c>
      <c r="AF666" s="11">
        <f t="shared" si="128"/>
        <v>54.500000000000455</v>
      </c>
      <c r="AG666" s="1">
        <f t="shared" si="129"/>
        <v>0.18083295451110171</v>
      </c>
    </row>
    <row r="667" spans="2:33" ht="15" x14ac:dyDescent="0.25">
      <c r="B667" s="1">
        <v>656</v>
      </c>
      <c r="C667" s="1">
        <v>0.61418715728857765</v>
      </c>
      <c r="D667" s="1">
        <v>34.005508892440574</v>
      </c>
      <c r="E667" s="1">
        <v>2.5658131061733463E-3</v>
      </c>
      <c r="G667" s="1">
        <v>0.61418715728857765</v>
      </c>
      <c r="H667" s="1">
        <v>34.005508892440574</v>
      </c>
      <c r="I667" s="1">
        <v>2.5658131061733463E-3</v>
      </c>
      <c r="K667" s="1">
        <v>0.99913975519237919</v>
      </c>
      <c r="L667" s="1">
        <v>3.4918497558003625</v>
      </c>
      <c r="M667" s="1">
        <v>0.24980130749795315</v>
      </c>
      <c r="O667" s="1">
        <v>8.916870381423957E-3</v>
      </c>
      <c r="P667" s="1">
        <v>0.61418715728857765</v>
      </c>
      <c r="R667" s="1">
        <v>0.22989500675034233</v>
      </c>
      <c r="S667" s="2">
        <f t="shared" si="132"/>
        <v>1.3380573031919012</v>
      </c>
      <c r="T667" s="4">
        <f t="shared" si="133"/>
        <v>1.7903973466251835</v>
      </c>
      <c r="U667" s="1">
        <f t="shared" si="124"/>
        <v>1.4139733601166657</v>
      </c>
      <c r="V667" s="6">
        <f>2*sigma/alpha*corel*(B667/12-1/alpha*(1-EXP(-alpha*Output!B667/12)))</f>
        <v>4.0592409173870454</v>
      </c>
      <c r="W667" s="5">
        <f t="shared" si="134"/>
        <v>-0.37642398650851772</v>
      </c>
      <c r="X667" s="1">
        <f t="shared" si="130"/>
        <v>98.788815208585092</v>
      </c>
      <c r="Y667" s="3">
        <f t="shared" si="135"/>
        <v>5.378062822873074E-2</v>
      </c>
      <c r="Z667" s="1">
        <f t="shared" si="125"/>
        <v>0.18097284595996971</v>
      </c>
      <c r="AA667" s="8">
        <f t="shared" si="131"/>
        <v>54.58333333333379</v>
      </c>
      <c r="AB667" s="1">
        <v>54.67</v>
      </c>
      <c r="AC667">
        <v>9.4178563399999991E-3</v>
      </c>
      <c r="AD667" s="8">
        <f t="shared" si="126"/>
        <v>5.0098595857604211</v>
      </c>
      <c r="AE667" s="3">
        <f t="shared" si="127"/>
        <v>5.3195328160637691E-2</v>
      </c>
      <c r="AF667" s="11">
        <f t="shared" si="128"/>
        <v>54.58333333333379</v>
      </c>
      <c r="AG667" s="1">
        <f t="shared" si="129"/>
        <v>0.18097284595996971</v>
      </c>
    </row>
    <row r="668" spans="2:33" ht="15" x14ac:dyDescent="0.25">
      <c r="B668" s="1">
        <v>657</v>
      </c>
      <c r="C668" s="1">
        <v>0.61367059605822394</v>
      </c>
      <c r="D668" s="1">
        <v>34.028652125089323</v>
      </c>
      <c r="E668" s="1">
        <v>2.5496545218122945E-3</v>
      </c>
      <c r="G668" s="1">
        <v>0.61367059605822394</v>
      </c>
      <c r="H668" s="1">
        <v>34.028652125089323</v>
      </c>
      <c r="I668" s="1">
        <v>2.5496545218122945E-3</v>
      </c>
      <c r="K668" s="1">
        <v>0.99899525404856249</v>
      </c>
      <c r="L668" s="1">
        <v>3.4561462461340038</v>
      </c>
      <c r="M668" s="1">
        <v>0.25231929301235673</v>
      </c>
      <c r="O668" s="1">
        <v>8.9186663616614616E-3</v>
      </c>
      <c r="P668" s="1">
        <v>0.61367059605822394</v>
      </c>
      <c r="R668" s="1">
        <v>0.22991821868208448</v>
      </c>
      <c r="S668" s="2">
        <f t="shared" si="132"/>
        <v>1.339526049280219</v>
      </c>
      <c r="T668" s="4">
        <f t="shared" si="133"/>
        <v>1.7943300367002717</v>
      </c>
      <c r="U668" s="1">
        <f t="shared" si="124"/>
        <v>1.4180794030064385</v>
      </c>
      <c r="V668" s="6">
        <f>2*sigma/alpha*corel*(B668/12-1/alpha*(1-EXP(-alpha*Output!B668/12)))</f>
        <v>4.0684898394291533</v>
      </c>
      <c r="W668" s="5">
        <f t="shared" si="134"/>
        <v>-0.37625063369383316</v>
      </c>
      <c r="X668" s="1">
        <f t="shared" si="130"/>
        <v>98.951498352487718</v>
      </c>
      <c r="Y668" s="3">
        <f t="shared" si="135"/>
        <v>5.3689013091812871E-2</v>
      </c>
      <c r="Z668" s="1">
        <f t="shared" si="125"/>
        <v>0.18103356416768715</v>
      </c>
      <c r="AA668" s="8">
        <f t="shared" si="131"/>
        <v>54.666666666667126</v>
      </c>
      <c r="AB668" s="1">
        <v>54.75</v>
      </c>
      <c r="AC668">
        <v>9.4176330519999997E-3</v>
      </c>
      <c r="AD668" s="8">
        <f t="shared" si="126"/>
        <v>4.9896669033853804</v>
      </c>
      <c r="AE668" s="3">
        <f t="shared" si="127"/>
        <v>5.2982175837969575E-2</v>
      </c>
      <c r="AF668" s="11">
        <f t="shared" si="128"/>
        <v>54.666666666667126</v>
      </c>
      <c r="AG668" s="1">
        <f t="shared" si="129"/>
        <v>0.18103356416768715</v>
      </c>
    </row>
    <row r="669" spans="2:33" ht="15" x14ac:dyDescent="0.25">
      <c r="B669" s="1">
        <v>658</v>
      </c>
      <c r="C669" s="1">
        <v>0.61315469924010435</v>
      </c>
      <c r="D669" s="1">
        <v>34.046030232874848</v>
      </c>
      <c r="E669" s="1">
        <v>2.5340192078655956E-3</v>
      </c>
      <c r="G669" s="1">
        <v>0.61315469924010435</v>
      </c>
      <c r="H669" s="1">
        <v>34.046030232874848</v>
      </c>
      <c r="I669" s="1">
        <v>2.5340192078655956E-3</v>
      </c>
      <c r="K669" s="1">
        <v>0.99895442353424646</v>
      </c>
      <c r="L669" s="1">
        <v>3.4667059759380794</v>
      </c>
      <c r="M669" s="1">
        <v>0.25150351982391789</v>
      </c>
      <c r="O669" s="1">
        <v>8.9204500433079925E-3</v>
      </c>
      <c r="P669" s="1">
        <v>0.61315469924010435</v>
      </c>
      <c r="R669" s="1">
        <v>0.23005914852993706</v>
      </c>
      <c r="S669" s="2">
        <f t="shared" si="132"/>
        <v>1.3414992184434815</v>
      </c>
      <c r="T669" s="4">
        <f t="shared" si="133"/>
        <v>1.7996201530844718</v>
      </c>
      <c r="U669" s="1">
        <f t="shared" si="124"/>
        <v>1.422188896988128</v>
      </c>
      <c r="V669" s="6">
        <f>2*sigma/alpha*corel*(B669/12-1/alpha*(1-EXP(-alpha*Output!B669/12)))</f>
        <v>4.077742647473074</v>
      </c>
      <c r="W669" s="5">
        <f t="shared" si="134"/>
        <v>-0.37743125609634376</v>
      </c>
      <c r="X669" s="1">
        <f t="shared" si="130"/>
        <v>99.411240602818779</v>
      </c>
      <c r="Y669" s="3">
        <f t="shared" si="135"/>
        <v>5.3733519072394237E-2</v>
      </c>
      <c r="Z669" s="1">
        <f t="shared" si="125"/>
        <v>0.18116241448212542</v>
      </c>
      <c r="AA669" s="8">
        <f t="shared" si="131"/>
        <v>54.750000000000462</v>
      </c>
      <c r="AB669" s="1">
        <v>54.83</v>
      </c>
      <c r="AC669">
        <v>9.4174104449999997E-3</v>
      </c>
      <c r="AD669" s="8">
        <f t="shared" si="126"/>
        <v>4.9696040169200719</v>
      </c>
      <c r="AE669" s="3">
        <f t="shared" si="127"/>
        <v>5.2770387846465712E-2</v>
      </c>
      <c r="AF669" s="11">
        <f t="shared" si="128"/>
        <v>54.750000000000462</v>
      </c>
      <c r="AG669" s="1">
        <f t="shared" si="129"/>
        <v>0.18116241448212542</v>
      </c>
    </row>
    <row r="670" spans="2:33" ht="15" x14ac:dyDescent="0.25">
      <c r="B670" s="1">
        <v>659</v>
      </c>
      <c r="C670" s="1">
        <v>0.61263998372385498</v>
      </c>
      <c r="D670" s="1">
        <v>34.062265821922473</v>
      </c>
      <c r="E670" s="1">
        <v>2.5185744868404481E-3</v>
      </c>
      <c r="G670" s="1">
        <v>0.61263998372385498</v>
      </c>
      <c r="H670" s="1">
        <v>34.062265821922473</v>
      </c>
      <c r="I670" s="1">
        <v>2.5185744868404481E-3</v>
      </c>
      <c r="K670" s="1">
        <v>0.99890125211944414</v>
      </c>
      <c r="L670" s="1">
        <v>3.4331560983728</v>
      </c>
      <c r="M670" s="1">
        <v>0.25391251561996925</v>
      </c>
      <c r="O670" s="1">
        <v>8.9222060908111418E-3</v>
      </c>
      <c r="P670" s="1">
        <v>0.61263998372385498</v>
      </c>
      <c r="R670" s="1">
        <v>0.23014352285208062</v>
      </c>
      <c r="S670" s="2">
        <f t="shared" si="132"/>
        <v>1.3432296428416655</v>
      </c>
      <c r="T670" s="4">
        <f t="shared" si="133"/>
        <v>1.8042658734085482</v>
      </c>
      <c r="U670" s="1">
        <f t="shared" si="124"/>
        <v>1.4263018320197176</v>
      </c>
      <c r="V670" s="6">
        <f>2*sigma/alpha*corel*(B670/12-1/alpha*(1-EXP(-alpha*Output!B670/12)))</f>
        <v>4.0869993285870336</v>
      </c>
      <c r="W670" s="5">
        <f t="shared" si="134"/>
        <v>-0.37796404138883055</v>
      </c>
      <c r="X670" s="1">
        <f t="shared" si="130"/>
        <v>99.729664603617309</v>
      </c>
      <c r="Y670" s="3">
        <f t="shared" si="135"/>
        <v>5.3712971964235232E-2</v>
      </c>
      <c r="Z670" s="1">
        <f t="shared" si="125"/>
        <v>0.18125841712820351</v>
      </c>
      <c r="AA670" s="8">
        <f t="shared" si="131"/>
        <v>54.833333333333798</v>
      </c>
      <c r="AB670" s="1">
        <v>54.92</v>
      </c>
      <c r="AC670">
        <v>9.4171885149999992E-3</v>
      </c>
      <c r="AD670" s="8">
        <f t="shared" si="126"/>
        <v>4.9498242418885736</v>
      </c>
      <c r="AE670" s="3">
        <f t="shared" si="127"/>
        <v>5.2561592390386318E-2</v>
      </c>
      <c r="AF670" s="11">
        <f t="shared" si="128"/>
        <v>54.833333333333798</v>
      </c>
      <c r="AG670" s="1">
        <f t="shared" si="129"/>
        <v>0.18125841712820351</v>
      </c>
    </row>
    <row r="671" spans="2:33" ht="15" x14ac:dyDescent="0.25">
      <c r="B671" s="1">
        <v>660</v>
      </c>
      <c r="C671" s="1">
        <v>0.61213348167858184</v>
      </c>
      <c r="D671" s="1">
        <v>34.073872154831676</v>
      </c>
      <c r="E671" s="1">
        <v>2.5035049068696173E-3</v>
      </c>
      <c r="G671" s="1">
        <v>0.61213348167858184</v>
      </c>
      <c r="H671" s="1">
        <v>34.073872154831676</v>
      </c>
      <c r="I671" s="1">
        <v>2.5035049068696173E-3</v>
      </c>
      <c r="K671" s="1">
        <v>0.99886576817659967</v>
      </c>
      <c r="L671" s="1">
        <v>3.4073887213604346</v>
      </c>
      <c r="M671" s="1">
        <v>0.25578095470710666</v>
      </c>
      <c r="O671" s="1">
        <v>8.9237256897056333E-3</v>
      </c>
      <c r="P671" s="1">
        <v>0.61213348167858184</v>
      </c>
      <c r="R671" s="1">
        <v>0.23025701620242822</v>
      </c>
      <c r="S671" s="2">
        <f t="shared" si="132"/>
        <v>1.3450656222364363</v>
      </c>
      <c r="T671" s="4">
        <f t="shared" si="133"/>
        <v>1.8092015281222917</v>
      </c>
      <c r="U671" s="1">
        <f t="shared" si="124"/>
        <v>1.4304181980830211</v>
      </c>
      <c r="V671" s="6">
        <f>2*sigma/alpha*corel*(B671/12-1/alpha*(1-EXP(-alpha*Output!B671/12)))</f>
        <v>4.0962598698822941</v>
      </c>
      <c r="W671" s="5">
        <f t="shared" si="134"/>
        <v>-0.37878333003927067</v>
      </c>
      <c r="X671" s="1">
        <f t="shared" si="130"/>
        <v>100.11167753024765</v>
      </c>
      <c r="Y671" s="3">
        <f t="shared" si="135"/>
        <v>5.3721113168328664E-2</v>
      </c>
      <c r="Z671" s="1">
        <f t="shared" si="125"/>
        <v>0.1813686115031681</v>
      </c>
      <c r="AA671" s="8">
        <f t="shared" si="131"/>
        <v>54.916666666667133</v>
      </c>
      <c r="AB671" s="1">
        <v>55</v>
      </c>
      <c r="AC671">
        <v>9.4169672569999995E-3</v>
      </c>
      <c r="AD671" s="8">
        <f t="shared" si="126"/>
        <v>4.9324156729436615</v>
      </c>
      <c r="AE671" s="3">
        <f t="shared" si="127"/>
        <v>5.2377963502816725E-2</v>
      </c>
      <c r="AF671" s="11">
        <f t="shared" si="128"/>
        <v>54.916666666667133</v>
      </c>
      <c r="AG671" s="1">
        <f t="shared" si="129"/>
        <v>0.1813686115031681</v>
      </c>
    </row>
    <row r="672" spans="2:33" ht="15" x14ac:dyDescent="0.25">
      <c r="B672" s="1">
        <v>661</v>
      </c>
      <c r="C672" s="1">
        <v>0.61162468566451944</v>
      </c>
      <c r="D672" s="1">
        <v>34.083162917518742</v>
      </c>
      <c r="E672" s="1">
        <v>2.4886765218256933E-3</v>
      </c>
      <c r="G672" s="1">
        <v>0.61162468566451944</v>
      </c>
      <c r="H672" s="1">
        <v>34.083162917518742</v>
      </c>
      <c r="I672" s="1">
        <v>2.4886765218256933E-3</v>
      </c>
      <c r="K672" s="1">
        <v>0.99876879797819307</v>
      </c>
      <c r="L672" s="1">
        <v>3.3974417854017709</v>
      </c>
      <c r="M672" s="1">
        <v>0.25648043058179137</v>
      </c>
      <c r="O672" s="1">
        <v>8.9253212098267878E-3</v>
      </c>
      <c r="P672" s="1">
        <v>0.61162468566451944</v>
      </c>
      <c r="R672" s="1">
        <v>0.23039901557011422</v>
      </c>
      <c r="S672" s="2">
        <f t="shared" si="132"/>
        <v>1.3470328826024109</v>
      </c>
      <c r="T672" s="4">
        <f t="shared" si="133"/>
        <v>1.8144975868121607</v>
      </c>
      <c r="U672" s="1">
        <f t="shared" si="124"/>
        <v>1.4345379851836713</v>
      </c>
      <c r="V672" s="6">
        <f>2*sigma/alpha*corel*(B672/12-1/alpha*(1-EXP(-alpha*Output!B672/12)))</f>
        <v>4.1055242585130038</v>
      </c>
      <c r="W672" s="5">
        <f t="shared" si="134"/>
        <v>-0.37995960162848941</v>
      </c>
      <c r="X672" s="1">
        <f t="shared" si="130"/>
        <v>100.57309499604925</v>
      </c>
      <c r="Y672" s="3">
        <f t="shared" si="135"/>
        <v>5.376480684214921E-2</v>
      </c>
      <c r="Z672" s="1">
        <f t="shared" si="125"/>
        <v>0.18149643158303855</v>
      </c>
      <c r="AA672" s="8">
        <f t="shared" si="131"/>
        <v>55.000000000000469</v>
      </c>
      <c r="AB672" s="1">
        <v>55.08</v>
      </c>
      <c r="AC672">
        <v>9.4167466710000005E-3</v>
      </c>
      <c r="AD672" s="8">
        <f t="shared" si="126"/>
        <v>4.9142546117321269</v>
      </c>
      <c r="AE672" s="3">
        <f t="shared" si="127"/>
        <v>5.2186331260945601E-2</v>
      </c>
      <c r="AF672" s="11">
        <f t="shared" si="128"/>
        <v>55.000000000000469</v>
      </c>
      <c r="AG672" s="1">
        <f t="shared" si="129"/>
        <v>0.18149643158303855</v>
      </c>
    </row>
    <row r="673" spans="2:33" ht="15" x14ac:dyDescent="0.25">
      <c r="B673" s="1">
        <v>662</v>
      </c>
      <c r="C673" s="1">
        <v>0.61111531762756788</v>
      </c>
      <c r="D673" s="1">
        <v>34.09827121764927</v>
      </c>
      <c r="E673" s="1">
        <v>2.4735331948154745E-3</v>
      </c>
      <c r="G673" s="1">
        <v>0.61111531762756788</v>
      </c>
      <c r="H673" s="1">
        <v>34.09827121764927</v>
      </c>
      <c r="I673" s="1">
        <v>2.4735331948154745E-3</v>
      </c>
      <c r="K673" s="1">
        <v>0.99892970743349419</v>
      </c>
      <c r="L673" s="1">
        <v>3.4034660852506877</v>
      </c>
      <c r="M673" s="1">
        <v>0.25596956951777916</v>
      </c>
      <c r="O673" s="1">
        <v>8.926941421104272E-3</v>
      </c>
      <c r="P673" s="1">
        <v>0.61111531762756788</v>
      </c>
      <c r="R673" s="1">
        <v>0.23055571379319867</v>
      </c>
      <c r="S673" s="2">
        <f t="shared" si="132"/>
        <v>1.3490678540723218</v>
      </c>
      <c r="T673" s="4">
        <f t="shared" si="133"/>
        <v>1.8199840748912992</v>
      </c>
      <c r="U673" s="1">
        <f t="shared" si="124"/>
        <v>1.438661183351102</v>
      </c>
      <c r="V673" s="6">
        <f>2*sigma/alpha*corel*(B673/12-1/alpha*(1-EXP(-alpha*Output!B673/12)))</f>
        <v>4.1147924816760604</v>
      </c>
      <c r="W673" s="5">
        <f t="shared" si="134"/>
        <v>-0.38132289154019716</v>
      </c>
      <c r="X673" s="1">
        <f t="shared" si="130"/>
        <v>101.076768567128</v>
      </c>
      <c r="Y673" s="3">
        <f t="shared" si="135"/>
        <v>5.382690446759001E-2</v>
      </c>
      <c r="Z673" s="1">
        <f t="shared" si="125"/>
        <v>0.18163327856762915</v>
      </c>
      <c r="AA673" s="8">
        <f t="shared" si="131"/>
        <v>55.083333333333805</v>
      </c>
      <c r="AB673" s="1">
        <v>55.17</v>
      </c>
      <c r="AC673">
        <v>9.4165267520000002E-3</v>
      </c>
      <c r="AD673" s="8">
        <f t="shared" si="126"/>
        <v>4.8958533089572818</v>
      </c>
      <c r="AE673" s="3">
        <f t="shared" si="127"/>
        <v>5.1992135082263101E-2</v>
      </c>
      <c r="AF673" s="11">
        <f t="shared" si="128"/>
        <v>55.083333333333805</v>
      </c>
      <c r="AG673" s="1">
        <f t="shared" si="129"/>
        <v>0.18163327856762915</v>
      </c>
    </row>
    <row r="674" spans="2:33" ht="15" x14ac:dyDescent="0.25">
      <c r="B674" s="1">
        <v>663</v>
      </c>
      <c r="C674" s="1">
        <v>0.61060933322957112</v>
      </c>
      <c r="D674" s="1">
        <v>34.118048447628794</v>
      </c>
      <c r="E674" s="1">
        <v>2.4580895727840321E-3</v>
      </c>
      <c r="G674" s="1">
        <v>0.61060933322957112</v>
      </c>
      <c r="H674" s="1">
        <v>34.118048447628794</v>
      </c>
      <c r="I674" s="1">
        <v>2.4580895727840321E-3</v>
      </c>
      <c r="K674" s="1">
        <v>0.99877431311657583</v>
      </c>
      <c r="L674" s="1">
        <v>3.4160621575729997</v>
      </c>
      <c r="M674" s="1">
        <v>0.25497235507111171</v>
      </c>
      <c r="O674" s="1">
        <v>8.9284690218388307E-3</v>
      </c>
      <c r="P674" s="1">
        <v>0.61060933322957112</v>
      </c>
      <c r="R674" s="1">
        <v>0.23072349203981543</v>
      </c>
      <c r="S674" s="2">
        <f t="shared" si="132"/>
        <v>1.35114458168618</v>
      </c>
      <c r="T674" s="4">
        <f t="shared" si="133"/>
        <v>1.8255916806199224</v>
      </c>
      <c r="U674" s="1">
        <f t="shared" si="124"/>
        <v>1.4427877826385327</v>
      </c>
      <c r="V674" s="6">
        <f>2*sigma/alpha*corel*(B674/12-1/alpha*(1-EXP(-alpha*Output!B674/12)))</f>
        <v>4.1240645266109732</v>
      </c>
      <c r="W674" s="5">
        <f t="shared" si="134"/>
        <v>-0.3828038979813897</v>
      </c>
      <c r="X674" s="1">
        <f t="shared" si="130"/>
        <v>101.60756967353811</v>
      </c>
      <c r="Y674" s="3">
        <f t="shared" si="135"/>
        <v>5.3900393599482253E-2</v>
      </c>
      <c r="Z674" s="1">
        <f t="shared" si="125"/>
        <v>0.18177564017116429</v>
      </c>
      <c r="AA674" s="8">
        <f t="shared" si="131"/>
        <v>55.16666666666714</v>
      </c>
      <c r="AB674" s="1">
        <v>55.25</v>
      </c>
      <c r="AC674">
        <v>9.4163074970000007E-3</v>
      </c>
      <c r="AD674" s="8">
        <f t="shared" si="126"/>
        <v>4.8783847516116996</v>
      </c>
      <c r="AE674" s="3">
        <f t="shared" si="127"/>
        <v>5.1807831819064259E-2</v>
      </c>
      <c r="AF674" s="11">
        <f t="shared" si="128"/>
        <v>55.16666666666714</v>
      </c>
      <c r="AG674" s="1">
        <f t="shared" si="129"/>
        <v>0.18177564017116429</v>
      </c>
    </row>
    <row r="675" spans="2:33" ht="15" x14ac:dyDescent="0.25">
      <c r="B675" s="1">
        <v>664</v>
      </c>
      <c r="C675" s="1">
        <v>0.6101002318723685</v>
      </c>
      <c r="D675" s="1">
        <v>34.139014065273798</v>
      </c>
      <c r="E675" s="1">
        <v>2.442718256876252E-3</v>
      </c>
      <c r="G675" s="1">
        <v>0.6101002318723685</v>
      </c>
      <c r="H675" s="1">
        <v>34.139014065273798</v>
      </c>
      <c r="I675" s="1">
        <v>2.442718256876252E-3</v>
      </c>
      <c r="K675" s="1">
        <v>0.99889453634616299</v>
      </c>
      <c r="L675" s="1">
        <v>3.3980723783937328</v>
      </c>
      <c r="M675" s="1">
        <v>0.25627409653144057</v>
      </c>
      <c r="O675" s="1">
        <v>8.9300967608687346E-3</v>
      </c>
      <c r="P675" s="1">
        <v>0.6101002318723685</v>
      </c>
      <c r="R675" s="1">
        <v>0.23088048584994814</v>
      </c>
      <c r="S675" s="2">
        <f t="shared" si="132"/>
        <v>1.3531863415864318</v>
      </c>
      <c r="T675" s="4">
        <f t="shared" si="133"/>
        <v>1.8311132750560712</v>
      </c>
      <c r="U675" s="1">
        <f t="shared" si="124"/>
        <v>1.4469177731229506</v>
      </c>
      <c r="V675" s="6">
        <f>2*sigma/alpha*corel*(B675/12-1/alpha*(1-EXP(-alpha*Output!B675/12)))</f>
        <v>4.1333403805997078</v>
      </c>
      <c r="W675" s="5">
        <f t="shared" si="134"/>
        <v>-0.38419550193312069</v>
      </c>
      <c r="X675" s="1">
        <f t="shared" si="130"/>
        <v>102.11977379642686</v>
      </c>
      <c r="Y675" s="3">
        <f t="shared" si="135"/>
        <v>5.3964691306246995E-2</v>
      </c>
      <c r="Z675" s="1">
        <f t="shared" si="125"/>
        <v>0.18191318969593898</v>
      </c>
      <c r="AA675" s="8">
        <f t="shared" si="131"/>
        <v>55.250000000000476</v>
      </c>
      <c r="AB675" s="1">
        <v>55.33</v>
      </c>
      <c r="AC675">
        <v>9.4160889039999994E-3</v>
      </c>
      <c r="AD675" s="8">
        <f t="shared" si="126"/>
        <v>4.8599214313126486</v>
      </c>
      <c r="AE675" s="3">
        <f t="shared" si="127"/>
        <v>5.161295184084478E-2</v>
      </c>
      <c r="AF675" s="11">
        <f t="shared" si="128"/>
        <v>55.250000000000476</v>
      </c>
      <c r="AG675" s="1">
        <f t="shared" si="129"/>
        <v>0.18191318969593898</v>
      </c>
    </row>
    <row r="676" spans="2:33" ht="15" x14ac:dyDescent="0.25">
      <c r="B676" s="1">
        <v>665</v>
      </c>
      <c r="C676" s="1">
        <v>0.60959270197454984</v>
      </c>
      <c r="D676" s="1">
        <v>34.163506542311502</v>
      </c>
      <c r="E676" s="1">
        <v>2.4271844660194173E-3</v>
      </c>
      <c r="G676" s="1">
        <v>0.60959270197454984</v>
      </c>
      <c r="H676" s="1">
        <v>34.163506542311502</v>
      </c>
      <c r="I676" s="1">
        <v>2.4271844660194173E-3</v>
      </c>
      <c r="K676" s="1">
        <v>0.99890122437889772</v>
      </c>
      <c r="L676" s="1">
        <v>3.4284898250422917</v>
      </c>
      <c r="M676" s="1">
        <v>0.25393965907855837</v>
      </c>
      <c r="O676" s="1">
        <v>8.9316856512701819E-3</v>
      </c>
      <c r="P676" s="1">
        <v>0.60959270197454984</v>
      </c>
      <c r="R676" s="1">
        <v>0.2309354078487037</v>
      </c>
      <c r="S676" s="2">
        <f t="shared" si="132"/>
        <v>1.3547863083850877</v>
      </c>
      <c r="T676" s="4">
        <f t="shared" si="133"/>
        <v>1.835445941387694</v>
      </c>
      <c r="U676" s="1">
        <f t="shared" si="124"/>
        <v>1.4510511449050942</v>
      </c>
      <c r="V676" s="6">
        <f>2*sigma/alpha*corel*(B676/12-1/alpha*(1-EXP(-alpha*Output!B676/12)))</f>
        <v>4.1426200309665564</v>
      </c>
      <c r="W676" s="5">
        <f t="shared" si="134"/>
        <v>-0.38439479648259978</v>
      </c>
      <c r="X676" s="1">
        <f t="shared" si="130"/>
        <v>102.36881394127498</v>
      </c>
      <c r="Y676" s="3">
        <f t="shared" si="135"/>
        <v>5.3910924295211035E-2</v>
      </c>
      <c r="Z676" s="1">
        <f t="shared" si="125"/>
        <v>0.18199128830117747</v>
      </c>
      <c r="AA676" s="8">
        <f t="shared" si="131"/>
        <v>55.333333333333812</v>
      </c>
      <c r="AB676" s="1">
        <v>55.42</v>
      </c>
      <c r="AC676">
        <v>9.4158709689999998E-3</v>
      </c>
      <c r="AD676" s="8">
        <f t="shared" si="126"/>
        <v>4.8418531772981801</v>
      </c>
      <c r="AE676" s="3">
        <f t="shared" si="127"/>
        <v>5.1422254969711027E-2</v>
      </c>
      <c r="AF676" s="11">
        <f t="shared" si="128"/>
        <v>55.333333333333812</v>
      </c>
      <c r="AG676" s="1">
        <f t="shared" si="129"/>
        <v>0.18199128830117747</v>
      </c>
    </row>
    <row r="677" spans="2:33" ht="15" x14ac:dyDescent="0.25">
      <c r="B677" s="1">
        <v>666</v>
      </c>
      <c r="C677" s="1">
        <v>0.60908536693341697</v>
      </c>
      <c r="D677" s="1">
        <v>34.185696704498838</v>
      </c>
      <c r="E677" s="1">
        <v>2.4118469924268005E-3</v>
      </c>
      <c r="G677" s="1">
        <v>0.60908536693341697</v>
      </c>
      <c r="H677" s="1">
        <v>34.185696704498838</v>
      </c>
      <c r="I677" s="1">
        <v>2.4118469924268005E-3</v>
      </c>
      <c r="K677" s="1">
        <v>0.99901333357536437</v>
      </c>
      <c r="L677" s="1">
        <v>3.4277680739043337</v>
      </c>
      <c r="M677" s="1">
        <v>0.25394148723642224</v>
      </c>
      <c r="O677" s="1">
        <v>8.9332764956285803E-3</v>
      </c>
      <c r="P677" s="1">
        <v>0.60908536693341697</v>
      </c>
      <c r="R677" s="1">
        <v>0.23097348268837542</v>
      </c>
      <c r="S677" s="2">
        <f t="shared" si="132"/>
        <v>1.3563151013607986</v>
      </c>
      <c r="T677" s="4">
        <f t="shared" si="133"/>
        <v>1.8395906541793534</v>
      </c>
      <c r="U677" s="1">
        <f t="shared" si="124"/>
        <v>1.455187888109438</v>
      </c>
      <c r="V677" s="6">
        <f>2*sigma/alpha*corel*(B677/12-1/alpha*(1-EXP(-alpha*Output!B677/12)))</f>
        <v>4.1519034650779938</v>
      </c>
      <c r="W677" s="5">
        <f t="shared" si="134"/>
        <v>-0.38440276606991541</v>
      </c>
      <c r="X677" s="1">
        <f t="shared" si="130"/>
        <v>102.57571645084786</v>
      </c>
      <c r="Y677" s="3">
        <f t="shared" si="135"/>
        <v>5.3838410623808911E-2</v>
      </c>
      <c r="Z677" s="1">
        <f t="shared" si="125"/>
        <v>0.18205981861130463</v>
      </c>
      <c r="AA677" s="8">
        <f t="shared" si="131"/>
        <v>55.416666666667147</v>
      </c>
      <c r="AB677" s="1">
        <v>55.5</v>
      </c>
      <c r="AC677">
        <v>9.4156536899999994E-3</v>
      </c>
      <c r="AD677" s="8">
        <f t="shared" si="126"/>
        <v>4.823771943714191</v>
      </c>
      <c r="AE677" s="3">
        <f t="shared" si="127"/>
        <v>5.1231407850496159E-2</v>
      </c>
      <c r="AF677" s="11">
        <f t="shared" si="128"/>
        <v>55.416666666667147</v>
      </c>
      <c r="AG677" s="1">
        <f t="shared" si="129"/>
        <v>0.18205981861130463</v>
      </c>
    </row>
    <row r="678" spans="2:33" ht="15" x14ac:dyDescent="0.25">
      <c r="B678" s="1">
        <v>667</v>
      </c>
      <c r="C678" s="1">
        <v>0.60857657724256919</v>
      </c>
      <c r="D678" s="1">
        <v>34.218450588557353</v>
      </c>
      <c r="E678" s="1">
        <v>2.3959556269017896E-3</v>
      </c>
      <c r="G678" s="1">
        <v>0.60857657724256919</v>
      </c>
      <c r="H678" s="1">
        <v>34.218450588557353</v>
      </c>
      <c r="I678" s="1">
        <v>2.3959556269017896E-3</v>
      </c>
      <c r="K678" s="1">
        <v>0.99914597847965703</v>
      </c>
      <c r="L678" s="1">
        <v>3.4485088329061142</v>
      </c>
      <c r="M678" s="1">
        <v>0.25236531553192226</v>
      </c>
      <c r="O678" s="1">
        <v>8.9349180549099707E-3</v>
      </c>
      <c r="P678" s="1">
        <v>0.60857657724256919</v>
      </c>
      <c r="R678" s="1">
        <v>0.23123251191985913</v>
      </c>
      <c r="S678" s="2">
        <f t="shared" si="132"/>
        <v>1.3588057545613845</v>
      </c>
      <c r="T678" s="4">
        <f t="shared" si="133"/>
        <v>1.8463530786291336</v>
      </c>
      <c r="U678" s="1">
        <f t="shared" si="124"/>
        <v>1.4593279928841696</v>
      </c>
      <c r="V678" s="6">
        <f>2*sigma/alpha*corel*(B678/12-1/alpha*(1-EXP(-alpha*Output!B678/12)))</f>
        <v>4.1611906703425348</v>
      </c>
      <c r="W678" s="5">
        <f t="shared" si="134"/>
        <v>-0.38702508574496397</v>
      </c>
      <c r="X678" s="1">
        <f t="shared" si="130"/>
        <v>103.36408519224273</v>
      </c>
      <c r="Y678" s="3">
        <f t="shared" si="135"/>
        <v>5.402358855973452E-2</v>
      </c>
      <c r="Z678" s="1">
        <f t="shared" si="125"/>
        <v>0.18225736347827864</v>
      </c>
      <c r="AA678" s="8">
        <f t="shared" si="131"/>
        <v>55.500000000000483</v>
      </c>
      <c r="AB678" s="1">
        <v>55.58</v>
      </c>
      <c r="AC678">
        <v>9.4154370640000002E-3</v>
      </c>
      <c r="AD678" s="8">
        <f t="shared" si="126"/>
        <v>4.8051900909002949</v>
      </c>
      <c r="AE678" s="3">
        <f t="shared" si="127"/>
        <v>5.1035231378402796E-2</v>
      </c>
      <c r="AF678" s="11">
        <f t="shared" si="128"/>
        <v>55.500000000000483</v>
      </c>
      <c r="AG678" s="1">
        <f t="shared" si="129"/>
        <v>0.18225736347827864</v>
      </c>
    </row>
    <row r="679" spans="2:33" ht="15" x14ac:dyDescent="0.25">
      <c r="B679" s="1">
        <v>668</v>
      </c>
      <c r="C679" s="1">
        <v>0.60806675959970558</v>
      </c>
      <c r="D679" s="1">
        <v>34.259481311452944</v>
      </c>
      <c r="E679" s="1">
        <v>2.3794793699138629E-3</v>
      </c>
      <c r="G679" s="1">
        <v>0.60806675959970558</v>
      </c>
      <c r="H679" s="1">
        <v>34.259481311452944</v>
      </c>
      <c r="I679" s="1">
        <v>2.3794793699138629E-3</v>
      </c>
      <c r="K679" s="1">
        <v>0.99929737631922466</v>
      </c>
      <c r="L679" s="1">
        <v>3.5018222729493798</v>
      </c>
      <c r="M679" s="1">
        <v>0.24846526907877364</v>
      </c>
      <c r="O679" s="1">
        <v>8.9365976240221336E-3</v>
      </c>
      <c r="P679" s="1">
        <v>0.60806675959970558</v>
      </c>
      <c r="R679" s="1">
        <v>0.23131578099685007</v>
      </c>
      <c r="S679" s="2">
        <f t="shared" si="132"/>
        <v>1.3605420072782033</v>
      </c>
      <c r="T679" s="4">
        <f t="shared" si="133"/>
        <v>1.8510745535686026</v>
      </c>
      <c r="U679" s="1">
        <f t="shared" si="124"/>
        <v>1.4634714494011756</v>
      </c>
      <c r="V679" s="6">
        <f>2*sigma/alpha*corel*(B679/12-1/alpha*(1-EXP(-alpha*Output!B679/12)))</f>
        <v>4.1704816342105966</v>
      </c>
      <c r="W679" s="5">
        <f t="shared" si="134"/>
        <v>-0.38760310416742705</v>
      </c>
      <c r="X679" s="1">
        <f t="shared" si="130"/>
        <v>103.69920825590165</v>
      </c>
      <c r="Y679" s="3">
        <f t="shared" si="135"/>
        <v>5.4007178314116125E-2</v>
      </c>
      <c r="Z679" s="1">
        <f t="shared" si="125"/>
        <v>0.18235360235446829</v>
      </c>
      <c r="AA679" s="8">
        <f t="shared" si="131"/>
        <v>55.583333333333819</v>
      </c>
      <c r="AB679" s="1">
        <v>55.67</v>
      </c>
      <c r="AC679">
        <v>9.4152210870000006E-3</v>
      </c>
      <c r="AD679" s="8">
        <f t="shared" si="126"/>
        <v>4.7862346297786704</v>
      </c>
      <c r="AE679" s="3">
        <f t="shared" si="127"/>
        <v>5.0835074243633316E-2</v>
      </c>
      <c r="AF679" s="11">
        <f t="shared" si="128"/>
        <v>55.583333333333819</v>
      </c>
      <c r="AG679" s="1">
        <f t="shared" si="129"/>
        <v>0.18235360235446829</v>
      </c>
    </row>
    <row r="680" spans="2:33" ht="15" x14ac:dyDescent="0.25">
      <c r="B680" s="1">
        <v>669</v>
      </c>
      <c r="C680" s="1">
        <v>0.6075507100093801</v>
      </c>
      <c r="D680" s="1">
        <v>34.30296377607025</v>
      </c>
      <c r="E680" s="1">
        <v>2.3630606361359232E-3</v>
      </c>
      <c r="G680" s="1">
        <v>0.6075507100093801</v>
      </c>
      <c r="H680" s="1">
        <v>34.30296377607025</v>
      </c>
      <c r="I680" s="1">
        <v>2.3630606361359232E-3</v>
      </c>
      <c r="K680" s="1">
        <v>0.99929027643525747</v>
      </c>
      <c r="L680" s="1">
        <v>3.5324001466748016</v>
      </c>
      <c r="M680" s="1">
        <v>0.24625876450345913</v>
      </c>
      <c r="O680" s="1">
        <v>8.9384687710253527E-3</v>
      </c>
      <c r="P680" s="1">
        <v>0.6075507100093801</v>
      </c>
      <c r="R680" s="1">
        <v>0.23138912988607854</v>
      </c>
      <c r="S680" s="2">
        <f t="shared" si="132"/>
        <v>1.3622545534904951</v>
      </c>
      <c r="T680" s="4">
        <f t="shared" si="133"/>
        <v>1.8557374685055881</v>
      </c>
      <c r="U680" s="1">
        <f t="shared" si="124"/>
        <v>1.4676182478560245</v>
      </c>
      <c r="V680" s="6">
        <f>2*sigma/alpha*corel*(B680/12-1/alpha*(1-EXP(-alpha*Output!B680/12)))</f>
        <v>4.1797763441743587</v>
      </c>
      <c r="W680" s="5">
        <f t="shared" si="134"/>
        <v>-0.38811922064956361</v>
      </c>
      <c r="X680" s="1">
        <f t="shared" si="130"/>
        <v>104.02111649217224</v>
      </c>
      <c r="Y680" s="3">
        <f t="shared" si="135"/>
        <v>5.3984734992564468E-2</v>
      </c>
      <c r="Z680" s="1">
        <f t="shared" si="125"/>
        <v>0.18244662434675585</v>
      </c>
      <c r="AA680" s="8">
        <f t="shared" si="131"/>
        <v>55.666666666667155</v>
      </c>
      <c r="AB680" s="1">
        <v>55.75</v>
      </c>
      <c r="AC680">
        <v>9.4150057559999993E-3</v>
      </c>
      <c r="AD680" s="8">
        <f t="shared" si="126"/>
        <v>4.7653698497464658</v>
      </c>
      <c r="AE680" s="3">
        <f t="shared" si="127"/>
        <v>5.0614624921600168E-2</v>
      </c>
      <c r="AF680" s="11">
        <f t="shared" si="128"/>
        <v>55.666666666667155</v>
      </c>
      <c r="AG680" s="1">
        <f t="shared" si="129"/>
        <v>0.18244662434675585</v>
      </c>
    </row>
    <row r="681" spans="2:33" ht="15" x14ac:dyDescent="0.25">
      <c r="B681" s="1">
        <v>670</v>
      </c>
      <c r="C681" s="1">
        <v>0.60703511648879915</v>
      </c>
      <c r="D681" s="1">
        <v>34.347736484165694</v>
      </c>
      <c r="E681" s="1">
        <v>2.3465915757362433E-3</v>
      </c>
      <c r="G681" s="1">
        <v>0.60703511648879915</v>
      </c>
      <c r="H681" s="1">
        <v>34.347736484165694</v>
      </c>
      <c r="I681" s="1">
        <v>2.3465915757362433E-3</v>
      </c>
      <c r="K681" s="1">
        <v>0.99939702871843128</v>
      </c>
      <c r="L681" s="1">
        <v>3.5162144020997701</v>
      </c>
      <c r="M681" s="1">
        <v>0.24735607207220861</v>
      </c>
      <c r="O681" s="1">
        <v>8.9403337981064403E-3</v>
      </c>
      <c r="P681" s="1">
        <v>0.60703511648879915</v>
      </c>
      <c r="R681" s="1">
        <v>0.23148787495341122</v>
      </c>
      <c r="S681" s="2">
        <f t="shared" si="132"/>
        <v>1.3640785231166481</v>
      </c>
      <c r="T681" s="4">
        <f t="shared" si="133"/>
        <v>1.8607102172280958</v>
      </c>
      <c r="U681" s="1">
        <f t="shared" si="124"/>
        <v>1.4717683784679423</v>
      </c>
      <c r="V681" s="6">
        <f>2*sigma/alpha*corel*(B681/12-1/alpha*(1-EXP(-alpha*Output!B681/12)))</f>
        <v>4.1890747877676251</v>
      </c>
      <c r="W681" s="5">
        <f t="shared" si="134"/>
        <v>-0.38894183876015354</v>
      </c>
      <c r="X681" s="1">
        <f t="shared" si="130"/>
        <v>104.41202490061133</v>
      </c>
      <c r="Y681" s="3">
        <f t="shared" si="135"/>
        <v>5.3992347345459671E-2</v>
      </c>
      <c r="Z681" s="1">
        <f t="shared" si="125"/>
        <v>0.18255452101874609</v>
      </c>
      <c r="AA681" s="8">
        <f t="shared" si="131"/>
        <v>55.75000000000049</v>
      </c>
      <c r="AB681" s="1">
        <v>55.83</v>
      </c>
      <c r="AC681">
        <v>9.4147910699999993E-3</v>
      </c>
      <c r="AD681" s="8">
        <f t="shared" si="126"/>
        <v>4.7445727189355908</v>
      </c>
      <c r="AE681" s="3">
        <f t="shared" si="127"/>
        <v>5.0394880604988201E-2</v>
      </c>
      <c r="AF681" s="11">
        <f t="shared" si="128"/>
        <v>55.75000000000049</v>
      </c>
      <c r="AG681" s="1">
        <f t="shared" si="129"/>
        <v>0.18255452101874609</v>
      </c>
    </row>
    <row r="682" spans="2:33" ht="15" x14ac:dyDescent="0.25">
      <c r="B682" s="1">
        <v>671</v>
      </c>
      <c r="C682" s="1">
        <v>0.60651907849343123</v>
      </c>
      <c r="D682" s="1">
        <v>34.393809114359414</v>
      </c>
      <c r="E682" s="1">
        <v>2.3300789896777501E-3</v>
      </c>
      <c r="G682" s="1">
        <v>0.60651907849343123</v>
      </c>
      <c r="H682" s="1">
        <v>34.393809114359414</v>
      </c>
      <c r="I682" s="1">
        <v>2.3300789896777501E-3</v>
      </c>
      <c r="K682" s="1">
        <v>0.99935401122190448</v>
      </c>
      <c r="L682" s="1">
        <v>3.6420995408059103</v>
      </c>
      <c r="M682" s="1">
        <v>0.23874169003021764</v>
      </c>
      <c r="O682" s="1">
        <v>8.9422192736465442E-3</v>
      </c>
      <c r="P682" s="1">
        <v>0.60651907849343123</v>
      </c>
      <c r="R682" s="1">
        <v>0.23151545449851246</v>
      </c>
      <c r="S682" s="2">
        <f t="shared" si="132"/>
        <v>1.3655971154167184</v>
      </c>
      <c r="T682" s="4">
        <f t="shared" si="133"/>
        <v>1.864855481634462</v>
      </c>
      <c r="U682" s="1">
        <f t="shared" si="124"/>
        <v>1.4759218314797971</v>
      </c>
      <c r="V682" s="6">
        <f>2*sigma/alpha*corel*(B682/12-1/alpha*(1-EXP(-alpha*Output!B682/12)))</f>
        <v>4.198376952565682</v>
      </c>
      <c r="W682" s="5">
        <f t="shared" si="134"/>
        <v>-0.38893365015466497</v>
      </c>
      <c r="X682" s="1">
        <f t="shared" si="130"/>
        <v>104.6178621204281</v>
      </c>
      <c r="Y682" s="3">
        <f t="shared" si="135"/>
        <v>5.3918721887394078E-2</v>
      </c>
      <c r="Z682" s="1">
        <f t="shared" si="125"/>
        <v>0.18262152020435313</v>
      </c>
      <c r="AA682" s="8">
        <f t="shared" si="131"/>
        <v>55.833333333333826</v>
      </c>
      <c r="AB682" s="1">
        <v>55.92</v>
      </c>
      <c r="AC682">
        <v>9.4145770240000003E-3</v>
      </c>
      <c r="AD682" s="8">
        <f t="shared" si="126"/>
        <v>4.7235775035345613</v>
      </c>
      <c r="AE682" s="3">
        <f t="shared" si="127"/>
        <v>5.0173018835504096E-2</v>
      </c>
      <c r="AF682" s="11">
        <f t="shared" si="128"/>
        <v>55.833333333333826</v>
      </c>
      <c r="AG682" s="1">
        <f t="shared" si="129"/>
        <v>0.18262152020435313</v>
      </c>
    </row>
    <row r="683" spans="2:33" ht="15" x14ac:dyDescent="0.25">
      <c r="B683" s="1">
        <v>672</v>
      </c>
      <c r="C683" s="1">
        <v>0.60599536122945252</v>
      </c>
      <c r="D683" s="1">
        <v>34.44000551040088</v>
      </c>
      <c r="E683" s="1">
        <v>2.3137436372049976E-3</v>
      </c>
      <c r="G683" s="1">
        <v>0.60599536122945252</v>
      </c>
      <c r="H683" s="1">
        <v>34.44000551040088</v>
      </c>
      <c r="I683" s="1">
        <v>2.3137436372049976E-3</v>
      </c>
      <c r="K683" s="1">
        <v>0.99933139395749293</v>
      </c>
      <c r="L683" s="1">
        <v>3.5689228788567466</v>
      </c>
      <c r="M683" s="1">
        <v>0.24360109402835259</v>
      </c>
      <c r="O683" s="1">
        <v>8.9443383514106658E-3</v>
      </c>
      <c r="P683" s="1">
        <v>0.60599536122945252</v>
      </c>
      <c r="R683" s="1">
        <v>0.23163136222298239</v>
      </c>
      <c r="S683" s="2">
        <f t="shared" si="132"/>
        <v>1.367522811409448</v>
      </c>
      <c r="T683" s="4">
        <f t="shared" si="133"/>
        <v>1.8701186397252005</v>
      </c>
      <c r="U683" s="1">
        <f t="shared" si="124"/>
        <v>1.4800785971580814</v>
      </c>
      <c r="V683" s="6">
        <f>2*sigma/alpha*corel*(B683/12-1/alpha*(1-EXP(-alpha*Output!B683/12)))</f>
        <v>4.2076828261851649</v>
      </c>
      <c r="W683" s="5">
        <f t="shared" si="134"/>
        <v>-0.39004004256711911</v>
      </c>
      <c r="X683" s="1">
        <f t="shared" si="130"/>
        <v>105.07356430080826</v>
      </c>
      <c r="Y683" s="3">
        <f t="shared" si="135"/>
        <v>5.3954079299968594E-2</v>
      </c>
      <c r="Z683" s="1">
        <f t="shared" si="125"/>
        <v>0.18274292246042959</v>
      </c>
      <c r="AA683" s="8">
        <f t="shared" si="131"/>
        <v>55.916666666667162</v>
      </c>
      <c r="AB683" s="1">
        <v>56</v>
      </c>
      <c r="AC683">
        <v>9.4143636159999995E-3</v>
      </c>
      <c r="AD683" s="8">
        <f t="shared" si="126"/>
        <v>4.7002526458933369</v>
      </c>
      <c r="AE683" s="3">
        <f t="shared" si="127"/>
        <v>4.9926397976652541E-2</v>
      </c>
      <c r="AF683" s="11">
        <f t="shared" si="128"/>
        <v>55.916666666667162</v>
      </c>
      <c r="AG683" s="1">
        <f t="shared" si="129"/>
        <v>0.18274292246042959</v>
      </c>
    </row>
    <row r="684" spans="2:33" ht="15" x14ac:dyDescent="0.25">
      <c r="B684" s="1">
        <v>673</v>
      </c>
      <c r="C684" s="1">
        <v>0.60546945415193654</v>
      </c>
      <c r="D684" s="1">
        <v>34.483947722335252</v>
      </c>
      <c r="E684" s="1">
        <v>2.2977413202821626E-3</v>
      </c>
      <c r="G684" s="1">
        <v>0.60546945415193654</v>
      </c>
      <c r="H684" s="1">
        <v>34.483947722335252</v>
      </c>
      <c r="I684" s="1">
        <v>2.2977413202821626E-3</v>
      </c>
      <c r="K684" s="1">
        <v>0.99946739435580689</v>
      </c>
      <c r="L684" s="1">
        <v>3.5904351958911129</v>
      </c>
      <c r="M684" s="1">
        <v>0.24209051096366388</v>
      </c>
      <c r="O684" s="1">
        <v>8.946528937436575E-3</v>
      </c>
      <c r="P684" s="1">
        <v>0.60546945415193654</v>
      </c>
      <c r="R684" s="1">
        <v>0.23182816060193404</v>
      </c>
      <c r="S684" s="2">
        <f t="shared" si="132"/>
        <v>1.3698096904893824</v>
      </c>
      <c r="T684" s="4">
        <f t="shared" si="133"/>
        <v>1.8763785881586177</v>
      </c>
      <c r="U684" s="1">
        <f t="shared" si="124"/>
        <v>1.4842386657928865</v>
      </c>
      <c r="V684" s="6">
        <f>2*sigma/alpha*corel*(B684/12-1/alpha*(1-EXP(-alpha*Output!B684/12)))</f>
        <v>4.2169923962839171</v>
      </c>
      <c r="W684" s="5">
        <f t="shared" si="134"/>
        <v>-0.39213992236573114</v>
      </c>
      <c r="X684" s="1">
        <f t="shared" si="130"/>
        <v>105.75308078769538</v>
      </c>
      <c r="Y684" s="3">
        <f t="shared" si="135"/>
        <v>5.4085937262261755E-2</v>
      </c>
      <c r="Z684" s="1">
        <f t="shared" si="125"/>
        <v>0.18291247453392548</v>
      </c>
      <c r="AA684" s="8">
        <f t="shared" si="131"/>
        <v>56.000000000000497</v>
      </c>
      <c r="AB684" s="1">
        <v>56.08</v>
      </c>
      <c r="AC684">
        <v>9.4141508439999997E-3</v>
      </c>
      <c r="AD684" s="8">
        <f t="shared" si="126"/>
        <v>4.6762190656342471</v>
      </c>
      <c r="AE684" s="3">
        <f t="shared" si="127"/>
        <v>4.967223431112304E-2</v>
      </c>
      <c r="AF684" s="11">
        <f t="shared" si="128"/>
        <v>56.000000000000497</v>
      </c>
      <c r="AG684" s="1">
        <f t="shared" si="129"/>
        <v>0.18291247453392548</v>
      </c>
    </row>
    <row r="685" spans="2:33" ht="15" x14ac:dyDescent="0.25">
      <c r="B685" s="1">
        <v>674</v>
      </c>
      <c r="C685" s="1">
        <v>0.60493931017361824</v>
      </c>
      <c r="D685" s="1">
        <v>34.520850593758631</v>
      </c>
      <c r="E685" s="1">
        <v>2.2821671459217672E-3</v>
      </c>
      <c r="G685" s="1">
        <v>0.60493931017361824</v>
      </c>
      <c r="H685" s="1">
        <v>34.520850593758631</v>
      </c>
      <c r="I685" s="1">
        <v>2.2821671459217672E-3</v>
      </c>
      <c r="K685" s="1">
        <v>0.99941569689129606</v>
      </c>
      <c r="L685" s="1">
        <v>3.5357320034908883</v>
      </c>
      <c r="M685" s="1">
        <v>0.24577736682702381</v>
      </c>
      <c r="O685" s="1">
        <v>8.9488511527419361E-3</v>
      </c>
      <c r="P685" s="1">
        <v>0.60493931017361824</v>
      </c>
      <c r="R685" s="1">
        <v>0.23192136290655735</v>
      </c>
      <c r="S685" s="2">
        <f t="shared" si="132"/>
        <v>1.3716601574667162</v>
      </c>
      <c r="T685" s="4">
        <f t="shared" si="133"/>
        <v>1.8814515875816167</v>
      </c>
      <c r="U685" s="1">
        <f t="shared" si="124"/>
        <v>1.4884020276978887</v>
      </c>
      <c r="V685" s="6">
        <f>2*sigma/alpha*corel*(B685/12-1/alpha*(1-EXP(-alpha*Output!B685/12)))</f>
        <v>4.2263056505608532</v>
      </c>
      <c r="W685" s="5">
        <f t="shared" si="134"/>
        <v>-0.39304955988372803</v>
      </c>
      <c r="X685" s="1">
        <f t="shared" si="130"/>
        <v>106.16679390584015</v>
      </c>
      <c r="Y685" s="3">
        <f t="shared" si="135"/>
        <v>5.4101675382030541E-2</v>
      </c>
      <c r="Z685" s="1">
        <f t="shared" si="125"/>
        <v>0.1830236443149019</v>
      </c>
      <c r="AA685" s="8">
        <f t="shared" si="131"/>
        <v>56.083333333333833</v>
      </c>
      <c r="AB685" s="1">
        <v>56.17</v>
      </c>
      <c r="AC685">
        <v>9.4139387040000008E-3</v>
      </c>
      <c r="AD685" s="8">
        <f t="shared" si="126"/>
        <v>4.6508755125806465</v>
      </c>
      <c r="AE685" s="3">
        <f t="shared" si="127"/>
        <v>4.9404140592125168E-2</v>
      </c>
      <c r="AF685" s="11">
        <f t="shared" si="128"/>
        <v>56.083333333333833</v>
      </c>
      <c r="AG685" s="1">
        <f t="shared" si="129"/>
        <v>0.1830236443149019</v>
      </c>
    </row>
    <row r="686" spans="2:33" ht="15" x14ac:dyDescent="0.25">
      <c r="B686" s="1">
        <v>675</v>
      </c>
      <c r="C686" s="1">
        <v>0.60441547964380038</v>
      </c>
      <c r="D686" s="1">
        <v>34.553056217822466</v>
      </c>
      <c r="E686" s="1">
        <v>2.2670596236681025E-3</v>
      </c>
      <c r="G686" s="1">
        <v>0.60441547964380038</v>
      </c>
      <c r="H686" s="1">
        <v>34.553056217822466</v>
      </c>
      <c r="I686" s="1">
        <v>2.2670596236681025E-3</v>
      </c>
      <c r="K686" s="1">
        <v>0.99938195407949793</v>
      </c>
      <c r="L686" s="1">
        <v>3.5167010755760515</v>
      </c>
      <c r="M686" s="1">
        <v>0.2470564392327709</v>
      </c>
      <c r="O686" s="1">
        <v>8.9509944413066981E-3</v>
      </c>
      <c r="P686" s="1">
        <v>0.60441547964380038</v>
      </c>
      <c r="R686" s="1">
        <v>0.2320734124988528</v>
      </c>
      <c r="S686" s="2">
        <f t="shared" si="132"/>
        <v>1.3737530476930047</v>
      </c>
      <c r="T686" s="4">
        <f t="shared" si="133"/>
        <v>1.8871974360458188</v>
      </c>
      <c r="U686" s="1">
        <f t="shared" si="124"/>
        <v>1.4925686732103243</v>
      </c>
      <c r="V686" s="6">
        <f>2*sigma/alpha*corel*(B686/12-1/alpha*(1-EXP(-alpha*Output!B686/12)))</f>
        <v>4.2356225767558264</v>
      </c>
      <c r="W686" s="5">
        <f t="shared" si="134"/>
        <v>-0.39462876283549453</v>
      </c>
      <c r="X686" s="1">
        <f t="shared" si="130"/>
        <v>106.73197025070994</v>
      </c>
      <c r="Y686" s="3">
        <f t="shared" si="135"/>
        <v>5.4182169116116521E-2</v>
      </c>
      <c r="Z686" s="1">
        <f t="shared" si="125"/>
        <v>0.18316707302573396</v>
      </c>
      <c r="AA686" s="8">
        <f t="shared" si="131"/>
        <v>56.166666666667169</v>
      </c>
      <c r="AB686" s="1">
        <v>56.25</v>
      </c>
      <c r="AC686">
        <v>9.4137271929999999E-3</v>
      </c>
      <c r="AD686" s="8">
        <f t="shared" si="126"/>
        <v>4.6273275169330175</v>
      </c>
      <c r="AE686" s="3">
        <f t="shared" si="127"/>
        <v>4.9155105327185124E-2</v>
      </c>
      <c r="AF686" s="11">
        <f t="shared" si="128"/>
        <v>56.166666666667169</v>
      </c>
      <c r="AG686" s="1">
        <f t="shared" si="129"/>
        <v>0.18316707302573396</v>
      </c>
    </row>
    <row r="687" spans="2:33" ht="15" x14ac:dyDescent="0.25">
      <c r="B687" s="1">
        <v>676</v>
      </c>
      <c r="C687" s="1">
        <v>0.60389255648607376</v>
      </c>
      <c r="D687" s="1">
        <v>34.574560038723504</v>
      </c>
      <c r="E687" s="1">
        <v>2.2527596305474207E-3</v>
      </c>
      <c r="G687" s="1">
        <v>0.60389255648607376</v>
      </c>
      <c r="H687" s="1">
        <v>34.574560038723504</v>
      </c>
      <c r="I687" s="1">
        <v>2.2527596305474207E-3</v>
      </c>
      <c r="K687" s="1">
        <v>0.99937232770176521</v>
      </c>
      <c r="L687" s="1">
        <v>3.6183922602593794</v>
      </c>
      <c r="M687" s="1">
        <v>0.24006693155498388</v>
      </c>
      <c r="O687" s="1">
        <v>8.9531180500026508E-3</v>
      </c>
      <c r="P687" s="1">
        <v>0.60389255648607376</v>
      </c>
      <c r="R687" s="1">
        <v>0.23216077539750848</v>
      </c>
      <c r="S687" s="2">
        <f t="shared" si="132"/>
        <v>1.3755640522842369</v>
      </c>
      <c r="T687" s="4">
        <f t="shared" si="133"/>
        <v>1.892176461936631</v>
      </c>
      <c r="U687" s="1">
        <f t="shared" si="124"/>
        <v>1.4967385926909706</v>
      </c>
      <c r="V687" s="6">
        <f>2*sigma/alpha*corel*(B687/12-1/alpha*(1-EXP(-alpha*Output!B687/12)))</f>
        <v>4.2449431626494842</v>
      </c>
      <c r="W687" s="5">
        <f t="shared" si="134"/>
        <v>-0.39543786924566038</v>
      </c>
      <c r="X687" s="1">
        <f t="shared" si="130"/>
        <v>107.12487565748008</v>
      </c>
      <c r="Y687" s="3">
        <f t="shared" si="135"/>
        <v>5.4187913634107132E-2</v>
      </c>
      <c r="Z687" s="1">
        <f t="shared" si="125"/>
        <v>0.18327283289397153</v>
      </c>
      <c r="AA687" s="8">
        <f t="shared" si="131"/>
        <v>56.250000000000504</v>
      </c>
      <c r="AB687" s="1">
        <v>56.33</v>
      </c>
      <c r="AC687">
        <v>9.4135163089999994E-3</v>
      </c>
      <c r="AD687" s="8">
        <f t="shared" si="126"/>
        <v>4.6039825899734863</v>
      </c>
      <c r="AE687" s="3">
        <f t="shared" si="127"/>
        <v>4.89082128170506E-2</v>
      </c>
      <c r="AF687" s="11">
        <f t="shared" si="128"/>
        <v>56.250000000000504</v>
      </c>
      <c r="AG687" s="1">
        <f t="shared" si="129"/>
        <v>0.18327283289397153</v>
      </c>
    </row>
    <row r="688" spans="2:33" ht="15" x14ac:dyDescent="0.25">
      <c r="B688" s="1">
        <v>677</v>
      </c>
      <c r="C688" s="1">
        <v>0.60336921801112031</v>
      </c>
      <c r="D688" s="1">
        <v>34.592500345925004</v>
      </c>
      <c r="E688" s="1">
        <v>2.2387892627666957E-3</v>
      </c>
      <c r="G688" s="1">
        <v>0.60336921801112031</v>
      </c>
      <c r="H688" s="1">
        <v>34.592500345925004</v>
      </c>
      <c r="I688" s="1">
        <v>2.2387892627666957E-3</v>
      </c>
      <c r="K688" s="1">
        <v>0.99930051728804115</v>
      </c>
      <c r="L688" s="1">
        <v>3.6690463599613983</v>
      </c>
      <c r="M688" s="1">
        <v>0.23670311371003544</v>
      </c>
      <c r="O688" s="1">
        <v>8.9552608766780388E-3</v>
      </c>
      <c r="P688" s="1">
        <v>0.60336921801112031</v>
      </c>
      <c r="R688" s="1">
        <v>0.23210154267154276</v>
      </c>
      <c r="S688" s="2">
        <f t="shared" si="132"/>
        <v>1.3767375181000154</v>
      </c>
      <c r="T688" s="4">
        <f t="shared" si="133"/>
        <v>1.8954061937441904</v>
      </c>
      <c r="U688" s="1">
        <f t="shared" si="124"/>
        <v>1.5009117765241249</v>
      </c>
      <c r="V688" s="6">
        <f>2*sigma/alpha*corel*(B688/12-1/alpha*(1-EXP(-alpha*Output!B688/12)))</f>
        <v>4.2542673960631419</v>
      </c>
      <c r="W688" s="5">
        <f t="shared" si="134"/>
        <v>-0.39449441722006551</v>
      </c>
      <c r="X688" s="1">
        <f t="shared" si="130"/>
        <v>107.12303122986731</v>
      </c>
      <c r="Y688" s="3">
        <f t="shared" si="135"/>
        <v>5.4024445499412002E-2</v>
      </c>
      <c r="Z688" s="1">
        <f t="shared" si="125"/>
        <v>0.18329365710252535</v>
      </c>
      <c r="AA688" s="8">
        <f t="shared" si="131"/>
        <v>56.33333333333384</v>
      </c>
      <c r="AB688" s="1">
        <v>56.42</v>
      </c>
      <c r="AC688">
        <v>9.413306049E-3</v>
      </c>
      <c r="AD688" s="8">
        <f t="shared" si="126"/>
        <v>4.5804517232196122</v>
      </c>
      <c r="AE688" s="3">
        <f t="shared" si="127"/>
        <v>4.8659330732226704E-2</v>
      </c>
      <c r="AF688" s="11">
        <f t="shared" si="128"/>
        <v>56.33333333333384</v>
      </c>
      <c r="AG688" s="1">
        <f t="shared" si="129"/>
        <v>0.18329365710252535</v>
      </c>
    </row>
    <row r="689" spans="2:33" ht="15" x14ac:dyDescent="0.25">
      <c r="B689" s="1">
        <v>678</v>
      </c>
      <c r="C689" s="1">
        <v>0.60284566416527818</v>
      </c>
      <c r="D689" s="1">
        <v>34.618846500034621</v>
      </c>
      <c r="E689" s="1">
        <v>2.2243477100340327E-3</v>
      </c>
      <c r="G689" s="1">
        <v>0.60284566416527818</v>
      </c>
      <c r="H689" s="1">
        <v>34.618846500034621</v>
      </c>
      <c r="I689" s="1">
        <v>2.2243477100340327E-3</v>
      </c>
      <c r="K689" s="1">
        <v>0.9993100149895674</v>
      </c>
      <c r="L689" s="1">
        <v>3.6838701470589874</v>
      </c>
      <c r="M689" s="1">
        <v>0.23570216122987084</v>
      </c>
      <c r="O689" s="1">
        <v>8.9574170207575386E-3</v>
      </c>
      <c r="P689" s="1">
        <v>0.60284566416527818</v>
      </c>
      <c r="R689" s="1">
        <v>0.23220920371225534</v>
      </c>
      <c r="S689" s="2">
        <f t="shared" si="132"/>
        <v>1.3786437838833157</v>
      </c>
      <c r="T689" s="4">
        <f t="shared" si="133"/>
        <v>1.9006586828401064</v>
      </c>
      <c r="U689" s="1">
        <f t="shared" si="124"/>
        <v>1.5050882151175822</v>
      </c>
      <c r="V689" s="6">
        <f>2*sigma/alpha*corel*(B689/12-1/alpha*(1-EXP(-alpha*Output!B689/12)))</f>
        <v>4.2635952648586404</v>
      </c>
      <c r="W689" s="5">
        <f t="shared" si="134"/>
        <v>-0.39557046772252424</v>
      </c>
      <c r="X689" s="1">
        <f t="shared" si="130"/>
        <v>107.57717028781551</v>
      </c>
      <c r="Y689" s="3">
        <f t="shared" si="135"/>
        <v>5.4056161291190938E-2</v>
      </c>
      <c r="Z689" s="1">
        <f t="shared" si="125"/>
        <v>0.18341204073733958</v>
      </c>
      <c r="AA689" s="8">
        <f t="shared" si="131"/>
        <v>56.416666666667176</v>
      </c>
      <c r="AB689" s="1">
        <v>56.5</v>
      </c>
      <c r="AC689">
        <v>9.4130964110000007E-3</v>
      </c>
      <c r="AD689" s="8">
        <f t="shared" si="126"/>
        <v>4.5567939024246211</v>
      </c>
      <c r="AE689" s="3">
        <f t="shared" si="127"/>
        <v>4.8409085634134388E-2</v>
      </c>
      <c r="AF689" s="11">
        <f t="shared" si="128"/>
        <v>56.416666666667176</v>
      </c>
      <c r="AG689" s="1">
        <f t="shared" si="129"/>
        <v>0.18341204073733958</v>
      </c>
    </row>
    <row r="690" spans="2:33" ht="15" x14ac:dyDescent="0.25">
      <c r="B690" s="1">
        <v>679</v>
      </c>
      <c r="C690" s="1">
        <v>0.60232713852706676</v>
      </c>
      <c r="D690" s="1">
        <v>34.645232815964519</v>
      </c>
      <c r="E690" s="1">
        <v>2.2099447513812156E-3</v>
      </c>
      <c r="G690" s="1">
        <v>0.60232713852706676</v>
      </c>
      <c r="H690" s="1">
        <v>34.645232815964519</v>
      </c>
      <c r="I690" s="1">
        <v>2.2099447513812156E-3</v>
      </c>
      <c r="K690" s="1">
        <v>0.99916763460185143</v>
      </c>
      <c r="L690" s="1">
        <v>3.6790382469944909</v>
      </c>
      <c r="M690" s="1">
        <v>0.2359495666836717</v>
      </c>
      <c r="O690" s="1">
        <v>8.9594326089903042E-3</v>
      </c>
      <c r="P690" s="1">
        <v>0.60232713852706676</v>
      </c>
      <c r="R690" s="1">
        <v>0.23219920690332824</v>
      </c>
      <c r="S690" s="2">
        <f t="shared" si="132"/>
        <v>1.3800232865704387</v>
      </c>
      <c r="T690" s="4">
        <f t="shared" si="133"/>
        <v>1.9044642714766753</v>
      </c>
      <c r="U690" s="1">
        <f t="shared" si="124"/>
        <v>1.5092678989026163</v>
      </c>
      <c r="V690" s="6">
        <f>2*sigma/alpha*corel*(B690/12-1/alpha*(1-EXP(-alpha*Output!B690/12)))</f>
        <v>4.2729267569382152</v>
      </c>
      <c r="W690" s="5">
        <f t="shared" si="134"/>
        <v>-0.39519637257405904</v>
      </c>
      <c r="X690" s="1">
        <f t="shared" si="130"/>
        <v>107.70401539608723</v>
      </c>
      <c r="Y690" s="3">
        <f t="shared" si="135"/>
        <v>5.3948109740231495E-2</v>
      </c>
      <c r="Z690" s="1">
        <f t="shared" si="125"/>
        <v>0.1834603216732538</v>
      </c>
      <c r="AA690" s="8">
        <f t="shared" si="131"/>
        <v>56.500000000000512</v>
      </c>
      <c r="AB690" s="1">
        <v>56.58</v>
      </c>
      <c r="AC690">
        <v>9.4128873899999993E-3</v>
      </c>
      <c r="AD690" s="8">
        <f t="shared" si="126"/>
        <v>4.5345478100969512</v>
      </c>
      <c r="AE690" s="3">
        <f t="shared" si="127"/>
        <v>4.8173824058644683E-2</v>
      </c>
      <c r="AF690" s="11">
        <f t="shared" si="128"/>
        <v>56.500000000000512</v>
      </c>
      <c r="AG690" s="1">
        <f t="shared" si="129"/>
        <v>0.1834603216732538</v>
      </c>
    </row>
    <row r="691" spans="2:33" ht="15" x14ac:dyDescent="0.25">
      <c r="B691" s="1">
        <v>680</v>
      </c>
      <c r="C691" s="1">
        <v>0.60180672702920524</v>
      </c>
      <c r="D691" s="1">
        <v>34.665649807605639</v>
      </c>
      <c r="E691" s="1">
        <v>2.196064652143359E-3</v>
      </c>
      <c r="G691" s="1">
        <v>0.60180672702920524</v>
      </c>
      <c r="H691" s="1">
        <v>34.665649807605639</v>
      </c>
      <c r="I691" s="1">
        <v>2.196064652143359E-3</v>
      </c>
      <c r="K691" s="1">
        <v>0.99912837638076268</v>
      </c>
      <c r="L691" s="1">
        <v>3.6806272413314192</v>
      </c>
      <c r="M691" s="1">
        <v>0.2358031536310389</v>
      </c>
      <c r="O691" s="1">
        <v>8.9615106470800222E-3</v>
      </c>
      <c r="P691" s="1">
        <v>0.60180672702920524</v>
      </c>
      <c r="R691" s="1">
        <v>0.23226936135973633</v>
      </c>
      <c r="S691" s="2">
        <f t="shared" si="132"/>
        <v>1.3817614776702418</v>
      </c>
      <c r="T691" s="4">
        <f t="shared" si="133"/>
        <v>1.9092647811734502</v>
      </c>
      <c r="U691" s="1">
        <f t="shared" si="124"/>
        <v>1.5134508183339515</v>
      </c>
      <c r="V691" s="6">
        <f>2*sigma/alpha*corel*(B691/12-1/alpha*(1-EXP(-alpha*Output!B691/12)))</f>
        <v>4.2822618602443576</v>
      </c>
      <c r="W691" s="5">
        <f t="shared" si="134"/>
        <v>-0.39581396283949877</v>
      </c>
      <c r="X691" s="1">
        <f t="shared" si="130"/>
        <v>108.05559821665653</v>
      </c>
      <c r="Y691" s="3">
        <f t="shared" si="135"/>
        <v>5.3935743630317848E-2</v>
      </c>
      <c r="Z691" s="1">
        <f t="shared" si="125"/>
        <v>0.18355627993359663</v>
      </c>
      <c r="AA691" s="8">
        <f t="shared" si="131"/>
        <v>56.583333333333847</v>
      </c>
      <c r="AB691" s="1">
        <v>56.67</v>
      </c>
      <c r="AC691">
        <v>9.4126789859999994E-3</v>
      </c>
      <c r="AD691" s="8">
        <f t="shared" si="126"/>
        <v>4.5116833891997725</v>
      </c>
      <c r="AE691" s="3">
        <f t="shared" si="127"/>
        <v>4.7931979789284755E-2</v>
      </c>
      <c r="AF691" s="11">
        <f t="shared" si="128"/>
        <v>56.583333333333847</v>
      </c>
      <c r="AG691" s="1">
        <f t="shared" si="129"/>
        <v>0.18355627993359663</v>
      </c>
    </row>
    <row r="692" spans="2:33" ht="15" x14ac:dyDescent="0.25">
      <c r="B692" s="1">
        <v>681</v>
      </c>
      <c r="C692" s="1">
        <v>0.60129004524630714</v>
      </c>
      <c r="D692" s="1">
        <v>34.68729404419161</v>
      </c>
      <c r="E692" s="1">
        <v>2.1822149481723948E-3</v>
      </c>
      <c r="G692" s="1">
        <v>0.60129004524630714</v>
      </c>
      <c r="H692" s="1">
        <v>34.68729404419161</v>
      </c>
      <c r="I692" s="1">
        <v>2.1822149481723948E-3</v>
      </c>
      <c r="K692" s="1">
        <v>0.99904755725274386</v>
      </c>
      <c r="L692" s="1">
        <v>3.6001623037922044</v>
      </c>
      <c r="M692" s="1">
        <v>0.24103457477422849</v>
      </c>
      <c r="O692" s="1">
        <v>8.9634864574415409E-3</v>
      </c>
      <c r="P692" s="1">
        <v>0.60129004524630714</v>
      </c>
      <c r="R692" s="1">
        <v>0.23240112863012891</v>
      </c>
      <c r="S692" s="2">
        <f t="shared" si="132"/>
        <v>1.3837626112240591</v>
      </c>
      <c r="T692" s="4">
        <f t="shared" si="133"/>
        <v>1.9147989642216265</v>
      </c>
      <c r="U692" s="1">
        <f t="shared" si="124"/>
        <v>1.5176369638897484</v>
      </c>
      <c r="V692" s="6">
        <f>2*sigma/alpha*corel*(B692/12-1/alpha*(1-EXP(-alpha*Output!B692/12)))</f>
        <v>4.2916005627596885</v>
      </c>
      <c r="W692" s="5">
        <f t="shared" si="134"/>
        <v>-0.3971620003318781</v>
      </c>
      <c r="X692" s="1">
        <f t="shared" si="130"/>
        <v>108.57360946561562</v>
      </c>
      <c r="Y692" s="3">
        <f t="shared" si="135"/>
        <v>5.3993528930206022E-2</v>
      </c>
      <c r="Z692" s="1">
        <f t="shared" si="125"/>
        <v>0.18368710055797141</v>
      </c>
      <c r="AA692" s="8">
        <f t="shared" si="131"/>
        <v>56.666666666667183</v>
      </c>
      <c r="AB692" s="1">
        <v>56.75</v>
      </c>
      <c r="AC692">
        <v>9.4124711940000005E-3</v>
      </c>
      <c r="AD692" s="8">
        <f t="shared" si="126"/>
        <v>4.4898473655845956</v>
      </c>
      <c r="AE692" s="3">
        <f t="shared" si="127"/>
        <v>4.7701047610606853E-2</v>
      </c>
      <c r="AF692" s="11">
        <f t="shared" si="128"/>
        <v>56.666666666667183</v>
      </c>
      <c r="AG692" s="1">
        <f t="shared" si="129"/>
        <v>0.18368710055797141</v>
      </c>
    </row>
    <row r="693" spans="2:33" ht="15" x14ac:dyDescent="0.25">
      <c r="B693" s="1">
        <v>682</v>
      </c>
      <c r="C693" s="1">
        <v>0.60077858603098799</v>
      </c>
      <c r="D693" s="1">
        <v>34.711374917560484</v>
      </c>
      <c r="E693" s="1">
        <v>2.1681626989289277E-3</v>
      </c>
      <c r="G693" s="1">
        <v>0.60077858603098799</v>
      </c>
      <c r="H693" s="1">
        <v>34.711374917560484</v>
      </c>
      <c r="I693" s="1">
        <v>2.1681626989289277E-3</v>
      </c>
      <c r="K693" s="1">
        <v>0.99882707993356523</v>
      </c>
      <c r="L693" s="1">
        <v>3.6559957913215264</v>
      </c>
      <c r="M693" s="1">
        <v>0.23729242461975164</v>
      </c>
      <c r="O693" s="1">
        <v>8.9653165089596167E-3</v>
      </c>
      <c r="P693" s="1">
        <v>0.60077858603098799</v>
      </c>
      <c r="R693" s="1">
        <v>0.23252073967324194</v>
      </c>
      <c r="S693" s="2">
        <f t="shared" si="132"/>
        <v>1.3856989539290077</v>
      </c>
      <c r="T693" s="4">
        <f t="shared" si="133"/>
        <v>1.9201615909199461</v>
      </c>
      <c r="U693" s="1">
        <f t="shared" si="124"/>
        <v>1.5218263260715754</v>
      </c>
      <c r="V693" s="6">
        <f>2*sigma/alpha*corel*(B693/12-1/alpha*(1-EXP(-alpha*Output!B693/12)))</f>
        <v>4.3009428525068145</v>
      </c>
      <c r="W693" s="5">
        <f t="shared" si="134"/>
        <v>-0.39833526484837067</v>
      </c>
      <c r="X693" s="1">
        <f t="shared" si="130"/>
        <v>109.05299296272572</v>
      </c>
      <c r="Y693" s="3">
        <f t="shared" si="135"/>
        <v>5.4034321853178913E-2</v>
      </c>
      <c r="Z693" s="1">
        <f t="shared" si="125"/>
        <v>0.18380923383861655</v>
      </c>
      <c r="AA693" s="8">
        <f t="shared" si="131"/>
        <v>56.750000000000519</v>
      </c>
      <c r="AB693" s="1">
        <v>56.83</v>
      </c>
      <c r="AC693">
        <v>9.4122640130000004E-3</v>
      </c>
      <c r="AD693" s="8">
        <f t="shared" si="126"/>
        <v>4.4694750404038368</v>
      </c>
      <c r="AE693" s="3">
        <f t="shared" si="127"/>
        <v>4.7485653124802935E-2</v>
      </c>
      <c r="AF693" s="11">
        <f t="shared" si="128"/>
        <v>56.750000000000519</v>
      </c>
      <c r="AG693" s="1">
        <f t="shared" si="129"/>
        <v>0.18380923383861655</v>
      </c>
    </row>
    <row r="694" spans="2:33" ht="15" x14ac:dyDescent="0.25">
      <c r="B694" s="1">
        <v>683</v>
      </c>
      <c r="C694" s="1">
        <v>0.60027303678345889</v>
      </c>
      <c r="D694" s="1">
        <v>34.735489249366076</v>
      </c>
      <c r="E694" s="1">
        <v>2.1543366797363091E-3</v>
      </c>
      <c r="G694" s="1">
        <v>0.60027303678345889</v>
      </c>
      <c r="H694" s="1">
        <v>34.735489249366076</v>
      </c>
      <c r="I694" s="1">
        <v>2.1543366797363091E-3</v>
      </c>
      <c r="K694" s="1">
        <v>0.99868783700200803</v>
      </c>
      <c r="L694" s="1">
        <v>3.7282149497189336</v>
      </c>
      <c r="M694" s="1">
        <v>0.23264903477093871</v>
      </c>
      <c r="O694" s="1">
        <v>8.9669809540712346E-3</v>
      </c>
      <c r="P694" s="1">
        <v>0.60027303678345889</v>
      </c>
      <c r="R694" s="1">
        <v>0.23256670264654336</v>
      </c>
      <c r="S694" s="2">
        <f t="shared" si="132"/>
        <v>1.387297581821868</v>
      </c>
      <c r="T694" s="4">
        <f t="shared" si="133"/>
        <v>1.9245945805288025</v>
      </c>
      <c r="U694" s="1">
        <f t="shared" si="124"/>
        <v>1.5260188954043863</v>
      </c>
      <c r="V694" s="6">
        <f>2*sigma/alpha*corel*(B694/12-1/alpha*(1-EXP(-alpha*Output!B694/12)))</f>
        <v>4.3102887175482056</v>
      </c>
      <c r="W694" s="5">
        <f t="shared" si="134"/>
        <v>-0.39857568512441621</v>
      </c>
      <c r="X694" s="1">
        <f t="shared" si="130"/>
        <v>109.3209864752821</v>
      </c>
      <c r="Y694" s="3">
        <f t="shared" si="135"/>
        <v>5.3985759486089815E-2</v>
      </c>
      <c r="Z694" s="1">
        <f t="shared" si="125"/>
        <v>0.18388652273893147</v>
      </c>
      <c r="AA694" s="8">
        <f t="shared" si="131"/>
        <v>56.833333333333854</v>
      </c>
      <c r="AB694" s="1">
        <v>56.92</v>
      </c>
      <c r="AC694">
        <v>9.4120574389999993E-3</v>
      </c>
      <c r="AD694" s="8">
        <f t="shared" si="126"/>
        <v>4.4507648492876468</v>
      </c>
      <c r="AE694" s="3">
        <f t="shared" si="127"/>
        <v>4.7287905732973576E-2</v>
      </c>
      <c r="AF694" s="11">
        <f t="shared" si="128"/>
        <v>56.833333333333854</v>
      </c>
      <c r="AG694" s="1">
        <f t="shared" si="129"/>
        <v>0.18388652273893147</v>
      </c>
    </row>
    <row r="695" spans="2:33" ht="15" x14ac:dyDescent="0.25">
      <c r="B695" s="1">
        <v>684</v>
      </c>
      <c r="C695" s="1">
        <v>0.59976334659693897</v>
      </c>
      <c r="D695" s="1">
        <v>34.743937182961574</v>
      </c>
      <c r="E695" s="1">
        <v>2.1414651904833287E-3</v>
      </c>
      <c r="G695" s="1">
        <v>0.59976334659693897</v>
      </c>
      <c r="H695" s="1">
        <v>34.743937182961574</v>
      </c>
      <c r="I695" s="1">
        <v>2.1414651904833287E-3</v>
      </c>
      <c r="K695" s="1">
        <v>0.99867884502740634</v>
      </c>
      <c r="L695" s="1">
        <v>3.7155183305294743</v>
      </c>
      <c r="M695" s="1">
        <v>0.23339469071027613</v>
      </c>
      <c r="O695" s="1">
        <v>8.968774103673258E-3</v>
      </c>
      <c r="P695" s="1">
        <v>0.59976334659693897</v>
      </c>
      <c r="R695" s="1">
        <v>0.23272241168342253</v>
      </c>
      <c r="S695" s="2">
        <f t="shared" si="132"/>
        <v>1.3893936499833768</v>
      </c>
      <c r="T695" s="4">
        <f t="shared" si="133"/>
        <v>1.9304147146141302</v>
      </c>
      <c r="U695" s="1">
        <f t="shared" si="124"/>
        <v>1.5302146624365025</v>
      </c>
      <c r="V695" s="6">
        <f>2*sigma/alpha*corel*(B695/12-1/alpha*(1-EXP(-alpha*Output!B695/12)))</f>
        <v>4.3196381459860547</v>
      </c>
      <c r="W695" s="5">
        <f t="shared" si="134"/>
        <v>-0.40020005217762766</v>
      </c>
      <c r="X695" s="1">
        <f t="shared" si="130"/>
        <v>109.90488560875694</v>
      </c>
      <c r="Y695" s="3">
        <f t="shared" si="135"/>
        <v>5.4069429424621188E-2</v>
      </c>
      <c r="Z695" s="1">
        <f t="shared" si="125"/>
        <v>0.18402968461036864</v>
      </c>
      <c r="AA695" s="8">
        <f t="shared" si="131"/>
        <v>56.91666666666719</v>
      </c>
      <c r="AB695" s="1">
        <v>57</v>
      </c>
      <c r="AC695">
        <v>9.411851471E-3</v>
      </c>
      <c r="AD695" s="8">
        <f t="shared" si="126"/>
        <v>4.4307736732674199</v>
      </c>
      <c r="AE695" s="3">
        <f t="shared" si="127"/>
        <v>4.7076536289587821E-2</v>
      </c>
      <c r="AF695" s="11">
        <f t="shared" si="128"/>
        <v>56.91666666666719</v>
      </c>
      <c r="AG695" s="1">
        <f t="shared" si="129"/>
        <v>0.18402968461036864</v>
      </c>
    </row>
    <row r="696" spans="2:33" ht="15" x14ac:dyDescent="0.25">
      <c r="B696" s="1">
        <v>685</v>
      </c>
      <c r="C696" s="1">
        <v>0.59925227947078896</v>
      </c>
      <c r="D696" s="1">
        <v>34.746351633078525</v>
      </c>
      <c r="E696" s="1">
        <v>2.12906385062488E-3</v>
      </c>
      <c r="G696" s="1">
        <v>0.59925227947078896</v>
      </c>
      <c r="H696" s="1">
        <v>34.746351633078525</v>
      </c>
      <c r="I696" s="1">
        <v>2.12906385062488E-3</v>
      </c>
      <c r="K696" s="1">
        <v>0.99855932389040025</v>
      </c>
      <c r="L696" s="1">
        <v>3.6957781281341626</v>
      </c>
      <c r="M696" s="1">
        <v>0.2345884996566428</v>
      </c>
      <c r="O696" s="1">
        <v>8.9706149220798032E-3</v>
      </c>
      <c r="P696" s="1">
        <v>0.59925227947078896</v>
      </c>
      <c r="R696" s="1">
        <v>0.23281922840528782</v>
      </c>
      <c r="S696" s="2">
        <f t="shared" si="132"/>
        <v>1.3912369178874739</v>
      </c>
      <c r="T696" s="4">
        <f t="shared" si="133"/>
        <v>1.9355401616930379</v>
      </c>
      <c r="U696" s="1">
        <f t="shared" si="124"/>
        <v>1.5344136177395811</v>
      </c>
      <c r="V696" s="6">
        <f>2*sigma/alpha*corel*(B696/12-1/alpha*(1-EXP(-alpha*Output!B696/12)))</f>
        <v>4.3289911259621476</v>
      </c>
      <c r="W696" s="5">
        <f t="shared" si="134"/>
        <v>-0.40112654395345682</v>
      </c>
      <c r="X696" s="1">
        <f t="shared" si="130"/>
        <v>110.33072503803167</v>
      </c>
      <c r="Y696" s="3">
        <f t="shared" si="135"/>
        <v>5.4086296818151344E-2</v>
      </c>
      <c r="Z696" s="1">
        <f t="shared" si="125"/>
        <v>0.18413927583644796</v>
      </c>
      <c r="AA696" s="8">
        <f t="shared" si="131"/>
        <v>57.000000000000526</v>
      </c>
      <c r="AB696" s="1">
        <v>57.08</v>
      </c>
      <c r="AC696">
        <v>9.4116461040000005E-3</v>
      </c>
      <c r="AD696" s="8">
        <f t="shared" si="126"/>
        <v>4.4103118192019739</v>
      </c>
      <c r="AE696" s="3">
        <f t="shared" si="127"/>
        <v>4.6860153584903363E-2</v>
      </c>
      <c r="AF696" s="11">
        <f t="shared" si="128"/>
        <v>57.000000000000526</v>
      </c>
      <c r="AG696" s="1">
        <f t="shared" si="129"/>
        <v>0.18413927583644796</v>
      </c>
    </row>
    <row r="697" spans="2:33" ht="15" x14ac:dyDescent="0.25">
      <c r="B697" s="1">
        <v>686</v>
      </c>
      <c r="C697" s="1">
        <v>0.59873240820677343</v>
      </c>
      <c r="D697" s="1">
        <v>34.742730083729981</v>
      </c>
      <c r="E697" s="1">
        <v>2.1171190244315538E-3</v>
      </c>
      <c r="G697" s="1">
        <v>0.59873240820677343</v>
      </c>
      <c r="H697" s="1">
        <v>34.742730083729981</v>
      </c>
      <c r="I697" s="1">
        <v>2.1171190244315538E-3</v>
      </c>
      <c r="K697" s="1">
        <v>0.99871884984656756</v>
      </c>
      <c r="L697" s="1">
        <v>3.6680890035783609</v>
      </c>
      <c r="M697" s="1">
        <v>0.2363157363495352</v>
      </c>
      <c r="O697" s="1">
        <v>8.9727203187315255E-3</v>
      </c>
      <c r="P697" s="1">
        <v>0.59873240820677343</v>
      </c>
      <c r="R697" s="1">
        <v>0.23282449256777663</v>
      </c>
      <c r="S697" s="2">
        <f t="shared" si="132"/>
        <v>1.3927028770540415</v>
      </c>
      <c r="T697" s="4">
        <f t="shared" si="133"/>
        <v>1.9396213037546046</v>
      </c>
      <c r="U697" s="1">
        <f t="shared" ref="U697:U731" si="136">sigma*sigma/alpha/alpha*(B697/12+2/alpha*EXP(-alpha*B697/12)-1/2/alpha*EXP(-2*alpha*B697/12)-3/2/alpha)</f>
        <v>1.5386157519085977</v>
      </c>
      <c r="V697" s="6">
        <f>2*sigma/alpha*corel*(B697/12-1/alpha*(1-EXP(-alpha*Output!B697/12)))</f>
        <v>4.3383476456577306</v>
      </c>
      <c r="W697" s="5">
        <f t="shared" si="134"/>
        <v>-0.40100555184600695</v>
      </c>
      <c r="X697" s="1">
        <f t="shared" si="130"/>
        <v>110.51786315003756</v>
      </c>
      <c r="Y697" s="3">
        <f t="shared" si="135"/>
        <v>5.4003498579195244E-2</v>
      </c>
      <c r="Z697" s="1">
        <f t="shared" si="125"/>
        <v>0.18419890236967032</v>
      </c>
      <c r="AA697" s="8">
        <f t="shared" si="131"/>
        <v>57.083333333333862</v>
      </c>
      <c r="AB697" s="1">
        <v>57.17</v>
      </c>
      <c r="AC697">
        <v>9.4114413380000008E-3</v>
      </c>
      <c r="AD697" s="8">
        <f t="shared" si="126"/>
        <v>4.3872101926847522</v>
      </c>
      <c r="AE697" s="3">
        <f t="shared" si="127"/>
        <v>4.6615709912261598E-2</v>
      </c>
      <c r="AF697" s="11">
        <f t="shared" si="128"/>
        <v>57.083333333333862</v>
      </c>
      <c r="AG697" s="1">
        <f t="shared" si="129"/>
        <v>0.18419890236967032</v>
      </c>
    </row>
    <row r="698" spans="2:33" ht="15" x14ac:dyDescent="0.25">
      <c r="B698" s="1">
        <v>687</v>
      </c>
      <c r="C698" s="1">
        <v>0.59821122698953499</v>
      </c>
      <c r="D698" s="1">
        <v>34.721016631366965</v>
      </c>
      <c r="E698" s="1">
        <v>2.106327407532227E-3</v>
      </c>
      <c r="G698" s="1">
        <v>0.59821122698953499</v>
      </c>
      <c r="H698" s="1">
        <v>34.721016631366965</v>
      </c>
      <c r="I698" s="1">
        <v>2.106327407532227E-3</v>
      </c>
      <c r="K698" s="1">
        <v>0.99865443779309704</v>
      </c>
      <c r="L698" s="1">
        <v>3.7177010920841957</v>
      </c>
      <c r="M698" s="1">
        <v>0.2331095856730013</v>
      </c>
      <c r="O698" s="1">
        <v>8.9748710045296255E-3</v>
      </c>
      <c r="P698" s="1">
        <v>0.59821122698953499</v>
      </c>
      <c r="R698" s="1">
        <v>0.23291038392238214</v>
      </c>
      <c r="S698" s="2">
        <f t="shared" si="132"/>
        <v>1.3945310199188634</v>
      </c>
      <c r="T698" s="4">
        <f t="shared" si="133"/>
        <v>1.9447167655159454</v>
      </c>
      <c r="U698" s="1">
        <f t="shared" si="136"/>
        <v>1.54282105556182</v>
      </c>
      <c r="V698" s="6">
        <f>2*sigma/alpha*corel*(B698/12-1/alpha*(1-EXP(-alpha*Output!B698/12)))</f>
        <v>4.3477076932933851</v>
      </c>
      <c r="W698" s="5">
        <f t="shared" si="134"/>
        <v>-0.40189570995412538</v>
      </c>
      <c r="X698" s="1">
        <f t="shared" si="130"/>
        <v>110.93667976581719</v>
      </c>
      <c r="Y698" s="3">
        <f t="shared" si="135"/>
        <v>5.4016948345412631E-2</v>
      </c>
      <c r="Z698" s="1">
        <f t="shared" si="125"/>
        <v>0.18430640737479845</v>
      </c>
      <c r="AA698" s="8">
        <f t="shared" si="131"/>
        <v>57.166666666667197</v>
      </c>
      <c r="AB698" s="1">
        <v>57.25</v>
      </c>
      <c r="AC698">
        <v>9.4112371680000004E-3</v>
      </c>
      <c r="AD698" s="8">
        <f t="shared" si="126"/>
        <v>4.3636616347037496</v>
      </c>
      <c r="AE698" s="3">
        <f t="shared" si="127"/>
        <v>4.636650375299254E-2</v>
      </c>
      <c r="AF698" s="11">
        <f t="shared" si="128"/>
        <v>57.166666666667197</v>
      </c>
      <c r="AG698" s="1">
        <f t="shared" si="129"/>
        <v>0.18430640737479845</v>
      </c>
    </row>
    <row r="699" spans="2:33" ht="15" x14ac:dyDescent="0.25">
      <c r="B699" s="1">
        <v>688</v>
      </c>
      <c r="C699" s="1">
        <v>0.59769079520037272</v>
      </c>
      <c r="D699" s="1">
        <v>34.695718548331136</v>
      </c>
      <c r="E699" s="1">
        <v>2.0957330874339843E-3</v>
      </c>
      <c r="G699" s="1">
        <v>0.59769079520037272</v>
      </c>
      <c r="H699" s="1">
        <v>34.695718548331136</v>
      </c>
      <c r="I699" s="1">
        <v>2.0957330874339843E-3</v>
      </c>
      <c r="K699" s="1">
        <v>0.99883306021851659</v>
      </c>
      <c r="L699" s="1">
        <v>3.6521064823184122</v>
      </c>
      <c r="M699" s="1">
        <v>0.23724928761823111</v>
      </c>
      <c r="O699" s="1">
        <v>8.9770068076390017E-3</v>
      </c>
      <c r="P699" s="1">
        <v>0.59769079520037272</v>
      </c>
      <c r="R699" s="1">
        <v>0.23293245128609188</v>
      </c>
      <c r="S699" s="2">
        <f t="shared" si="132"/>
        <v>1.3960772088434961</v>
      </c>
      <c r="T699" s="4">
        <f t="shared" si="133"/>
        <v>1.9490315730522465</v>
      </c>
      <c r="U699" s="1">
        <f t="shared" si="136"/>
        <v>1.5470295193407835</v>
      </c>
      <c r="V699" s="6">
        <f>2*sigma/alpha*corel*(B699/12-1/alpha*(1-EXP(-alpha*Output!B699/12)))</f>
        <v>4.3570712571288883</v>
      </c>
      <c r="W699" s="5">
        <f t="shared" si="134"/>
        <v>-0.40200205371146303</v>
      </c>
      <c r="X699" s="1">
        <f t="shared" si="130"/>
        <v>111.17654092419423</v>
      </c>
      <c r="Y699" s="3">
        <f t="shared" si="135"/>
        <v>5.3956024086098786E-2</v>
      </c>
      <c r="Z699" s="1">
        <f t="shared" si="125"/>
        <v>0.18437661657402049</v>
      </c>
      <c r="AA699" s="8">
        <f t="shared" si="131"/>
        <v>57.250000000000533</v>
      </c>
      <c r="AB699" s="1">
        <v>57.33</v>
      </c>
      <c r="AC699">
        <v>9.4110335930000007E-3</v>
      </c>
      <c r="AD699" s="8">
        <f t="shared" si="126"/>
        <v>4.3402678536099897</v>
      </c>
      <c r="AE699" s="3">
        <f t="shared" si="127"/>
        <v>4.6118928497272761E-2</v>
      </c>
      <c r="AF699" s="11">
        <f t="shared" si="128"/>
        <v>57.250000000000533</v>
      </c>
      <c r="AG699" s="1">
        <f t="shared" si="129"/>
        <v>0.18437661657402049</v>
      </c>
    </row>
    <row r="700" spans="2:33" ht="15" x14ac:dyDescent="0.25">
      <c r="B700" s="1">
        <v>689</v>
      </c>
      <c r="C700" s="1">
        <v>0.59716775693102297</v>
      </c>
      <c r="D700" s="1">
        <v>34.67045730333183</v>
      </c>
      <c r="E700" s="1">
        <v>2.0852882911062453E-3</v>
      </c>
      <c r="G700" s="1">
        <v>0.59716775693102297</v>
      </c>
      <c r="H700" s="1">
        <v>34.67045730333183</v>
      </c>
      <c r="I700" s="1">
        <v>2.0852882911062453E-3</v>
      </c>
      <c r="K700" s="1">
        <v>0.99885095489060804</v>
      </c>
      <c r="L700" s="1">
        <v>3.737563907702881</v>
      </c>
      <c r="M700" s="1">
        <v>0.23177373441310492</v>
      </c>
      <c r="O700" s="1">
        <v>8.9792256344524944E-3</v>
      </c>
      <c r="P700" s="1">
        <v>0.59716775693102297</v>
      </c>
      <c r="R700" s="1">
        <v>0.23290713887832476</v>
      </c>
      <c r="S700" s="2">
        <f t="shared" si="132"/>
        <v>1.3974227886192561</v>
      </c>
      <c r="T700" s="4">
        <f t="shared" si="133"/>
        <v>1.952790450152418</v>
      </c>
      <c r="U700" s="1">
        <f t="shared" si="136"/>
        <v>1.5512411339102665</v>
      </c>
      <c r="V700" s="6">
        <f>2*sigma/alpha*corel*(B700/12-1/alpha*(1-EXP(-alpha*Output!B700/12)))</f>
        <v>4.3664383254630845</v>
      </c>
      <c r="W700" s="5">
        <f t="shared" si="134"/>
        <v>-0.40154931624215151</v>
      </c>
      <c r="X700" s="1">
        <f t="shared" si="130"/>
        <v>111.288276613687</v>
      </c>
      <c r="Y700" s="3">
        <f t="shared" si="135"/>
        <v>5.3842271920422062E-2</v>
      </c>
      <c r="Z700" s="1">
        <f t="shared" si="125"/>
        <v>0.1844203463655732</v>
      </c>
      <c r="AA700" s="8">
        <f t="shared" si="131"/>
        <v>57.333333333333869</v>
      </c>
      <c r="AB700" s="1">
        <v>57.42</v>
      </c>
      <c r="AC700">
        <v>9.410830609E-3</v>
      </c>
      <c r="AD700" s="8">
        <f t="shared" si="126"/>
        <v>4.3160497454750555</v>
      </c>
      <c r="AE700" s="3">
        <f t="shared" si="127"/>
        <v>4.5862580305583475E-2</v>
      </c>
      <c r="AF700" s="11">
        <f t="shared" si="128"/>
        <v>57.333333333333869</v>
      </c>
      <c r="AG700" s="1">
        <f t="shared" si="129"/>
        <v>0.1844203463655732</v>
      </c>
    </row>
    <row r="701" spans="2:33" ht="15" x14ac:dyDescent="0.25">
      <c r="B701" s="1">
        <v>690</v>
      </c>
      <c r="C701" s="1">
        <v>0.59664529337697103</v>
      </c>
      <c r="D701" s="1">
        <v>34.645232815964519</v>
      </c>
      <c r="E701" s="1">
        <v>2.0748179347262275E-3</v>
      </c>
      <c r="G701" s="1">
        <v>0.59664529337697103</v>
      </c>
      <c r="H701" s="1">
        <v>34.645232815964519</v>
      </c>
      <c r="I701" s="1">
        <v>2.0748179347262275E-3</v>
      </c>
      <c r="K701" s="1">
        <v>0.99903959134519305</v>
      </c>
      <c r="L701" s="1">
        <v>3.6685592430615634</v>
      </c>
      <c r="M701" s="1">
        <v>0.23608875677660468</v>
      </c>
      <c r="O701" s="1">
        <v>8.9814346193557125E-3</v>
      </c>
      <c r="P701" s="1">
        <v>0.59664529337697103</v>
      </c>
      <c r="R701" s="1">
        <v>0.23300056132838246</v>
      </c>
      <c r="S701" s="2">
        <f t="shared" si="132"/>
        <v>1.3992952832805441</v>
      </c>
      <c r="T701" s="4">
        <f t="shared" si="133"/>
        <v>1.9580272898111781</v>
      </c>
      <c r="U701" s="1">
        <f t="shared" si="136"/>
        <v>1.5554558899582669</v>
      </c>
      <c r="V701" s="6">
        <f>2*sigma/alpha*corel*(B701/12-1/alpha*(1-EXP(-alpha*Output!B701/12)))</f>
        <v>4.3758088866337612</v>
      </c>
      <c r="W701" s="5">
        <f t="shared" si="134"/>
        <v>-0.40257139985291124</v>
      </c>
      <c r="X701" s="1">
        <f t="shared" si="130"/>
        <v>111.73912537851258</v>
      </c>
      <c r="Y701" s="3">
        <f t="shared" si="135"/>
        <v>5.3868382650772054E-2</v>
      </c>
      <c r="Z701" s="1">
        <f t="shared" si="125"/>
        <v>0.18453359726200341</v>
      </c>
      <c r="AA701" s="8">
        <f t="shared" si="131"/>
        <v>57.416666666667204</v>
      </c>
      <c r="AB701" s="1">
        <v>57.5</v>
      </c>
      <c r="AC701">
        <v>9.4106282149999994E-3</v>
      </c>
      <c r="AD701" s="8">
        <f t="shared" si="126"/>
        <v>4.2919359564428694</v>
      </c>
      <c r="AE701" s="3">
        <f t="shared" si="127"/>
        <v>4.5607326720247761E-2</v>
      </c>
      <c r="AF701" s="11">
        <f t="shared" si="128"/>
        <v>57.416666666667204</v>
      </c>
      <c r="AG701" s="1">
        <f t="shared" si="129"/>
        <v>0.18453359726200341</v>
      </c>
    </row>
    <row r="702" spans="2:33" ht="15" x14ac:dyDescent="0.25">
      <c r="B702" s="1">
        <v>691</v>
      </c>
      <c r="C702" s="1">
        <v>0.59612792400790493</v>
      </c>
      <c r="D702" s="1">
        <v>34.614053305642095</v>
      </c>
      <c r="E702" s="1">
        <v>2.064750578130162E-3</v>
      </c>
      <c r="G702" s="1">
        <v>0.59612792400790493</v>
      </c>
      <c r="H702" s="1">
        <v>34.614053305642095</v>
      </c>
      <c r="I702" s="1">
        <v>2.064750578130162E-3</v>
      </c>
      <c r="K702" s="1">
        <v>0.99900457821185173</v>
      </c>
      <c r="L702" s="1">
        <v>3.6068634756588263</v>
      </c>
      <c r="M702" s="1">
        <v>0.24007684273578273</v>
      </c>
      <c r="O702" s="1">
        <v>8.9835021247638477E-3</v>
      </c>
      <c r="P702" s="1">
        <v>0.59612792400790493</v>
      </c>
      <c r="R702" s="1">
        <v>0.23296462939250673</v>
      </c>
      <c r="S702" s="2">
        <f t="shared" si="132"/>
        <v>1.400581796352325</v>
      </c>
      <c r="T702" s="4">
        <f t="shared" si="133"/>
        <v>1.9616293682735058</v>
      </c>
      <c r="U702" s="1">
        <f t="shared" si="136"/>
        <v>1.5596737781959744</v>
      </c>
      <c r="V702" s="6">
        <f>2*sigma/alpha*corel*(B702/12-1/alpha*(1-EXP(-alpha*Output!B702/12)))</f>
        <v>4.3851829290175139</v>
      </c>
      <c r="W702" s="5">
        <f t="shared" si="134"/>
        <v>-0.40195559007753134</v>
      </c>
      <c r="X702" s="1">
        <f t="shared" si="130"/>
        <v>111.81360023547134</v>
      </c>
      <c r="Y702" s="3">
        <f t="shared" si="135"/>
        <v>5.3739612911189102E-2</v>
      </c>
      <c r="Z702" s="1">
        <f t="shared" si="125"/>
        <v>0.1845695599473641</v>
      </c>
      <c r="AA702" s="8">
        <f t="shared" si="131"/>
        <v>57.50000000000054</v>
      </c>
      <c r="AB702" s="1">
        <v>57.58</v>
      </c>
      <c r="AC702">
        <v>9.4104264079999996E-3</v>
      </c>
      <c r="AD702" s="8">
        <f t="shared" si="126"/>
        <v>4.2692428323615195</v>
      </c>
      <c r="AE702" s="3">
        <f t="shared" si="127"/>
        <v>4.5367156038031889E-2</v>
      </c>
      <c r="AF702" s="11">
        <f t="shared" si="128"/>
        <v>57.50000000000054</v>
      </c>
      <c r="AG702" s="1">
        <f t="shared" si="129"/>
        <v>0.1845695599473641</v>
      </c>
    </row>
    <row r="703" spans="2:33" ht="15" x14ac:dyDescent="0.25">
      <c r="B703" s="1">
        <v>692</v>
      </c>
      <c r="C703" s="1">
        <v>0.59561298843144472</v>
      </c>
      <c r="D703" s="1">
        <v>34.586518175215296</v>
      </c>
      <c r="E703" s="1">
        <v>2.0545693622616699E-3</v>
      </c>
      <c r="G703" s="1">
        <v>0.59561298843144472</v>
      </c>
      <c r="H703" s="1">
        <v>34.586518175215296</v>
      </c>
      <c r="I703" s="1">
        <v>2.0545693622616699E-3</v>
      </c>
      <c r="K703" s="1">
        <v>0.99909430162729584</v>
      </c>
      <c r="L703" s="1">
        <v>3.5597545470173237</v>
      </c>
      <c r="M703" s="1">
        <v>0.24319661646180751</v>
      </c>
      <c r="O703" s="1">
        <v>8.9855058572960791E-3</v>
      </c>
      <c r="P703" s="1">
        <v>0.59561298843144472</v>
      </c>
      <c r="R703" s="1">
        <v>0.23301670708188804</v>
      </c>
      <c r="S703" s="2">
        <f t="shared" si="132"/>
        <v>1.4022543845912343</v>
      </c>
      <c r="T703" s="4">
        <f t="shared" si="133"/>
        <v>1.9663173591053413</v>
      </c>
      <c r="U703" s="1">
        <f t="shared" si="136"/>
        <v>1.5638947893577484</v>
      </c>
      <c r="V703" s="6">
        <f>2*sigma/alpha*corel*(B703/12-1/alpha*(1-EXP(-alpha*Output!B703/12)))</f>
        <v>4.3945604410296149</v>
      </c>
      <c r="W703" s="5">
        <f t="shared" si="134"/>
        <v>-0.40242256974759294</v>
      </c>
      <c r="X703" s="1">
        <f t="shared" si="130"/>
        <v>112.13763422497384</v>
      </c>
      <c r="Y703" s="3">
        <f t="shared" si="135"/>
        <v>5.371339953158967E-2</v>
      </c>
      <c r="Z703" s="1">
        <f t="shared" si="125"/>
        <v>0.18465640765004554</v>
      </c>
      <c r="AA703" s="8">
        <f t="shared" si="131"/>
        <v>57.583333333333876</v>
      </c>
      <c r="AB703" s="1">
        <v>57.67</v>
      </c>
      <c r="AC703">
        <v>9.4102251840000005E-3</v>
      </c>
      <c r="AD703" s="8">
        <f t="shared" si="126"/>
        <v>4.2471932670392132</v>
      </c>
      <c r="AE703" s="3">
        <f t="shared" si="127"/>
        <v>4.5133811189349886E-2</v>
      </c>
      <c r="AF703" s="11">
        <f t="shared" si="128"/>
        <v>57.583333333333876</v>
      </c>
      <c r="AG703" s="1">
        <f t="shared" si="129"/>
        <v>0.18465640765004554</v>
      </c>
    </row>
    <row r="704" spans="2:33" ht="15" x14ac:dyDescent="0.25">
      <c r="B704" s="1">
        <v>693</v>
      </c>
      <c r="C704" s="1">
        <v>0.5951017632613036</v>
      </c>
      <c r="D704" s="1">
        <v>34.560221185415585</v>
      </c>
      <c r="E704" s="1">
        <v>2.0442790849806813E-3</v>
      </c>
      <c r="G704" s="1">
        <v>0.5951017632613036</v>
      </c>
      <c r="H704" s="1">
        <v>34.560221185415585</v>
      </c>
      <c r="I704" s="1">
        <v>2.0442790849806813E-3</v>
      </c>
      <c r="K704" s="1">
        <v>0.99888486678108779</v>
      </c>
      <c r="L704" s="1">
        <v>3.6060501461971377</v>
      </c>
      <c r="M704" s="1">
        <v>0.24002781415581551</v>
      </c>
      <c r="O704" s="1">
        <v>8.9874087856159652E-3</v>
      </c>
      <c r="P704" s="1">
        <v>0.5951017632613036</v>
      </c>
      <c r="R704" s="1">
        <v>0.23309316501412872</v>
      </c>
      <c r="S704" s="2">
        <f t="shared" si="132"/>
        <v>1.4040274728755182</v>
      </c>
      <c r="T704" s="4">
        <f t="shared" si="133"/>
        <v>1.9712931445892141</v>
      </c>
      <c r="U704" s="1">
        <f t="shared" si="136"/>
        <v>1.5681189142010901</v>
      </c>
      <c r="V704" s="6">
        <f>2*sigma/alpha*corel*(B704/12-1/alpha*(1-EXP(-alpha*Output!B704/12)))</f>
        <v>4.4039414111238919</v>
      </c>
      <c r="W704" s="5">
        <f t="shared" si="134"/>
        <v>-0.40317423038812406</v>
      </c>
      <c r="X704" s="1">
        <f t="shared" si="130"/>
        <v>112.52794717226855</v>
      </c>
      <c r="Y704" s="3">
        <f t="shared" si="135"/>
        <v>5.3714092356710173E-2</v>
      </c>
      <c r="Z704" s="1">
        <f t="shared" si="125"/>
        <v>0.18475645110970565</v>
      </c>
      <c r="AA704" s="8">
        <f t="shared" si="131"/>
        <v>57.666666666667211</v>
      </c>
      <c r="AB704" s="1">
        <v>57.75</v>
      </c>
      <c r="AC704">
        <v>9.4100245419999999E-3</v>
      </c>
      <c r="AD704" s="8">
        <f t="shared" si="126"/>
        <v>4.2261575638403475</v>
      </c>
      <c r="AE704" s="3">
        <f t="shared" si="127"/>
        <v>4.4911227861071261E-2</v>
      </c>
      <c r="AF704" s="11">
        <f t="shared" si="128"/>
        <v>57.666666666667211</v>
      </c>
      <c r="AG704" s="1">
        <f t="shared" si="129"/>
        <v>0.18475645110970565</v>
      </c>
    </row>
    <row r="705" spans="2:33" ht="15" x14ac:dyDescent="0.25">
      <c r="B705" s="1">
        <v>694</v>
      </c>
      <c r="C705" s="1">
        <v>0.59458571564461227</v>
      </c>
      <c r="D705" s="1">
        <v>34.529194433893856</v>
      </c>
      <c r="E705" s="1">
        <v>2.0343396533485229E-3</v>
      </c>
      <c r="G705" s="1">
        <v>0.59458571564461227</v>
      </c>
      <c r="H705" s="1">
        <v>34.529194433893856</v>
      </c>
      <c r="I705" s="1">
        <v>2.0343396533485229E-3</v>
      </c>
      <c r="K705" s="1">
        <v>0.99884854639674581</v>
      </c>
      <c r="L705" s="1">
        <v>3.593798663996814</v>
      </c>
      <c r="M705" s="1">
        <v>0.24080333759239975</v>
      </c>
      <c r="O705" s="1">
        <v>8.9894592307248299E-3</v>
      </c>
      <c r="P705" s="1">
        <v>0.59458571564461227</v>
      </c>
      <c r="R705" s="1">
        <v>0.23319774627744663</v>
      </c>
      <c r="S705" s="2">
        <f t="shared" si="132"/>
        <v>1.405942036130561</v>
      </c>
      <c r="T705" s="4">
        <f t="shared" si="133"/>
        <v>1.9766730089589477</v>
      </c>
      <c r="U705" s="1">
        <f t="shared" si="136"/>
        <v>1.5723461435066159</v>
      </c>
      <c r="V705" s="6">
        <f>2*sigma/alpha*corel*(B705/12-1/alpha*(1-EXP(-alpha*Output!B705/12)))</f>
        <v>4.4133258277925966</v>
      </c>
      <c r="W705" s="5">
        <f t="shared" si="134"/>
        <v>-0.40432686545233176</v>
      </c>
      <c r="X705" s="1">
        <f t="shared" si="130"/>
        <v>113.01172640356729</v>
      </c>
      <c r="Y705" s="3">
        <f t="shared" si="135"/>
        <v>5.3752491650669032E-2</v>
      </c>
      <c r="Z705" s="1">
        <f t="shared" si="125"/>
        <v>0.18487504974057811</v>
      </c>
      <c r="AA705" s="8">
        <f t="shared" si="131"/>
        <v>57.750000000000547</v>
      </c>
      <c r="AB705" s="1">
        <v>57.83</v>
      </c>
      <c r="AC705">
        <v>9.4098244800000005E-3</v>
      </c>
      <c r="AD705" s="8">
        <f t="shared" si="126"/>
        <v>4.203652492751706</v>
      </c>
      <c r="AE705" s="3">
        <f t="shared" si="127"/>
        <v>4.4673017033275267E-2</v>
      </c>
      <c r="AF705" s="11">
        <f t="shared" si="128"/>
        <v>57.750000000000547</v>
      </c>
      <c r="AG705" s="1">
        <f t="shared" si="129"/>
        <v>0.18487504974057811</v>
      </c>
    </row>
    <row r="706" spans="2:33" ht="15" x14ac:dyDescent="0.25">
      <c r="B706" s="1">
        <v>695</v>
      </c>
      <c r="C706" s="1">
        <v>0.59407710639365818</v>
      </c>
      <c r="D706" s="1">
        <v>34.494653328734046</v>
      </c>
      <c r="E706" s="1">
        <v>2.0246603632240691E-3</v>
      </c>
      <c r="G706" s="1">
        <v>0.59407710639365818</v>
      </c>
      <c r="H706" s="1">
        <v>34.494653328734046</v>
      </c>
      <c r="I706" s="1">
        <v>2.0246603632240691E-3</v>
      </c>
      <c r="K706" s="1">
        <v>0.9988479949008493</v>
      </c>
      <c r="L706" s="1">
        <v>3.6136894958373693</v>
      </c>
      <c r="M706" s="1">
        <v>0.23942146185238089</v>
      </c>
      <c r="O706" s="1">
        <v>8.9913005922368748E-3</v>
      </c>
      <c r="P706" s="1">
        <v>0.59407710639365818</v>
      </c>
      <c r="R706" s="1">
        <v>0.23331043674136004</v>
      </c>
      <c r="S706" s="2">
        <f t="shared" si="132"/>
        <v>1.4078747789680353</v>
      </c>
      <c r="T706" s="4">
        <f t="shared" si="133"/>
        <v>1.9821113932542942</v>
      </c>
      <c r="U706" s="1">
        <f t="shared" si="136"/>
        <v>1.5765764680780339</v>
      </c>
      <c r="V706" s="6">
        <f>2*sigma/alpha*corel*(B706/12-1/alpha*(1-EXP(-alpha*Output!B706/12)))</f>
        <v>4.4227136795662707</v>
      </c>
      <c r="W706" s="5">
        <f t="shared" si="134"/>
        <v>-0.40553492517626033</v>
      </c>
      <c r="X706" s="1">
        <f t="shared" si="130"/>
        <v>113.50932062392293</v>
      </c>
      <c r="Y706" s="3">
        <f t="shared" si="135"/>
        <v>5.3795927709410538E-2</v>
      </c>
      <c r="Z706" s="1">
        <f t="shared" si="125"/>
        <v>0.18499596230885079</v>
      </c>
      <c r="AA706" s="8">
        <f t="shared" si="131"/>
        <v>57.833333333333883</v>
      </c>
      <c r="AB706" s="1">
        <v>57.92</v>
      </c>
      <c r="AC706">
        <v>9.4096249940000005E-3</v>
      </c>
      <c r="AD706" s="8">
        <f t="shared" si="126"/>
        <v>4.1832440176312566</v>
      </c>
      <c r="AE706" s="3">
        <f t="shared" si="127"/>
        <v>4.4457074753762038E-2</v>
      </c>
      <c r="AF706" s="11">
        <f t="shared" si="128"/>
        <v>57.833333333333883</v>
      </c>
      <c r="AG706" s="1">
        <f t="shared" si="129"/>
        <v>0.18499596230885079</v>
      </c>
    </row>
    <row r="707" spans="2:33" ht="15" x14ac:dyDescent="0.25">
      <c r="B707" s="1">
        <v>696</v>
      </c>
      <c r="C707" s="1">
        <v>0.59356598650594838</v>
      </c>
      <c r="D707" s="1">
        <v>34.451870736581</v>
      </c>
      <c r="E707" s="1">
        <v>2.0155195001511639E-3</v>
      </c>
      <c r="G707" s="1">
        <v>0.59356598650594838</v>
      </c>
      <c r="H707" s="1">
        <v>34.451870736581</v>
      </c>
      <c r="I707" s="1">
        <v>2.0155195001511639E-3</v>
      </c>
      <c r="K707" s="1">
        <v>0.99879690686752487</v>
      </c>
      <c r="L707" s="1">
        <v>3.5772224996039883</v>
      </c>
      <c r="M707" s="1">
        <v>0.24181731874865339</v>
      </c>
      <c r="O707" s="1">
        <v>8.9932222264016183E-3</v>
      </c>
      <c r="P707" s="1">
        <v>0.59356598650594838</v>
      </c>
      <c r="R707" s="1">
        <v>0.23334791717715039</v>
      </c>
      <c r="S707" s="2">
        <f t="shared" si="132"/>
        <v>1.4094816375934711</v>
      </c>
      <c r="T707" s="4">
        <f t="shared" si="133"/>
        <v>1.986638486713173</v>
      </c>
      <c r="U707" s="1">
        <f t="shared" si="136"/>
        <v>1.5808098787421159</v>
      </c>
      <c r="V707" s="6">
        <f>2*sigma/alpha*corel*(B707/12-1/alpha*(1-EXP(-alpha*Output!B707/12)))</f>
        <v>4.4321049550136298</v>
      </c>
      <c r="W707" s="5">
        <f t="shared" si="134"/>
        <v>-0.40582860797105713</v>
      </c>
      <c r="X707" s="1">
        <f t="shared" si="130"/>
        <v>113.79579138154162</v>
      </c>
      <c r="Y707" s="3">
        <f t="shared" si="135"/>
        <v>5.3753500568195528E-2</v>
      </c>
      <c r="Z707" s="1">
        <f t="shared" si="125"/>
        <v>0.1850740060136789</v>
      </c>
      <c r="AA707" s="8">
        <f t="shared" si="131"/>
        <v>57.916666666667219</v>
      </c>
      <c r="AB707" s="1">
        <v>58</v>
      </c>
      <c r="AC707">
        <v>9.4094260820000008E-3</v>
      </c>
      <c r="AD707" s="8">
        <f t="shared" si="126"/>
        <v>4.1620385559838251</v>
      </c>
      <c r="AE707" s="3">
        <f t="shared" si="127"/>
        <v>4.4232650532700417E-2</v>
      </c>
      <c r="AF707" s="11">
        <f t="shared" si="128"/>
        <v>57.916666666667219</v>
      </c>
      <c r="AG707" s="1">
        <f t="shared" si="129"/>
        <v>0.1850740060136789</v>
      </c>
    </row>
    <row r="708" spans="2:33" ht="15" x14ac:dyDescent="0.25">
      <c r="B708" s="1">
        <v>697</v>
      </c>
      <c r="C708" s="1">
        <v>0.593051402296637</v>
      </c>
      <c r="D708" s="1">
        <v>34.405642525374162</v>
      </c>
      <c r="E708" s="1">
        <v>2.0066218521119692E-3</v>
      </c>
      <c r="G708" s="1">
        <v>0.593051402296637</v>
      </c>
      <c r="H708" s="1">
        <v>34.405642525374162</v>
      </c>
      <c r="I708" s="1">
        <v>2.0066218521119692E-3</v>
      </c>
      <c r="K708" s="1">
        <v>0.99864146813403187</v>
      </c>
      <c r="L708" s="1">
        <v>3.5054232943253458</v>
      </c>
      <c r="M708" s="1">
        <v>0.24672188925800406</v>
      </c>
      <c r="O708" s="1">
        <v>8.9952516836592881E-3</v>
      </c>
      <c r="P708" s="1">
        <v>0.593051402296637</v>
      </c>
      <c r="R708" s="1">
        <v>0.23327187981348507</v>
      </c>
      <c r="S708" s="2">
        <f t="shared" si="132"/>
        <v>1.410593009448937</v>
      </c>
      <c r="T708" s="4">
        <f t="shared" si="133"/>
        <v>1.9897726383062087</v>
      </c>
      <c r="U708" s="1">
        <f t="shared" si="136"/>
        <v>1.5850463663486702</v>
      </c>
      <c r="V708" s="6">
        <f>2*sigma/alpha*corel*(B708/12-1/alpha*(1-EXP(-alpha*Output!B708/12)))</f>
        <v>4.4414996427414266</v>
      </c>
      <c r="W708" s="5">
        <f t="shared" si="134"/>
        <v>-0.40472627195753841</v>
      </c>
      <c r="X708" s="1">
        <f t="shared" si="130"/>
        <v>113.75832292794033</v>
      </c>
      <c r="Y708" s="3">
        <f t="shared" si="135"/>
        <v>5.3580387708915794E-2</v>
      </c>
      <c r="Z708" s="1">
        <f t="shared" si="125"/>
        <v>0.18508701920102597</v>
      </c>
      <c r="AA708" s="8">
        <f t="shared" si="131"/>
        <v>58.000000000000554</v>
      </c>
      <c r="AB708" s="1">
        <v>58.08</v>
      </c>
      <c r="AC708">
        <v>9.4092277410000001E-3</v>
      </c>
      <c r="AD708" s="8">
        <f t="shared" si="126"/>
        <v>4.1397605734071199</v>
      </c>
      <c r="AE708" s="3">
        <f t="shared" si="127"/>
        <v>4.3996815544897754E-2</v>
      </c>
      <c r="AF708" s="11">
        <f t="shared" si="128"/>
        <v>58.000000000000554</v>
      </c>
      <c r="AG708" s="1">
        <f t="shared" si="129"/>
        <v>0.18508701920102597</v>
      </c>
    </row>
    <row r="709" spans="2:33" ht="15" x14ac:dyDescent="0.25">
      <c r="B709" s="1">
        <v>698</v>
      </c>
      <c r="C709" s="1">
        <v>0.59253506256370014</v>
      </c>
      <c r="D709" s="1">
        <v>34.350096180269304</v>
      </c>
      <c r="E709" s="1">
        <v>1.9982814779289809E-3</v>
      </c>
      <c r="G709" s="1">
        <v>0.59253506256370014</v>
      </c>
      <c r="H709" s="1">
        <v>34.350096180269304</v>
      </c>
      <c r="I709" s="1">
        <v>1.9982814779289809E-3</v>
      </c>
      <c r="K709" s="1">
        <v>0.99843834589812852</v>
      </c>
      <c r="L709" s="1">
        <v>3.4949947231911422</v>
      </c>
      <c r="M709" s="1">
        <v>0.24740881202024143</v>
      </c>
      <c r="O709" s="1">
        <v>8.9973392046027306E-3</v>
      </c>
      <c r="P709" s="1">
        <v>0.59253506256370014</v>
      </c>
      <c r="R709" s="1">
        <v>0.23326531218714716</v>
      </c>
      <c r="S709" s="2">
        <f t="shared" si="132"/>
        <v>1.4120214632411001</v>
      </c>
      <c r="T709" s="4">
        <f t="shared" si="133"/>
        <v>1.9938046126535374</v>
      </c>
      <c r="U709" s="1">
        <f t="shared" si="136"/>
        <v>1.5892859217705149</v>
      </c>
      <c r="V709" s="6">
        <f>2*sigma/alpha*corel*(B709/12-1/alpha*(1-EXP(-alpha*Output!B709/12)))</f>
        <v>4.4508977313943268</v>
      </c>
      <c r="W709" s="5">
        <f t="shared" si="134"/>
        <v>-0.4045186908830225</v>
      </c>
      <c r="X709" s="1">
        <f t="shared" si="130"/>
        <v>113.92850602744772</v>
      </c>
      <c r="Y709" s="3">
        <f t="shared" si="135"/>
        <v>5.3491392408643507E-2</v>
      </c>
      <c r="Z709" s="1">
        <f t="shared" si="125"/>
        <v>0.185141684116468</v>
      </c>
      <c r="AA709" s="8">
        <f t="shared" si="131"/>
        <v>58.08333333333389</v>
      </c>
      <c r="AB709" s="1">
        <v>58.17</v>
      </c>
      <c r="AC709">
        <v>9.4090299699999998E-3</v>
      </c>
      <c r="AD709" s="8">
        <f t="shared" si="126"/>
        <v>4.1169076539726914</v>
      </c>
      <c r="AE709" s="3">
        <f t="shared" si="127"/>
        <v>4.3754857483706062E-2</v>
      </c>
      <c r="AF709" s="11">
        <f t="shared" si="128"/>
        <v>58.08333333333389</v>
      </c>
      <c r="AG709" s="1">
        <f t="shared" si="129"/>
        <v>0.185141684116468</v>
      </c>
    </row>
    <row r="710" spans="2:33" ht="15" x14ac:dyDescent="0.25">
      <c r="B710" s="1">
        <v>699</v>
      </c>
      <c r="C710" s="1">
        <v>0.59202258600012125</v>
      </c>
      <c r="D710" s="1">
        <v>34.288849266218627</v>
      </c>
      <c r="E710" s="1">
        <v>1.9902873975001989E-3</v>
      </c>
      <c r="G710" s="1">
        <v>0.59202258600012125</v>
      </c>
      <c r="H710" s="1">
        <v>34.288849266218627</v>
      </c>
      <c r="I710" s="1">
        <v>1.9902873975001989E-3</v>
      </c>
      <c r="K710" s="1">
        <v>0.99846910279736079</v>
      </c>
      <c r="L710" s="1">
        <v>3.4624837840915421</v>
      </c>
      <c r="M710" s="1">
        <v>0.24967440090035314</v>
      </c>
      <c r="O710" s="1">
        <v>8.9993217647840271E-3</v>
      </c>
      <c r="P710" s="1">
        <v>0.59202258600012125</v>
      </c>
      <c r="R710" s="1">
        <v>0.23322253703236528</v>
      </c>
      <c r="S710" s="2">
        <f t="shared" si="132"/>
        <v>1.413278678821335</v>
      </c>
      <c r="T710" s="4">
        <f t="shared" si="133"/>
        <v>1.9973566240109781</v>
      </c>
      <c r="U710" s="1">
        <f t="shared" si="136"/>
        <v>1.5935285359034537</v>
      </c>
      <c r="V710" s="6">
        <f>2*sigma/alpha*corel*(B710/12-1/alpha*(1-EXP(-alpha*Output!B710/12)))</f>
        <v>4.4602992096547904</v>
      </c>
      <c r="W710" s="5">
        <f t="shared" si="134"/>
        <v>-0.40382808810752446</v>
      </c>
      <c r="X710" s="1">
        <f t="shared" si="130"/>
        <v>113.98621356870035</v>
      </c>
      <c r="Y710" s="3">
        <f t="shared" si="135"/>
        <v>5.3357368361021548E-2</v>
      </c>
      <c r="Z710" s="1">
        <f t="shared" si="125"/>
        <v>0.18517392932913845</v>
      </c>
      <c r="AA710" s="8">
        <f t="shared" si="131"/>
        <v>58.166666666667226</v>
      </c>
      <c r="AB710" s="1">
        <v>58.25</v>
      </c>
      <c r="AC710">
        <v>9.4088327660000002E-3</v>
      </c>
      <c r="AD710" s="8">
        <f t="shared" si="126"/>
        <v>4.095110012159731</v>
      </c>
      <c r="AE710" s="3">
        <f t="shared" si="127"/>
        <v>4.3524102447201798E-2</v>
      </c>
      <c r="AF710" s="11">
        <f t="shared" si="128"/>
        <v>58.166666666667226</v>
      </c>
      <c r="AG710" s="1">
        <f t="shared" si="129"/>
        <v>0.18517392932913845</v>
      </c>
    </row>
    <row r="711" spans="2:33" ht="15" x14ac:dyDescent="0.25">
      <c r="B711" s="1">
        <v>700</v>
      </c>
      <c r="C711" s="1">
        <v>0.59151030276856431</v>
      </c>
      <c r="D711" s="1">
        <v>34.225477445410363</v>
      </c>
      <c r="E711" s="1">
        <v>1.9825142245395609E-3</v>
      </c>
      <c r="G711" s="1">
        <v>0.59151030276856431</v>
      </c>
      <c r="H711" s="1">
        <v>34.225477445410363</v>
      </c>
      <c r="I711" s="1">
        <v>1.9825142245395609E-3</v>
      </c>
      <c r="K711" s="1">
        <v>0.99836494594509528</v>
      </c>
      <c r="L711" s="1">
        <v>3.4550947562908063</v>
      </c>
      <c r="M711" s="1">
        <v>0.25015170710082141</v>
      </c>
      <c r="O711" s="1">
        <v>9.0013059030673841E-3</v>
      </c>
      <c r="P711" s="1">
        <v>0.59151030276856431</v>
      </c>
      <c r="R711" s="1">
        <v>0.23330648139333302</v>
      </c>
      <c r="S711" s="2">
        <f t="shared" si="132"/>
        <v>1.4151051170952116</v>
      </c>
      <c r="T711" s="4">
        <f t="shared" si="133"/>
        <v>2.0025224924290526</v>
      </c>
      <c r="U711" s="1">
        <f t="shared" si="136"/>
        <v>1.5977741996662433</v>
      </c>
      <c r="V711" s="6">
        <f>2*sigma/alpha*corel*(B711/12-1/alpha*(1-EXP(-alpha*Output!B711/12)))</f>
        <v>4.469704066242933</v>
      </c>
      <c r="W711" s="5">
        <f t="shared" si="134"/>
        <v>-0.40474829276280921</v>
      </c>
      <c r="X711" s="1">
        <f t="shared" si="130"/>
        <v>114.41952275111078</v>
      </c>
      <c r="Y711" s="3">
        <f t="shared" si="135"/>
        <v>5.3374303691917487E-2</v>
      </c>
      <c r="Z711" s="1">
        <f t="shared" si="125"/>
        <v>0.18528075186880441</v>
      </c>
      <c r="AA711" s="8">
        <f t="shared" si="131"/>
        <v>58.250000000000561</v>
      </c>
      <c r="AB711" s="1">
        <v>58.33</v>
      </c>
      <c r="AC711">
        <v>9.4086361260000001E-3</v>
      </c>
      <c r="AD711" s="8">
        <f t="shared" si="126"/>
        <v>4.0733022293261598</v>
      </c>
      <c r="AE711" s="3">
        <f t="shared" si="127"/>
        <v>4.3293227358106881E-2</v>
      </c>
      <c r="AF711" s="11">
        <f t="shared" si="128"/>
        <v>58.250000000000561</v>
      </c>
      <c r="AG711" s="1">
        <f t="shared" si="129"/>
        <v>0.18528075186880441</v>
      </c>
    </row>
    <row r="712" spans="2:33" ht="15" x14ac:dyDescent="0.25">
      <c r="B712" s="1">
        <v>701</v>
      </c>
      <c r="C712" s="1">
        <v>0.59099912186585202</v>
      </c>
      <c r="D712" s="1">
        <v>34.160005465600875</v>
      </c>
      <c r="E712" s="1">
        <v>1.9748405316270712E-3</v>
      </c>
      <c r="G712" s="1">
        <v>0.59099912186585202</v>
      </c>
      <c r="H712" s="1">
        <v>34.160005465600875</v>
      </c>
      <c r="I712" s="1">
        <v>1.9748405316270712E-3</v>
      </c>
      <c r="K712" s="1">
        <v>0.99828536512097377</v>
      </c>
      <c r="L712" s="1">
        <v>3.4715132761140941</v>
      </c>
      <c r="M712" s="1">
        <v>0.24893609039743447</v>
      </c>
      <c r="O712" s="1">
        <v>9.0032652910994257E-3</v>
      </c>
      <c r="P712" s="1">
        <v>0.59099912186585202</v>
      </c>
      <c r="R712" s="1">
        <v>0.23339226015364165</v>
      </c>
      <c r="S712" s="2">
        <f t="shared" si="132"/>
        <v>1.4169394030175735</v>
      </c>
      <c r="T712" s="4">
        <f t="shared" si="133"/>
        <v>2.0077172718237977</v>
      </c>
      <c r="U712" s="1">
        <f t="shared" si="136"/>
        <v>1.6020229040005707</v>
      </c>
      <c r="V712" s="6">
        <f>2*sigma/alpha*corel*(B712/12-1/alpha*(1-EXP(-alpha*Output!B712/12)))</f>
        <v>4.4791122899164098</v>
      </c>
      <c r="W712" s="5">
        <f t="shared" si="134"/>
        <v>-0.40569436782322699</v>
      </c>
      <c r="X712" s="1">
        <f t="shared" si="130"/>
        <v>114.85969752037428</v>
      </c>
      <c r="Y712" s="3">
        <f t="shared" si="135"/>
        <v>5.3393575220128719E-2</v>
      </c>
      <c r="Z712" s="1">
        <f t="shared" si="125"/>
        <v>0.18538854314253103</v>
      </c>
      <c r="AA712" s="8">
        <f t="shared" si="131"/>
        <v>58.333333333333897</v>
      </c>
      <c r="AB712" s="1">
        <v>58.42</v>
      </c>
      <c r="AC712">
        <v>9.4084400469999999E-3</v>
      </c>
      <c r="AD712" s="8">
        <f t="shared" si="126"/>
        <v>4.0517475590057428</v>
      </c>
      <c r="AE712" s="3">
        <f t="shared" si="127"/>
        <v>4.3065030321341041E-2</v>
      </c>
      <c r="AF712" s="11">
        <f t="shared" si="128"/>
        <v>58.333333333333897</v>
      </c>
      <c r="AG712" s="1">
        <f t="shared" si="129"/>
        <v>0.18538854314253103</v>
      </c>
    </row>
    <row r="713" spans="2:33" ht="15" x14ac:dyDescent="0.25">
      <c r="B713" s="1">
        <v>702</v>
      </c>
      <c r="C713" s="1">
        <v>0.59048510371759699</v>
      </c>
      <c r="D713" s="1">
        <v>34.095945992021548</v>
      </c>
      <c r="E713" s="1">
        <v>1.9671099221024472E-3</v>
      </c>
      <c r="G713" s="1">
        <v>0.59048510371759699</v>
      </c>
      <c r="H713" s="1">
        <v>34.095945992021548</v>
      </c>
      <c r="I713" s="1">
        <v>1.9671099221024472E-3</v>
      </c>
      <c r="K713" s="1">
        <v>0.99834761816974349</v>
      </c>
      <c r="L713" s="1">
        <v>3.4169829156756268</v>
      </c>
      <c r="M713" s="1">
        <v>0.25285624271452251</v>
      </c>
      <c r="O713" s="1">
        <v>9.0053140208675633E-3</v>
      </c>
      <c r="P713" s="1">
        <v>0.59048510371759699</v>
      </c>
      <c r="R713" s="1">
        <v>0.23345283464199537</v>
      </c>
      <c r="S713" s="2">
        <f t="shared" si="132"/>
        <v>1.4186712266142314</v>
      </c>
      <c r="T713" s="4">
        <f t="shared" si="133"/>
        <v>2.0126280492231281</v>
      </c>
      <c r="U713" s="1">
        <f t="shared" si="136"/>
        <v>1.6062746398710215</v>
      </c>
      <c r="V713" s="6">
        <f>2*sigma/alpha*corel*(B713/12-1/alpha*(1-EXP(-alpha*Output!B713/12)))</f>
        <v>4.4885238694702903</v>
      </c>
      <c r="W713" s="5">
        <f t="shared" si="134"/>
        <v>-0.40635340935210662</v>
      </c>
      <c r="X713" s="1">
        <f t="shared" si="130"/>
        <v>115.23354431519751</v>
      </c>
      <c r="Y713" s="3">
        <f t="shared" si="135"/>
        <v>5.3386025318908403E-2</v>
      </c>
      <c r="Z713" s="1">
        <f t="shared" si="125"/>
        <v>0.18548287866355326</v>
      </c>
      <c r="AA713" s="8">
        <f t="shared" si="131"/>
        <v>58.416666666667233</v>
      </c>
      <c r="AB713" s="1">
        <v>58.5</v>
      </c>
      <c r="AC713">
        <v>9.4082445279999993E-3</v>
      </c>
      <c r="AD713" s="8">
        <f t="shared" si="126"/>
        <v>4.0293050713243597</v>
      </c>
      <c r="AE713" s="3">
        <f t="shared" si="127"/>
        <v>4.2827384634112051E-2</v>
      </c>
      <c r="AF713" s="11">
        <f t="shared" si="128"/>
        <v>58.416666666667233</v>
      </c>
      <c r="AG713" s="1">
        <f t="shared" si="129"/>
        <v>0.18548287866355326</v>
      </c>
    </row>
    <row r="714" spans="2:33" ht="15" x14ac:dyDescent="0.25">
      <c r="B714" s="1">
        <v>703</v>
      </c>
      <c r="C714" s="1">
        <v>0.58997331729157354</v>
      </c>
      <c r="D714" s="1">
        <v>34.035601238895886</v>
      </c>
      <c r="E714" s="1">
        <v>1.9592092631413962E-3</v>
      </c>
      <c r="G714" s="1">
        <v>0.58997331729157354</v>
      </c>
      <c r="H714" s="1">
        <v>34.035601238895886</v>
      </c>
      <c r="I714" s="1">
        <v>1.9592092631413962E-3</v>
      </c>
      <c r="K714" s="1">
        <v>0.99838249325268391</v>
      </c>
      <c r="L714" s="1">
        <v>3.4001834177669812</v>
      </c>
      <c r="M714" s="1">
        <v>0.25404104782006526</v>
      </c>
      <c r="O714" s="1">
        <v>9.0073052865078732E-3</v>
      </c>
      <c r="P714" s="1">
        <v>0.58997331729157354</v>
      </c>
      <c r="R714" s="1">
        <v>0.23350471889277283</v>
      </c>
      <c r="S714" s="2">
        <f t="shared" si="132"/>
        <v>1.4203601337219947</v>
      </c>
      <c r="T714" s="4">
        <f t="shared" si="133"/>
        <v>2.0174229094667626</v>
      </c>
      <c r="U714" s="1">
        <f t="shared" si="136"/>
        <v>1.6105293982650544</v>
      </c>
      <c r="V714" s="6">
        <f>2*sigma/alpha*corel*(B714/12-1/alpha*(1-EXP(-alpha*Output!B714/12)))</f>
        <v>4.4979387937369291</v>
      </c>
      <c r="W714" s="5">
        <f t="shared" si="134"/>
        <v>-0.40689351120170825</v>
      </c>
      <c r="X714" s="1">
        <f t="shared" si="130"/>
        <v>115.58016618380391</v>
      </c>
      <c r="Y714" s="3">
        <f t="shared" si="135"/>
        <v>5.3367421261708417E-2</v>
      </c>
      <c r="Z714" s="1">
        <f t="shared" si="125"/>
        <v>0.18557156684278245</v>
      </c>
      <c r="AA714" s="8">
        <f t="shared" si="131"/>
        <v>58.500000000000568</v>
      </c>
      <c r="AB714" s="1">
        <v>58.58</v>
      </c>
      <c r="AC714">
        <v>9.4080495670000007E-3</v>
      </c>
      <c r="AD714" s="8">
        <f t="shared" si="126"/>
        <v>4.0074428049212756</v>
      </c>
      <c r="AE714" s="3">
        <f t="shared" si="127"/>
        <v>4.2595893828811453E-2</v>
      </c>
      <c r="AF714" s="11">
        <f t="shared" si="128"/>
        <v>58.500000000000568</v>
      </c>
      <c r="AG714" s="1">
        <f t="shared" si="129"/>
        <v>0.18557156684278245</v>
      </c>
    </row>
    <row r="715" spans="2:33" ht="15" x14ac:dyDescent="0.25">
      <c r="B715" s="1">
        <v>704</v>
      </c>
      <c r="C715" s="1">
        <v>0.5894627194777482</v>
      </c>
      <c r="D715" s="1">
        <v>33.982397118292724</v>
      </c>
      <c r="E715" s="1">
        <v>1.9509911034805683E-3</v>
      </c>
      <c r="G715" s="1">
        <v>0.5894627194777482</v>
      </c>
      <c r="H715" s="1">
        <v>33.982397118292724</v>
      </c>
      <c r="I715" s="1">
        <v>1.9509911034805683E-3</v>
      </c>
      <c r="K715" s="1">
        <v>0.99849440550858848</v>
      </c>
      <c r="L715" s="1">
        <v>3.5257444351489795</v>
      </c>
      <c r="M715" s="1">
        <v>0.24494637001146954</v>
      </c>
      <c r="O715" s="1">
        <v>9.0092693509832913E-3</v>
      </c>
      <c r="P715" s="1">
        <v>0.5894627194777482</v>
      </c>
      <c r="R715" s="1">
        <v>0.2335414454584292</v>
      </c>
      <c r="S715" s="2">
        <f t="shared" si="132"/>
        <v>1.4219798166546147</v>
      </c>
      <c r="T715" s="4">
        <f t="shared" si="133"/>
        <v>2.0220265989730914</v>
      </c>
      <c r="U715" s="1">
        <f t="shared" si="136"/>
        <v>1.6147871701929719</v>
      </c>
      <c r="V715" s="6">
        <f>2*sigma/alpha*corel*(B715/12-1/alpha*(1-EXP(-alpha*Output!B715/12)))</f>
        <v>4.507357051585843</v>
      </c>
      <c r="W715" s="5">
        <f t="shared" si="134"/>
        <v>-0.40723942878011954</v>
      </c>
      <c r="X715" s="1">
        <f t="shared" si="130"/>
        <v>115.88178687754868</v>
      </c>
      <c r="Y715" s="3">
        <f t="shared" si="135"/>
        <v>5.3330823216311898E-2</v>
      </c>
      <c r="Z715" s="1">
        <f t="shared" si="125"/>
        <v>0.18565118497466124</v>
      </c>
      <c r="AA715" s="8">
        <f t="shared" si="131"/>
        <v>58.583333333333904</v>
      </c>
      <c r="AB715" s="1">
        <v>58.67</v>
      </c>
      <c r="AC715">
        <v>9.4078551600000008E-3</v>
      </c>
      <c r="AD715" s="8">
        <f t="shared" si="126"/>
        <v>3.9858580901670946</v>
      </c>
      <c r="AE715" s="3">
        <f t="shared" si="127"/>
        <v>4.2367341146088547E-2</v>
      </c>
      <c r="AF715" s="11">
        <f t="shared" si="128"/>
        <v>58.583333333333904</v>
      </c>
      <c r="AG715" s="1">
        <f t="shared" si="129"/>
        <v>0.18565118497466124</v>
      </c>
    </row>
    <row r="716" spans="2:33" ht="15" x14ac:dyDescent="0.25">
      <c r="B716" s="1">
        <v>705</v>
      </c>
      <c r="C716" s="1">
        <v>0.58895843325578767</v>
      </c>
      <c r="D716" s="1">
        <v>33.939723051859893</v>
      </c>
      <c r="E716" s="1">
        <v>1.9421246844047388E-3</v>
      </c>
      <c r="G716" s="1">
        <v>0.58895843325578767</v>
      </c>
      <c r="H716" s="1">
        <v>33.939723051859893</v>
      </c>
      <c r="I716" s="1">
        <v>1.9421246844047388E-3</v>
      </c>
      <c r="K716" s="1">
        <v>0.99851799553802356</v>
      </c>
      <c r="L716" s="1">
        <v>3.5274144110053989</v>
      </c>
      <c r="M716" s="1">
        <v>0.2447810546043406</v>
      </c>
      <c r="O716" s="1">
        <v>9.0110582049833868E-3</v>
      </c>
      <c r="P716" s="1">
        <v>0.58895843325578767</v>
      </c>
      <c r="R716" s="1">
        <v>0.23349871720193227</v>
      </c>
      <c r="S716" s="2">
        <f t="shared" si="132"/>
        <v>1.4232255149415625</v>
      </c>
      <c r="T716" s="4">
        <f t="shared" si="133"/>
        <v>2.0255708663806757</v>
      </c>
      <c r="U716" s="1">
        <f t="shared" si="136"/>
        <v>1.6190479466878926</v>
      </c>
      <c r="V716" s="6">
        <f>2*sigma/alpha*corel*(B716/12-1/alpha*(1-EXP(-alpha*Output!B716/12)))</f>
        <v>4.516778631923593</v>
      </c>
      <c r="W716" s="5">
        <f t="shared" si="134"/>
        <v>-0.40652291969278309</v>
      </c>
      <c r="X716" s="1">
        <f t="shared" si="130"/>
        <v>115.93417533760559</v>
      </c>
      <c r="Y716" s="3">
        <f t="shared" si="135"/>
        <v>5.3195699706172384E-2</v>
      </c>
      <c r="Z716" s="1">
        <f t="shared" si="125"/>
        <v>0.1856819915364645</v>
      </c>
      <c r="AA716" s="8">
        <f t="shared" si="131"/>
        <v>58.66666666666724</v>
      </c>
      <c r="AB716" s="1">
        <v>58.75</v>
      </c>
      <c r="AC716">
        <v>9.4076613050000004E-3</v>
      </c>
      <c r="AD716" s="8">
        <f t="shared" si="126"/>
        <v>3.9660310001661361</v>
      </c>
      <c r="AE716" s="3">
        <f t="shared" si="127"/>
        <v>4.2157459453374062E-2</v>
      </c>
      <c r="AF716" s="11">
        <f t="shared" si="128"/>
        <v>58.66666666666724</v>
      </c>
      <c r="AG716" s="1">
        <f t="shared" si="129"/>
        <v>0.1856819915364645</v>
      </c>
    </row>
    <row r="717" spans="2:33" ht="15" x14ac:dyDescent="0.25">
      <c r="B717" s="1">
        <v>706</v>
      </c>
      <c r="C717" s="1">
        <v>0.58845594046146033</v>
      </c>
      <c r="D717" s="1">
        <v>33.901752720615654</v>
      </c>
      <c r="E717" s="1">
        <v>1.9330768784674569E-3</v>
      </c>
      <c r="G717" s="1">
        <v>0.58845594046146033</v>
      </c>
      <c r="H717" s="1">
        <v>33.901752720615654</v>
      </c>
      <c r="I717" s="1">
        <v>1.9330768784674569E-3</v>
      </c>
      <c r="K717" s="1">
        <v>0.99862160091017849</v>
      </c>
      <c r="L717" s="1">
        <v>3.6260382423456106</v>
      </c>
      <c r="M717" s="1">
        <v>0.23807156641452276</v>
      </c>
      <c r="O717" s="1">
        <v>9.0128026505889476E-3</v>
      </c>
      <c r="P717" s="1">
        <v>0.58845594046146033</v>
      </c>
      <c r="R717" s="1">
        <v>0.23353662545239598</v>
      </c>
      <c r="S717" s="2">
        <f t="shared" si="132"/>
        <v>1.4248315398667291</v>
      </c>
      <c r="T717" s="4">
        <f t="shared" si="133"/>
        <v>2.0301449169989945</v>
      </c>
      <c r="U717" s="1">
        <f t="shared" si="136"/>
        <v>1.6233117188057209</v>
      </c>
      <c r="V717" s="6">
        <f>2*sigma/alpha*corel*(B717/12-1/alpha*(1-EXP(-alpha*Output!B717/12)))</f>
        <v>4.5262035236936518</v>
      </c>
      <c r="W717" s="5">
        <f t="shared" si="134"/>
        <v>-0.40683319819327357</v>
      </c>
      <c r="X717" s="1">
        <f t="shared" si="130"/>
        <v>116.22793097938053</v>
      </c>
      <c r="Y717" s="3">
        <f t="shared" si="135"/>
        <v>5.3156110434801521E-2</v>
      </c>
      <c r="Z717" s="1">
        <f t="shared" ref="Z717:Z731" si="137">S717/SQRT(B717/12)</f>
        <v>0.18575982469371</v>
      </c>
      <c r="AA717" s="8">
        <f t="shared" si="131"/>
        <v>58.750000000000576</v>
      </c>
      <c r="AB717" s="1">
        <v>58.83</v>
      </c>
      <c r="AC717">
        <v>9.4074680000000004E-3</v>
      </c>
      <c r="AD717" s="8">
        <f t="shared" ref="AD717:AD731" si="138">(AC717-O717)*10000</f>
        <v>3.946653494110528</v>
      </c>
      <c r="AE717" s="3">
        <f t="shared" ref="AE717:AE731" si="139">AD717/AC717/10000</f>
        <v>4.1952345669531141E-2</v>
      </c>
      <c r="AF717" s="11">
        <f t="shared" ref="AF717:AF731" si="140">AA717</f>
        <v>58.750000000000576</v>
      </c>
      <c r="AG717" s="1">
        <f t="shared" ref="AG717:AG731" si="141">Z717</f>
        <v>0.18575982469371</v>
      </c>
    </row>
    <row r="718" spans="2:33" ht="15" x14ac:dyDescent="0.25">
      <c r="B718" s="1">
        <v>707</v>
      </c>
      <c r="C718" s="1">
        <v>0.58794817525372023</v>
      </c>
      <c r="D718" s="1">
        <v>33.861573885954222</v>
      </c>
      <c r="E718" s="1">
        <v>1.9241129839144154E-3</v>
      </c>
      <c r="G718" s="1">
        <v>0.58794817525372023</v>
      </c>
      <c r="H718" s="1">
        <v>33.861573885954222</v>
      </c>
      <c r="I718" s="1">
        <v>1.9241129839144154E-3</v>
      </c>
      <c r="K718" s="1">
        <v>0.9986911953517229</v>
      </c>
      <c r="L718" s="1">
        <v>3.5366935211251604</v>
      </c>
      <c r="M718" s="1">
        <v>0.24403321873686465</v>
      </c>
      <c r="O718" s="1">
        <v>9.0147067432775792E-3</v>
      </c>
      <c r="P718" s="1">
        <v>0.58794817525372023</v>
      </c>
      <c r="R718" s="1">
        <v>0.23352586603744743</v>
      </c>
      <c r="S718" s="2">
        <f t="shared" si="132"/>
        <v>1.4262350067772418</v>
      </c>
      <c r="T718" s="4">
        <f t="shared" si="133"/>
        <v>2.0341462945568791</v>
      </c>
      <c r="U718" s="1">
        <f t="shared" si="136"/>
        <v>1.6275784776251179</v>
      </c>
      <c r="V718" s="6">
        <f>2*sigma/alpha*corel*(B718/12-1/alpha*(1-EXP(-alpha*Output!B718/12)))</f>
        <v>4.5356317158762884</v>
      </c>
      <c r="W718" s="5">
        <f t="shared" si="134"/>
        <v>-0.40656781693176125</v>
      </c>
      <c r="X718" s="1">
        <f t="shared" ref="X718:X731" si="142">V718*V718-4*W718*B718/12</f>
        <v>116.38643725231462</v>
      </c>
      <c r="Y718" s="3">
        <f t="shared" si="135"/>
        <v>5.3063277634330511E-2</v>
      </c>
      <c r="Z718" s="1">
        <f t="shared" si="137"/>
        <v>0.18581125133861129</v>
      </c>
      <c r="AA718" s="8">
        <f t="shared" ref="AA718:AA731" si="143">AA717+1/12</f>
        <v>58.833333333333911</v>
      </c>
      <c r="AB718" s="1">
        <v>58.92</v>
      </c>
      <c r="AC718">
        <v>9.407275243E-3</v>
      </c>
      <c r="AD718" s="8">
        <f t="shared" si="138"/>
        <v>3.9256849972242081</v>
      </c>
      <c r="AE718" s="3">
        <f t="shared" si="139"/>
        <v>4.173030867939502E-2</v>
      </c>
      <c r="AF718" s="11">
        <f t="shared" si="140"/>
        <v>58.833333333333911</v>
      </c>
      <c r="AG718" s="1">
        <f t="shared" si="141"/>
        <v>0.18581125133861129</v>
      </c>
    </row>
    <row r="719" spans="2:33" ht="15" x14ac:dyDescent="0.25">
      <c r="B719" s="1">
        <v>708</v>
      </c>
      <c r="C719" s="1">
        <v>0.58743550910553632</v>
      </c>
      <c r="D719" s="1">
        <v>33.812341504649197</v>
      </c>
      <c r="E719" s="1">
        <v>1.9158189167959843E-3</v>
      </c>
      <c r="G719" s="1">
        <v>0.58743550910553632</v>
      </c>
      <c r="H719" s="1">
        <v>33.812341504649197</v>
      </c>
      <c r="I719" s="1">
        <v>1.9158189167959843E-3</v>
      </c>
      <c r="K719" s="1">
        <v>0.99867561155856654</v>
      </c>
      <c r="L719" s="1">
        <v>3.5199849134938015</v>
      </c>
      <c r="M719" s="1">
        <v>0.24513751077603863</v>
      </c>
      <c r="O719" s="1">
        <v>9.0167595038040393E-3</v>
      </c>
      <c r="P719" s="1">
        <v>0.58743550910553632</v>
      </c>
      <c r="R719" s="1">
        <v>0.23344381513240692</v>
      </c>
      <c r="S719" s="2">
        <f t="shared" si="132"/>
        <v>1.4273319262726851</v>
      </c>
      <c r="T719" s="4">
        <f t="shared" si="133"/>
        <v>2.0372764277572939</v>
      </c>
      <c r="U719" s="1">
        <f t="shared" si="136"/>
        <v>1.6318482142474764</v>
      </c>
      <c r="V719" s="6">
        <f>2*sigma/alpha*corel*(B719/12-1/alpha*(1-EXP(-alpha*Output!B719/12)))</f>
        <v>4.545063197488445</v>
      </c>
      <c r="W719" s="5">
        <f t="shared" si="134"/>
        <v>-0.4054282135098175</v>
      </c>
      <c r="X719" s="1">
        <f t="shared" si="142"/>
        <v>116.33865785748083</v>
      </c>
      <c r="Y719" s="3">
        <f t="shared" si="135"/>
        <v>5.2889633517264965E-2</v>
      </c>
      <c r="Z719" s="1">
        <f t="shared" si="137"/>
        <v>0.18582278908960248</v>
      </c>
      <c r="AA719" s="8">
        <f t="shared" si="143"/>
        <v>58.916666666667247</v>
      </c>
      <c r="AB719" s="1">
        <v>59</v>
      </c>
      <c r="AC719">
        <v>9.4070830309999996E-3</v>
      </c>
      <c r="AD719" s="8">
        <f t="shared" si="138"/>
        <v>3.903235271959602</v>
      </c>
      <c r="AE719" s="3">
        <f t="shared" si="139"/>
        <v>4.1492514301159272E-2</v>
      </c>
      <c r="AF719" s="11">
        <f t="shared" si="140"/>
        <v>58.916666666667247</v>
      </c>
      <c r="AG719" s="1">
        <f t="shared" si="141"/>
        <v>0.18582278908960248</v>
      </c>
    </row>
    <row r="720" spans="2:33" ht="15" x14ac:dyDescent="0.25">
      <c r="B720" s="1">
        <v>709</v>
      </c>
      <c r="C720" s="1">
        <v>0.5869243439214511</v>
      </c>
      <c r="D720" s="1">
        <v>33.77009320545725</v>
      </c>
      <c r="E720" s="1">
        <v>1.9070503652001448E-3</v>
      </c>
      <c r="G720" s="1">
        <v>0.5869243439214511</v>
      </c>
      <c r="H720" s="1">
        <v>33.77009320545725</v>
      </c>
      <c r="I720" s="1">
        <v>1.9070503652001448E-3</v>
      </c>
      <c r="K720" s="1">
        <v>0.99853885538570086</v>
      </c>
      <c r="L720" s="1">
        <v>3.5710566679553235</v>
      </c>
      <c r="M720" s="1">
        <v>0.24157853843190022</v>
      </c>
      <c r="O720" s="1">
        <v>9.0187760810382205E-3</v>
      </c>
      <c r="P720" s="1">
        <v>0.5869243439214511</v>
      </c>
      <c r="R720" s="1">
        <v>0.23345078435101263</v>
      </c>
      <c r="S720" s="2">
        <f t="shared" si="132"/>
        <v>1.4288287686671188</v>
      </c>
      <c r="T720" s="4">
        <f t="shared" si="133"/>
        <v>2.0415516501707951</v>
      </c>
      <c r="U720" s="1">
        <f t="shared" si="136"/>
        <v>1.6361209197968853</v>
      </c>
      <c r="V720" s="6">
        <f>2*sigma/alpha*corel*(B720/12-1/alpha*(1-EXP(-alpha*Output!B720/12)))</f>
        <v>4.5544979575836084</v>
      </c>
      <c r="W720" s="5">
        <f t="shared" si="134"/>
        <v>-0.40543073037390975</v>
      </c>
      <c r="X720" s="1">
        <f t="shared" si="142"/>
        <v>116.56024759066726</v>
      </c>
      <c r="Y720" s="3">
        <f t="shared" si="135"/>
        <v>5.2822080422172783E-2</v>
      </c>
      <c r="Z720" s="1">
        <f t="shared" si="137"/>
        <v>0.18588643196377244</v>
      </c>
      <c r="AA720" s="8">
        <f t="shared" si="143"/>
        <v>59.000000000000583</v>
      </c>
      <c r="AB720" s="1">
        <v>59.08</v>
      </c>
      <c r="AC720">
        <v>9.406891362E-3</v>
      </c>
      <c r="AD720" s="8">
        <f t="shared" si="138"/>
        <v>3.8811528096177952</v>
      </c>
      <c r="AE720" s="3">
        <f t="shared" si="139"/>
        <v>4.1258612013912135E-2</v>
      </c>
      <c r="AF720" s="11">
        <f t="shared" si="140"/>
        <v>59.000000000000583</v>
      </c>
      <c r="AG720" s="1">
        <f t="shared" si="141"/>
        <v>0.18588643196377244</v>
      </c>
    </row>
    <row r="721" spans="2:33" ht="15" x14ac:dyDescent="0.25">
      <c r="B721" s="1">
        <v>710</v>
      </c>
      <c r="C721" s="1">
        <v>0.58641683314897652</v>
      </c>
      <c r="D721" s="1">
        <v>33.743883921039313</v>
      </c>
      <c r="E721" s="1">
        <v>1.8974972011916282E-3</v>
      </c>
      <c r="G721" s="1">
        <v>0.58641683314897652</v>
      </c>
      <c r="H721" s="1">
        <v>33.743883921039313</v>
      </c>
      <c r="I721" s="1">
        <v>1.8974972011916282E-3</v>
      </c>
      <c r="K721" s="1">
        <v>0.99839364122543062</v>
      </c>
      <c r="L721" s="1">
        <v>3.5342623296953271</v>
      </c>
      <c r="M721" s="1">
        <v>0.24404001464359854</v>
      </c>
      <c r="O721" s="1">
        <v>9.0206944716504523E-3</v>
      </c>
      <c r="P721" s="1">
        <v>0.58641683314897652</v>
      </c>
      <c r="R721" s="1">
        <v>0.23366066509443853</v>
      </c>
      <c r="S721" s="2">
        <f t="shared" si="132"/>
        <v>1.431236842085353</v>
      </c>
      <c r="T721" s="4">
        <f t="shared" si="133"/>
        <v>2.0484388981424537</v>
      </c>
      <c r="U721" s="1">
        <f t="shared" si="136"/>
        <v>1.6403965854201039</v>
      </c>
      <c r="V721" s="6">
        <f>2*sigma/alpha*corel*(B721/12-1/alpha*(1-EXP(-alpha*Output!B721/12)))</f>
        <v>4.5639359852516961</v>
      </c>
      <c r="W721" s="5">
        <f t="shared" si="134"/>
        <v>-0.40804231272234981</v>
      </c>
      <c r="X721" s="1">
        <f t="shared" si="142"/>
        <v>117.3995256884315</v>
      </c>
      <c r="Y721" s="3">
        <f t="shared" si="135"/>
        <v>5.2995804367726697E-2</v>
      </c>
      <c r="Z721" s="1">
        <f t="shared" si="137"/>
        <v>0.18606854248855748</v>
      </c>
      <c r="AA721" s="8">
        <f t="shared" si="143"/>
        <v>59.083333333333918</v>
      </c>
      <c r="AB721" s="1">
        <v>59.17</v>
      </c>
      <c r="AC721">
        <v>9.4067002340000004E-3</v>
      </c>
      <c r="AD721" s="8">
        <f t="shared" si="138"/>
        <v>3.8600576234954809</v>
      </c>
      <c r="AE721" s="3">
        <f t="shared" si="139"/>
        <v>4.103519329279267E-2</v>
      </c>
      <c r="AF721" s="11">
        <f t="shared" si="140"/>
        <v>59.083333333333918</v>
      </c>
      <c r="AG721" s="1">
        <f t="shared" si="141"/>
        <v>0.18606854248855748</v>
      </c>
    </row>
    <row r="722" spans="2:33" ht="15" x14ac:dyDescent="0.25">
      <c r="B722" s="1">
        <v>711</v>
      </c>
      <c r="C722" s="1">
        <v>0.58591349764177381</v>
      </c>
      <c r="D722" s="1">
        <v>33.717715287612108</v>
      </c>
      <c r="E722" s="1">
        <v>1.8879323365050599E-3</v>
      </c>
      <c r="G722" s="1">
        <v>0.58591349764177381</v>
      </c>
      <c r="H722" s="1">
        <v>33.717715287612108</v>
      </c>
      <c r="I722" s="1">
        <v>1.8879323365050599E-3</v>
      </c>
      <c r="K722" s="1">
        <v>0.99837763013305758</v>
      </c>
      <c r="L722" s="1">
        <v>3.5481352807158051</v>
      </c>
      <c r="M722" s="1">
        <v>0.24303918670709226</v>
      </c>
      <c r="O722" s="1">
        <v>9.02249983539344E-3</v>
      </c>
      <c r="P722" s="1">
        <v>0.58591349764177381</v>
      </c>
      <c r="R722" s="1">
        <v>0.23365653801750155</v>
      </c>
      <c r="S722" s="2">
        <f t="shared" si="132"/>
        <v>1.4326658345829058</v>
      </c>
      <c r="T722" s="4">
        <f t="shared" si="133"/>
        <v>2.052531393581134</v>
      </c>
      <c r="U722" s="1">
        <f t="shared" si="136"/>
        <v>1.6446752022865319</v>
      </c>
      <c r="V722" s="6">
        <f>2*sigma/alpha*corel*(B722/12-1/alpha*(1-EXP(-alpha*Output!B722/12)))</f>
        <v>4.5733772696189323</v>
      </c>
      <c r="W722" s="5">
        <f t="shared" si="134"/>
        <v>-0.40785619129460216</v>
      </c>
      <c r="X722" s="1">
        <f t="shared" si="142"/>
        <v>117.57769698708782</v>
      </c>
      <c r="Y722" s="3">
        <f t="shared" si="135"/>
        <v>5.2910951284563107E-2</v>
      </c>
      <c r="Z722" s="1">
        <f t="shared" si="137"/>
        <v>0.18612329263270913</v>
      </c>
      <c r="AA722" s="8">
        <f t="shared" si="143"/>
        <v>59.166666666667254</v>
      </c>
      <c r="AB722" s="1">
        <v>59.25</v>
      </c>
      <c r="AC722">
        <v>9.4065096439999996E-3</v>
      </c>
      <c r="AD722" s="8">
        <f t="shared" si="138"/>
        <v>3.8400980860655958</v>
      </c>
      <c r="AE722" s="3">
        <f t="shared" si="139"/>
        <v>4.0823836166638344E-2</v>
      </c>
      <c r="AF722" s="11">
        <f t="shared" si="140"/>
        <v>59.166666666667254</v>
      </c>
      <c r="AG722" s="1">
        <f t="shared" si="141"/>
        <v>0.18612329263270913</v>
      </c>
    </row>
    <row r="723" spans="2:33" ht="15" x14ac:dyDescent="0.25">
      <c r="B723" s="1">
        <v>712</v>
      </c>
      <c r="C723" s="1">
        <v>0.58540948514416236</v>
      </c>
      <c r="D723" s="1">
        <v>33.693857609757742</v>
      </c>
      <c r="E723" s="1">
        <v>1.8782870022539444E-3</v>
      </c>
      <c r="G723" s="1">
        <v>0.58540948514416236</v>
      </c>
      <c r="H723" s="1">
        <v>33.693857609757742</v>
      </c>
      <c r="I723" s="1">
        <v>1.8782870022539444E-3</v>
      </c>
      <c r="K723" s="1">
        <v>0.99832481531033412</v>
      </c>
      <c r="L723" s="1">
        <v>3.5990816938286856</v>
      </c>
      <c r="M723" s="1">
        <v>0.23954653146090502</v>
      </c>
      <c r="O723" s="1">
        <v>9.0243320563961459E-3</v>
      </c>
      <c r="P723" s="1">
        <v>0.58540948514416236</v>
      </c>
      <c r="R723" s="1">
        <v>0.23375276685557586</v>
      </c>
      <c r="S723" s="2">
        <f t="shared" si="132"/>
        <v>1.4345545423024759</v>
      </c>
      <c r="T723" s="4">
        <f t="shared" si="133"/>
        <v>2.0579467348406664</v>
      </c>
      <c r="U723" s="1">
        <f t="shared" si="136"/>
        <v>1.6489567615881779</v>
      </c>
      <c r="V723" s="6">
        <f>2*sigma/alpha*corel*(B723/12-1/alpha*(1-EXP(-alpha*Output!B723/12)))</f>
        <v>4.5828217998477259</v>
      </c>
      <c r="W723" s="5">
        <f t="shared" si="134"/>
        <v>-0.40898997325248843</v>
      </c>
      <c r="X723" s="1">
        <f t="shared" si="142"/>
        <v>118.06920930108348</v>
      </c>
      <c r="Y723" s="3">
        <f t="shared" si="135"/>
        <v>5.2947841354027254E-2</v>
      </c>
      <c r="Z723" s="1">
        <f t="shared" si="137"/>
        <v>0.18623773927703929</v>
      </c>
      <c r="AA723" s="8">
        <f t="shared" si="143"/>
        <v>59.25000000000059</v>
      </c>
      <c r="AB723" s="1">
        <v>59.33</v>
      </c>
      <c r="AC723">
        <v>9.4063195910000005E-3</v>
      </c>
      <c r="AD723" s="8">
        <f t="shared" si="138"/>
        <v>3.8198753460385455</v>
      </c>
      <c r="AE723" s="3">
        <f t="shared" si="139"/>
        <v>4.0609670010504598E-2</v>
      </c>
      <c r="AF723" s="11">
        <f t="shared" si="140"/>
        <v>59.25000000000059</v>
      </c>
      <c r="AG723" s="1">
        <f t="shared" si="141"/>
        <v>0.18623773927703929</v>
      </c>
    </row>
    <row r="724" spans="2:33" ht="15" x14ac:dyDescent="0.25">
      <c r="B724" s="1">
        <v>713</v>
      </c>
      <c r="C724" s="1">
        <v>0.58490422809750275</v>
      </c>
      <c r="D724" s="1">
        <v>33.67910548295837</v>
      </c>
      <c r="E724" s="1">
        <v>1.8682509434667265E-3</v>
      </c>
      <c r="G724" s="1">
        <v>0.58490422809750275</v>
      </c>
      <c r="H724" s="1">
        <v>33.67910548295837</v>
      </c>
      <c r="I724" s="1">
        <v>1.8682509434667265E-3</v>
      </c>
      <c r="K724" s="1">
        <v>0.99821086748422627</v>
      </c>
      <c r="L724" s="1">
        <v>3.5354835745107724</v>
      </c>
      <c r="M724" s="1">
        <v>0.24381266995084383</v>
      </c>
      <c r="O724" s="1">
        <v>9.026207424513346E-3</v>
      </c>
      <c r="P724" s="1">
        <v>0.58490422809750275</v>
      </c>
      <c r="R724" s="1">
        <v>0.2337251482663065</v>
      </c>
      <c r="S724" s="2">
        <f t="shared" si="132"/>
        <v>1.4358865047633793</v>
      </c>
      <c r="T724" s="4">
        <f t="shared" si="133"/>
        <v>2.061770054561594</v>
      </c>
      <c r="U724" s="1">
        <f t="shared" si="136"/>
        <v>1.6532412545396302</v>
      </c>
      <c r="V724" s="6">
        <f>2*sigma/alpha*corel*(B724/12-1/alpha*(1-EXP(-alpha*Output!B724/12)))</f>
        <v>4.592269565136549</v>
      </c>
      <c r="W724" s="5">
        <f t="shared" si="134"/>
        <v>-0.40852880002196379</v>
      </c>
      <c r="X724" s="1">
        <f t="shared" si="142"/>
        <v>118.18261789743283</v>
      </c>
      <c r="Y724" s="3">
        <f t="shared" si="135"/>
        <v>5.2837980475136249E-2</v>
      </c>
      <c r="Z724" s="1">
        <f t="shared" si="137"/>
        <v>0.18627988960626934</v>
      </c>
      <c r="AA724" s="8">
        <f t="shared" si="143"/>
        <v>59.333333333333925</v>
      </c>
      <c r="AB724" s="1">
        <v>59.42</v>
      </c>
      <c r="AC724">
        <v>9.4061300709999997E-3</v>
      </c>
      <c r="AD724" s="8">
        <f t="shared" si="138"/>
        <v>3.7992264648665368</v>
      </c>
      <c r="AE724" s="3">
        <f t="shared" si="139"/>
        <v>4.0390962448838726E-2</v>
      </c>
      <c r="AF724" s="11">
        <f t="shared" si="140"/>
        <v>59.333333333333925</v>
      </c>
      <c r="AG724" s="1">
        <f t="shared" si="141"/>
        <v>0.18627988960626934</v>
      </c>
    </row>
    <row r="725" spans="2:33" ht="15" x14ac:dyDescent="0.25">
      <c r="B725" s="1">
        <v>714</v>
      </c>
      <c r="C725" s="1">
        <v>0.58440501423216407</v>
      </c>
      <c r="D725" s="1">
        <v>33.65870077415012</v>
      </c>
      <c r="E725" s="1">
        <v>1.8584942479603025E-3</v>
      </c>
      <c r="G725" s="1">
        <v>0.58440501423216407</v>
      </c>
      <c r="H725" s="1">
        <v>33.65870077415012</v>
      </c>
      <c r="I725" s="1">
        <v>1.8584942479603025E-3</v>
      </c>
      <c r="K725" s="1">
        <v>0.99798974801566509</v>
      </c>
      <c r="L725" s="1">
        <v>3.5706970204021418</v>
      </c>
      <c r="M725" s="1">
        <v>0.24134984976547266</v>
      </c>
      <c r="O725" s="1">
        <v>9.0279162858021601E-3</v>
      </c>
      <c r="P725" s="1">
        <v>0.58440501423216407</v>
      </c>
      <c r="R725" s="1">
        <v>0.23374587331648108</v>
      </c>
      <c r="S725" s="2">
        <f t="shared" si="132"/>
        <v>1.4374227627688956</v>
      </c>
      <c r="T725" s="4">
        <f t="shared" si="133"/>
        <v>2.0661841989261647</v>
      </c>
      <c r="U725" s="1">
        <f t="shared" si="136"/>
        <v>1.6575286723780271</v>
      </c>
      <c r="V725" s="6">
        <f>2*sigma/alpha*corel*(B725/12-1/alpha*(1-EXP(-alpha*Output!B725/12)))</f>
        <v>4.6017205547198223</v>
      </c>
      <c r="W725" s="5">
        <f t="shared" si="134"/>
        <v>-0.40865552654813753</v>
      </c>
      <c r="X725" s="1">
        <f t="shared" si="142"/>
        <v>118.43584738218765</v>
      </c>
      <c r="Y725" s="3">
        <f t="shared" si="135"/>
        <v>5.2782377710747924E-2</v>
      </c>
      <c r="Z725" s="1">
        <f t="shared" si="137"/>
        <v>0.18634855742908751</v>
      </c>
      <c r="AA725" s="8">
        <f t="shared" si="143"/>
        <v>59.416666666667261</v>
      </c>
      <c r="AB725" s="1">
        <v>59.5</v>
      </c>
      <c r="AC725">
        <v>9.4059410830000002E-3</v>
      </c>
      <c r="AD725" s="8">
        <f t="shared" si="138"/>
        <v>3.780247971978401</v>
      </c>
      <c r="AE725" s="3">
        <f t="shared" si="139"/>
        <v>4.0190002665556786E-2</v>
      </c>
      <c r="AF725" s="11">
        <f t="shared" si="140"/>
        <v>59.416666666667261</v>
      </c>
      <c r="AG725" s="1">
        <f t="shared" si="141"/>
        <v>0.18634855742908751</v>
      </c>
    </row>
    <row r="726" spans="2:33" ht="15" x14ac:dyDescent="0.25">
      <c r="B726" s="1">
        <v>715</v>
      </c>
      <c r="C726" s="1">
        <v>0.58390416708206794</v>
      </c>
      <c r="D726" s="1">
        <v>33.634926507685577</v>
      </c>
      <c r="E726" s="1">
        <v>1.8490098552225282E-3</v>
      </c>
      <c r="G726" s="1">
        <v>0.58390416708206794</v>
      </c>
      <c r="H726" s="1">
        <v>33.634926507685577</v>
      </c>
      <c r="I726" s="1">
        <v>1.8490098552225282E-3</v>
      </c>
      <c r="K726" s="1">
        <v>0.99787953565172316</v>
      </c>
      <c r="L726" s="1">
        <v>3.6044239373383293</v>
      </c>
      <c r="M726" s="1">
        <v>0.23904527944332285</v>
      </c>
      <c r="O726" s="1">
        <v>9.0296795594112019E-3</v>
      </c>
      <c r="P726" s="1">
        <v>0.58390416708206794</v>
      </c>
      <c r="R726" s="1">
        <v>0.23376540260415987</v>
      </c>
      <c r="S726" s="2">
        <f t="shared" si="132"/>
        <v>1.438960407241636</v>
      </c>
      <c r="T726" s="4">
        <f t="shared" si="133"/>
        <v>2.0706070536090149</v>
      </c>
      <c r="U726" s="1">
        <f t="shared" si="136"/>
        <v>1.6618190063630243</v>
      </c>
      <c r="V726" s="6">
        <f>2*sigma/alpha*corel*(B726/12-1/alpha*(1-EXP(-alpha*Output!B726/12)))</f>
        <v>4.6111747578677917</v>
      </c>
      <c r="W726" s="5">
        <f t="shared" si="134"/>
        <v>-0.4087880472459906</v>
      </c>
      <c r="X726" s="1">
        <f t="shared" si="142"/>
        <v>118.69075057455818</v>
      </c>
      <c r="Y726" s="3">
        <f t="shared" si="135"/>
        <v>5.2727443734674487E-2</v>
      </c>
      <c r="Z726" s="1">
        <f t="shared" si="137"/>
        <v>0.18641740008265825</v>
      </c>
      <c r="AA726" s="8">
        <f t="shared" si="143"/>
        <v>59.500000000000597</v>
      </c>
      <c r="AB726" s="1">
        <v>59.58</v>
      </c>
      <c r="AC726">
        <v>9.4057526249999995E-3</v>
      </c>
      <c r="AD726" s="8">
        <f t="shared" si="138"/>
        <v>3.7607306558879761</v>
      </c>
      <c r="AE726" s="3">
        <f t="shared" si="139"/>
        <v>3.9983303897363306E-2</v>
      </c>
      <c r="AF726" s="11">
        <f t="shared" si="140"/>
        <v>59.500000000000597</v>
      </c>
      <c r="AG726" s="1">
        <f t="shared" si="141"/>
        <v>0.18641740008265825</v>
      </c>
    </row>
    <row r="727" spans="2:33" ht="15" x14ac:dyDescent="0.25">
      <c r="B727" s="1">
        <v>716</v>
      </c>
      <c r="C727" s="1">
        <v>0.58340113786703796</v>
      </c>
      <c r="D727" s="1">
        <v>33.613445378151262</v>
      </c>
      <c r="E727" s="1">
        <v>1.8394525789125157E-3</v>
      </c>
      <c r="G727" s="1">
        <v>0.58340113786703796</v>
      </c>
      <c r="H727" s="1">
        <v>33.613445378151262</v>
      </c>
      <c r="I727" s="1">
        <v>1.8394525789125157E-3</v>
      </c>
      <c r="K727" s="1">
        <v>0.99783561694923151</v>
      </c>
      <c r="L727" s="1">
        <v>3.5491949966904275</v>
      </c>
      <c r="M727" s="1">
        <v>0.24271265088774194</v>
      </c>
      <c r="O727" s="1">
        <v>9.0315129242030234E-3</v>
      </c>
      <c r="P727" s="1">
        <v>0.58340113786703796</v>
      </c>
      <c r="R727" s="1">
        <v>0.23379272269517809</v>
      </c>
      <c r="S727" s="2">
        <f>optim_vol_implied(P727,R727)</f>
        <v>1.4405420334735737</v>
      </c>
      <c r="T727" s="4">
        <f>S727*S727</f>
        <v>2.0751613502041786</v>
      </c>
      <c r="U727" s="1">
        <f t="shared" si="136"/>
        <v>1.6661122477767645</v>
      </c>
      <c r="V727" s="6">
        <f>2*sigma/alpha*corel*(B727/12-1/alpha*(1-EXP(-alpha*Output!B727/12)))</f>
        <v>4.6206321638864045</v>
      </c>
      <c r="W727" s="5">
        <f>U727-T727</f>
        <v>-0.4090491024274141</v>
      </c>
      <c r="X727" s="1">
        <f t="shared" si="142"/>
        <v>118.9766273732844</v>
      </c>
      <c r="Y727" s="3">
        <f>(-V727+SQRT(X727))/2/B727*12</f>
        <v>5.2684429739269012E-2</v>
      </c>
      <c r="Z727" s="1">
        <f t="shared" si="137"/>
        <v>0.18649193147751805</v>
      </c>
      <c r="AA727" s="8">
        <f t="shared" si="143"/>
        <v>59.583333333333933</v>
      </c>
      <c r="AB727" s="1">
        <v>59.67</v>
      </c>
      <c r="AC727">
        <v>9.4055646929999993E-3</v>
      </c>
      <c r="AD727" s="8">
        <f t="shared" si="138"/>
        <v>3.7405176879697599</v>
      </c>
      <c r="AE727" s="3">
        <f t="shared" si="139"/>
        <v>3.9769198448590802E-2</v>
      </c>
      <c r="AF727" s="11">
        <f t="shared" si="140"/>
        <v>59.583333333333933</v>
      </c>
      <c r="AG727" s="1">
        <f t="shared" si="141"/>
        <v>0.18649193147751805</v>
      </c>
    </row>
    <row r="728" spans="2:33" ht="15" x14ac:dyDescent="0.25">
      <c r="B728" s="1">
        <v>717</v>
      </c>
      <c r="C728" s="1">
        <v>0.5829016709674617</v>
      </c>
      <c r="D728" s="1">
        <v>33.597634726515253</v>
      </c>
      <c r="E728" s="1">
        <v>1.8295918180653895E-3</v>
      </c>
      <c r="G728" s="1">
        <v>0.5829016709674617</v>
      </c>
      <c r="H728" s="1">
        <v>33.597634726515253</v>
      </c>
      <c r="I728" s="1">
        <v>1.8295918180653895E-3</v>
      </c>
      <c r="K728" s="1">
        <v>0.99796818036022428</v>
      </c>
      <c r="L728" s="1">
        <v>3.5847474761824847</v>
      </c>
      <c r="M728" s="1">
        <v>0.24025877405090276</v>
      </c>
      <c r="O728" s="1">
        <v>9.0332513353905478E-3</v>
      </c>
      <c r="P728" s="1">
        <v>0.5829016709674617</v>
      </c>
      <c r="R728" s="1">
        <v>0.23379813595400714</v>
      </c>
      <c r="S728" s="2">
        <f>optim_vol_implied(P728,R728)</f>
        <v>1.4420154930451397</v>
      </c>
      <c r="T728" s="4">
        <f>S728*S728</f>
        <v>2.0794086821822173</v>
      </c>
      <c r="U728" s="1">
        <f t="shared" si="136"/>
        <v>1.6704083879238496</v>
      </c>
      <c r="V728" s="6">
        <f>2*sigma/alpha*corel*(B728/12-1/alpha*(1-EXP(-alpha*Output!B728/12)))</f>
        <v>4.6300927621172026</v>
      </c>
      <c r="W728" s="5">
        <f>U728-T728</f>
        <v>-0.4090002942583677</v>
      </c>
      <c r="X728" s="1">
        <f t="shared" si="142"/>
        <v>119.18882931355998</v>
      </c>
      <c r="Y728" s="3">
        <f>(-V728+SQRT(X728))/2/B728*12</f>
        <v>5.2613145600042405E-2</v>
      </c>
      <c r="Z728" s="1">
        <f t="shared" si="137"/>
        <v>0.18655245629220849</v>
      </c>
      <c r="AA728" s="8">
        <f t="shared" si="143"/>
        <v>59.666666666667268</v>
      </c>
      <c r="AB728" s="1">
        <v>59.75</v>
      </c>
      <c r="AC728">
        <v>9.4053772869999996E-3</v>
      </c>
      <c r="AD728" s="8">
        <f t="shared" si="138"/>
        <v>3.721259516094519</v>
      </c>
      <c r="AE728" s="3">
        <f t="shared" si="139"/>
        <v>3.9565233828928896E-2</v>
      </c>
      <c r="AF728" s="11">
        <f t="shared" si="140"/>
        <v>59.666666666667268</v>
      </c>
      <c r="AG728" s="1">
        <f t="shared" si="141"/>
        <v>0.18655245629220849</v>
      </c>
    </row>
    <row r="729" spans="2:33" ht="15" x14ac:dyDescent="0.25">
      <c r="B729" s="1">
        <v>718</v>
      </c>
      <c r="C729" s="1">
        <v>0.58240107524703044</v>
      </c>
      <c r="D729" s="1">
        <v>33.578456062590242</v>
      </c>
      <c r="E729" s="1">
        <v>1.8199686965384193E-3</v>
      </c>
      <c r="G729" s="1">
        <v>0.58240107524703044</v>
      </c>
      <c r="H729" s="1">
        <v>33.578456062590242</v>
      </c>
      <c r="I729" s="1">
        <v>1.8199686965384193E-3</v>
      </c>
      <c r="K729" s="1">
        <v>0.99799901123704515</v>
      </c>
      <c r="L729" s="1">
        <v>3.7118515084536257</v>
      </c>
      <c r="M729" s="1">
        <v>0.23197751235342193</v>
      </c>
      <c r="O729" s="1">
        <v>9.0350295688038894E-3</v>
      </c>
      <c r="P729" s="1">
        <v>0.58240107524703044</v>
      </c>
      <c r="R729" s="1">
        <v>0.23372398941337627</v>
      </c>
      <c r="S729" s="2">
        <f>optim_vol_implied(P729,R729)</f>
        <v>1.4431305326729487</v>
      </c>
      <c r="T729" s="4">
        <f>S729*S729</f>
        <v>2.0826257343329084</v>
      </c>
      <c r="U729" s="1">
        <f t="shared" si="136"/>
        <v>1.6747074181313044</v>
      </c>
      <c r="V729" s="6">
        <f>2*sigma/alpha*corel*(B729/12-1/alpha*(1-EXP(-alpha*Output!B729/12)))</f>
        <v>4.6395565419371927</v>
      </c>
      <c r="W729" s="5">
        <f>U729-T729</f>
        <v>-0.40791831620160401</v>
      </c>
      <c r="X729" s="1">
        <f t="shared" si="142"/>
        <v>119.15393525008275</v>
      </c>
      <c r="Y729" s="3">
        <f>(-V729+SQRT(X729))/2/B729*12</f>
        <v>5.2447428159232888E-2</v>
      </c>
      <c r="Z729" s="1">
        <f t="shared" si="137"/>
        <v>0.18656665119211488</v>
      </c>
      <c r="AA729" s="8">
        <f t="shared" si="143"/>
        <v>59.750000000000604</v>
      </c>
      <c r="AB729" s="1">
        <v>59.83</v>
      </c>
      <c r="AC729">
        <v>9.4051904030000005E-3</v>
      </c>
      <c r="AD729" s="8">
        <f t="shared" si="138"/>
        <v>3.7016083419611108</v>
      </c>
      <c r="AE729" s="3">
        <f t="shared" si="139"/>
        <v>3.9357080328542828E-2</v>
      </c>
      <c r="AF729" s="11">
        <f t="shared" si="140"/>
        <v>59.750000000000604</v>
      </c>
      <c r="AG729" s="1">
        <f t="shared" si="141"/>
        <v>0.18656665119211488</v>
      </c>
    </row>
    <row r="730" spans="2:33" ht="15" x14ac:dyDescent="0.25">
      <c r="B730" s="1">
        <v>719</v>
      </c>
      <c r="C730" s="1">
        <v>0.5818948326219644</v>
      </c>
      <c r="D730" s="1">
        <v>33.553669093715399</v>
      </c>
      <c r="E730" s="1">
        <v>1.810708530247886E-3</v>
      </c>
      <c r="G730" s="1">
        <v>0.5818948326219644</v>
      </c>
      <c r="H730" s="1">
        <v>33.553669093715399</v>
      </c>
      <c r="I730" s="1">
        <v>1.810708530247886E-3</v>
      </c>
      <c r="K730" s="1">
        <v>0.99788209786620241</v>
      </c>
      <c r="L730" s="1">
        <v>3.6812531331986817</v>
      </c>
      <c r="M730" s="1">
        <v>0.23386379211927844</v>
      </c>
      <c r="O730" s="1">
        <v>9.0369771495048389E-3</v>
      </c>
      <c r="P730" s="1">
        <v>0.5818948326219644</v>
      </c>
      <c r="R730" s="1">
        <v>0.23378044217204433</v>
      </c>
      <c r="S730" s="2">
        <f>optim_vol_implied(P730,R730)</f>
        <v>1.4448608581367541</v>
      </c>
      <c r="T730" s="4">
        <f>S730*S730</f>
        <v>2.0876228993756776</v>
      </c>
      <c r="U730" s="1">
        <f t="shared" si="136"/>
        <v>1.6790093297485491</v>
      </c>
      <c r="V730" s="6">
        <f>2*sigma/alpha*corel*(B730/12-1/alpha*(1-EXP(-alpha*Output!B730/12)))</f>
        <v>4.6490234927587313</v>
      </c>
      <c r="W730" s="5">
        <f>U730-T730</f>
        <v>-0.40861356962712847</v>
      </c>
      <c r="X730" s="1">
        <f t="shared" si="142"/>
        <v>119.5444716235244</v>
      </c>
      <c r="Y730" s="3">
        <f>(-V730+SQRT(X730))/2/B730*12</f>
        <v>5.2444639421004538E-2</v>
      </c>
      <c r="Z730" s="1">
        <f t="shared" si="137"/>
        <v>0.18666040502634998</v>
      </c>
      <c r="AA730" s="8">
        <f t="shared" si="143"/>
        <v>59.83333333333394</v>
      </c>
      <c r="AB730" s="1">
        <v>59.92</v>
      </c>
      <c r="AC730">
        <v>9.4050040399999996E-3</v>
      </c>
      <c r="AD730" s="8">
        <f t="shared" si="138"/>
        <v>3.6802689049516073</v>
      </c>
      <c r="AE730" s="3">
        <f t="shared" si="139"/>
        <v>3.9130965699740491E-2</v>
      </c>
      <c r="AF730" s="11">
        <f t="shared" si="140"/>
        <v>59.83333333333394</v>
      </c>
      <c r="AG730" s="1">
        <f t="shared" si="141"/>
        <v>0.18666040502634998</v>
      </c>
    </row>
    <row r="731" spans="2:33" ht="15" x14ac:dyDescent="0.25">
      <c r="B731" s="1">
        <v>720</v>
      </c>
      <c r="C731" s="1">
        <v>0.58138730692349916</v>
      </c>
      <c r="D731" s="1">
        <v>33.531167219930929</v>
      </c>
      <c r="E731" s="1">
        <v>1.8014123072488831E-3</v>
      </c>
      <c r="G731" s="1">
        <v>0.58138730692349916</v>
      </c>
      <c r="H731" s="1">
        <v>33.531167219930929</v>
      </c>
      <c r="I731" s="1">
        <v>1.8014123072488831E-3</v>
      </c>
      <c r="K731" s="1">
        <v>0.99775659228659219</v>
      </c>
      <c r="L731" s="1">
        <v>3.7911031612030026</v>
      </c>
      <c r="M731" s="1">
        <v>0.22703915495287763</v>
      </c>
      <c r="O731" s="1">
        <v>9.0389687168767902E-3</v>
      </c>
      <c r="P731" s="1">
        <v>0.58138730692349916</v>
      </c>
      <c r="R731" s="1">
        <v>0.23378133255028027</v>
      </c>
      <c r="S731" s="2">
        <f>optim_vol_implied(P731,R731)</f>
        <v>1.4463429441799753</v>
      </c>
      <c r="T731" s="4">
        <f>S731*S731</f>
        <v>2.0919079121791992</v>
      </c>
      <c r="U731" s="1">
        <f t="shared" si="136"/>
        <v>1.6833141141473673</v>
      </c>
      <c r="V731" s="6">
        <f>2*sigma/alpha*corel*(B731/12-1/alpha*(1-EXP(-alpha*Output!B731/12)))</f>
        <v>4.658493604029414</v>
      </c>
      <c r="W731" s="5">
        <f>U731-T731</f>
        <v>-0.40859379803183193</v>
      </c>
      <c r="X731" s="1">
        <f t="shared" si="142"/>
        <v>119.76407418642263</v>
      </c>
      <c r="Y731" s="3">
        <f>(-V731+SQRT(X731))/2/B731*12</f>
        <v>5.237653130990004E-2</v>
      </c>
      <c r="Z731" s="1">
        <f t="shared" si="137"/>
        <v>0.18672207119045492</v>
      </c>
      <c r="AA731" s="8">
        <f t="shared" si="143"/>
        <v>59.916666666667275</v>
      </c>
      <c r="AB731" s="1">
        <v>60</v>
      </c>
      <c r="AC731">
        <v>9.4048181959999998E-3</v>
      </c>
      <c r="AD731" s="8">
        <f t="shared" si="138"/>
        <v>3.6584947912320955</v>
      </c>
      <c r="AE731" s="3">
        <f t="shared" si="139"/>
        <v>3.8900218111479333E-2</v>
      </c>
      <c r="AF731" s="11">
        <f t="shared" si="140"/>
        <v>59.916666666667275</v>
      </c>
      <c r="AG731" s="1">
        <f t="shared" si="141"/>
        <v>0.18672207119045492</v>
      </c>
    </row>
    <row r="732" spans="2:33" x14ac:dyDescent="0.2">
      <c r="AC732">
        <v>9.4046328679999996E-3</v>
      </c>
    </row>
    <row r="733" spans="2:33" x14ac:dyDescent="0.2">
      <c r="AC733">
        <v>9.4044480529999995E-3</v>
      </c>
    </row>
    <row r="734" spans="2:33" x14ac:dyDescent="0.2">
      <c r="AC734">
        <v>9.4042637509999995E-3</v>
      </c>
    </row>
    <row r="735" spans="2:33" x14ac:dyDescent="0.2">
      <c r="AC735">
        <v>9.4040799590000002E-3</v>
      </c>
    </row>
    <row r="736" spans="2:33" x14ac:dyDescent="0.2">
      <c r="AC736">
        <v>9.403896674E-3</v>
      </c>
    </row>
    <row r="737" spans="29:29" x14ac:dyDescent="0.2">
      <c r="AC737">
        <v>9.4037138950000005E-3</v>
      </c>
    </row>
    <row r="738" spans="29:29" x14ac:dyDescent="0.2">
      <c r="AC738">
        <v>9.4035316200000007E-3</v>
      </c>
    </row>
    <row r="739" spans="29:29" x14ac:dyDescent="0.2">
      <c r="AC739">
        <v>9.4033498459999993E-3</v>
      </c>
    </row>
    <row r="740" spans="29:29" x14ac:dyDescent="0.2">
      <c r="AC740">
        <v>9.4031685719999994E-3</v>
      </c>
    </row>
    <row r="741" spans="29:29" x14ac:dyDescent="0.2">
      <c r="AC741">
        <v>9.4029877939999992E-3</v>
      </c>
    </row>
    <row r="742" spans="29:29" x14ac:dyDescent="0.2">
      <c r="AC742">
        <v>9.4028075129999993E-3</v>
      </c>
    </row>
    <row r="743" spans="29:29" x14ac:dyDescent="0.2">
      <c r="AC743">
        <v>9.4026277240000008E-3</v>
      </c>
    </row>
    <row r="744" spans="29:29" x14ac:dyDescent="0.2">
      <c r="AC744">
        <v>9.4024484270000003E-3</v>
      </c>
    </row>
    <row r="745" spans="29:29" x14ac:dyDescent="0.2">
      <c r="AC745">
        <v>9.4022696190000001E-3</v>
      </c>
    </row>
    <row r="746" spans="29:29" x14ac:dyDescent="0.2">
      <c r="AC746">
        <v>9.4020912979999993E-3</v>
      </c>
    </row>
    <row r="747" spans="29:29" x14ac:dyDescent="0.2">
      <c r="AC747">
        <v>9.4019134620000003E-3</v>
      </c>
    </row>
    <row r="748" spans="29:29" x14ac:dyDescent="0.2">
      <c r="AC748">
        <v>9.4017361099999995E-3</v>
      </c>
    </row>
    <row r="749" spans="29:29" x14ac:dyDescent="0.2">
      <c r="AC749">
        <v>9.4015592390000007E-3</v>
      </c>
    </row>
    <row r="750" spans="29:29" x14ac:dyDescent="0.2">
      <c r="AC750">
        <v>9.4013828479999999E-3</v>
      </c>
    </row>
    <row r="751" spans="29:29" x14ac:dyDescent="0.2">
      <c r="AC751">
        <v>9.4012069330000007E-3</v>
      </c>
    </row>
    <row r="752" spans="29:29" x14ac:dyDescent="0.2">
      <c r="AC752">
        <v>9.401031495E-3</v>
      </c>
    </row>
    <row r="753" spans="29:29" x14ac:dyDescent="0.2">
      <c r="AC753">
        <v>9.4008565289999992E-3</v>
      </c>
    </row>
    <row r="754" spans="29:29" x14ac:dyDescent="0.2">
      <c r="AC754">
        <v>9.4006820360000003E-3</v>
      </c>
    </row>
    <row r="755" spans="29:29" x14ac:dyDescent="0.2">
      <c r="AC755">
        <v>9.4005080120000001E-3</v>
      </c>
    </row>
    <row r="756" spans="29:29" x14ac:dyDescent="0.2">
      <c r="AC756">
        <v>9.4003344559999997E-3</v>
      </c>
    </row>
    <row r="757" spans="29:29" x14ac:dyDescent="0.2">
      <c r="AC757">
        <v>9.400161366E-3</v>
      </c>
    </row>
    <row r="758" spans="29:29" x14ac:dyDescent="0.2">
      <c r="AC758">
        <v>9.3999887400000003E-3</v>
      </c>
    </row>
    <row r="759" spans="29:29" x14ac:dyDescent="0.2">
      <c r="AC759">
        <v>9.3998165769999999E-3</v>
      </c>
    </row>
    <row r="760" spans="29:29" x14ac:dyDescent="0.2">
      <c r="AC760">
        <v>9.3996448730000008E-3</v>
      </c>
    </row>
    <row r="761" spans="29:29" x14ac:dyDescent="0.2">
      <c r="AC761">
        <v>9.3994736279999994E-3</v>
      </c>
    </row>
    <row r="762" spans="29:29" x14ac:dyDescent="0.2">
      <c r="AC762">
        <v>9.3993028400000001E-3</v>
      </c>
    </row>
    <row r="763" spans="29:29" x14ac:dyDescent="0.2">
      <c r="AC763">
        <v>9.3991325070000003E-3</v>
      </c>
    </row>
    <row r="764" spans="29:29" x14ac:dyDescent="0.2">
      <c r="AC764">
        <v>9.3989626270000008E-3</v>
      </c>
    </row>
    <row r="765" spans="29:29" x14ac:dyDescent="0.2">
      <c r="AC765">
        <v>9.3987931980000008E-3</v>
      </c>
    </row>
    <row r="766" spans="29:29" x14ac:dyDescent="0.2">
      <c r="AC766">
        <v>9.3986242179999995E-3</v>
      </c>
    </row>
    <row r="767" spans="29:29" x14ac:dyDescent="0.2">
      <c r="AC767">
        <v>9.3984556859999999E-3</v>
      </c>
    </row>
    <row r="768" spans="29:29" x14ac:dyDescent="0.2">
      <c r="AC768">
        <v>9.3982875999999993E-3</v>
      </c>
    </row>
    <row r="769" spans="29:29" x14ac:dyDescent="0.2">
      <c r="AC769">
        <v>9.3981199580000004E-3</v>
      </c>
    </row>
    <row r="770" spans="29:29" x14ac:dyDescent="0.2">
      <c r="AC770">
        <v>9.3979527589999994E-3</v>
      </c>
    </row>
    <row r="771" spans="29:29" x14ac:dyDescent="0.2">
      <c r="AC771">
        <v>9.397786E-3</v>
      </c>
    </row>
    <row r="772" spans="29:29" x14ac:dyDescent="0.2">
      <c r="AC772">
        <v>9.3976196789999997E-3</v>
      </c>
    </row>
    <row r="773" spans="29:29" x14ac:dyDescent="0.2">
      <c r="AC773">
        <v>9.3974537970000008E-3</v>
      </c>
    </row>
    <row r="774" spans="29:29" x14ac:dyDescent="0.2">
      <c r="AC774">
        <v>9.3972883489999992E-3</v>
      </c>
    </row>
    <row r="775" spans="29:29" x14ac:dyDescent="0.2">
      <c r="AC775">
        <v>9.3971233350000002E-3</v>
      </c>
    </row>
    <row r="776" spans="29:29" x14ac:dyDescent="0.2">
      <c r="AC776">
        <v>9.3969587529999996E-3</v>
      </c>
    </row>
    <row r="777" spans="29:29" x14ac:dyDescent="0.2">
      <c r="AC777">
        <v>9.3967946020000002E-3</v>
      </c>
    </row>
    <row r="778" spans="29:29" x14ac:dyDescent="0.2">
      <c r="AC778">
        <v>9.3966308790000008E-3</v>
      </c>
    </row>
    <row r="779" spans="29:29" x14ac:dyDescent="0.2">
      <c r="AC779">
        <v>9.3964675829999993E-3</v>
      </c>
    </row>
    <row r="780" spans="29:29" x14ac:dyDescent="0.2">
      <c r="AC780">
        <v>9.396304712E-3</v>
      </c>
    </row>
    <row r="781" spans="29:29" x14ac:dyDescent="0.2">
      <c r="AC781">
        <v>9.3961422650000008E-3</v>
      </c>
    </row>
    <row r="782" spans="29:29" x14ac:dyDescent="0.2">
      <c r="AC782">
        <v>9.3959802400000007E-3</v>
      </c>
    </row>
    <row r="783" spans="29:29" x14ac:dyDescent="0.2">
      <c r="AC783">
        <v>9.3958186350000007E-3</v>
      </c>
    </row>
    <row r="784" spans="29:29" x14ac:dyDescent="0.2">
      <c r="AC784">
        <v>9.3956574490000003E-3</v>
      </c>
    </row>
    <row r="785" spans="29:29" x14ac:dyDescent="0.2">
      <c r="AC785">
        <v>9.3954966800000005E-3</v>
      </c>
    </row>
    <row r="786" spans="29:29" x14ac:dyDescent="0.2">
      <c r="AC786">
        <v>9.3953363260000002E-3</v>
      </c>
    </row>
    <row r="787" spans="29:29" x14ac:dyDescent="0.2">
      <c r="AC787">
        <v>9.3951763869999996E-3</v>
      </c>
    </row>
    <row r="788" spans="29:29" x14ac:dyDescent="0.2">
      <c r="AC788">
        <v>9.3950168590000004E-3</v>
      </c>
    </row>
    <row r="789" spans="29:29" x14ac:dyDescent="0.2">
      <c r="AC789">
        <v>9.3948577419999992E-3</v>
      </c>
    </row>
    <row r="790" spans="29:29" x14ac:dyDescent="0.2">
      <c r="AC790">
        <v>9.3946990350000006E-3</v>
      </c>
    </row>
    <row r="791" spans="29:29" x14ac:dyDescent="0.2">
      <c r="AC791">
        <v>9.3945407339999995E-3</v>
      </c>
    </row>
    <row r="792" spans="29:29" x14ac:dyDescent="0.2">
      <c r="AC792">
        <v>9.3943828399999998E-3</v>
      </c>
    </row>
    <row r="793" spans="29:29" x14ac:dyDescent="0.2">
      <c r="AC793">
        <v>9.3942253500000003E-3</v>
      </c>
    </row>
    <row r="794" spans="29:29" x14ac:dyDescent="0.2">
      <c r="AC794">
        <v>9.3940682630000005E-3</v>
      </c>
    </row>
    <row r="795" spans="29:29" x14ac:dyDescent="0.2">
      <c r="AC795">
        <v>9.3939115769999994E-3</v>
      </c>
    </row>
    <row r="796" spans="29:29" x14ac:dyDescent="0.2">
      <c r="AC796">
        <v>9.3937552899999999E-3</v>
      </c>
    </row>
    <row r="797" spans="29:29" x14ac:dyDescent="0.2">
      <c r="AC797">
        <v>9.3935994030000004E-3</v>
      </c>
    </row>
    <row r="798" spans="29:29" x14ac:dyDescent="0.2">
      <c r="AC798">
        <v>9.3934439110000007E-3</v>
      </c>
    </row>
    <row r="799" spans="29:29" x14ac:dyDescent="0.2">
      <c r="AC799">
        <v>9.3932888149999994E-3</v>
      </c>
    </row>
    <row r="800" spans="29:29" x14ac:dyDescent="0.2">
      <c r="AC800">
        <v>9.3931341129999991E-3</v>
      </c>
    </row>
    <row r="801" spans="29:29" x14ac:dyDescent="0.2">
      <c r="AC801">
        <v>9.3929798020000004E-3</v>
      </c>
    </row>
    <row r="802" spans="29:29" x14ac:dyDescent="0.2">
      <c r="AC802">
        <v>9.392825883E-3</v>
      </c>
    </row>
    <row r="803" spans="29:29" x14ac:dyDescent="0.2">
      <c r="AC803">
        <v>9.3926723519999998E-3</v>
      </c>
    </row>
    <row r="804" spans="29:29" x14ac:dyDescent="0.2">
      <c r="AC804">
        <v>9.3925192100000002E-3</v>
      </c>
    </row>
    <row r="805" spans="29:29" x14ac:dyDescent="0.2">
      <c r="AC805">
        <v>9.3923664529999996E-3</v>
      </c>
    </row>
    <row r="806" spans="29:29" x14ac:dyDescent="0.2">
      <c r="AC806">
        <v>9.392214082E-3</v>
      </c>
    </row>
    <row r="807" spans="29:29" x14ac:dyDescent="0.2">
      <c r="AC807">
        <v>9.3920620929999997E-3</v>
      </c>
    </row>
    <row r="808" spans="29:29" x14ac:dyDescent="0.2">
      <c r="AC808">
        <v>9.3919104869999992E-3</v>
      </c>
    </row>
    <row r="809" spans="29:29" x14ac:dyDescent="0.2">
      <c r="AC809">
        <v>9.3917592610000006E-3</v>
      </c>
    </row>
    <row r="810" spans="29:29" x14ac:dyDescent="0.2">
      <c r="AC810">
        <v>9.3916084140000002E-3</v>
      </c>
    </row>
    <row r="811" spans="29:29" x14ac:dyDescent="0.2">
      <c r="AC811">
        <v>9.3914579450000008E-3</v>
      </c>
    </row>
    <row r="812" spans="29:29" x14ac:dyDescent="0.2">
      <c r="AC812">
        <v>9.3913078519999998E-3</v>
      </c>
    </row>
    <row r="813" spans="29:29" x14ac:dyDescent="0.2">
      <c r="AC813">
        <v>9.3911581340000005E-3</v>
      </c>
    </row>
    <row r="814" spans="29:29" x14ac:dyDescent="0.2">
      <c r="AC814">
        <v>9.3910087890000001E-3</v>
      </c>
    </row>
    <row r="815" spans="29:29" x14ac:dyDescent="0.2">
      <c r="AC815">
        <v>9.3908598159999999E-3</v>
      </c>
    </row>
    <row r="816" spans="29:29" x14ac:dyDescent="0.2">
      <c r="AC816">
        <v>9.3907112130000008E-3</v>
      </c>
    </row>
    <row r="817" spans="29:29" x14ac:dyDescent="0.2">
      <c r="AC817">
        <v>9.3905629799999994E-3</v>
      </c>
    </row>
    <row r="818" spans="29:29" x14ac:dyDescent="0.2">
      <c r="AC818">
        <v>9.390415115E-3</v>
      </c>
    </row>
    <row r="819" spans="29:29" x14ac:dyDescent="0.2">
      <c r="AC819">
        <v>9.390267616E-3</v>
      </c>
    </row>
    <row r="820" spans="29:29" x14ac:dyDescent="0.2">
      <c r="AC820">
        <v>9.3901204829999994E-3</v>
      </c>
    </row>
    <row r="821" spans="29:29" x14ac:dyDescent="0.2">
      <c r="AC821">
        <v>9.3899737130000004E-3</v>
      </c>
    </row>
    <row r="822" spans="29:29" x14ac:dyDescent="0.2">
      <c r="AC822">
        <v>9.3898273050000008E-3</v>
      </c>
    </row>
    <row r="823" spans="29:29" x14ac:dyDescent="0.2">
      <c r="AC823">
        <v>9.3896812590000007E-3</v>
      </c>
    </row>
    <row r="824" spans="29:29" x14ac:dyDescent="0.2">
      <c r="AC824">
        <v>9.3895355720000004E-3</v>
      </c>
    </row>
    <row r="825" spans="29:29" x14ac:dyDescent="0.2">
      <c r="AC825">
        <v>9.389390244E-3</v>
      </c>
    </row>
    <row r="826" spans="29:29" x14ac:dyDescent="0.2">
      <c r="AC826">
        <v>9.3892452730000003E-3</v>
      </c>
    </row>
    <row r="827" spans="29:29" x14ac:dyDescent="0.2">
      <c r="AC827">
        <v>9.3891006579999992E-3</v>
      </c>
    </row>
    <row r="828" spans="29:29" x14ac:dyDescent="0.2">
      <c r="AC828">
        <v>9.3889563969999992E-3</v>
      </c>
    </row>
    <row r="829" spans="29:29" x14ac:dyDescent="0.2">
      <c r="AC829">
        <v>9.3888124890000001E-3</v>
      </c>
    </row>
    <row r="830" spans="29:29" x14ac:dyDescent="0.2">
      <c r="AC830">
        <v>9.3886689329999995E-3</v>
      </c>
    </row>
    <row r="831" spans="29:29" x14ac:dyDescent="0.2">
      <c r="AC831">
        <v>9.3885257280000006E-3</v>
      </c>
    </row>
    <row r="832" spans="29:29" x14ac:dyDescent="0.2">
      <c r="AC832">
        <v>9.3883828720000007E-3</v>
      </c>
    </row>
    <row r="833" spans="29:29" x14ac:dyDescent="0.2">
      <c r="AC833">
        <v>9.3882403639999994E-3</v>
      </c>
    </row>
    <row r="834" spans="29:29" x14ac:dyDescent="0.2">
      <c r="AC834">
        <v>9.3880982029999997E-3</v>
      </c>
    </row>
    <row r="835" spans="29:29" x14ac:dyDescent="0.2">
      <c r="AC835">
        <v>9.3879563869999991E-3</v>
      </c>
    </row>
    <row r="836" spans="29:29" x14ac:dyDescent="0.2">
      <c r="AC836">
        <v>9.3878149159999993E-3</v>
      </c>
    </row>
    <row r="837" spans="29:29" x14ac:dyDescent="0.2">
      <c r="AC837">
        <v>9.3876737870000008E-3</v>
      </c>
    </row>
    <row r="838" spans="29:29" x14ac:dyDescent="0.2">
      <c r="AC838">
        <v>9.387533E-3</v>
      </c>
    </row>
    <row r="839" spans="29:29" x14ac:dyDescent="0.2">
      <c r="AC839">
        <v>9.387392554E-3</v>
      </c>
    </row>
    <row r="840" spans="29:29" x14ac:dyDescent="0.2">
      <c r="AC840">
        <v>9.387252447E-3</v>
      </c>
    </row>
    <row r="841" spans="29:29" x14ac:dyDescent="0.2">
      <c r="AC841">
        <v>9.3871126779999994E-3</v>
      </c>
    </row>
    <row r="842" spans="29:29" x14ac:dyDescent="0.2">
      <c r="AC842">
        <v>9.3869732459999997E-3</v>
      </c>
    </row>
    <row r="843" spans="29:29" x14ac:dyDescent="0.2">
      <c r="AC843">
        <v>9.386834149E-3</v>
      </c>
    </row>
    <row r="844" spans="29:29" x14ac:dyDescent="0.2">
      <c r="AC844">
        <v>9.3866953870000002E-3</v>
      </c>
    </row>
    <row r="845" spans="29:29" x14ac:dyDescent="0.2">
      <c r="AC845">
        <v>9.3865569579999995E-3</v>
      </c>
    </row>
    <row r="846" spans="29:29" x14ac:dyDescent="0.2">
      <c r="AC846">
        <v>9.3864188609999993E-3</v>
      </c>
    </row>
    <row r="847" spans="29:29" x14ac:dyDescent="0.2">
      <c r="AC847">
        <v>9.3862810950000007E-3</v>
      </c>
    </row>
    <row r="848" spans="29:29" x14ac:dyDescent="0.2">
      <c r="AC848">
        <v>9.386143659E-3</v>
      </c>
    </row>
    <row r="849" spans="29:29" x14ac:dyDescent="0.2">
      <c r="AC849">
        <v>9.3860065499999992E-3</v>
      </c>
    </row>
    <row r="850" spans="29:29" x14ac:dyDescent="0.2">
      <c r="AC850">
        <v>9.3858697690000006E-3</v>
      </c>
    </row>
    <row r="851" spans="29:29" x14ac:dyDescent="0.2">
      <c r="AC851">
        <v>9.3857333150000003E-3</v>
      </c>
    </row>
    <row r="852" spans="29:29" x14ac:dyDescent="0.2">
      <c r="AC852">
        <v>9.3855971850000004E-3</v>
      </c>
    </row>
    <row r="853" spans="29:29" x14ac:dyDescent="0.2">
      <c r="AC853">
        <v>9.3854613780000005E-3</v>
      </c>
    </row>
    <row r="854" spans="29:29" x14ac:dyDescent="0.2">
      <c r="AC854">
        <v>9.3853258949999994E-3</v>
      </c>
    </row>
    <row r="855" spans="29:29" x14ac:dyDescent="0.2">
      <c r="AC855">
        <v>9.3851907330000008E-3</v>
      </c>
    </row>
    <row r="856" spans="29:29" x14ac:dyDescent="0.2">
      <c r="AC856">
        <v>9.3850558909999993E-3</v>
      </c>
    </row>
    <row r="857" spans="29:29" x14ac:dyDescent="0.2">
      <c r="AC857">
        <v>9.3849213679999995E-3</v>
      </c>
    </row>
    <row r="858" spans="29:29" x14ac:dyDescent="0.2">
      <c r="AC858">
        <v>9.3847871639999997E-3</v>
      </c>
    </row>
    <row r="859" spans="29:29" x14ac:dyDescent="0.2">
      <c r="AC859">
        <v>9.3846532760000004E-3</v>
      </c>
    </row>
    <row r="860" spans="29:29" x14ac:dyDescent="0.2">
      <c r="AC860">
        <v>9.3845197039999998E-3</v>
      </c>
    </row>
    <row r="861" spans="29:29" x14ac:dyDescent="0.2">
      <c r="AC861">
        <v>9.3843864469999993E-3</v>
      </c>
    </row>
    <row r="862" spans="29:29" x14ac:dyDescent="0.2">
      <c r="AC862">
        <v>9.3842535029999997E-3</v>
      </c>
    </row>
    <row r="863" spans="29:29" x14ac:dyDescent="0.2">
      <c r="AC863">
        <v>9.3841208719999993E-3</v>
      </c>
    </row>
    <row r="864" spans="29:29" x14ac:dyDescent="0.2">
      <c r="AC864">
        <v>9.3839885520000006E-3</v>
      </c>
    </row>
    <row r="865" spans="29:29" x14ac:dyDescent="0.2">
      <c r="AC865">
        <v>9.3838565419999999E-3</v>
      </c>
    </row>
    <row r="866" spans="29:29" x14ac:dyDescent="0.2">
      <c r="AC866">
        <v>9.3837248420000005E-3</v>
      </c>
    </row>
    <row r="867" spans="29:29" x14ac:dyDescent="0.2">
      <c r="AC867">
        <v>9.3835934489999995E-3</v>
      </c>
    </row>
    <row r="868" spans="29:29" x14ac:dyDescent="0.2">
      <c r="AC868">
        <v>9.3834623640000007E-3</v>
      </c>
    </row>
    <row r="869" spans="29:29" x14ac:dyDescent="0.2">
      <c r="AC869">
        <v>9.3833315849999998E-3</v>
      </c>
    </row>
    <row r="870" spans="29:29" x14ac:dyDescent="0.2">
      <c r="AC870">
        <v>9.3832011099999994E-3</v>
      </c>
    </row>
    <row r="871" spans="29:29" x14ac:dyDescent="0.2">
      <c r="AC871">
        <v>9.3830709389999996E-3</v>
      </c>
    </row>
    <row r="872" spans="29:29" x14ac:dyDescent="0.2">
      <c r="AC872">
        <v>9.3829410709999998E-3</v>
      </c>
    </row>
    <row r="873" spans="29:29" x14ac:dyDescent="0.2">
      <c r="AC873">
        <v>9.3828115049999997E-3</v>
      </c>
    </row>
    <row r="874" spans="29:29" x14ac:dyDescent="0.2">
      <c r="AC874">
        <v>9.3826822390000002E-3</v>
      </c>
    </row>
    <row r="875" spans="29:29" x14ac:dyDescent="0.2">
      <c r="AC875">
        <v>9.3825532729999994E-3</v>
      </c>
    </row>
    <row r="876" spans="29:29" x14ac:dyDescent="0.2">
      <c r="AC876">
        <v>9.3824246060000005E-3</v>
      </c>
    </row>
    <row r="877" spans="29:29" x14ac:dyDescent="0.2">
      <c r="AC877">
        <v>9.3822962360000008E-3</v>
      </c>
    </row>
    <row r="878" spans="29:29" x14ac:dyDescent="0.2">
      <c r="AC878">
        <v>9.382168162E-3</v>
      </c>
    </row>
    <row r="879" spans="29:29" x14ac:dyDescent="0.2">
      <c r="AC879">
        <v>9.3820403839999997E-3</v>
      </c>
    </row>
    <row r="880" spans="29:29" x14ac:dyDescent="0.2">
      <c r="AC880">
        <v>9.3819129000000008E-3</v>
      </c>
    </row>
    <row r="881" spans="29:29" x14ac:dyDescent="0.2">
      <c r="AC881">
        <v>9.3817857099999999E-3</v>
      </c>
    </row>
    <row r="882" spans="29:29" x14ac:dyDescent="0.2">
      <c r="AC882">
        <v>9.3816588119999995E-3</v>
      </c>
    </row>
    <row r="883" spans="29:29" x14ac:dyDescent="0.2">
      <c r="AC883">
        <v>9.3815322059999998E-3</v>
      </c>
    </row>
    <row r="884" spans="29:29" x14ac:dyDescent="0.2">
      <c r="AC884">
        <v>9.3814058899999997E-3</v>
      </c>
    </row>
    <row r="885" spans="29:29" x14ac:dyDescent="0.2">
      <c r="AC885">
        <v>9.3812798630000006E-3</v>
      </c>
    </row>
    <row r="886" spans="29:29" x14ac:dyDescent="0.2">
      <c r="AC886">
        <v>9.3811541250000009E-3</v>
      </c>
    </row>
    <row r="887" spans="29:29" x14ac:dyDescent="0.2">
      <c r="AC887">
        <v>9.3810286739999995E-3</v>
      </c>
    </row>
    <row r="888" spans="29:29" x14ac:dyDescent="0.2">
      <c r="AC888">
        <v>9.38090351E-3</v>
      </c>
    </row>
    <row r="889" spans="29:29" x14ac:dyDescent="0.2">
      <c r="AC889">
        <v>9.3807786309999999E-3</v>
      </c>
    </row>
    <row r="890" spans="29:29" x14ac:dyDescent="0.2">
      <c r="AC890">
        <v>9.3806540360000003E-3</v>
      </c>
    </row>
    <row r="891" spans="29:29" x14ac:dyDescent="0.2">
      <c r="AC891">
        <v>9.3805297249999996E-3</v>
      </c>
    </row>
    <row r="892" spans="29:29" x14ac:dyDescent="0.2">
      <c r="AC892">
        <v>9.3804056970000008E-3</v>
      </c>
    </row>
    <row r="893" spans="29:29" x14ac:dyDescent="0.2">
      <c r="AC893">
        <v>9.3802819499999995E-3</v>
      </c>
    </row>
    <row r="894" spans="29:29" x14ac:dyDescent="0.2">
      <c r="AC894">
        <v>9.3801584839999994E-3</v>
      </c>
    </row>
    <row r="895" spans="29:29" x14ac:dyDescent="0.2">
      <c r="AC895">
        <v>9.3800352969999994E-3</v>
      </c>
    </row>
    <row r="896" spans="29:29" x14ac:dyDescent="0.2">
      <c r="AC896">
        <v>9.37991239E-3</v>
      </c>
    </row>
    <row r="897" spans="29:29" x14ac:dyDescent="0.2">
      <c r="AC897">
        <v>9.3797897599999999E-3</v>
      </c>
    </row>
    <row r="898" spans="29:29" x14ac:dyDescent="0.2">
      <c r="AC898">
        <v>9.3796674060000005E-3</v>
      </c>
    </row>
    <row r="899" spans="29:29" x14ac:dyDescent="0.2">
      <c r="AC899">
        <v>9.3795453290000004E-3</v>
      </c>
    </row>
    <row r="900" spans="29:29" x14ac:dyDescent="0.2">
      <c r="AC900">
        <v>9.3794235270000005E-3</v>
      </c>
    </row>
    <row r="901" spans="29:29" x14ac:dyDescent="0.2">
      <c r="AC901">
        <v>9.379301998E-3</v>
      </c>
    </row>
    <row r="902" spans="29:29" x14ac:dyDescent="0.2">
      <c r="AC902">
        <v>9.3791807429999992E-3</v>
      </c>
    </row>
    <row r="903" spans="29:29" x14ac:dyDescent="0.2">
      <c r="AC903">
        <v>9.3790597600000008E-3</v>
      </c>
    </row>
    <row r="904" spans="29:29" x14ac:dyDescent="0.2">
      <c r="AC904">
        <v>9.3789390479999991E-3</v>
      </c>
    </row>
    <row r="905" spans="29:29" x14ac:dyDescent="0.2">
      <c r="AC905">
        <v>9.3788186069999994E-3</v>
      </c>
    </row>
    <row r="906" spans="29:29" x14ac:dyDescent="0.2">
      <c r="AC906">
        <v>9.3786984350000008E-3</v>
      </c>
    </row>
    <row r="907" spans="29:29" x14ac:dyDescent="0.2">
      <c r="AC907">
        <v>9.3785785319999999E-3</v>
      </c>
    </row>
    <row r="908" spans="29:29" x14ac:dyDescent="0.2">
      <c r="AC908">
        <v>9.3784588960000009E-3</v>
      </c>
    </row>
    <row r="909" spans="29:29" x14ac:dyDescent="0.2">
      <c r="AC909">
        <v>9.3783395270000004E-3</v>
      </c>
    </row>
    <row r="910" spans="29:29" x14ac:dyDescent="0.2">
      <c r="AC910">
        <v>9.3782204239999997E-3</v>
      </c>
    </row>
    <row r="911" spans="29:29" x14ac:dyDescent="0.2">
      <c r="AC911">
        <v>9.3781015860000001E-3</v>
      </c>
    </row>
    <row r="912" spans="29:29" x14ac:dyDescent="0.2">
      <c r="AC912">
        <v>9.3779830119999994E-3</v>
      </c>
    </row>
    <row r="913" spans="29:29" x14ac:dyDescent="0.2">
      <c r="AC913">
        <v>9.3778647010000007E-3</v>
      </c>
    </row>
    <row r="914" spans="29:29" x14ac:dyDescent="0.2">
      <c r="AC914">
        <v>9.3777466530000006E-3</v>
      </c>
    </row>
    <row r="915" spans="29:29" x14ac:dyDescent="0.2">
      <c r="AC915">
        <v>9.3776288659999998E-3</v>
      </c>
    </row>
    <row r="916" spans="29:29" x14ac:dyDescent="0.2">
      <c r="AC916">
        <v>9.3775113389999998E-3</v>
      </c>
    </row>
    <row r="917" spans="29:29" x14ac:dyDescent="0.2">
      <c r="AC917">
        <v>9.3773940730000008E-3</v>
      </c>
    </row>
    <row r="918" spans="29:29" x14ac:dyDescent="0.2">
      <c r="AC918">
        <v>9.377277065E-3</v>
      </c>
    </row>
    <row r="919" spans="29:29" x14ac:dyDescent="0.2">
      <c r="AC919">
        <v>9.3771603150000007E-3</v>
      </c>
    </row>
    <row r="920" spans="29:29" x14ac:dyDescent="0.2">
      <c r="AC920">
        <v>9.3770438229999996E-3</v>
      </c>
    </row>
    <row r="921" spans="29:29" x14ac:dyDescent="0.2">
      <c r="AC921">
        <v>9.3769275869999991E-3</v>
      </c>
    </row>
    <row r="922" spans="29:29" x14ac:dyDescent="0.2">
      <c r="AC922">
        <v>9.3768116060000007E-3</v>
      </c>
    </row>
    <row r="923" spans="29:29" x14ac:dyDescent="0.2">
      <c r="AC923">
        <v>9.3766958800000008E-3</v>
      </c>
    </row>
    <row r="924" spans="29:29" x14ac:dyDescent="0.2">
      <c r="AC924">
        <v>9.3765804070000004E-3</v>
      </c>
    </row>
    <row r="925" spans="29:29" x14ac:dyDescent="0.2">
      <c r="AC925">
        <v>9.3764651879999997E-3</v>
      </c>
    </row>
    <row r="926" spans="29:29" x14ac:dyDescent="0.2">
      <c r="AC926">
        <v>9.3763502209999999E-3</v>
      </c>
    </row>
    <row r="927" spans="29:29" x14ac:dyDescent="0.2">
      <c r="AC927">
        <v>9.3762355050000003E-3</v>
      </c>
    </row>
    <row r="928" spans="29:29" x14ac:dyDescent="0.2">
      <c r="AC928">
        <v>9.3761210399999993E-3</v>
      </c>
    </row>
    <row r="929" spans="29:29" x14ac:dyDescent="0.2">
      <c r="AC929">
        <v>9.3760068239999994E-3</v>
      </c>
    </row>
    <row r="930" spans="29:29" x14ac:dyDescent="0.2">
      <c r="AC930">
        <v>9.3758928570000007E-3</v>
      </c>
    </row>
    <row r="931" spans="29:29" x14ac:dyDescent="0.2">
      <c r="AC931">
        <v>9.3757791379999993E-3</v>
      </c>
    </row>
    <row r="932" spans="29:29" x14ac:dyDescent="0.2">
      <c r="AC932">
        <v>9.375665666E-3</v>
      </c>
    </row>
    <row r="933" spans="29:29" x14ac:dyDescent="0.2">
      <c r="AC933">
        <v>9.3755524409999992E-3</v>
      </c>
    </row>
    <row r="934" spans="29:29" x14ac:dyDescent="0.2">
      <c r="AC934">
        <v>9.3754394620000001E-3</v>
      </c>
    </row>
    <row r="935" spans="29:29" x14ac:dyDescent="0.2">
      <c r="AC935">
        <v>9.3753267269999999E-3</v>
      </c>
    </row>
    <row r="936" spans="29:29" x14ac:dyDescent="0.2">
      <c r="AC936">
        <v>9.3752142360000006E-3</v>
      </c>
    </row>
    <row r="937" spans="29:29" x14ac:dyDescent="0.2">
      <c r="AC937">
        <v>9.3751019890000002E-3</v>
      </c>
    </row>
    <row r="938" spans="29:29" x14ac:dyDescent="0.2">
      <c r="AC938">
        <v>9.3749899839999998E-3</v>
      </c>
    </row>
    <row r="939" spans="29:29" x14ac:dyDescent="0.2">
      <c r="AC939">
        <v>9.3748782200000005E-3</v>
      </c>
    </row>
    <row r="940" spans="29:29" x14ac:dyDescent="0.2">
      <c r="AC940">
        <v>9.3747666979999995E-3</v>
      </c>
    </row>
    <row r="941" spans="29:29" x14ac:dyDescent="0.2">
      <c r="AC941">
        <v>9.3746554150000005E-3</v>
      </c>
    </row>
    <row r="942" spans="29:29" x14ac:dyDescent="0.2">
      <c r="AC942">
        <v>9.3745443720000005E-3</v>
      </c>
    </row>
    <row r="943" spans="29:29" x14ac:dyDescent="0.2">
      <c r="AC943">
        <v>9.3744335679999992E-3</v>
      </c>
    </row>
    <row r="944" spans="29:29" x14ac:dyDescent="0.2">
      <c r="AC944">
        <v>9.3743230010000008E-3</v>
      </c>
    </row>
    <row r="945" spans="29:29" x14ac:dyDescent="0.2">
      <c r="AC945">
        <v>9.3742126710000002E-3</v>
      </c>
    </row>
    <row r="946" spans="29:29" x14ac:dyDescent="0.2">
      <c r="AC946">
        <v>9.3741025780000008E-3</v>
      </c>
    </row>
    <row r="947" spans="29:29" x14ac:dyDescent="0.2">
      <c r="AC947">
        <v>9.37399272E-3</v>
      </c>
    </row>
    <row r="948" spans="29:29" x14ac:dyDescent="0.2">
      <c r="AC948">
        <v>9.3738830969999996E-3</v>
      </c>
    </row>
    <row r="949" spans="29:29" x14ac:dyDescent="0.2">
      <c r="AC949">
        <v>9.3737737070000004E-3</v>
      </c>
    </row>
    <row r="950" spans="29:29" x14ac:dyDescent="0.2">
      <c r="AC950">
        <v>9.3736645509999994E-3</v>
      </c>
    </row>
    <row r="951" spans="29:29" x14ac:dyDescent="0.2">
      <c r="AC951">
        <v>9.3735556279999997E-3</v>
      </c>
    </row>
    <row r="952" spans="29:29" x14ac:dyDescent="0.2">
      <c r="AC952">
        <v>9.3734469360000003E-3</v>
      </c>
    </row>
    <row r="953" spans="29:29" x14ac:dyDescent="0.2">
      <c r="AC953">
        <v>9.373338476E-3</v>
      </c>
    </row>
    <row r="954" spans="29:29" x14ac:dyDescent="0.2">
      <c r="AC954">
        <v>9.3732302449999992E-3</v>
      </c>
    </row>
    <row r="955" spans="29:29" x14ac:dyDescent="0.2">
      <c r="AC955">
        <v>9.3731222450000005E-3</v>
      </c>
    </row>
    <row r="956" spans="29:29" x14ac:dyDescent="0.2">
      <c r="AC956">
        <v>9.3730144729999992E-3</v>
      </c>
    </row>
    <row r="957" spans="29:29" x14ac:dyDescent="0.2">
      <c r="AC957">
        <v>9.3729069290000005E-3</v>
      </c>
    </row>
    <row r="958" spans="29:29" x14ac:dyDescent="0.2">
      <c r="AC958">
        <v>9.3727996120000004E-3</v>
      </c>
    </row>
    <row r="959" spans="29:29" x14ac:dyDescent="0.2">
      <c r="AC959">
        <v>9.3726925220000007E-3</v>
      </c>
    </row>
    <row r="960" spans="29:29" x14ac:dyDescent="0.2">
      <c r="AC960">
        <v>9.3725856579999992E-3</v>
      </c>
    </row>
    <row r="961" spans="29:29" x14ac:dyDescent="0.2">
      <c r="AC961">
        <v>9.3724790199999995E-3</v>
      </c>
    </row>
    <row r="962" spans="29:29" x14ac:dyDescent="0.2">
      <c r="AC962">
        <v>9.3723726060000005E-3</v>
      </c>
    </row>
    <row r="963" spans="29:29" x14ac:dyDescent="0.2">
      <c r="AC963">
        <v>9.3722664150000003E-3</v>
      </c>
    </row>
    <row r="964" spans="29:29" x14ac:dyDescent="0.2">
      <c r="AC964">
        <v>9.3721604480000009E-3</v>
      </c>
    </row>
    <row r="965" spans="29:29" x14ac:dyDescent="0.2">
      <c r="AC965">
        <v>9.3720547029999997E-3</v>
      </c>
    </row>
    <row r="966" spans="29:29" x14ac:dyDescent="0.2">
      <c r="AC966">
        <v>9.3719491800000002E-3</v>
      </c>
    </row>
    <row r="967" spans="29:29" x14ac:dyDescent="0.2">
      <c r="AC967">
        <v>9.3718438780000003E-3</v>
      </c>
    </row>
    <row r="968" spans="29:29" x14ac:dyDescent="0.2">
      <c r="AC968">
        <v>9.3717387959999995E-3</v>
      </c>
    </row>
    <row r="969" spans="29:29" x14ac:dyDescent="0.2">
      <c r="AC969">
        <v>9.3716339339999996E-3</v>
      </c>
    </row>
    <row r="970" spans="29:29" x14ac:dyDescent="0.2">
      <c r="AC970">
        <v>9.3715292899999997E-3</v>
      </c>
    </row>
    <row r="971" spans="29:29" x14ac:dyDescent="0.2">
      <c r="AC971">
        <v>9.3714248650000002E-3</v>
      </c>
    </row>
    <row r="972" spans="29:29" x14ac:dyDescent="0.2">
      <c r="AC972">
        <v>9.3713206580000007E-3</v>
      </c>
    </row>
    <row r="973" spans="29:29" x14ac:dyDescent="0.2">
      <c r="AC973">
        <v>9.3712166670000003E-3</v>
      </c>
    </row>
    <row r="974" spans="29:29" x14ac:dyDescent="0.2">
      <c r="AC974">
        <v>9.3711128929999995E-3</v>
      </c>
    </row>
    <row r="975" spans="29:29" x14ac:dyDescent="0.2">
      <c r="AC975">
        <v>9.3710093340000009E-3</v>
      </c>
    </row>
    <row r="976" spans="29:29" x14ac:dyDescent="0.2">
      <c r="AC976">
        <v>9.3709059899999992E-3</v>
      </c>
    </row>
    <row r="977" spans="29:29" x14ac:dyDescent="0.2">
      <c r="AC977">
        <v>9.3708028599999993E-3</v>
      </c>
    </row>
    <row r="978" spans="29:29" x14ac:dyDescent="0.2">
      <c r="AC978">
        <v>9.3706999439999994E-3</v>
      </c>
    </row>
    <row r="979" spans="29:29" x14ac:dyDescent="0.2">
      <c r="AC979">
        <v>9.3705972410000008E-3</v>
      </c>
    </row>
    <row r="980" spans="29:29" x14ac:dyDescent="0.2">
      <c r="AC980">
        <v>9.3704947489999992E-3</v>
      </c>
    </row>
    <row r="981" spans="29:29" x14ac:dyDescent="0.2">
      <c r="AC981">
        <v>9.3703924700000007E-3</v>
      </c>
    </row>
    <row r="982" spans="29:29" x14ac:dyDescent="0.2">
      <c r="AC982">
        <v>9.3702904010000004E-3</v>
      </c>
    </row>
    <row r="983" spans="29:29" x14ac:dyDescent="0.2">
      <c r="AC983">
        <v>9.3701885420000002E-3</v>
      </c>
    </row>
    <row r="984" spans="29:29" x14ac:dyDescent="0.2">
      <c r="AC984">
        <v>9.3700868940000005E-3</v>
      </c>
    </row>
    <row r="985" spans="29:29" x14ac:dyDescent="0.2">
      <c r="AC985">
        <v>9.3699854539999999E-3</v>
      </c>
    </row>
    <row r="986" spans="29:29" x14ac:dyDescent="0.2">
      <c r="AC986">
        <v>9.3698842220000002E-3</v>
      </c>
    </row>
    <row r="987" spans="29:29" x14ac:dyDescent="0.2">
      <c r="AC987">
        <v>9.3697831979999997E-3</v>
      </c>
    </row>
    <row r="988" spans="29:29" x14ac:dyDescent="0.2">
      <c r="AC988">
        <v>9.3696823809999996E-3</v>
      </c>
    </row>
    <row r="989" spans="29:29" x14ac:dyDescent="0.2">
      <c r="AC989">
        <v>9.3695817699999996E-3</v>
      </c>
    </row>
    <row r="990" spans="29:29" x14ac:dyDescent="0.2">
      <c r="AC990">
        <v>9.3694813660000001E-3</v>
      </c>
    </row>
    <row r="991" spans="29:29" x14ac:dyDescent="0.2">
      <c r="AC991">
        <v>9.3693811659999997E-3</v>
      </c>
    </row>
    <row r="992" spans="29:29" x14ac:dyDescent="0.2">
      <c r="AC992">
        <v>9.3692811710000008E-3</v>
      </c>
    </row>
    <row r="993" spans="29:29" x14ac:dyDescent="0.2">
      <c r="AC993">
        <v>9.3691813790000005E-3</v>
      </c>
    </row>
    <row r="994" spans="29:29" x14ac:dyDescent="0.2">
      <c r="AC994">
        <v>9.3690817909999995E-3</v>
      </c>
    </row>
    <row r="995" spans="29:29" x14ac:dyDescent="0.2">
      <c r="AC995">
        <v>9.3689824060000006E-3</v>
      </c>
    </row>
    <row r="996" spans="29:29" x14ac:dyDescent="0.2">
      <c r="AC996">
        <v>9.3688832219999997E-3</v>
      </c>
    </row>
    <row r="997" spans="29:29" x14ac:dyDescent="0.2">
      <c r="AC997">
        <v>9.3687842400000006E-3</v>
      </c>
    </row>
    <row r="998" spans="29:29" x14ac:dyDescent="0.2">
      <c r="AC998">
        <v>9.3686854589999993E-3</v>
      </c>
    </row>
    <row r="999" spans="29:29" x14ac:dyDescent="0.2">
      <c r="AC999">
        <v>9.3685868780000008E-3</v>
      </c>
    </row>
    <row r="1000" spans="29:29" x14ac:dyDescent="0.2">
      <c r="AC1000">
        <v>9.3684884959999992E-3</v>
      </c>
    </row>
    <row r="1001" spans="29:29" x14ac:dyDescent="0.2">
      <c r="AC1001">
        <v>9.3683903140000004E-3</v>
      </c>
    </row>
    <row r="1002" spans="29:29" x14ac:dyDescent="0.2">
      <c r="AC1002">
        <v>9.3682923299999998E-3</v>
      </c>
    </row>
    <row r="1003" spans="29:29" x14ac:dyDescent="0.2">
      <c r="AC1003">
        <v>9.3681945430000007E-3</v>
      </c>
    </row>
    <row r="1004" spans="29:29" x14ac:dyDescent="0.2">
      <c r="AC1004">
        <v>9.3680969539999999E-3</v>
      </c>
    </row>
    <row r="1005" spans="29:29" x14ac:dyDescent="0.2">
      <c r="AC1005">
        <v>9.367999561E-3</v>
      </c>
    </row>
    <row r="1006" spans="29:29" x14ac:dyDescent="0.2">
      <c r="AC1006">
        <v>9.3679023649999998E-3</v>
      </c>
    </row>
    <row r="1007" spans="29:29" x14ac:dyDescent="0.2">
      <c r="AC1007">
        <v>9.3678053629999997E-3</v>
      </c>
    </row>
    <row r="1008" spans="29:29" x14ac:dyDescent="0.2">
      <c r="AC1008">
        <v>9.3677085570000006E-3</v>
      </c>
    </row>
    <row r="1009" spans="29:29" x14ac:dyDescent="0.2">
      <c r="AC1009">
        <v>9.3676119439999993E-3</v>
      </c>
    </row>
    <row r="1010" spans="29:29" x14ac:dyDescent="0.2">
      <c r="AC1010">
        <v>9.3675155260000004E-3</v>
      </c>
    </row>
    <row r="1011" spans="29:29" x14ac:dyDescent="0.2">
      <c r="AC1011">
        <v>9.3674193000000006E-3</v>
      </c>
    </row>
    <row r="1012" spans="29:29" x14ac:dyDescent="0.2">
      <c r="AC1012">
        <v>9.3673232670000006E-3</v>
      </c>
    </row>
    <row r="1013" spans="29:29" x14ac:dyDescent="0.2">
      <c r="AC1013">
        <v>9.3672274249999993E-3</v>
      </c>
    </row>
    <row r="1014" spans="29:29" x14ac:dyDescent="0.2">
      <c r="AC1014">
        <v>9.3671317750000007E-3</v>
      </c>
    </row>
    <row r="1015" spans="29:29" x14ac:dyDescent="0.2">
      <c r="AC1015">
        <v>9.3670363159999992E-3</v>
      </c>
    </row>
    <row r="1016" spans="29:29" x14ac:dyDescent="0.2">
      <c r="AC1016">
        <v>9.3669410469999995E-3</v>
      </c>
    </row>
    <row r="1017" spans="29:29" x14ac:dyDescent="0.2">
      <c r="AC1017">
        <v>9.3668459669999996E-3</v>
      </c>
    </row>
    <row r="1018" spans="29:29" x14ac:dyDescent="0.2">
      <c r="AC1018">
        <v>9.3667510769999997E-3</v>
      </c>
    </row>
    <row r="1019" spans="29:29" x14ac:dyDescent="0.2">
      <c r="AC1019">
        <v>9.3666563750000008E-3</v>
      </c>
    </row>
    <row r="1020" spans="29:29" x14ac:dyDescent="0.2">
      <c r="AC1020">
        <v>9.3665618609999994E-3</v>
      </c>
    </row>
    <row r="1021" spans="29:29" x14ac:dyDescent="0.2">
      <c r="AC1021">
        <v>9.3664675340000003E-3</v>
      </c>
    </row>
    <row r="1022" spans="29:29" x14ac:dyDescent="0.2">
      <c r="AC1022">
        <v>9.366373394E-3</v>
      </c>
    </row>
    <row r="1023" spans="29:29" x14ac:dyDescent="0.2">
      <c r="AC1023">
        <v>9.3662794399999999E-3</v>
      </c>
    </row>
    <row r="1024" spans="29:29" x14ac:dyDescent="0.2">
      <c r="AC1024">
        <v>9.3661856719999999E-3</v>
      </c>
    </row>
    <row r="1025" spans="29:29" x14ac:dyDescent="0.2">
      <c r="AC1025">
        <v>9.3660920889999996E-3</v>
      </c>
    </row>
    <row r="1026" spans="29:29" x14ac:dyDescent="0.2">
      <c r="AC1026">
        <v>9.3659986910000007E-3</v>
      </c>
    </row>
    <row r="1027" spans="29:29" x14ac:dyDescent="0.2">
      <c r="AC1027">
        <v>9.3659054769999993E-3</v>
      </c>
    </row>
    <row r="1028" spans="29:29" x14ac:dyDescent="0.2">
      <c r="AC1028">
        <v>9.3658124460000002E-3</v>
      </c>
    </row>
    <row r="1029" spans="29:29" x14ac:dyDescent="0.2">
      <c r="AC1029">
        <v>9.365719598E-3</v>
      </c>
    </row>
    <row r="1030" spans="29:29" x14ac:dyDescent="0.2">
      <c r="AC1030">
        <v>9.3656269330000003E-3</v>
      </c>
    </row>
    <row r="1031" spans="29:29" x14ac:dyDescent="0.2">
      <c r="AC1031">
        <v>9.3655344490000004E-3</v>
      </c>
    </row>
    <row r="1032" spans="29:29" x14ac:dyDescent="0.2">
      <c r="AC1032">
        <v>9.3654421470000006E-3</v>
      </c>
    </row>
    <row r="1033" spans="29:29" x14ac:dyDescent="0.2">
      <c r="AC1033">
        <v>9.3653500250000001E-3</v>
      </c>
    </row>
    <row r="1034" spans="29:29" x14ac:dyDescent="0.2">
      <c r="AC1034">
        <v>9.3652580839999992E-3</v>
      </c>
    </row>
    <row r="1035" spans="29:29" x14ac:dyDescent="0.2">
      <c r="AC1035">
        <v>9.3651663229999994E-3</v>
      </c>
    </row>
    <row r="1036" spans="29:29" x14ac:dyDescent="0.2">
      <c r="AC1036">
        <v>9.3650747410000002E-3</v>
      </c>
    </row>
    <row r="1037" spans="29:29" x14ac:dyDescent="0.2">
      <c r="AC1037">
        <v>9.3649833379999999E-3</v>
      </c>
    </row>
    <row r="1038" spans="29:29" x14ac:dyDescent="0.2">
      <c r="AC1038">
        <v>9.3648921119999992E-3</v>
      </c>
    </row>
    <row r="1039" spans="29:29" x14ac:dyDescent="0.2">
      <c r="AC1039">
        <v>9.3648010649999992E-3</v>
      </c>
    </row>
    <row r="1040" spans="29:29" x14ac:dyDescent="0.2">
      <c r="AC1040">
        <v>9.3647101950000006E-3</v>
      </c>
    </row>
    <row r="1041" spans="29:29" x14ac:dyDescent="0.2">
      <c r="AC1041">
        <v>9.3646195009999995E-3</v>
      </c>
    </row>
    <row r="1042" spans="29:29" x14ac:dyDescent="0.2">
      <c r="AC1042">
        <v>9.3645289829999995E-3</v>
      </c>
    </row>
    <row r="1043" spans="29:29" x14ac:dyDescent="0.2">
      <c r="AC1043">
        <v>9.3644386410000006E-3</v>
      </c>
    </row>
    <row r="1044" spans="29:29" x14ac:dyDescent="0.2">
      <c r="AC1044">
        <v>9.3643484740000005E-3</v>
      </c>
    </row>
    <row r="1045" spans="29:29" x14ac:dyDescent="0.2">
      <c r="AC1045">
        <v>9.3642584819999992E-3</v>
      </c>
    </row>
    <row r="1046" spans="29:29" x14ac:dyDescent="0.2">
      <c r="AC1046">
        <v>9.3641686629999995E-3</v>
      </c>
    </row>
    <row r="1047" spans="29:29" x14ac:dyDescent="0.2">
      <c r="AC1047">
        <v>9.3640790190000003E-3</v>
      </c>
    </row>
    <row r="1048" spans="29:29" x14ac:dyDescent="0.2">
      <c r="AC1048">
        <v>9.3639895470000005E-3</v>
      </c>
    </row>
    <row r="1049" spans="29:29" x14ac:dyDescent="0.2">
      <c r="AC1049">
        <v>9.3639002480000004E-3</v>
      </c>
    </row>
    <row r="1050" spans="29:29" x14ac:dyDescent="0.2">
      <c r="AC1050">
        <v>9.3638111209999996E-3</v>
      </c>
    </row>
    <row r="1051" spans="29:29" x14ac:dyDescent="0.2">
      <c r="AC1051">
        <v>9.3637221649999994E-3</v>
      </c>
    </row>
    <row r="1052" spans="29:29" x14ac:dyDescent="0.2">
      <c r="AC1052">
        <v>9.3636333810000003E-3</v>
      </c>
    </row>
    <row r="1053" spans="29:29" x14ac:dyDescent="0.2">
      <c r="AC1053">
        <v>9.3635447669999997E-3</v>
      </c>
    </row>
    <row r="1054" spans="29:29" x14ac:dyDescent="0.2">
      <c r="AC1054">
        <v>9.3634563239999996E-3</v>
      </c>
    </row>
    <row r="1055" spans="29:29" x14ac:dyDescent="0.2">
      <c r="AC1055">
        <v>9.3633680490000006E-3</v>
      </c>
    </row>
    <row r="1056" spans="29:29" x14ac:dyDescent="0.2">
      <c r="AC1056">
        <v>9.3632799440000001E-3</v>
      </c>
    </row>
    <row r="1057" spans="29:29" x14ac:dyDescent="0.2">
      <c r="AC1057">
        <v>9.3631920079999993E-3</v>
      </c>
    </row>
    <row r="1058" spans="29:29" x14ac:dyDescent="0.2">
      <c r="AC1058">
        <v>9.3631042399999996E-3</v>
      </c>
    </row>
    <row r="1059" spans="29:29" x14ac:dyDescent="0.2">
      <c r="AC1059">
        <v>9.3630166390000005E-3</v>
      </c>
    </row>
    <row r="1060" spans="29:29" x14ac:dyDescent="0.2">
      <c r="AC1060">
        <v>9.3629292060000008E-3</v>
      </c>
    </row>
    <row r="1061" spans="29:29" x14ac:dyDescent="0.2">
      <c r="AC1061">
        <v>9.3628419389999995E-3</v>
      </c>
    </row>
    <row r="1062" spans="29:29" x14ac:dyDescent="0.2">
      <c r="AC1062">
        <v>9.3627548390000006E-3</v>
      </c>
    </row>
    <row r="1063" spans="29:29" x14ac:dyDescent="0.2">
      <c r="AC1063">
        <v>9.3626679039999997E-3</v>
      </c>
    </row>
    <row r="1064" spans="29:29" x14ac:dyDescent="0.2">
      <c r="AC1064">
        <v>9.3625811350000008E-3</v>
      </c>
    </row>
    <row r="1065" spans="29:29" x14ac:dyDescent="0.2">
      <c r="AC1065">
        <v>9.3624945299999995E-3</v>
      </c>
    </row>
    <row r="1066" spans="29:29" x14ac:dyDescent="0.2">
      <c r="AC1066">
        <v>9.3624080899999997E-3</v>
      </c>
    </row>
    <row r="1067" spans="29:29" x14ac:dyDescent="0.2">
      <c r="AC1067">
        <v>9.3623218139999992E-3</v>
      </c>
    </row>
    <row r="1068" spans="29:29" x14ac:dyDescent="0.2">
      <c r="AC1068">
        <v>9.3622357009999994E-3</v>
      </c>
    </row>
    <row r="1069" spans="29:29" x14ac:dyDescent="0.2">
      <c r="AC1069">
        <v>9.3621497510000002E-3</v>
      </c>
    </row>
    <row r="1070" spans="29:29" x14ac:dyDescent="0.2">
      <c r="AC1070">
        <v>9.3620639629999995E-3</v>
      </c>
    </row>
    <row r="1071" spans="29:29" x14ac:dyDescent="0.2">
      <c r="AC1071">
        <v>9.3619783379999995E-3</v>
      </c>
    </row>
    <row r="1072" spans="29:29" x14ac:dyDescent="0.2">
      <c r="AC1072">
        <v>9.3618928739999992E-3</v>
      </c>
    </row>
    <row r="1073" spans="29:29" x14ac:dyDescent="0.2">
      <c r="AC1073">
        <v>9.3618075710000005E-3</v>
      </c>
    </row>
    <row r="1074" spans="29:29" x14ac:dyDescent="0.2">
      <c r="AC1074">
        <v>9.3617224289999999E-3</v>
      </c>
    </row>
    <row r="1075" spans="29:29" x14ac:dyDescent="0.2">
      <c r="AC1075">
        <v>9.3616374470000003E-3</v>
      </c>
    </row>
    <row r="1076" spans="29:29" x14ac:dyDescent="0.2">
      <c r="AC1076">
        <v>9.3615526239999997E-3</v>
      </c>
    </row>
    <row r="1077" spans="29:29" x14ac:dyDescent="0.2">
      <c r="AC1077">
        <v>9.3614679620000005E-3</v>
      </c>
    </row>
    <row r="1078" spans="29:29" x14ac:dyDescent="0.2">
      <c r="AC1078">
        <v>9.3613834569999995E-3</v>
      </c>
    </row>
    <row r="1079" spans="29:29" x14ac:dyDescent="0.2">
      <c r="AC1079">
        <v>9.3612991119999996E-3</v>
      </c>
    </row>
    <row r="1080" spans="29:29" x14ac:dyDescent="0.2">
      <c r="AC1080">
        <v>9.3612149239999994E-3</v>
      </c>
    </row>
    <row r="1081" spans="29:29" x14ac:dyDescent="0.2">
      <c r="AC1081">
        <v>9.3611308939999995E-3</v>
      </c>
    </row>
    <row r="1082" spans="29:29" x14ac:dyDescent="0.2">
      <c r="AC1082">
        <v>9.3610470209999994E-3</v>
      </c>
    </row>
    <row r="1083" spans="29:29" x14ac:dyDescent="0.2">
      <c r="AC1083">
        <v>9.3609633040000004E-3</v>
      </c>
    </row>
    <row r="1084" spans="29:29" x14ac:dyDescent="0.2">
      <c r="AC1084">
        <v>9.3608797439999995E-3</v>
      </c>
    </row>
    <row r="1085" spans="29:29" x14ac:dyDescent="0.2">
      <c r="AC1085">
        <v>9.3607963389999993E-3</v>
      </c>
    </row>
    <row r="1086" spans="29:29" x14ac:dyDescent="0.2">
      <c r="AC1086">
        <v>9.3607130900000002E-3</v>
      </c>
    </row>
    <row r="1087" spans="29:29" x14ac:dyDescent="0.2">
      <c r="AC1087">
        <v>9.360629996E-3</v>
      </c>
    </row>
    <row r="1088" spans="29:29" x14ac:dyDescent="0.2">
      <c r="AC1088">
        <v>9.3605470560000001E-3</v>
      </c>
    </row>
    <row r="1089" spans="29:29" x14ac:dyDescent="0.2">
      <c r="AC1089">
        <v>9.3604642700000004E-3</v>
      </c>
    </row>
    <row r="1090" spans="29:29" x14ac:dyDescent="0.2">
      <c r="AC1090">
        <v>9.3603816379999993E-3</v>
      </c>
    </row>
    <row r="1091" spans="29:29" x14ac:dyDescent="0.2">
      <c r="AC1091">
        <v>9.3602991589999997E-3</v>
      </c>
    </row>
    <row r="1092" spans="29:29" x14ac:dyDescent="0.2">
      <c r="AC1092">
        <v>9.3602168319999995E-3</v>
      </c>
    </row>
    <row r="1093" spans="29:29" x14ac:dyDescent="0.2">
      <c r="AC1093">
        <v>9.3601346580000008E-3</v>
      </c>
    </row>
    <row r="1094" spans="29:29" x14ac:dyDescent="0.2">
      <c r="AC1094">
        <v>9.3600526359999998E-3</v>
      </c>
    </row>
    <row r="1095" spans="29:29" x14ac:dyDescent="0.2">
      <c r="AC1095">
        <v>9.359970766E-3</v>
      </c>
    </row>
    <row r="1096" spans="29:29" x14ac:dyDescent="0.2">
      <c r="AC1096">
        <v>9.3598890460000004E-3</v>
      </c>
    </row>
    <row r="1097" spans="29:29" x14ac:dyDescent="0.2">
      <c r="AC1097">
        <v>9.3598074769999998E-3</v>
      </c>
    </row>
    <row r="1098" spans="29:29" x14ac:dyDescent="0.2">
      <c r="AC1098">
        <v>9.3597260579999994E-3</v>
      </c>
    </row>
    <row r="1099" spans="29:29" x14ac:dyDescent="0.2">
      <c r="AC1099">
        <v>9.3596447889999993E-3</v>
      </c>
    </row>
    <row r="1100" spans="29:29" x14ac:dyDescent="0.2">
      <c r="AC1100">
        <v>9.3595636699999995E-3</v>
      </c>
    </row>
    <row r="1101" spans="29:29" x14ac:dyDescent="0.2">
      <c r="AC1101">
        <v>9.3594826990000008E-3</v>
      </c>
    </row>
    <row r="1102" spans="29:29" x14ac:dyDescent="0.2">
      <c r="AC1102">
        <v>9.3594018770000002E-3</v>
      </c>
    </row>
    <row r="1103" spans="29:29" x14ac:dyDescent="0.2">
      <c r="AC1103">
        <v>9.3593212039999995E-3</v>
      </c>
    </row>
    <row r="1104" spans="29:29" x14ac:dyDescent="0.2">
      <c r="AC1104">
        <v>9.3592406779999995E-3</v>
      </c>
    </row>
    <row r="1105" spans="29:29" x14ac:dyDescent="0.2">
      <c r="AC1105">
        <v>9.3591602990000002E-3</v>
      </c>
    </row>
    <row r="1106" spans="29:29" x14ac:dyDescent="0.2">
      <c r="AC1106">
        <v>9.3590800669999998E-3</v>
      </c>
    </row>
    <row r="1107" spans="29:29" x14ac:dyDescent="0.2">
      <c r="AC1107">
        <v>9.3589999820000002E-3</v>
      </c>
    </row>
    <row r="1108" spans="29:29" x14ac:dyDescent="0.2">
      <c r="AC1108">
        <v>9.3589200429999991E-3</v>
      </c>
    </row>
    <row r="1109" spans="29:29" x14ac:dyDescent="0.2">
      <c r="AC1109">
        <v>9.3588402500000001E-3</v>
      </c>
    </row>
    <row r="1110" spans="29:29" x14ac:dyDescent="0.2">
      <c r="AC1110">
        <v>9.3587606019999992E-3</v>
      </c>
    </row>
    <row r="1111" spans="29:29" x14ac:dyDescent="0.2">
      <c r="AC1111">
        <v>9.3586810989999998E-3</v>
      </c>
    </row>
    <row r="1112" spans="29:29" x14ac:dyDescent="0.2">
      <c r="AC1112">
        <v>9.3586017410000003E-3</v>
      </c>
    </row>
    <row r="1113" spans="29:29" x14ac:dyDescent="0.2">
      <c r="AC1113">
        <v>9.3585225259999998E-3</v>
      </c>
    </row>
    <row r="1114" spans="29:29" x14ac:dyDescent="0.2">
      <c r="AC1114">
        <v>9.3584434559999992E-3</v>
      </c>
    </row>
    <row r="1115" spans="29:29" x14ac:dyDescent="0.2">
      <c r="AC1115">
        <v>9.3583645289999993E-3</v>
      </c>
    </row>
    <row r="1116" spans="29:29" x14ac:dyDescent="0.2">
      <c r="AC1116">
        <v>9.3582857450000001E-3</v>
      </c>
    </row>
    <row r="1117" spans="29:29" x14ac:dyDescent="0.2">
      <c r="AC1117">
        <v>9.3582071029999995E-3</v>
      </c>
    </row>
    <row r="1118" spans="29:29" x14ac:dyDescent="0.2">
      <c r="AC1118">
        <v>9.3581286039999996E-3</v>
      </c>
    </row>
    <row r="1119" spans="29:29" x14ac:dyDescent="0.2">
      <c r="AC1119">
        <v>9.3580502459999996E-3</v>
      </c>
    </row>
    <row r="1120" spans="29:29" x14ac:dyDescent="0.2">
      <c r="AC1120">
        <v>9.3579720299999999E-3</v>
      </c>
    </row>
    <row r="1121" spans="29:29" x14ac:dyDescent="0.2">
      <c r="AC1121">
        <v>9.3578939560000005E-3</v>
      </c>
    </row>
    <row r="1122" spans="29:29" x14ac:dyDescent="0.2">
      <c r="AC1122">
        <v>9.3578160210000001E-3</v>
      </c>
    </row>
    <row r="1123" spans="29:29" x14ac:dyDescent="0.2">
      <c r="AC1123">
        <v>9.3577382269999995E-3</v>
      </c>
    </row>
    <row r="1124" spans="29:29" x14ac:dyDescent="0.2">
      <c r="AC1124">
        <v>9.3576605730000002E-3</v>
      </c>
    </row>
    <row r="1125" spans="29:29" x14ac:dyDescent="0.2">
      <c r="AC1125">
        <v>9.3575830590000002E-3</v>
      </c>
    </row>
    <row r="1126" spans="29:29" x14ac:dyDescent="0.2">
      <c r="AC1126">
        <v>9.3575056830000006E-3</v>
      </c>
    </row>
    <row r="1127" spans="29:29" x14ac:dyDescent="0.2">
      <c r="AC1127">
        <v>9.3574284470000005E-3</v>
      </c>
    </row>
    <row r="1128" spans="29:29" x14ac:dyDescent="0.2">
      <c r="AC1128">
        <v>9.3573513490000006E-3</v>
      </c>
    </row>
    <row r="1129" spans="29:29" x14ac:dyDescent="0.2">
      <c r="AC1129">
        <v>9.3572743889999994E-3</v>
      </c>
    </row>
    <row r="1130" spans="29:29" x14ac:dyDescent="0.2">
      <c r="AC1130">
        <v>9.3571975659999997E-3</v>
      </c>
    </row>
    <row r="1131" spans="29:29" x14ac:dyDescent="0.2">
      <c r="AC1131">
        <v>9.3571208810000004E-3</v>
      </c>
    </row>
    <row r="1132" spans="29:29" x14ac:dyDescent="0.2">
      <c r="AC1132">
        <v>9.3570443329999992E-3</v>
      </c>
    </row>
    <row r="1133" spans="29:29" x14ac:dyDescent="0.2">
      <c r="AC1133">
        <v>9.3569679219999997E-3</v>
      </c>
    </row>
    <row r="1134" spans="29:29" x14ac:dyDescent="0.2">
      <c r="AC1134">
        <v>9.3568916459999991E-3</v>
      </c>
    </row>
    <row r="1135" spans="29:29" x14ac:dyDescent="0.2">
      <c r="AC1135">
        <v>9.3568155070000002E-3</v>
      </c>
    </row>
    <row r="1136" spans="29:29" x14ac:dyDescent="0.2">
      <c r="AC1136">
        <v>9.3567395030000004E-3</v>
      </c>
    </row>
    <row r="1137" spans="29:29" x14ac:dyDescent="0.2">
      <c r="AC1137">
        <v>9.3566636339999995E-3</v>
      </c>
    </row>
    <row r="1138" spans="29:29" x14ac:dyDescent="0.2">
      <c r="AC1138">
        <v>9.3565878999999994E-3</v>
      </c>
    </row>
    <row r="1139" spans="29:29" x14ac:dyDescent="0.2">
      <c r="AC1139">
        <v>9.3565122999999997E-3</v>
      </c>
    </row>
    <row r="1140" spans="29:29" x14ac:dyDescent="0.2">
      <c r="AC1140">
        <v>9.3564368350000007E-3</v>
      </c>
    </row>
    <row r="1141" spans="29:29" x14ac:dyDescent="0.2">
      <c r="AC1141">
        <v>9.3563615029999998E-3</v>
      </c>
    </row>
    <row r="1142" spans="29:29" x14ac:dyDescent="0.2">
      <c r="AC1142">
        <v>9.3562863040000006E-3</v>
      </c>
    </row>
    <row r="1143" spans="29:29" x14ac:dyDescent="0.2">
      <c r="AC1143">
        <v>9.3562112379999996E-3</v>
      </c>
    </row>
    <row r="1144" spans="29:29" x14ac:dyDescent="0.2">
      <c r="AC1144">
        <v>9.3561363050000002E-3</v>
      </c>
    </row>
    <row r="1145" spans="29:29" x14ac:dyDescent="0.2">
      <c r="AC1145">
        <v>9.3560615050000007E-3</v>
      </c>
    </row>
    <row r="1146" spans="29:29" x14ac:dyDescent="0.2">
      <c r="AC1146">
        <v>9.3559868360000003E-3</v>
      </c>
    </row>
    <row r="1147" spans="29:29" x14ac:dyDescent="0.2">
      <c r="AC1147">
        <v>9.3559122980000006E-3</v>
      </c>
    </row>
    <row r="1148" spans="29:29" x14ac:dyDescent="0.2">
      <c r="AC1148">
        <v>9.3558378920000004E-3</v>
      </c>
    </row>
    <row r="1149" spans="29:29" x14ac:dyDescent="0.2">
      <c r="AC1149">
        <v>9.3557636169999993E-3</v>
      </c>
    </row>
    <row r="1150" spans="29:29" x14ac:dyDescent="0.2">
      <c r="AC1150">
        <v>9.3556894730000006E-3</v>
      </c>
    </row>
    <row r="1151" spans="29:29" x14ac:dyDescent="0.2">
      <c r="AC1151">
        <v>9.3556154580000002E-3</v>
      </c>
    </row>
    <row r="1152" spans="29:29" x14ac:dyDescent="0.2">
      <c r="AC1152">
        <v>9.3555415740000005E-3</v>
      </c>
    </row>
    <row r="1153" spans="29:29" x14ac:dyDescent="0.2">
      <c r="AC1153">
        <v>9.3554678190000008E-3</v>
      </c>
    </row>
    <row r="1154" spans="29:29" x14ac:dyDescent="0.2">
      <c r="AC1154">
        <v>9.3553941929999992E-3</v>
      </c>
    </row>
    <row r="1155" spans="29:29" x14ac:dyDescent="0.2">
      <c r="AC1155">
        <v>9.3553206959999993E-3</v>
      </c>
    </row>
    <row r="1156" spans="29:29" x14ac:dyDescent="0.2">
      <c r="AC1156">
        <v>9.3552473279999993E-3</v>
      </c>
    </row>
    <row r="1157" spans="29:29" x14ac:dyDescent="0.2">
      <c r="AC1157">
        <v>9.355174087E-3</v>
      </c>
    </row>
    <row r="1158" spans="29:29" x14ac:dyDescent="0.2">
      <c r="AC1158">
        <v>9.3551009750000007E-3</v>
      </c>
    </row>
    <row r="1159" spans="29:29" x14ac:dyDescent="0.2">
      <c r="AC1159">
        <v>9.3550279900000005E-3</v>
      </c>
    </row>
    <row r="1160" spans="29:29" x14ac:dyDescent="0.2">
      <c r="AC1160">
        <v>9.3549551319999993E-3</v>
      </c>
    </row>
    <row r="1161" spans="29:29" x14ac:dyDescent="0.2">
      <c r="AC1161">
        <v>9.3548824010000007E-3</v>
      </c>
    </row>
    <row r="1162" spans="29:29" x14ac:dyDescent="0.2">
      <c r="AC1162">
        <v>9.3548097960000007E-3</v>
      </c>
    </row>
    <row r="1163" spans="29:29" x14ac:dyDescent="0.2">
      <c r="AC1163">
        <v>9.3547373179999997E-3</v>
      </c>
    </row>
    <row r="1164" spans="29:29" x14ac:dyDescent="0.2">
      <c r="AC1164">
        <v>9.3546649650000004E-3</v>
      </c>
    </row>
    <row r="1165" spans="29:29" x14ac:dyDescent="0.2">
      <c r="AC1165">
        <v>9.3545927379999998E-3</v>
      </c>
    </row>
    <row r="1166" spans="29:29" x14ac:dyDescent="0.2">
      <c r="AC1166">
        <v>9.3545206360000008E-3</v>
      </c>
    </row>
    <row r="1167" spans="29:29" x14ac:dyDescent="0.2">
      <c r="AC1167">
        <v>9.354448659E-3</v>
      </c>
    </row>
    <row r="1168" spans="29:29" x14ac:dyDescent="0.2">
      <c r="AC1168">
        <v>9.3543768070000009E-3</v>
      </c>
    </row>
    <row r="1169" spans="29:29" x14ac:dyDescent="0.2">
      <c r="AC1169">
        <v>9.3543050789999995E-3</v>
      </c>
    </row>
    <row r="1170" spans="29:29" x14ac:dyDescent="0.2">
      <c r="AC1170">
        <v>9.3542334740000007E-3</v>
      </c>
    </row>
    <row r="1171" spans="29:29" x14ac:dyDescent="0.2">
      <c r="AC1171">
        <v>9.3541619940000001E-3</v>
      </c>
    </row>
    <row r="1172" spans="29:29" x14ac:dyDescent="0.2">
      <c r="AC1172">
        <v>9.3540906359999999E-3</v>
      </c>
    </row>
    <row r="1173" spans="29:29" x14ac:dyDescent="0.2">
      <c r="AC1173">
        <v>9.3540194010000004E-3</v>
      </c>
    </row>
    <row r="1174" spans="29:29" x14ac:dyDescent="0.2">
      <c r="AC1174">
        <v>9.3539482890000001E-3</v>
      </c>
    </row>
    <row r="1175" spans="29:29" x14ac:dyDescent="0.2">
      <c r="AC1175">
        <v>9.3538773000000006E-3</v>
      </c>
    </row>
    <row r="1176" spans="29:29" x14ac:dyDescent="0.2">
      <c r="AC1176">
        <v>9.3538064319999992E-3</v>
      </c>
    </row>
    <row r="1177" spans="29:29" x14ac:dyDescent="0.2">
      <c r="AC1177">
        <v>9.353735686E-3</v>
      </c>
    </row>
    <row r="1178" spans="29:29" x14ac:dyDescent="0.2">
      <c r="AC1178">
        <v>9.3536650610000008E-3</v>
      </c>
    </row>
    <row r="1179" spans="29:29" x14ac:dyDescent="0.2">
      <c r="AC1179">
        <v>9.3535945569999997E-3</v>
      </c>
    </row>
    <row r="1180" spans="29:29" x14ac:dyDescent="0.2">
      <c r="AC1180">
        <v>9.3535241740000004E-3</v>
      </c>
    </row>
    <row r="1181" spans="29:29" x14ac:dyDescent="0.2">
      <c r="AC1181">
        <v>9.3534539119999992E-3</v>
      </c>
    </row>
    <row r="1182" spans="29:29" x14ac:dyDescent="0.2">
      <c r="AC1182">
        <v>9.3533837699999994E-3</v>
      </c>
    </row>
    <row r="1183" spans="29:29" x14ac:dyDescent="0.2">
      <c r="AC1183">
        <v>9.3533137470000003E-3</v>
      </c>
    </row>
    <row r="1184" spans="29:29" x14ac:dyDescent="0.2">
      <c r="AC1184">
        <v>9.3532438449999995E-3</v>
      </c>
    </row>
    <row r="1185" spans="29:29" x14ac:dyDescent="0.2">
      <c r="AC1185">
        <v>9.3531740610000007E-3</v>
      </c>
    </row>
    <row r="1186" spans="29:29" x14ac:dyDescent="0.2">
      <c r="AC1186">
        <v>9.3531043959999994E-3</v>
      </c>
    </row>
    <row r="1187" spans="29:29" x14ac:dyDescent="0.2">
      <c r="AC1187">
        <v>9.3530348490000002E-3</v>
      </c>
    </row>
    <row r="1188" spans="29:29" x14ac:dyDescent="0.2">
      <c r="AC1188">
        <v>9.3529654199999996E-3</v>
      </c>
    </row>
    <row r="1189" spans="29:29" x14ac:dyDescent="0.2">
      <c r="AC1189">
        <v>9.3528961089999994E-3</v>
      </c>
    </row>
    <row r="1190" spans="29:29" x14ac:dyDescent="0.2">
      <c r="AC1190">
        <v>9.3528269149999992E-3</v>
      </c>
    </row>
    <row r="1191" spans="29:29" x14ac:dyDescent="0.2">
      <c r="AC1191">
        <v>9.3527578389999994E-3</v>
      </c>
    </row>
    <row r="1192" spans="29:29" x14ac:dyDescent="0.2">
      <c r="AC1192">
        <v>9.352688881E-3</v>
      </c>
    </row>
    <row r="1193" spans="29:29" x14ac:dyDescent="0.2">
      <c r="AC1193">
        <v>9.3526200409999993E-3</v>
      </c>
    </row>
    <row r="1194" spans="29:29" x14ac:dyDescent="0.2">
      <c r="AC1194">
        <v>9.3525513180000002E-3</v>
      </c>
    </row>
    <row r="1195" spans="29:29" x14ac:dyDescent="0.2">
      <c r="AC1195">
        <v>9.3524827140000003E-3</v>
      </c>
    </row>
    <row r="1196" spans="29:29" x14ac:dyDescent="0.2">
      <c r="AC1196">
        <v>9.3524142270000003E-3</v>
      </c>
    </row>
    <row r="1197" spans="29:29" x14ac:dyDescent="0.2">
      <c r="AC1197">
        <v>9.3523458530000003E-3</v>
      </c>
    </row>
    <row r="1198" spans="29:29" x14ac:dyDescent="0.2">
      <c r="AC1198">
        <v>9.3522775920000002E-3</v>
      </c>
    </row>
    <row r="1199" spans="29:29" x14ac:dyDescent="0.2">
      <c r="AC1199">
        <v>9.3522094419999993E-3</v>
      </c>
    </row>
    <row r="1200" spans="29:29" x14ac:dyDescent="0.2">
      <c r="AC1200">
        <v>9.3521413999999997E-3</v>
      </c>
    </row>
    <row r="1201" spans="29:29" x14ac:dyDescent="0.2">
      <c r="AC1201">
        <v>9.3520734649999993E-3</v>
      </c>
    </row>
    <row r="1202" spans="29:29" x14ac:dyDescent="0.2">
      <c r="AC1202">
        <v>9.3520056430000005E-3</v>
      </c>
    </row>
    <row r="1203" spans="29:29" x14ac:dyDescent="0.2">
      <c r="AC1203">
        <v>9.3519379400000009E-3</v>
      </c>
    </row>
    <row r="1204" spans="29:29" x14ac:dyDescent="0.2">
      <c r="AC1204">
        <v>9.3518703610000007E-3</v>
      </c>
    </row>
    <row r="1205" spans="29:29" x14ac:dyDescent="0.2">
      <c r="AC1205">
        <v>9.3518029129999996E-3</v>
      </c>
    </row>
    <row r="1206" spans="29:29" x14ac:dyDescent="0.2">
      <c r="AC1206">
        <v>9.3517356009999997E-3</v>
      </c>
    </row>
    <row r="1207" spans="29:29" x14ac:dyDescent="0.2">
      <c r="AC1207">
        <v>9.3516684259999996E-3</v>
      </c>
    </row>
    <row r="1208" spans="29:29" x14ac:dyDescent="0.2">
      <c r="AC1208">
        <v>9.3516013700000004E-3</v>
      </c>
    </row>
    <row r="1209" spans="29:29" x14ac:dyDescent="0.2">
      <c r="AC1209">
        <v>9.3515344100000009E-3</v>
      </c>
    </row>
    <row r="1210" spans="29:29" x14ac:dyDescent="0.2">
      <c r="AC1210">
        <v>9.3514675200000001E-3</v>
      </c>
    </row>
    <row r="1211" spans="29:29" x14ac:dyDescent="0.2">
      <c r="AC1211">
        <v>9.3514006779999992E-3</v>
      </c>
    </row>
    <row r="1212" spans="29:29" x14ac:dyDescent="0.2">
      <c r="AC1212">
        <v>9.3513338599999999E-3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7:Q60"/>
  <sheetViews>
    <sheetView workbookViewId="0">
      <selection activeCell="K23" sqref="K23"/>
    </sheetView>
  </sheetViews>
  <sheetFormatPr defaultColWidth="11" defaultRowHeight="14.25" x14ac:dyDescent="0.2"/>
  <cols>
    <col min="16" max="17" width="20.25" bestFit="1" customWidth="1"/>
  </cols>
  <sheetData>
    <row r="7" spans="3:13" x14ac:dyDescent="0.2">
      <c r="D7">
        <v>0.25</v>
      </c>
      <c r="E7">
        <v>3.2600000000000003E-3</v>
      </c>
    </row>
    <row r="8" spans="3:13" x14ac:dyDescent="0.2">
      <c r="D8">
        <v>0.5</v>
      </c>
      <c r="E8">
        <v>3.2600000000000003E-3</v>
      </c>
    </row>
    <row r="9" spans="3:13" x14ac:dyDescent="0.2">
      <c r="D9">
        <v>0.75</v>
      </c>
      <c r="E9">
        <v>3.2600000000000003E-3</v>
      </c>
    </row>
    <row r="10" spans="3:13" x14ac:dyDescent="0.2">
      <c r="C10">
        <f>D10*12</f>
        <v>12</v>
      </c>
      <c r="D10">
        <v>1</v>
      </c>
      <c r="E10">
        <v>3.2600000000000003E-3</v>
      </c>
      <c r="F10" s="9">
        <f>E10</f>
        <v>3.2600000000000003E-3</v>
      </c>
      <c r="G10">
        <f>EXP(-E10*D10)</f>
        <v>0.99674530803037364</v>
      </c>
      <c r="H10">
        <f>VLOOKUP(C10,Output!B12:O731,14,FALSE)</f>
        <v>1.0994431317594055E-3</v>
      </c>
      <c r="I10" s="10">
        <f>(H10-F10)*10000</f>
        <v>-21.605568682405949</v>
      </c>
    </row>
    <row r="11" spans="3:13" x14ac:dyDescent="0.2">
      <c r="C11">
        <f t="shared" ref="C11:C60" si="0">D11*12</f>
        <v>24</v>
      </c>
      <c r="D11">
        <v>2</v>
      </c>
      <c r="E11">
        <v>3.7499999999999999E-3</v>
      </c>
      <c r="F11" s="9">
        <f>-LN(G11)/D11</f>
        <v>3.7438920976589152E-3</v>
      </c>
      <c r="G11">
        <f>(1-E11*SUM($G$10:G10))/(1+E11)</f>
        <v>0.99254017942205341</v>
      </c>
      <c r="H11">
        <f>VLOOKUP(C11,Output!B13:O732,14,FALSE)</f>
        <v>1.0977610103916444E-3</v>
      </c>
      <c r="I11" s="10">
        <f t="shared" ref="I11:I60" si="1">(H11-F11)*10000</f>
        <v>-26.461310872672708</v>
      </c>
    </row>
    <row r="12" spans="3:13" x14ac:dyDescent="0.2">
      <c r="C12">
        <f t="shared" si="0"/>
        <v>36</v>
      </c>
      <c r="D12">
        <v>3</v>
      </c>
      <c r="E12">
        <v>4.6899999999999997E-3</v>
      </c>
      <c r="F12" s="9">
        <f t="shared" ref="F12:F60" si="2">-LN(G12)/D12</f>
        <v>4.6841932897120813E-3</v>
      </c>
      <c r="G12">
        <f>(1-E12*SUM($G$10:G11))/(1+E12)</f>
        <v>0.98604569674610876</v>
      </c>
      <c r="H12">
        <f>VLOOKUP(C12,Output!B14:O733,14,FALSE)</f>
        <v>1.0959259257025172E-3</v>
      </c>
      <c r="I12" s="10">
        <f t="shared" si="1"/>
        <v>-35.882673640095639</v>
      </c>
    </row>
    <row r="13" spans="3:13" x14ac:dyDescent="0.2">
      <c r="C13">
        <f t="shared" si="0"/>
        <v>48</v>
      </c>
      <c r="D13">
        <v>4</v>
      </c>
      <c r="E13">
        <v>6.0400000000000002E-3</v>
      </c>
      <c r="F13" s="9">
        <f t="shared" si="2"/>
        <v>6.0390680432491134E-3</v>
      </c>
      <c r="G13">
        <f>(1-E13*SUM($G$10:G12))/(1+E13)</f>
        <v>0.97613315538889189</v>
      </c>
      <c r="H13">
        <f>VLOOKUP(C13,Output!B15:O734,14,FALSE)</f>
        <v>1.093541194652459E-3</v>
      </c>
      <c r="I13" s="10">
        <f t="shared" si="1"/>
        <v>-49.455268485966542</v>
      </c>
    </row>
    <row r="14" spans="3:13" x14ac:dyDescent="0.2">
      <c r="C14">
        <f t="shared" si="0"/>
        <v>60</v>
      </c>
      <c r="D14">
        <v>5</v>
      </c>
      <c r="E14">
        <v>7.6600000000000001E-3</v>
      </c>
      <c r="F14" s="9">
        <f t="shared" si="2"/>
        <v>7.6733138183242263E-3</v>
      </c>
      <c r="G14">
        <f>(1-E14*SUM($G$10:G13))/(1+E14)</f>
        <v>0.96236010475632683</v>
      </c>
      <c r="H14">
        <f>VLOOKUP(C14,Output!B16:O735,14,FALSE)</f>
        <v>1.0918635232860046E-3</v>
      </c>
      <c r="I14" s="10">
        <f t="shared" si="1"/>
        <v>-65.81450295038222</v>
      </c>
      <c r="L14" t="s">
        <v>10</v>
      </c>
      <c r="M14" s="12">
        <v>0.04</v>
      </c>
    </row>
    <row r="15" spans="3:13" x14ac:dyDescent="0.2">
      <c r="C15">
        <f t="shared" si="0"/>
        <v>72</v>
      </c>
      <c r="D15">
        <v>6</v>
      </c>
      <c r="E15">
        <v>9.4799999999999988E-3</v>
      </c>
      <c r="F15" s="9">
        <f t="shared" si="2"/>
        <v>9.5230517818933134E-3</v>
      </c>
      <c r="G15">
        <f>(1-E15*SUM($G$10:G14))/(1+E15)</f>
        <v>0.94446343094228846</v>
      </c>
      <c r="H15">
        <f>VLOOKUP(C15,Output!B17:O736,14,FALSE)</f>
        <v>1.0885189040214876E-3</v>
      </c>
      <c r="I15" s="10">
        <f t="shared" si="1"/>
        <v>-84.345328778718255</v>
      </c>
      <c r="L15" t="s">
        <v>11</v>
      </c>
      <c r="M15" s="12">
        <v>0.01</v>
      </c>
    </row>
    <row r="16" spans="3:13" x14ac:dyDescent="0.2">
      <c r="C16">
        <f t="shared" si="0"/>
        <v>84</v>
      </c>
      <c r="D16">
        <v>7</v>
      </c>
      <c r="E16">
        <v>1.1240000000000002E-2</v>
      </c>
      <c r="F16" s="9">
        <f t="shared" si="2"/>
        <v>1.1327501412923532E-2</v>
      </c>
      <c r="G16">
        <f>(1-E16*SUM($G$10:G15))/(1+E16)</f>
        <v>0.92376967315551684</v>
      </c>
      <c r="H16">
        <f>VLOOKUP(C16,Output!B18:O737,14,FALSE)</f>
        <v>1.5283407063211435E-3</v>
      </c>
      <c r="I16" s="10">
        <f t="shared" si="1"/>
        <v>-97.991607066023889</v>
      </c>
      <c r="L16" t="s">
        <v>12</v>
      </c>
      <c r="M16" s="12">
        <v>0.05</v>
      </c>
    </row>
    <row r="17" spans="3:17" x14ac:dyDescent="0.2">
      <c r="C17">
        <f t="shared" si="0"/>
        <v>96</v>
      </c>
      <c r="D17">
        <v>8</v>
      </c>
      <c r="E17">
        <v>1.2880000000000001E-2</v>
      </c>
      <c r="F17" s="9">
        <f t="shared" si="2"/>
        <v>1.3025470076147527E-2</v>
      </c>
      <c r="G17">
        <f>(1-E17*SUM($G$10:G16))/(1+E17)</f>
        <v>0.9010416819130328</v>
      </c>
      <c r="H17">
        <f>VLOOKUP(C17,Output!B19:O738,14,FALSE)</f>
        <v>2.4356044412002153E-3</v>
      </c>
      <c r="I17" s="10">
        <f t="shared" si="1"/>
        <v>-105.8986563494731</v>
      </c>
      <c r="L17" t="s">
        <v>5</v>
      </c>
      <c r="M17" s="12">
        <v>0.15</v>
      </c>
    </row>
    <row r="18" spans="3:17" x14ac:dyDescent="0.2">
      <c r="C18">
        <f t="shared" si="0"/>
        <v>108</v>
      </c>
      <c r="D18">
        <v>9</v>
      </c>
      <c r="E18">
        <v>1.4339999999999999E-2</v>
      </c>
      <c r="F18" s="9">
        <f t="shared" si="2"/>
        <v>1.4552149118111408E-2</v>
      </c>
      <c r="G18">
        <f>(1-E18*SUM($G$10:G17))/(1+E18)</f>
        <v>0.87724466849056049</v>
      </c>
      <c r="H18">
        <f>VLOOKUP(C18,Output!B20:O739,14,FALSE)</f>
        <v>3.4594296752904399E-3</v>
      </c>
      <c r="I18" s="10">
        <f t="shared" si="1"/>
        <v>-110.92719442820969</v>
      </c>
    </row>
    <row r="19" spans="3:17" x14ac:dyDescent="0.2">
      <c r="C19">
        <f t="shared" si="0"/>
        <v>120</v>
      </c>
      <c r="D19">
        <v>10</v>
      </c>
      <c r="E19">
        <v>1.5650000000000001E-2</v>
      </c>
      <c r="F19" s="9">
        <f t="shared" si="2"/>
        <v>1.5936381702367195E-2</v>
      </c>
      <c r="G19">
        <f>(1-E19*SUM($G$10:G18))/(1+E19)</f>
        <v>0.85268608081826747</v>
      </c>
      <c r="H19">
        <f>VLOOKUP(C19,Output!B21:O740,14,FALSE)</f>
        <v>4.018275662609299E-3</v>
      </c>
      <c r="I19" s="10">
        <f t="shared" si="1"/>
        <v>-119.18106039757896</v>
      </c>
      <c r="M19" s="12"/>
    </row>
    <row r="20" spans="3:17" x14ac:dyDescent="0.2">
      <c r="C20">
        <f t="shared" si="0"/>
        <v>132</v>
      </c>
      <c r="D20">
        <v>11</v>
      </c>
      <c r="E20">
        <v>1.6754999999999999E-2</v>
      </c>
      <c r="F20" s="9">
        <f t="shared" si="2"/>
        <v>1.7113945668038248E-2</v>
      </c>
      <c r="G20">
        <f>(1-E20*SUM($G$10:G19))/(1+E20)</f>
        <v>0.82840476092149951</v>
      </c>
      <c r="H20">
        <f>VLOOKUP(C20,Output!B22:O741,14,FALSE)</f>
        <v>4.63476066311977E-3</v>
      </c>
      <c r="I20" s="10">
        <f t="shared" si="1"/>
        <v>-124.79185004918479</v>
      </c>
      <c r="M20" s="12"/>
    </row>
    <row r="21" spans="3:17" x14ac:dyDescent="0.2">
      <c r="C21">
        <f t="shared" si="0"/>
        <v>144</v>
      </c>
      <c r="D21">
        <v>12</v>
      </c>
      <c r="E21">
        <v>1.7860000000000001E-2</v>
      </c>
      <c r="F21" s="9">
        <f t="shared" si="2"/>
        <v>1.8309241070101043E-2</v>
      </c>
      <c r="G21">
        <f>(1-E21*SUM($G$10:G20))/(1+E21)</f>
        <v>0.80275084543370723</v>
      </c>
      <c r="H21">
        <f>VLOOKUP(C21,Output!B23:O742,14,FALSE)</f>
        <v>5.2499436401184122E-3</v>
      </c>
      <c r="I21" s="10">
        <f t="shared" si="1"/>
        <v>-130.5929742998263</v>
      </c>
      <c r="M21" s="18">
        <f>SQRT(M15^2/M14^2*(10+2/M14*EXP(-M14*10)-1/2/M14*EXP(-M14*2*10)-3/2/M14)+M16*M16*10+2*M16*M15*M17/M14*(10-1/M14*(1-EXP(-M14*10))))</f>
        <v>0.23781167961358604</v>
      </c>
      <c r="O21" s="15">
        <v>0.23781167961358604</v>
      </c>
    </row>
    <row r="22" spans="3:17" x14ac:dyDescent="0.2">
      <c r="C22">
        <f t="shared" si="0"/>
        <v>156</v>
      </c>
      <c r="D22">
        <v>13</v>
      </c>
      <c r="E22">
        <v>1.8579999999999999E-2</v>
      </c>
      <c r="F22" s="9">
        <f t="shared" si="2"/>
        <v>1.9082729764711179E-2</v>
      </c>
      <c r="G22">
        <f>(1-E22*SUM($G$10:G21))/(1+E22)</f>
        <v>0.78030103851614396</v>
      </c>
      <c r="H22">
        <f>VLOOKUP(C22,Output!B24:O743,14,FALSE)</f>
        <v>5.7732175356954374E-3</v>
      </c>
      <c r="I22" s="10">
        <f t="shared" si="1"/>
        <v>-133.09512229015743</v>
      </c>
      <c r="M22" s="15"/>
      <c r="O22" s="14">
        <v>0.26243646054579217</v>
      </c>
      <c r="P22" s="15">
        <f>O22-O21</f>
        <v>2.4624780932206131E-2</v>
      </c>
      <c r="Q22" t="s">
        <v>9</v>
      </c>
    </row>
    <row r="23" spans="3:17" x14ac:dyDescent="0.2">
      <c r="C23">
        <f t="shared" si="0"/>
        <v>168</v>
      </c>
      <c r="D23">
        <v>14</v>
      </c>
      <c r="E23">
        <v>1.9299999999999998E-2</v>
      </c>
      <c r="F23" s="9">
        <f t="shared" si="2"/>
        <v>1.9868733008692182E-2</v>
      </c>
      <c r="G23">
        <f>(1-E23*SUM($G$10:G22))/(1+E23)</f>
        <v>0.75717395089422046</v>
      </c>
      <c r="H23">
        <f>VLOOKUP(C23,Output!B25:O744,14,FALSE)</f>
        <v>6.302167826168336E-3</v>
      </c>
      <c r="I23" s="10">
        <f t="shared" si="1"/>
        <v>-135.66565182523846</v>
      </c>
    </row>
    <row r="24" spans="3:17" x14ac:dyDescent="0.2">
      <c r="C24">
        <f t="shared" si="0"/>
        <v>180</v>
      </c>
      <c r="D24">
        <v>15</v>
      </c>
      <c r="E24">
        <v>2.0019999999999996E-2</v>
      </c>
      <c r="F24" s="9">
        <f t="shared" si="2"/>
        <v>2.0668039792999846E-2</v>
      </c>
      <c r="G24">
        <f>(1-E24*SUM($G$10:G23))/(1+E24)</f>
        <v>0.73343184964992036</v>
      </c>
      <c r="H24">
        <f>VLOOKUP(C24,Output!B26:O745,14,FALSE)</f>
        <v>6.8351310586995204E-3</v>
      </c>
      <c r="I24" s="10">
        <f t="shared" si="1"/>
        <v>-138.32908734300324</v>
      </c>
      <c r="O24" s="15">
        <v>0.24238790481220104</v>
      </c>
      <c r="P24" s="16">
        <f>O24-O21</f>
        <v>4.5762251986150027E-3</v>
      </c>
    </row>
    <row r="25" spans="3:17" x14ac:dyDescent="0.2">
      <c r="C25">
        <f t="shared" si="0"/>
        <v>192</v>
      </c>
      <c r="D25">
        <v>16</v>
      </c>
      <c r="E25">
        <v>2.0341999999999996E-2</v>
      </c>
      <c r="F25" s="9">
        <f t="shared" si="2"/>
        <v>2.1001335381862166E-2</v>
      </c>
      <c r="G25">
        <f>(1-E25*SUM($G$10:G24))/(1+E25)</f>
        <v>0.71460783726343202</v>
      </c>
      <c r="H25">
        <f>VLOOKUP(C25,Output!B27:O746,14,FALSE)</f>
        <v>7.1421282836774333E-3</v>
      </c>
      <c r="I25" s="10">
        <f t="shared" si="1"/>
        <v>-138.59207098184734</v>
      </c>
      <c r="P25" s="17">
        <f>P24/P22</f>
        <v>0.18583820953427743</v>
      </c>
      <c r="Q25">
        <f>P25*6</f>
        <v>1.1150292572056646</v>
      </c>
    </row>
    <row r="26" spans="3:17" x14ac:dyDescent="0.2">
      <c r="C26">
        <f t="shared" si="0"/>
        <v>204</v>
      </c>
      <c r="D26">
        <v>17</v>
      </c>
      <c r="E26">
        <v>2.0663999999999995E-2</v>
      </c>
      <c r="F26" s="9">
        <f t="shared" si="2"/>
        <v>2.1342150985537139E-2</v>
      </c>
      <c r="G26">
        <f>(1-E26*SUM($G$10:G25))/(1+E26)</f>
        <v>0.69571403887955074</v>
      </c>
      <c r="H26">
        <f>VLOOKUP(C26,Output!B28:O747,14,FALSE)</f>
        <v>7.4485668905258512E-3</v>
      </c>
      <c r="I26" s="10">
        <f t="shared" si="1"/>
        <v>-138.93584095011286</v>
      </c>
    </row>
    <row r="27" spans="3:17" x14ac:dyDescent="0.2">
      <c r="C27">
        <f t="shared" si="0"/>
        <v>216</v>
      </c>
      <c r="D27">
        <v>18</v>
      </c>
      <c r="E27">
        <v>2.0985999999999998E-2</v>
      </c>
      <c r="F27" s="9">
        <f t="shared" si="2"/>
        <v>2.1690230271210923E-2</v>
      </c>
      <c r="G27">
        <f>(1-E27*SUM($G$10:G26))/(1+E27)</f>
        <v>0.6767697651824387</v>
      </c>
      <c r="H27">
        <f>VLOOKUP(C27,Output!B29:O748,14,FALSE)</f>
        <v>7.7560821575377754E-3</v>
      </c>
      <c r="I27" s="10">
        <f t="shared" si="1"/>
        <v>-139.34148113673149</v>
      </c>
    </row>
    <row r="28" spans="3:17" x14ac:dyDescent="0.2">
      <c r="C28">
        <f t="shared" si="0"/>
        <v>228</v>
      </c>
      <c r="D28">
        <v>19</v>
      </c>
      <c r="E28">
        <v>2.1307999999999997E-2</v>
      </c>
      <c r="F28" s="9">
        <f t="shared" si="2"/>
        <v>2.2045446599763815E-2</v>
      </c>
      <c r="G28">
        <f>(1-E28*SUM($G$10:G27))/(1+E28)</f>
        <v>0.65779398762474828</v>
      </c>
      <c r="H28">
        <f>VLOOKUP(C28,Output!B30:O749,14,FALSE)</f>
        <v>8.0633395995436639E-3</v>
      </c>
      <c r="I28" s="10">
        <f t="shared" si="1"/>
        <v>-139.82107000220151</v>
      </c>
    </row>
    <row r="29" spans="3:17" x14ac:dyDescent="0.2">
      <c r="C29">
        <f t="shared" si="0"/>
        <v>240</v>
      </c>
      <c r="D29">
        <v>20</v>
      </c>
      <c r="E29">
        <v>2.1629999999999996E-2</v>
      </c>
      <c r="F29" s="9">
        <f t="shared" si="2"/>
        <v>2.2407777063625286E-2</v>
      </c>
      <c r="G29">
        <f>(1-E29*SUM($G$10:G28))/(1+E29)</f>
        <v>0.63880531571248977</v>
      </c>
      <c r="H29">
        <f>VLOOKUP(C29,Output!B31:O750,14,FALSE)</f>
        <v>8.366064275507408E-3</v>
      </c>
      <c r="I29" s="10">
        <f t="shared" si="1"/>
        <v>-140.41712788117877</v>
      </c>
      <c r="N29" s="12"/>
      <c r="O29" s="15"/>
      <c r="P29" s="15"/>
      <c r="Q29" s="16"/>
    </row>
    <row r="30" spans="3:17" x14ac:dyDescent="0.2">
      <c r="C30">
        <f t="shared" si="0"/>
        <v>252</v>
      </c>
      <c r="D30">
        <v>21</v>
      </c>
      <c r="E30">
        <v>2.1727999999999997E-2</v>
      </c>
      <c r="F30" s="9">
        <f t="shared" si="2"/>
        <v>2.2486472527058207E-2</v>
      </c>
      <c r="G30">
        <f>(1-E30*SUM($G$10:G29))/(1+E30)</f>
        <v>0.62361884468494067</v>
      </c>
      <c r="H30">
        <f>VLOOKUP(C30,Output!B32:O751,14,FALSE)</f>
        <v>8.5581077906599339E-3</v>
      </c>
      <c r="I30" s="10">
        <f t="shared" si="1"/>
        <v>-139.28364736398274</v>
      </c>
      <c r="N30" s="12"/>
      <c r="O30" s="15"/>
      <c r="Q30" s="13"/>
    </row>
    <row r="31" spans="3:17" x14ac:dyDescent="0.2">
      <c r="C31">
        <f t="shared" si="0"/>
        <v>264</v>
      </c>
      <c r="D31">
        <v>22</v>
      </c>
      <c r="E31">
        <v>2.1825999999999998E-2</v>
      </c>
      <c r="F31" s="9">
        <f t="shared" si="2"/>
        <v>2.2569683001636535E-2</v>
      </c>
      <c r="G31">
        <f>(1-E31*SUM($G$10:G30))/(1+E31)</f>
        <v>0.60863713515601181</v>
      </c>
      <c r="H31">
        <f>VLOOKUP(C31,Output!B33:O752,14,FALSE)</f>
        <v>8.7486331111861423E-3</v>
      </c>
      <c r="I31" s="10">
        <f t="shared" si="1"/>
        <v>-138.21049890450394</v>
      </c>
      <c r="O31" s="16"/>
    </row>
    <row r="32" spans="3:17" x14ac:dyDescent="0.2">
      <c r="C32">
        <f t="shared" si="0"/>
        <v>276</v>
      </c>
      <c r="D32">
        <v>23</v>
      </c>
      <c r="E32">
        <v>2.1923999999999999E-2</v>
      </c>
      <c r="F32" s="9">
        <f t="shared" si="2"/>
        <v>2.2657021821020341E-2</v>
      </c>
      <c r="G32">
        <f>(1-E32*SUM($G$10:G31))/(1+E32)</f>
        <v>0.59386010437151171</v>
      </c>
      <c r="H32">
        <f>VLOOKUP(C32,Output!B34:O753,14,FALSE)</f>
        <v>8.9444422475618776E-3</v>
      </c>
      <c r="I32" s="10">
        <f t="shared" si="1"/>
        <v>-137.12579573458464</v>
      </c>
    </row>
    <row r="33" spans="3:9" x14ac:dyDescent="0.2">
      <c r="C33">
        <f t="shared" si="0"/>
        <v>288</v>
      </c>
      <c r="D33">
        <v>24</v>
      </c>
      <c r="E33">
        <v>2.2022E-2</v>
      </c>
      <c r="F33" s="9">
        <f t="shared" si="2"/>
        <v>2.2748175774442391E-2</v>
      </c>
      <c r="G33">
        <f>(1-E33*SUM($G$10:G32))/(1+E33)</f>
        <v>0.57928759285516762</v>
      </c>
      <c r="H33">
        <f>VLOOKUP(C33,Output!B35:O754,14,FALSE)</f>
        <v>9.1454463375736667E-3</v>
      </c>
      <c r="I33" s="10">
        <f t="shared" si="1"/>
        <v>-136.02729436868725</v>
      </c>
    </row>
    <row r="34" spans="3:9" x14ac:dyDescent="0.2">
      <c r="C34">
        <f t="shared" si="0"/>
        <v>300</v>
      </c>
      <c r="D34">
        <v>25</v>
      </c>
      <c r="E34">
        <v>2.2120000000000001E-2</v>
      </c>
      <c r="F34" s="9">
        <f t="shared" si="2"/>
        <v>2.2842890912289859E-2</v>
      </c>
      <c r="G34">
        <f>(1-E34*SUM($G$10:G33))/(1+E34)</f>
        <v>0.56491936614544325</v>
      </c>
      <c r="H34">
        <f>VLOOKUP(C34,Output!B36:O755,14,FALSE)</f>
        <v>9.3476735853817144E-3</v>
      </c>
      <c r="I34" s="10">
        <f t="shared" si="1"/>
        <v>-134.95217326908144</v>
      </c>
    </row>
    <row r="35" spans="3:9" x14ac:dyDescent="0.2">
      <c r="C35">
        <f t="shared" si="0"/>
        <v>312</v>
      </c>
      <c r="D35">
        <v>26</v>
      </c>
      <c r="E35">
        <v>2.2162000000000001E-2</v>
      </c>
      <c r="F35" s="9">
        <f t="shared" si="2"/>
        <v>2.2863679691028559E-2</v>
      </c>
      <c r="G35">
        <f>(1-E35*SUM($G$10:G34))/(1+E35)</f>
        <v>0.55186287856142091</v>
      </c>
      <c r="H35">
        <f>VLOOKUP(C35,Output!B37:O756,14,FALSE)</f>
        <v>9.320703880005065E-3</v>
      </c>
      <c r="I35" s="10">
        <f t="shared" si="1"/>
        <v>-135.42975811023493</v>
      </c>
    </row>
    <row r="36" spans="3:9" x14ac:dyDescent="0.2">
      <c r="C36">
        <f t="shared" si="0"/>
        <v>324</v>
      </c>
      <c r="D36">
        <v>27</v>
      </c>
      <c r="E36">
        <v>2.2204000000000002E-2</v>
      </c>
      <c r="F36" s="9">
        <f t="shared" si="2"/>
        <v>2.2887291559662189E-2</v>
      </c>
      <c r="G36">
        <f>(1-E36*SUM($G$10:G35))/(1+E36)</f>
        <v>0.53904465043296379</v>
      </c>
      <c r="H36">
        <f>VLOOKUP(C36,Output!B38:O757,14,FALSE)</f>
        <v>9.2915056024559795E-3</v>
      </c>
      <c r="I36" s="10">
        <f t="shared" si="1"/>
        <v>-135.95785957206209</v>
      </c>
    </row>
    <row r="37" spans="3:9" x14ac:dyDescent="0.2">
      <c r="C37">
        <f t="shared" si="0"/>
        <v>336</v>
      </c>
      <c r="D37">
        <v>28</v>
      </c>
      <c r="E37">
        <v>2.2245999999999998E-2</v>
      </c>
      <c r="F37" s="9">
        <f t="shared" si="2"/>
        <v>2.2913495659668711E-2</v>
      </c>
      <c r="G37">
        <f>(1-E37*SUM($G$10:G36))/(1+E37)</f>
        <v>0.52646107673436904</v>
      </c>
      <c r="H37">
        <f>VLOOKUP(C37,Output!B39:O758,14,FALSE)</f>
        <v>9.2629779436921716E-3</v>
      </c>
      <c r="I37" s="10">
        <f t="shared" si="1"/>
        <v>-136.5051771597654</v>
      </c>
    </row>
    <row r="38" spans="3:9" x14ac:dyDescent="0.2">
      <c r="C38">
        <f t="shared" si="0"/>
        <v>348</v>
      </c>
      <c r="D38">
        <v>29</v>
      </c>
      <c r="E38">
        <v>2.2287999999999999E-2</v>
      </c>
      <c r="F38" s="9">
        <f t="shared" si="2"/>
        <v>2.2942095394329093E-2</v>
      </c>
      <c r="G38">
        <f>(1-E38*SUM($G$10:G37))/(1+E38)</f>
        <v>0.51410859247451246</v>
      </c>
      <c r="H38">
        <f>VLOOKUP(C38,Output!B40:O759,14,FALSE)</f>
        <v>9.2376097618149695E-3</v>
      </c>
      <c r="I38" s="10">
        <f t="shared" si="1"/>
        <v>-137.04485632514124</v>
      </c>
    </row>
    <row r="39" spans="3:9" x14ac:dyDescent="0.2">
      <c r="C39">
        <f t="shared" si="0"/>
        <v>360</v>
      </c>
      <c r="D39">
        <v>30</v>
      </c>
      <c r="E39">
        <v>2.2329999999999999E-2</v>
      </c>
      <c r="F39" s="9">
        <f t="shared" si="2"/>
        <v>2.2972922820359665E-2</v>
      </c>
      <c r="G39">
        <f>(1-E39*SUM($G$10:G38))/(1+E39)</f>
        <v>0.50198367255469734</v>
      </c>
      <c r="H39">
        <f>VLOOKUP(C39,Output!B41:O760,14,FALSE)</f>
        <v>9.210721616234499E-3</v>
      </c>
      <c r="I39" s="10">
        <f t="shared" si="1"/>
        <v>-137.62201204125165</v>
      </c>
    </row>
    <row r="40" spans="3:9" x14ac:dyDescent="0.2">
      <c r="C40">
        <f t="shared" si="0"/>
        <v>372</v>
      </c>
      <c r="D40">
        <v>31</v>
      </c>
      <c r="E40">
        <v>2.24263E-2</v>
      </c>
      <c r="F40" s="9">
        <f t="shared" si="2"/>
        <v>2.308560941461477E-2</v>
      </c>
      <c r="G40">
        <f>(1-E40*SUM($G$10:G39))/(1+E40)</f>
        <v>0.48887233762010601</v>
      </c>
      <c r="H40">
        <f>VLOOKUP(C40,Output!B42:O761,14,FALSE)</f>
        <v>9.1859398791901276E-3</v>
      </c>
      <c r="I40" s="10">
        <f t="shared" si="1"/>
        <v>-138.99669535424641</v>
      </c>
    </row>
    <row r="41" spans="3:9" x14ac:dyDescent="0.2">
      <c r="C41">
        <f t="shared" si="0"/>
        <v>384</v>
      </c>
      <c r="D41">
        <v>32</v>
      </c>
      <c r="E41">
        <v>2.25226E-2</v>
      </c>
      <c r="F41" s="9">
        <f t="shared" si="2"/>
        <v>2.3200820597778841E-2</v>
      </c>
      <c r="G41">
        <f>(1-E41*SUM($G$10:G40))/(1+E41)</f>
        <v>0.47595771671410653</v>
      </c>
      <c r="H41">
        <f>VLOOKUP(C41,Output!B43:O762,14,FALSE)</f>
        <v>9.1655483265209239E-3</v>
      </c>
      <c r="I41" s="10">
        <f t="shared" si="1"/>
        <v>-140.35272271257918</v>
      </c>
    </row>
    <row r="42" spans="3:9" x14ac:dyDescent="0.2">
      <c r="C42">
        <f t="shared" si="0"/>
        <v>396</v>
      </c>
      <c r="D42">
        <v>33</v>
      </c>
      <c r="E42">
        <v>2.2618900000000001E-2</v>
      </c>
      <c r="F42" s="9">
        <f t="shared" si="2"/>
        <v>2.3318543264644227E-2</v>
      </c>
      <c r="G42">
        <f>(1-E42*SUM($G$10:G41))/(1+E42)</f>
        <v>0.46323910730620438</v>
      </c>
      <c r="H42">
        <f>VLOOKUP(C42,Output!B44:O763,14,FALSE)</f>
        <v>9.1462647671579286E-3</v>
      </c>
      <c r="I42" s="10">
        <f t="shared" si="1"/>
        <v>-141.72278497486298</v>
      </c>
    </row>
    <row r="43" spans="3:9" x14ac:dyDescent="0.2">
      <c r="C43">
        <f t="shared" si="0"/>
        <v>408</v>
      </c>
      <c r="D43">
        <v>34</v>
      </c>
      <c r="E43">
        <v>2.2715200000000001E-2</v>
      </c>
      <c r="F43" s="9">
        <f t="shared" si="2"/>
        <v>2.3438776684320515E-2</v>
      </c>
      <c r="G43">
        <f>(1-E43*SUM($G$10:G42))/(1+E43)</f>
        <v>0.45071574864294273</v>
      </c>
      <c r="H43">
        <f>VLOOKUP(C43,Output!B45:O764,14,FALSE)</f>
        <v>9.1254143249232828E-3</v>
      </c>
      <c r="I43" s="10">
        <f t="shared" si="1"/>
        <v>-143.13362359397232</v>
      </c>
    </row>
    <row r="44" spans="3:9" x14ac:dyDescent="0.2">
      <c r="C44">
        <f t="shared" si="0"/>
        <v>420</v>
      </c>
      <c r="D44">
        <v>35</v>
      </c>
      <c r="E44">
        <v>2.2811499999999998E-2</v>
      </c>
      <c r="F44" s="9">
        <f t="shared" si="2"/>
        <v>2.3561531425792703E-2</v>
      </c>
      <c r="G44">
        <f>(1-E44*SUM($G$10:G43))/(1+E44)</f>
        <v>0.43838682340456769</v>
      </c>
      <c r="H44">
        <f>VLOOKUP(C44,Output!B46:O765,14,FALSE)</f>
        <v>9.1058657969691689E-3</v>
      </c>
      <c r="I44" s="10">
        <f t="shared" si="1"/>
        <v>-144.55665628823533</v>
      </c>
    </row>
    <row r="45" spans="3:9" x14ac:dyDescent="0.2">
      <c r="C45">
        <f t="shared" si="0"/>
        <v>432</v>
      </c>
      <c r="D45">
        <v>36</v>
      </c>
      <c r="E45">
        <v>2.2907799999999999E-2</v>
      </c>
      <c r="F45" s="9">
        <f t="shared" si="2"/>
        <v>2.3686828518886219E-2</v>
      </c>
      <c r="G45">
        <f>(1-E45*SUM($G$10:G44))/(1+E45)</f>
        <v>0.42625145935654413</v>
      </c>
      <c r="H45">
        <f>VLOOKUP(C45,Output!B47:O766,14,FALSE)</f>
        <v>9.08355257896158E-3</v>
      </c>
      <c r="I45" s="10">
        <f t="shared" si="1"/>
        <v>-146.0327593992464</v>
      </c>
    </row>
    <row r="46" spans="3:9" x14ac:dyDescent="0.2">
      <c r="C46">
        <f t="shared" si="0"/>
        <v>444</v>
      </c>
      <c r="D46">
        <v>37</v>
      </c>
      <c r="E46">
        <v>2.30041E-2</v>
      </c>
      <c r="F46" s="9">
        <f t="shared" si="2"/>
        <v>2.3814698811679167E-2</v>
      </c>
      <c r="G46">
        <f>(1-E46*SUM($G$10:G45))/(1+E46)</f>
        <v>0.41430873099495141</v>
      </c>
      <c r="H46">
        <f>VLOOKUP(C46,Output!B48:O767,14,FALSE)</f>
        <v>9.059863220301112E-3</v>
      </c>
      <c r="I46" s="10">
        <f t="shared" si="1"/>
        <v>-147.54835591378054</v>
      </c>
    </row>
    <row r="47" spans="3:9" x14ac:dyDescent="0.2">
      <c r="C47">
        <f t="shared" si="0"/>
        <v>456</v>
      </c>
      <c r="D47">
        <v>38</v>
      </c>
      <c r="E47">
        <v>2.31004E-2</v>
      </c>
      <c r="F47" s="9">
        <f t="shared" si="2"/>
        <v>2.3945182494260354E-2</v>
      </c>
      <c r="G47">
        <f>(1-E47*SUM($G$10:G46))/(1+E47)</f>
        <v>0.4025576611848114</v>
      </c>
      <c r="H47">
        <f>VLOOKUP(C47,Output!B49:O768,14,FALSE)</f>
        <v>9.0348933178307413E-3</v>
      </c>
      <c r="I47" s="10">
        <f t="shared" si="1"/>
        <v>-149.10289176429612</v>
      </c>
    </row>
    <row r="48" spans="3:9" x14ac:dyDescent="0.2">
      <c r="C48">
        <f t="shared" si="0"/>
        <v>468</v>
      </c>
      <c r="D48">
        <v>39</v>
      </c>
      <c r="E48">
        <v>2.3196700000000001E-2</v>
      </c>
      <c r="F48" s="9">
        <f t="shared" si="2"/>
        <v>2.4078328765635173E-2</v>
      </c>
      <c r="G48">
        <f>(1-E48*SUM($G$10:G47))/(1+E48)</f>
        <v>0.39099722279042992</v>
      </c>
      <c r="H48">
        <f>VLOOKUP(C48,Output!B50:O769,14,FALSE)</f>
        <v>9.0093013786362586E-3</v>
      </c>
      <c r="I48" s="10">
        <f t="shared" si="1"/>
        <v>-150.69027386998914</v>
      </c>
    </row>
    <row r="49" spans="3:9" x14ac:dyDescent="0.2">
      <c r="C49">
        <f t="shared" si="0"/>
        <v>480</v>
      </c>
      <c r="D49">
        <v>40</v>
      </c>
      <c r="E49">
        <v>2.3293000000000001E-2</v>
      </c>
      <c r="F49" s="9">
        <f t="shared" si="2"/>
        <v>2.4214195626033143E-2</v>
      </c>
      <c r="G49">
        <f>(1-E49*SUM($G$10:G48))/(1+E49)</f>
        <v>0.37962634029686187</v>
      </c>
      <c r="H49">
        <f>VLOOKUP(C49,Output!B51:O770,14,FALSE)</f>
        <v>8.9856180423844474E-3</v>
      </c>
      <c r="I49" s="10">
        <f t="shared" si="1"/>
        <v>-152.28577583648695</v>
      </c>
    </row>
    <row r="50" spans="3:9" x14ac:dyDescent="0.2">
      <c r="C50">
        <f t="shared" si="0"/>
        <v>492</v>
      </c>
      <c r="D50">
        <v>41</v>
      </c>
      <c r="E50">
        <v>2.3350700000000002E-2</v>
      </c>
      <c r="F50" s="9">
        <f t="shared" si="2"/>
        <v>2.4285520691831944E-2</v>
      </c>
      <c r="G50">
        <f>(1-E50*SUM($G$10:G49))/(1+E50)</f>
        <v>0.36946238320444202</v>
      </c>
      <c r="H50">
        <f>VLOOKUP(C50,Output!B52:O771,14,FALSE)</f>
        <v>8.9637844881044395E-3</v>
      </c>
      <c r="I50" s="10">
        <f t="shared" si="1"/>
        <v>-153.21736203727505</v>
      </c>
    </row>
    <row r="51" spans="3:9" x14ac:dyDescent="0.2">
      <c r="C51">
        <f t="shared" si="0"/>
        <v>504</v>
      </c>
      <c r="D51">
        <v>42</v>
      </c>
      <c r="E51">
        <v>2.3408399999999999E-2</v>
      </c>
      <c r="F51" s="9">
        <f t="shared" si="2"/>
        <v>2.4358833758027082E-2</v>
      </c>
      <c r="G51">
        <f>(1-E51*SUM($G$10:G50))/(1+E51)</f>
        <v>0.35948924535308036</v>
      </c>
      <c r="H51">
        <f>VLOOKUP(C51,Output!B53:O772,14,FALSE)</f>
        <v>8.9466458120909843E-3</v>
      </c>
      <c r="I51" s="10">
        <f t="shared" si="1"/>
        <v>-154.12187945936097</v>
      </c>
    </row>
    <row r="52" spans="3:9" x14ac:dyDescent="0.2">
      <c r="C52">
        <f t="shared" si="0"/>
        <v>516</v>
      </c>
      <c r="D52">
        <v>43</v>
      </c>
      <c r="E52">
        <v>2.34661E-2</v>
      </c>
      <c r="F52" s="9">
        <f t="shared" si="2"/>
        <v>2.4434128253459763E-2</v>
      </c>
      <c r="G52">
        <f>(1-E52*SUM($G$10:G51))/(1+E52)</f>
        <v>0.34970423839459341</v>
      </c>
      <c r="H52">
        <f>VLOOKUP(C52,Output!B54:O773,14,FALSE)</f>
        <v>8.926992015570864E-3</v>
      </c>
      <c r="I52" s="10">
        <f t="shared" si="1"/>
        <v>-155.07136237888898</v>
      </c>
    </row>
    <row r="53" spans="3:9" x14ac:dyDescent="0.2">
      <c r="C53">
        <f t="shared" si="0"/>
        <v>528</v>
      </c>
      <c r="D53">
        <v>44</v>
      </c>
      <c r="E53">
        <v>2.3523800000000001E-2</v>
      </c>
      <c r="F53" s="9">
        <f t="shared" si="2"/>
        <v>2.4511404253808967E-2</v>
      </c>
      <c r="G53">
        <f>(1-E53*SUM($G$10:G52))/(1+E53)</f>
        <v>0.34010469334483717</v>
      </c>
      <c r="H53">
        <f>VLOOKUP(C53,Output!B55:O774,14,FALSE)</f>
        <v>8.9047361198923789E-3</v>
      </c>
      <c r="I53" s="10">
        <f t="shared" si="1"/>
        <v>-156.06668133916588</v>
      </c>
    </row>
    <row r="54" spans="3:9" x14ac:dyDescent="0.2">
      <c r="C54">
        <f t="shared" si="0"/>
        <v>540</v>
      </c>
      <c r="D54">
        <v>45</v>
      </c>
      <c r="E54">
        <v>2.3581499999999998E-2</v>
      </c>
      <c r="F54" s="9">
        <f t="shared" si="2"/>
        <v>2.4590668101920871E-2</v>
      </c>
      <c r="G54">
        <f>(1-E54*SUM($G$10:G53))/(1+E54)</f>
        <v>0.33068796088985614</v>
      </c>
      <c r="H54">
        <f>VLOOKUP(C54,Output!B56:O775,14,FALSE)</f>
        <v>8.8888586230086285E-3</v>
      </c>
      <c r="I54" s="10">
        <f t="shared" si="1"/>
        <v>-157.01809478912242</v>
      </c>
    </row>
    <row r="55" spans="3:9" x14ac:dyDescent="0.2">
      <c r="C55">
        <f t="shared" si="0"/>
        <v>552</v>
      </c>
      <c r="D55">
        <v>46</v>
      </c>
      <c r="E55">
        <v>2.3639199999999999E-2</v>
      </c>
      <c r="F55" s="9">
        <f t="shared" si="2"/>
        <v>2.4671932104538746E-2</v>
      </c>
      <c r="G55">
        <f>(1-E55*SUM($G$10:G54))/(1+E55)</f>
        <v>0.32145141167830987</v>
      </c>
      <c r="H55">
        <f>VLOOKUP(C55,Output!B57:O776,14,FALSE)</f>
        <v>8.8724070412996604E-3</v>
      </c>
      <c r="I55" s="10">
        <f t="shared" si="1"/>
        <v>-157.99525063239085</v>
      </c>
    </row>
    <row r="56" spans="3:9" x14ac:dyDescent="0.2">
      <c r="C56">
        <f t="shared" si="0"/>
        <v>564</v>
      </c>
      <c r="D56">
        <v>47</v>
      </c>
      <c r="E56">
        <v>2.36969E-2</v>
      </c>
      <c r="F56" s="9">
        <f t="shared" si="2"/>
        <v>2.4755214296507906E-2</v>
      </c>
      <c r="G56">
        <f>(1-E56*SUM($G$10:G55))/(1+E56)</f>
        <v>0.31239243660038024</v>
      </c>
      <c r="H56">
        <f>VLOOKUP(C56,Output!B58:O777,14,FALSE)</f>
        <v>8.8615987258454081E-3</v>
      </c>
      <c r="I56" s="10">
        <f t="shared" si="1"/>
        <v>-158.93615570662496</v>
      </c>
    </row>
    <row r="57" spans="3:9" x14ac:dyDescent="0.2">
      <c r="C57">
        <f t="shared" si="0"/>
        <v>576</v>
      </c>
      <c r="D57">
        <v>48</v>
      </c>
      <c r="E57">
        <v>2.3754600000000001E-2</v>
      </c>
      <c r="F57" s="9">
        <f t="shared" si="2"/>
        <v>2.4840538265283593E-2</v>
      </c>
      <c r="G57">
        <f>(1-E57*SUM($G$10:G56))/(1+E57)</f>
        <v>0.3035084470533605</v>
      </c>
      <c r="H57">
        <f>VLOOKUP(C57,Output!B59:O778,14,FALSE)</f>
        <v>8.8528532774987054E-3</v>
      </c>
      <c r="I57" s="10">
        <f t="shared" si="1"/>
        <v>-159.87684987784888</v>
      </c>
    </row>
    <row r="58" spans="3:9" x14ac:dyDescent="0.2">
      <c r="C58">
        <f t="shared" si="0"/>
        <v>588</v>
      </c>
      <c r="D58">
        <v>49</v>
      </c>
      <c r="E58">
        <v>2.3812299999999998E-2</v>
      </c>
      <c r="F58" s="9">
        <f t="shared" si="2"/>
        <v>2.4927933030033878E-2</v>
      </c>
      <c r="G58">
        <f>(1-E58*SUM($G$10:G57))/(1+E58)</f>
        <v>0.29479687519413433</v>
      </c>
      <c r="H58">
        <f>VLOOKUP(C58,Output!B60:O779,14,FALSE)</f>
        <v>8.8448639190844419E-3</v>
      </c>
      <c r="I58" s="10">
        <f t="shared" si="1"/>
        <v>-160.83069110949435</v>
      </c>
    </row>
    <row r="59" spans="3:9" x14ac:dyDescent="0.2">
      <c r="C59">
        <f t="shared" si="0"/>
        <v>600</v>
      </c>
      <c r="D59">
        <v>50</v>
      </c>
      <c r="E59">
        <v>2.3869999999999999E-2</v>
      </c>
      <c r="F59" s="9">
        <f t="shared" si="2"/>
        <v>2.5017432970868683E-2</v>
      </c>
      <c r="G59">
        <f>(1-E59*SUM($G$10:G58))/(1+E59)</f>
        <v>0.28625517417874802</v>
      </c>
      <c r="H59">
        <f>VLOOKUP(C59,Output!B61:O780,14,FALSE)</f>
        <v>8.8408371522079952E-3</v>
      </c>
      <c r="I59" s="10">
        <f t="shared" si="1"/>
        <v>-161.76595818660689</v>
      </c>
    </row>
    <row r="60" spans="3:9" x14ac:dyDescent="0.2">
      <c r="C60">
        <f t="shared" si="0"/>
        <v>612</v>
      </c>
      <c r="D60">
        <v>51</v>
      </c>
      <c r="E60">
        <v>2.3869999999999999E-2</v>
      </c>
      <c r="F60" s="9">
        <f t="shared" si="2"/>
        <v>2.4989435568167066E-2</v>
      </c>
      <c r="G60">
        <f>(1-E60*SUM($G$10:G59))/(1+E60)</f>
        <v>0.2795815622869583</v>
      </c>
      <c r="H60">
        <f>VLOOKUP(C60,Output!B62:O781,14,FALSE)</f>
        <v>8.8471475526710561E-3</v>
      </c>
      <c r="I60" s="10">
        <f t="shared" si="1"/>
        <v>-161.42288015496013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P1212"/>
  <sheetViews>
    <sheetView tabSelected="1" workbookViewId="0">
      <selection activeCell="F16" sqref="F16"/>
    </sheetView>
  </sheetViews>
  <sheetFormatPr defaultRowHeight="14.25" x14ac:dyDescent="0.2"/>
  <cols>
    <col min="1" max="4" width="9" style="1"/>
    <col min="5" max="5" width="9" style="19"/>
    <col min="6" max="6" width="11" style="19"/>
    <col min="7" max="7" width="9" style="1"/>
    <col min="8" max="8" width="13" style="1" bestFit="1" customWidth="1"/>
    <col min="9" max="9" width="14.375" style="1" bestFit="1" customWidth="1"/>
    <col min="10" max="10" width="15.625" style="1" bestFit="1" customWidth="1"/>
    <col min="11" max="13" width="11" style="1"/>
    <col min="14" max="14" width="9" style="19"/>
    <col min="15" max="15" width="11" style="19"/>
    <col min="16" max="16" width="9" style="1"/>
  </cols>
  <sheetData>
    <row r="4" spans="1:16" x14ac:dyDescent="0.2">
      <c r="I4" s="21">
        <f>40000000000</f>
        <v>40000000000</v>
      </c>
      <c r="J4" s="23">
        <f>I4*0.03</f>
        <v>1200000000</v>
      </c>
    </row>
    <row r="5" spans="1:16" x14ac:dyDescent="0.2">
      <c r="I5" s="22">
        <f>I4/35000000</f>
        <v>1142.8571428571429</v>
      </c>
      <c r="J5" s="22">
        <f>I5*0.03</f>
        <v>34.285714285714285</v>
      </c>
    </row>
    <row r="11" spans="1:16" x14ac:dyDescent="0.2">
      <c r="B11" s="1">
        <v>0</v>
      </c>
      <c r="C11" s="1">
        <v>0</v>
      </c>
      <c r="D11" s="1">
        <v>1</v>
      </c>
      <c r="E11" s="19">
        <v>0</v>
      </c>
      <c r="G11" s="1">
        <v>0</v>
      </c>
      <c r="K11" s="1">
        <v>0</v>
      </c>
      <c r="L11" s="1">
        <v>0</v>
      </c>
      <c r="M11" s="1">
        <v>1</v>
      </c>
      <c r="N11" s="19">
        <v>0</v>
      </c>
      <c r="P11" s="1">
        <v>0</v>
      </c>
    </row>
    <row r="12" spans="1:16" x14ac:dyDescent="0.2">
      <c r="A12" s="1">
        <v>1</v>
      </c>
      <c r="B12" s="1">
        <v>1.0000008170269756</v>
      </c>
      <c r="C12" s="1">
        <v>1.0618288171182881</v>
      </c>
      <c r="D12" s="1">
        <v>0.94165299999999996</v>
      </c>
      <c r="E12" s="19">
        <v>1.0849496940275125E-3</v>
      </c>
      <c r="F12" s="19">
        <v>1.1000000000000001E-3</v>
      </c>
      <c r="G12" s="1">
        <v>0.9999095916125823</v>
      </c>
      <c r="H12" s="1">
        <f>(P12-G12)*A12/12</f>
        <v>-1.5106517786689366E-8</v>
      </c>
      <c r="I12" s="20">
        <f>E12-N12</f>
        <v>-2.1755354451232292E-6</v>
      </c>
      <c r="K12" s="1">
        <v>0.99999593923844454</v>
      </c>
      <c r="L12" s="1">
        <v>1.0509838032393521</v>
      </c>
      <c r="M12" s="1">
        <v>0.95134259398157872</v>
      </c>
      <c r="N12" s="19">
        <v>1.0871252294726358E-3</v>
      </c>
      <c r="O12" s="19">
        <v>1.0999996019999999E-3</v>
      </c>
      <c r="P12" s="1">
        <v>0.99990941033436886</v>
      </c>
    </row>
    <row r="13" spans="1:16" x14ac:dyDescent="0.2">
      <c r="A13" s="1">
        <v>2</v>
      </c>
      <c r="B13" s="1">
        <v>0.99999798122145445</v>
      </c>
      <c r="C13" s="1">
        <v>1.0810524714685317</v>
      </c>
      <c r="D13" s="1">
        <v>0.92461705778524905</v>
      </c>
      <c r="E13" s="19">
        <v>1.0935420112776091E-3</v>
      </c>
      <c r="F13" s="19">
        <v>1.1000000000000001E-3</v>
      </c>
      <c r="G13" s="1">
        <v>0.99981775960591879</v>
      </c>
      <c r="H13" s="1">
        <f t="shared" ref="H13:H76" si="0">(P13-G13)*A13/12</f>
        <v>-3.9030289111785521E-8</v>
      </c>
      <c r="I13" s="20">
        <f>E13-N13</f>
        <v>-1.4053466835110048E-6</v>
      </c>
      <c r="K13" s="1">
        <v>0.99999402879030819</v>
      </c>
      <c r="L13" s="1">
        <v>1.0679099300719426</v>
      </c>
      <c r="M13" s="1">
        <v>0.93603412850782841</v>
      </c>
      <c r="N13" s="19">
        <v>1.0949473579611201E-3</v>
      </c>
      <c r="O13" s="19">
        <v>1.1000000000000001E-3</v>
      </c>
      <c r="P13" s="1">
        <v>0.99981752542418412</v>
      </c>
    </row>
    <row r="14" spans="1:16" x14ac:dyDescent="0.2">
      <c r="A14" s="1">
        <v>3</v>
      </c>
      <c r="B14" s="1">
        <v>0.99999037921102973</v>
      </c>
      <c r="C14" s="1">
        <v>1.0905328759056194</v>
      </c>
      <c r="D14" s="1">
        <v>0.91639299655493967</v>
      </c>
      <c r="E14" s="19">
        <v>1.0989979776306921E-3</v>
      </c>
      <c r="F14" s="19">
        <v>1.1000000000000001E-3</v>
      </c>
      <c r="G14" s="1">
        <v>0.99972528824577822</v>
      </c>
      <c r="H14" s="1">
        <f t="shared" si="0"/>
        <v>-1.8020063877188797E-7</v>
      </c>
      <c r="I14" s="20">
        <f>E14-N14</f>
        <v>-2.8840035294175163E-6</v>
      </c>
      <c r="K14" s="1">
        <v>0.99999470485036257</v>
      </c>
      <c r="L14" s="1">
        <v>1.0960638342402083</v>
      </c>
      <c r="M14" s="1">
        <v>0.91174053519659792</v>
      </c>
      <c r="N14" s="19">
        <v>1.1018819811601096E-3</v>
      </c>
      <c r="O14" s="19">
        <v>1.100000398E-3</v>
      </c>
      <c r="P14" s="1">
        <v>0.99972456744322313</v>
      </c>
    </row>
    <row r="15" spans="1:16" x14ac:dyDescent="0.2">
      <c r="A15" s="1">
        <v>4</v>
      </c>
      <c r="B15" s="1">
        <v>0.99998443339241261</v>
      </c>
      <c r="C15" s="1">
        <v>1.097404336900389</v>
      </c>
      <c r="D15" s="1">
        <v>0.91051341966949062</v>
      </c>
      <c r="E15" s="19">
        <v>1.1004216662327498E-3</v>
      </c>
      <c r="F15" s="19">
        <v>1.1000000000000001E-3</v>
      </c>
      <c r="G15" s="1">
        <v>0.99963326004346675</v>
      </c>
      <c r="H15" s="1">
        <f t="shared" si="0"/>
        <v>4.239055212777269E-7</v>
      </c>
      <c r="I15" s="20">
        <f>E15-N15</f>
        <v>3.8165469449778257E-6</v>
      </c>
      <c r="K15" s="1">
        <v>1.00001025473085</v>
      </c>
      <c r="L15" s="1">
        <v>1.1083678321382431</v>
      </c>
      <c r="M15" s="1">
        <v>0.90151600047863623</v>
      </c>
      <c r="N15" s="19">
        <v>1.096605119287772E-3</v>
      </c>
      <c r="O15" s="19">
        <v>1.1000000000000001E-3</v>
      </c>
      <c r="P15" s="1">
        <v>0.99963453176003059</v>
      </c>
    </row>
    <row r="16" spans="1:16" x14ac:dyDescent="0.2">
      <c r="A16" s="1">
        <v>5</v>
      </c>
      <c r="B16" s="1">
        <v>0.99997642849198431</v>
      </c>
      <c r="C16" s="1">
        <v>1.118685040297418</v>
      </c>
      <c r="D16" s="1">
        <v>0.89296983548641706</v>
      </c>
      <c r="E16" s="19">
        <v>1.0994090677519646E-3</v>
      </c>
      <c r="F16" s="19">
        <v>1.1000000000000001E-3</v>
      </c>
      <c r="G16" s="1">
        <v>0.99954201779431828</v>
      </c>
      <c r="H16" s="1">
        <f t="shared" si="0"/>
        <v>8.0714749374951225E-8</v>
      </c>
      <c r="I16" s="20">
        <f>E16-N16</f>
        <v>4.6512993258059424E-7</v>
      </c>
      <c r="K16" s="1">
        <v>1.0000160110994005</v>
      </c>
      <c r="L16" s="1">
        <v>1.14057555814318</v>
      </c>
      <c r="M16" s="1">
        <v>0.87585377471861636</v>
      </c>
      <c r="N16" s="19">
        <v>1.098943937819384E-3</v>
      </c>
      <c r="O16" s="19">
        <v>1.0999985250000001E-3</v>
      </c>
      <c r="P16" s="1">
        <v>0.99954221150971678</v>
      </c>
    </row>
    <row r="17" spans="1:16" x14ac:dyDescent="0.2">
      <c r="A17" s="1">
        <v>6</v>
      </c>
      <c r="B17" s="1">
        <v>0.99996952121722915</v>
      </c>
      <c r="C17" s="1">
        <v>1.1305202143248396</v>
      </c>
      <c r="D17" s="1">
        <v>0.88341087319600642</v>
      </c>
      <c r="E17" s="19">
        <v>1.1000881589740422E-3</v>
      </c>
      <c r="F17" s="19">
        <v>1.1000000000000001E-3</v>
      </c>
      <c r="G17" s="1">
        <v>0.99945010716702565</v>
      </c>
      <c r="H17" s="1">
        <f t="shared" si="0"/>
        <v>-2.863939346786637E-8</v>
      </c>
      <c r="I17" s="20">
        <f>E17-N17</f>
        <v>-1.1462060620407409E-7</v>
      </c>
      <c r="K17" s="1">
        <v>0.99999691685498748</v>
      </c>
      <c r="L17" s="1">
        <v>1.1474606454010998</v>
      </c>
      <c r="M17" s="1">
        <v>0.87040466218501522</v>
      </c>
      <c r="N17" s="19">
        <v>1.1002027795802463E-3</v>
      </c>
      <c r="O17" s="19">
        <v>1.0999977579999999E-3</v>
      </c>
      <c r="P17" s="1">
        <v>0.99945004988823871</v>
      </c>
    </row>
    <row r="18" spans="1:16" x14ac:dyDescent="0.2">
      <c r="A18" s="1">
        <v>7</v>
      </c>
      <c r="B18" s="1">
        <v>0.99997800022820316</v>
      </c>
      <c r="C18" s="1">
        <v>1.1490275367664089</v>
      </c>
      <c r="D18" s="1">
        <v>0.86901623427161123</v>
      </c>
      <c r="E18" s="19">
        <v>1.0998515657748076E-3</v>
      </c>
      <c r="F18" s="19">
        <v>1.1000000000000001E-3</v>
      </c>
      <c r="G18" s="1">
        <v>0.99935862568845624</v>
      </c>
      <c r="H18" s="1">
        <f t="shared" si="0"/>
        <v>3.092610845282599E-7</v>
      </c>
      <c r="I18" s="20">
        <f>E18-N18</f>
        <v>9.0943194668642764E-7</v>
      </c>
      <c r="K18" s="1">
        <v>0.99999708997603198</v>
      </c>
      <c r="L18" s="1">
        <v>1.1403108739218222</v>
      </c>
      <c r="M18" s="1">
        <v>0.87566541942244047</v>
      </c>
      <c r="N18" s="19">
        <v>1.0989421338281212E-3</v>
      </c>
      <c r="O18" s="19">
        <v>1.1000000000000001E-3</v>
      </c>
      <c r="P18" s="1">
        <v>0.99935915585031543</v>
      </c>
    </row>
    <row r="19" spans="1:16" x14ac:dyDescent="0.2">
      <c r="A19" s="1">
        <v>8</v>
      </c>
      <c r="B19" s="1">
        <v>0.99998560144307447</v>
      </c>
      <c r="C19" s="1">
        <v>1.1824049537497143</v>
      </c>
      <c r="D19" s="1">
        <v>0.8442924552433424</v>
      </c>
      <c r="E19" s="19">
        <v>1.0995143129612572E-3</v>
      </c>
      <c r="F19" s="19">
        <v>1.1000000000000001E-3</v>
      </c>
      <c r="G19" s="1">
        <v>0.9992672590438908</v>
      </c>
      <c r="H19" s="1">
        <f t="shared" si="0"/>
        <v>2.5646430557024757E-7</v>
      </c>
      <c r="I19" s="20">
        <f>E19-N19</f>
        <v>5.774677107005504E-7</v>
      </c>
      <c r="K19" s="1">
        <v>0.9999858835336477</v>
      </c>
      <c r="L19" s="1">
        <v>1.1487653597648302</v>
      </c>
      <c r="M19" s="1">
        <v>0.86909375072978701</v>
      </c>
      <c r="N19" s="19">
        <v>1.0989368452505566E-3</v>
      </c>
      <c r="O19" s="19">
        <v>1.1000066009999999E-3</v>
      </c>
      <c r="P19" s="1">
        <v>0.99926764374034915</v>
      </c>
    </row>
    <row r="20" spans="1:16" x14ac:dyDescent="0.2">
      <c r="A20" s="1">
        <v>9</v>
      </c>
      <c r="B20" s="1">
        <v>0.99997004303593384</v>
      </c>
      <c r="C20" s="1">
        <v>1.1960089043454754</v>
      </c>
      <c r="D20" s="1">
        <v>0.83455020990086282</v>
      </c>
      <c r="E20" s="19">
        <v>1.0995555916687497E-3</v>
      </c>
      <c r="F20" s="19">
        <v>1.1000000000000001E-3</v>
      </c>
      <c r="G20" s="1">
        <v>0.99917567325037304</v>
      </c>
      <c r="H20" s="1">
        <f t="shared" si="0"/>
        <v>-6.0959245484770719E-8</v>
      </c>
      <c r="I20" s="20">
        <f>E20-N20</f>
        <v>-1.0846140401717282E-7</v>
      </c>
      <c r="K20" s="1">
        <v>1.0000005920025652</v>
      </c>
      <c r="L20" s="1">
        <v>1.163869213049161</v>
      </c>
      <c r="M20" s="1">
        <v>0.85755556662859778</v>
      </c>
      <c r="N20" s="19">
        <v>1.0996640530727669E-3</v>
      </c>
      <c r="O20" s="19">
        <v>1.100015105E-3</v>
      </c>
      <c r="P20" s="1">
        <v>0.99917559197137906</v>
      </c>
    </row>
    <row r="21" spans="1:16" x14ac:dyDescent="0.2">
      <c r="A21" s="1">
        <v>10</v>
      </c>
      <c r="B21" s="1">
        <v>0.99996385776886632</v>
      </c>
      <c r="C21" s="1">
        <v>1.168082451434826</v>
      </c>
      <c r="D21" s="1">
        <v>0.85433068975504611</v>
      </c>
      <c r="E21" s="19">
        <v>1.0992875285251739E-3</v>
      </c>
      <c r="F21" s="19">
        <v>1.1000000000000001E-3</v>
      </c>
      <c r="G21" s="1">
        <v>0.99908434652628131</v>
      </c>
      <c r="H21" s="1">
        <f t="shared" si="0"/>
        <v>-4.0933281209021288E-8</v>
      </c>
      <c r="I21" s="20">
        <f>E21-N21</f>
        <v>-5.8997948066026595E-8</v>
      </c>
      <c r="K21" s="1">
        <v>0.99999666546037747</v>
      </c>
      <c r="L21" s="1">
        <v>1.1793056536549529</v>
      </c>
      <c r="M21" s="1">
        <v>0.84615175329705261</v>
      </c>
      <c r="N21" s="19">
        <v>1.09934652647324E-3</v>
      </c>
      <c r="O21" s="19">
        <v>1.100022105E-3</v>
      </c>
      <c r="P21" s="1">
        <v>0.99908429740634386</v>
      </c>
    </row>
    <row r="22" spans="1:16" x14ac:dyDescent="0.2">
      <c r="A22" s="1">
        <v>11</v>
      </c>
      <c r="B22" s="1">
        <v>0.99996990387760631</v>
      </c>
      <c r="C22" s="1">
        <v>1.1806371623898413</v>
      </c>
      <c r="D22" s="1">
        <v>0.84503097917155789</v>
      </c>
      <c r="E22" s="19">
        <v>1.0987593906968474E-3</v>
      </c>
      <c r="F22" s="19">
        <v>1.1000000000000001E-3</v>
      </c>
      <c r="G22" s="1">
        <v>0.99899331094361354</v>
      </c>
      <c r="H22" s="1">
        <f t="shared" si="0"/>
        <v>-7.5126536790611398E-7</v>
      </c>
      <c r="I22" s="20">
        <f>E22-N22</f>
        <v>-8.9496919829430178E-7</v>
      </c>
      <c r="K22" s="1">
        <v>0.99998818152322833</v>
      </c>
      <c r="L22" s="1">
        <v>1.1984079926967948</v>
      </c>
      <c r="M22" s="1">
        <v>0.83250981974373794</v>
      </c>
      <c r="N22" s="19">
        <v>1.0996543598951417E-3</v>
      </c>
      <c r="O22" s="19">
        <v>1.1000241919999999E-3</v>
      </c>
      <c r="P22" s="1">
        <v>0.99899249138139401</v>
      </c>
    </row>
    <row r="23" spans="1:16" x14ac:dyDescent="0.2">
      <c r="A23" s="1">
        <v>12</v>
      </c>
      <c r="B23" s="1">
        <v>0.99996877266654971</v>
      </c>
      <c r="C23" s="1">
        <v>1.200551338496793</v>
      </c>
      <c r="D23" s="1">
        <v>0.83083941817934848</v>
      </c>
      <c r="E23" s="19">
        <v>1.0994431317594055E-3</v>
      </c>
      <c r="F23" s="19">
        <v>1.1003E-3</v>
      </c>
      <c r="G23" s="1">
        <v>0.99890116103440485</v>
      </c>
      <c r="H23" s="1">
        <f t="shared" si="0"/>
        <v>-2.9334098650135587E-7</v>
      </c>
      <c r="I23" s="20">
        <f>E23-N23</f>
        <v>-2.9366371870993488E-7</v>
      </c>
      <c r="K23" s="1">
        <v>1.0000039774811018</v>
      </c>
      <c r="L23" s="1">
        <v>1.1924703519770092</v>
      </c>
      <c r="M23" s="1">
        <v>0.83651123140263706</v>
      </c>
      <c r="N23" s="19">
        <v>1.0997367954781155E-3</v>
      </c>
      <c r="O23" s="19">
        <v>1.1000179600000001E-3</v>
      </c>
      <c r="P23" s="1">
        <v>0.99890086769341835</v>
      </c>
    </row>
    <row r="24" spans="1:16" x14ac:dyDescent="0.2">
      <c r="A24" s="1">
        <v>13</v>
      </c>
      <c r="B24" s="1">
        <v>0.99996726418043058</v>
      </c>
      <c r="C24" s="1">
        <v>1.1960616351699036</v>
      </c>
      <c r="D24" s="1">
        <v>0.83380737212207934</v>
      </c>
      <c r="E24" s="19">
        <v>1.0989539634219964E-3</v>
      </c>
      <c r="F24" s="19">
        <v>1.10053E-3</v>
      </c>
      <c r="G24" s="1">
        <v>0.99881017494343227</v>
      </c>
      <c r="H24" s="1">
        <f t="shared" si="0"/>
        <v>-2.232062982684043E-6</v>
      </c>
      <c r="I24" s="20">
        <f>E24-N24</f>
        <v>-1.9041437104409548E-6</v>
      </c>
      <c r="K24" s="1">
        <v>1.0000126451304279</v>
      </c>
      <c r="L24" s="1">
        <v>1.2149942609842901</v>
      </c>
      <c r="M24" s="1">
        <v>0.82079953183583843</v>
      </c>
      <c r="N24" s="19">
        <v>1.1008581071324374E-3</v>
      </c>
      <c r="O24" s="19">
        <v>1.1003025E-3</v>
      </c>
      <c r="P24" s="1">
        <v>0.9988081145776021</v>
      </c>
    </row>
    <row r="25" spans="1:16" x14ac:dyDescent="0.2">
      <c r="A25" s="1">
        <v>14</v>
      </c>
      <c r="B25" s="1">
        <v>0.99995666138189077</v>
      </c>
      <c r="C25" s="1">
        <v>1.1955767303726925</v>
      </c>
      <c r="D25" s="1">
        <v>0.83401545044436398</v>
      </c>
      <c r="E25" s="19">
        <v>1.0997595570212816E-3</v>
      </c>
      <c r="F25" s="19">
        <v>1.1006E-3</v>
      </c>
      <c r="G25" s="1">
        <v>0.99871776994382089</v>
      </c>
      <c r="H25" s="1">
        <f t="shared" si="0"/>
        <v>-1.0719709495991363E-6</v>
      </c>
      <c r="I25" s="20">
        <f>E25-N25</f>
        <v>-7.8858199941160209E-7</v>
      </c>
      <c r="K25" s="1">
        <v>1.0000158767117757</v>
      </c>
      <c r="L25" s="1">
        <v>1.2081079636378205</v>
      </c>
      <c r="M25" s="1">
        <v>0.82529749010658293</v>
      </c>
      <c r="N25" s="19">
        <v>1.1005481390206932E-3</v>
      </c>
      <c r="O25" s="19">
        <v>1.1005112990000001E-3</v>
      </c>
      <c r="P25" s="1">
        <v>0.99871685111157837</v>
      </c>
    </row>
    <row r="26" spans="1:16" x14ac:dyDescent="0.2">
      <c r="A26" s="1">
        <v>15</v>
      </c>
      <c r="B26" s="1">
        <v>0.99997534145745304</v>
      </c>
      <c r="C26" s="1">
        <v>1.2078128216687074</v>
      </c>
      <c r="D26" s="1">
        <v>0.82532653797949995</v>
      </c>
      <c r="E26" s="19">
        <v>1.0992416475865958E-3</v>
      </c>
      <c r="F26" s="19">
        <v>1.10056E-3</v>
      </c>
      <c r="G26" s="1">
        <v>0.99862689151782358</v>
      </c>
      <c r="H26" s="1">
        <f t="shared" si="0"/>
        <v>-1.6464655962222796E-6</v>
      </c>
      <c r="I26" s="20">
        <f>E26-N26</f>
        <v>-1.0551875635081507E-6</v>
      </c>
      <c r="K26" s="1">
        <v>1.0000250196978215</v>
      </c>
      <c r="L26" s="1">
        <v>1.2170547844251884</v>
      </c>
      <c r="M26" s="1">
        <v>0.81913605683231006</v>
      </c>
      <c r="N26" s="19">
        <v>1.100296835150104E-3</v>
      </c>
      <c r="O26" s="19">
        <v>1.1005600679999999E-3</v>
      </c>
      <c r="P26" s="1">
        <v>0.9986255743453466</v>
      </c>
    </row>
    <row r="27" spans="1:16" x14ac:dyDescent="0.2">
      <c r="A27" s="1">
        <v>16</v>
      </c>
      <c r="B27" s="1">
        <v>0.99996801883145714</v>
      </c>
      <c r="C27" s="1">
        <v>1.2238402044284133</v>
      </c>
      <c r="D27" s="1">
        <v>0.81440160340900725</v>
      </c>
      <c r="E27" s="19">
        <v>1.0989544182466735E-3</v>
      </c>
      <c r="F27" s="19">
        <v>1.10045E-3</v>
      </c>
      <c r="G27" s="1">
        <v>0.99853580043003476</v>
      </c>
      <c r="H27" s="1">
        <f t="shared" si="0"/>
        <v>-2.6998349199243896E-6</v>
      </c>
      <c r="I27" s="20">
        <f>E27-N27</f>
        <v>-1.5208855622466603E-6</v>
      </c>
      <c r="K27" s="1">
        <v>1.0000436589059729</v>
      </c>
      <c r="L27" s="1">
        <v>1.2210054475318661</v>
      </c>
      <c r="M27" s="1">
        <v>0.81625823333293623</v>
      </c>
      <c r="N27" s="19">
        <v>1.1004753038089201E-3</v>
      </c>
      <c r="O27" s="19">
        <v>1.10049375E-3</v>
      </c>
      <c r="P27" s="1">
        <v>0.99853377555384482</v>
      </c>
    </row>
    <row r="28" spans="1:16" x14ac:dyDescent="0.2">
      <c r="A28" s="1">
        <v>17</v>
      </c>
      <c r="B28" s="1">
        <v>0.99996557522808527</v>
      </c>
      <c r="C28" s="1">
        <v>1.2453835978271066</v>
      </c>
      <c r="D28" s="1">
        <v>0.80009336111846363</v>
      </c>
      <c r="E28" s="19">
        <v>1.0986832963605885E-3</v>
      </c>
      <c r="F28" s="19">
        <v>1.10031E-3</v>
      </c>
      <c r="G28" s="1">
        <v>0.99844474266494143</v>
      </c>
      <c r="H28" s="1">
        <f t="shared" si="0"/>
        <v>-3.5594053162576098E-6</v>
      </c>
      <c r="I28" s="20">
        <f>E28-N28</f>
        <v>-1.776309367124574E-6</v>
      </c>
      <c r="K28" s="1">
        <v>1.0000163254656271</v>
      </c>
      <c r="L28" s="1">
        <v>1.2434763005654217</v>
      </c>
      <c r="M28" s="1">
        <v>0.80131900575569626</v>
      </c>
      <c r="N28" s="19">
        <v>1.100459605727713E-3</v>
      </c>
      <c r="O28" s="19">
        <v>1.1003572870000001E-3</v>
      </c>
      <c r="P28" s="1">
        <v>0.99844223014354172</v>
      </c>
    </row>
    <row r="29" spans="1:16" x14ac:dyDescent="0.2">
      <c r="A29" s="1">
        <v>18</v>
      </c>
      <c r="B29" s="1">
        <v>0.99993738344054439</v>
      </c>
      <c r="C29" s="1">
        <v>1.2635586284052276</v>
      </c>
      <c r="D29" s="1">
        <v>0.78844977655514381</v>
      </c>
      <c r="E29" s="19">
        <v>1.0983531847865195E-3</v>
      </c>
      <c r="F29" s="19">
        <v>1.10019E-3</v>
      </c>
      <c r="G29" s="1">
        <v>0.99835382665498051</v>
      </c>
      <c r="H29" s="1">
        <f t="shared" si="0"/>
        <v>-5.6168258137923033E-6</v>
      </c>
      <c r="I29" s="20">
        <f>E29-N29</f>
        <v>-2.5004879465639115E-6</v>
      </c>
      <c r="K29" s="1">
        <v>0.99999578621890794</v>
      </c>
      <c r="L29" s="1">
        <v>1.2664669976824214</v>
      </c>
      <c r="M29" s="1">
        <v>0.78668045330615766</v>
      </c>
      <c r="N29" s="19">
        <v>1.1008536727330834E-3</v>
      </c>
      <c r="O29" s="19">
        <v>1.1001956219999999E-3</v>
      </c>
      <c r="P29" s="1">
        <v>0.99835008210443799</v>
      </c>
    </row>
    <row r="30" spans="1:16" x14ac:dyDescent="0.2">
      <c r="A30" s="1">
        <v>19</v>
      </c>
      <c r="B30" s="1">
        <v>0.99995258268271792</v>
      </c>
      <c r="C30" s="1">
        <v>1.2463793988220351</v>
      </c>
      <c r="D30" s="1">
        <v>0.79918588190744888</v>
      </c>
      <c r="E30" s="19">
        <v>1.0978706011269962E-3</v>
      </c>
      <c r="F30" s="19">
        <v>1.1001100000000001E-3</v>
      </c>
      <c r="G30" s="1">
        <v>0.99826321484146296</v>
      </c>
      <c r="H30" s="1">
        <f t="shared" si="0"/>
        <v>-7.3035322500081268E-6</v>
      </c>
      <c r="I30" s="20">
        <f>E30-N30</f>
        <v>-2.9183957007640135E-6</v>
      </c>
      <c r="K30" s="1">
        <v>0.9999921864285769</v>
      </c>
      <c r="L30" s="1">
        <v>1.2633356248378196</v>
      </c>
      <c r="M30" s="1">
        <v>0.78840600260665017</v>
      </c>
      <c r="N30" s="19">
        <v>1.1007889968277602E-3</v>
      </c>
      <c r="O30" s="19">
        <v>1.100053697E-3</v>
      </c>
      <c r="P30" s="1">
        <v>0.99825860208425243</v>
      </c>
    </row>
    <row r="31" spans="1:16" x14ac:dyDescent="0.2">
      <c r="A31" s="1">
        <v>20</v>
      </c>
      <c r="B31" s="1">
        <v>0.99994854570263469</v>
      </c>
      <c r="C31" s="1">
        <v>1.2537375403357085</v>
      </c>
      <c r="D31" s="1">
        <v>0.79429177069687773</v>
      </c>
      <c r="E31" s="19">
        <v>1.0978442594959358E-3</v>
      </c>
      <c r="F31" s="19">
        <v>1.10008E-3</v>
      </c>
      <c r="G31" s="1">
        <v>0.99817193252201886</v>
      </c>
      <c r="H31" s="1">
        <f t="shared" si="0"/>
        <v>-8.6941139974353963E-6</v>
      </c>
      <c r="I31" s="20">
        <f>E31-N31</f>
        <v>-3.1356213449223753E-6</v>
      </c>
      <c r="K31" s="1">
        <v>0.99996716527956009</v>
      </c>
      <c r="L31" s="1">
        <v>1.2549898421113961</v>
      </c>
      <c r="M31" s="1">
        <v>0.7935094757950919</v>
      </c>
      <c r="N31" s="19">
        <v>1.1009798808408581E-3</v>
      </c>
      <c r="O31" s="19">
        <v>1.0999679780000001E-3</v>
      </c>
      <c r="P31" s="1">
        <v>0.9981667160536204</v>
      </c>
    </row>
    <row r="32" spans="1:16" x14ac:dyDescent="0.2">
      <c r="A32" s="1">
        <v>21</v>
      </c>
      <c r="B32" s="1">
        <v>0.99996062880779968</v>
      </c>
      <c r="C32" s="1">
        <v>1.270165897632703</v>
      </c>
      <c r="D32" s="1">
        <v>0.78382978942831993</v>
      </c>
      <c r="E32" s="19">
        <v>1.0979872637092115E-3</v>
      </c>
      <c r="F32" s="19">
        <v>1.1000999999999999E-3</v>
      </c>
      <c r="G32" s="1">
        <v>0.9980803671450007</v>
      </c>
      <c r="H32" s="1">
        <f t="shared" si="0"/>
        <v>-8.6857457668731985E-6</v>
      </c>
      <c r="I32" s="20">
        <f>E32-N32</f>
        <v>-2.841623809384311E-6</v>
      </c>
      <c r="K32" s="1">
        <v>0.99999366848759641</v>
      </c>
      <c r="L32" s="1">
        <v>1.2846700391496342</v>
      </c>
      <c r="M32" s="1">
        <v>0.77503202773537694</v>
      </c>
      <c r="N32" s="19">
        <v>1.1008288875185958E-3</v>
      </c>
      <c r="O32" s="19">
        <v>1.099941026E-3</v>
      </c>
      <c r="P32" s="1">
        <v>0.99807540386170535</v>
      </c>
    </row>
    <row r="33" spans="1:16" x14ac:dyDescent="0.2">
      <c r="A33" s="1">
        <v>22</v>
      </c>
      <c r="B33" s="1">
        <v>0.99996568786671758</v>
      </c>
      <c r="C33" s="1">
        <v>1.3051891618303266</v>
      </c>
      <c r="D33" s="1">
        <v>0.76269602589340801</v>
      </c>
      <c r="E33" s="19">
        <v>1.0979753387671313E-3</v>
      </c>
      <c r="F33" s="19">
        <v>1.1001400000000001E-3</v>
      </c>
      <c r="G33" s="1">
        <v>0.99798906984702174</v>
      </c>
      <c r="H33" s="1">
        <f t="shared" si="0"/>
        <v>-1.027448415180654E-5</v>
      </c>
      <c r="I33" s="20">
        <f>E33-N33</f>
        <v>-3.0630394593504813E-6</v>
      </c>
      <c r="K33" s="1">
        <v>1.000018469855025</v>
      </c>
      <c r="L33" s="1">
        <v>1.3269895572027413</v>
      </c>
      <c r="M33" s="1">
        <v>0.75013419974282158</v>
      </c>
      <c r="N33" s="19">
        <v>1.1010383782264817E-3</v>
      </c>
      <c r="O33" s="19">
        <v>1.0999669279999999E-3</v>
      </c>
      <c r="P33" s="1">
        <v>0.99798346558293893</v>
      </c>
    </row>
    <row r="34" spans="1:16" x14ac:dyDescent="0.2">
      <c r="A34" s="1">
        <v>23</v>
      </c>
      <c r="B34" s="1">
        <v>0.99995980274176777</v>
      </c>
      <c r="C34" s="1">
        <v>1.2935125329059358</v>
      </c>
      <c r="D34" s="1">
        <v>0.76939578165104616</v>
      </c>
      <c r="E34" s="19">
        <v>1.0979895150498005E-3</v>
      </c>
      <c r="F34" s="19">
        <v>1.1002200000000001E-3</v>
      </c>
      <c r="G34" s="1">
        <v>0.99789773296140505</v>
      </c>
      <c r="H34" s="1">
        <f t="shared" si="0"/>
        <v>-1.1931815319730458E-5</v>
      </c>
      <c r="I34" s="20">
        <f>E34-N34</f>
        <v>-3.2548326321284529E-6</v>
      </c>
      <c r="K34" s="1">
        <v>1.0000365678887131</v>
      </c>
      <c r="L34" s="1">
        <v>1.3696096702026903</v>
      </c>
      <c r="M34" s="1">
        <v>0.72664455635499337</v>
      </c>
      <c r="N34" s="19">
        <v>1.101244347681929E-3</v>
      </c>
      <c r="O34" s="19">
        <v>1.1000397680000001E-3</v>
      </c>
      <c r="P34" s="1">
        <v>0.99789150766645562</v>
      </c>
    </row>
    <row r="35" spans="1:16" x14ac:dyDescent="0.2">
      <c r="A35" s="1">
        <v>24</v>
      </c>
      <c r="B35" s="1">
        <v>0.9999627242753808</v>
      </c>
      <c r="C35" s="1">
        <v>1.290132543236332</v>
      </c>
      <c r="D35" s="1">
        <v>0.77124024248822864</v>
      </c>
      <c r="E35" s="19">
        <v>1.0977610103916444E-3</v>
      </c>
      <c r="F35" s="19">
        <v>1.1003E-3</v>
      </c>
      <c r="G35" s="1">
        <v>0.9978068863748043</v>
      </c>
      <c r="H35" s="1">
        <f t="shared" si="0"/>
        <v>-1.5760101571116181E-5</v>
      </c>
      <c r="I35" s="20">
        <f>E35-N35</f>
        <v>-3.9487009005280838E-6</v>
      </c>
      <c r="K35" s="1">
        <v>1.000041620608868</v>
      </c>
      <c r="L35" s="1">
        <v>1.3930691978025622</v>
      </c>
      <c r="M35" s="1">
        <v>0.71428967336743343</v>
      </c>
      <c r="N35" s="19">
        <v>1.1017097112921725E-3</v>
      </c>
      <c r="O35" s="19">
        <v>1.1001536310000001E-3</v>
      </c>
      <c r="P35" s="1">
        <v>0.99779900632401874</v>
      </c>
    </row>
    <row r="36" spans="1:16" x14ac:dyDescent="0.2">
      <c r="A36" s="1">
        <v>25</v>
      </c>
      <c r="B36" s="1">
        <v>0.99999359849789871</v>
      </c>
      <c r="C36" s="1">
        <v>1.3222943504557261</v>
      </c>
      <c r="D36" s="1">
        <v>0.75231694495349521</v>
      </c>
      <c r="E36" s="19">
        <v>1.0978402721323914E-3</v>
      </c>
      <c r="F36" s="19">
        <v>1.1004000000000001E-3</v>
      </c>
      <c r="G36" s="1">
        <v>0.99771544634042808</v>
      </c>
      <c r="H36" s="1">
        <f t="shared" si="0"/>
        <v>-1.7777911719372524E-5</v>
      </c>
      <c r="I36" s="20">
        <f>E36-N36</f>
        <v>-4.1054274460866798E-6</v>
      </c>
      <c r="K36" s="1">
        <v>1.0000869252764348</v>
      </c>
      <c r="L36" s="1">
        <v>1.4242632262074346</v>
      </c>
      <c r="M36" s="1">
        <v>0.6985006832353392</v>
      </c>
      <c r="N36" s="19">
        <v>1.1019456995784781E-3</v>
      </c>
      <c r="O36" s="19">
        <v>1.100302603E-3</v>
      </c>
      <c r="P36" s="1">
        <v>0.99770691294280278</v>
      </c>
    </row>
    <row r="37" spans="1:16" x14ac:dyDescent="0.2">
      <c r="A37" s="1">
        <v>26</v>
      </c>
      <c r="B37" s="1">
        <v>0.9999668570017004</v>
      </c>
      <c r="C37" s="1">
        <v>1.316897416226162</v>
      </c>
      <c r="D37" s="1">
        <v>0.75528293844866456</v>
      </c>
      <c r="E37" s="19">
        <v>1.0975883863859094E-3</v>
      </c>
      <c r="F37" s="19">
        <v>1.1004999999999999E-3</v>
      </c>
      <c r="G37" s="1">
        <v>0.99762471728853963</v>
      </c>
      <c r="H37" s="1">
        <f t="shared" si="0"/>
        <v>-2.1448392517812536E-5</v>
      </c>
      <c r="I37" s="20">
        <f>E37-N37</f>
        <v>-4.5797893096547436E-6</v>
      </c>
      <c r="K37" s="1">
        <v>1.0000670638768181</v>
      </c>
      <c r="L37" s="1">
        <v>1.4079402019243434</v>
      </c>
      <c r="M37" s="1">
        <v>0.70642640048620109</v>
      </c>
      <c r="N37" s="19">
        <v>1.1021681756955642E-3</v>
      </c>
      <c r="O37" s="19">
        <v>1.100479471E-3</v>
      </c>
      <c r="P37" s="1">
        <v>0.99761481803045449</v>
      </c>
    </row>
    <row r="38" spans="1:16" x14ac:dyDescent="0.2">
      <c r="A38" s="1">
        <v>27</v>
      </c>
      <c r="B38" s="1">
        <v>0.99995663093432852</v>
      </c>
      <c r="C38" s="1">
        <v>1.3553070771111886</v>
      </c>
      <c r="D38" s="1">
        <v>0.73370961950903024</v>
      </c>
      <c r="E38" s="19">
        <v>1.0978023233570709E-3</v>
      </c>
      <c r="F38" s="19">
        <v>1.10059E-3</v>
      </c>
      <c r="G38" s="1">
        <v>0.99753299284870478</v>
      </c>
      <c r="H38" s="1">
        <f t="shared" si="0"/>
        <v>-2.485980941027699E-5</v>
      </c>
      <c r="I38" s="20">
        <f>E38-N38</f>
        <v>-4.9227512945533482E-6</v>
      </c>
      <c r="K38" s="1">
        <v>1.0000813882561319</v>
      </c>
      <c r="L38" s="1">
        <v>1.4120761013319771</v>
      </c>
      <c r="M38" s="1">
        <v>0.7042133060596788</v>
      </c>
      <c r="N38" s="19">
        <v>1.1027250746516242E-3</v>
      </c>
      <c r="O38" s="19">
        <v>1.100671835E-3</v>
      </c>
      <c r="P38" s="1">
        <v>0.99752194404452244</v>
      </c>
    </row>
    <row r="39" spans="1:16" x14ac:dyDescent="0.2">
      <c r="A39" s="1">
        <v>28</v>
      </c>
      <c r="B39" s="1">
        <v>0.99995106265978395</v>
      </c>
      <c r="C39" s="1">
        <v>1.3411205059547469</v>
      </c>
      <c r="D39" s="1">
        <v>0.74130842225114568</v>
      </c>
      <c r="E39" s="19">
        <v>1.097573559045563E-3</v>
      </c>
      <c r="F39" s="19">
        <v>1.1006799999999999E-3</v>
      </c>
      <c r="G39" s="1">
        <v>0.99744227160441912</v>
      </c>
      <c r="H39" s="1">
        <f t="shared" si="0"/>
        <v>-2.8452885259618494E-5</v>
      </c>
      <c r="I39" s="20">
        <f>E39-N39</f>
        <v>-5.2394732445999563E-6</v>
      </c>
      <c r="K39" s="1">
        <v>1.0000974921314074</v>
      </c>
      <c r="L39" s="1">
        <v>1.4025700291079497</v>
      </c>
      <c r="M39" s="1">
        <v>0.70884324662010867</v>
      </c>
      <c r="N39" s="19">
        <v>1.102813032290163E-3</v>
      </c>
      <c r="O39" s="19">
        <v>1.1008659970000001E-3</v>
      </c>
      <c r="P39" s="1">
        <v>0.99743007751073642</v>
      </c>
    </row>
    <row r="40" spans="1:16" x14ac:dyDescent="0.2">
      <c r="A40" s="1">
        <v>29</v>
      </c>
      <c r="B40" s="1">
        <v>0.99994479584998042</v>
      </c>
      <c r="C40" s="1">
        <v>1.3455857909013698</v>
      </c>
      <c r="D40" s="1">
        <v>0.73871783914196776</v>
      </c>
      <c r="E40" s="19">
        <v>1.0975941391839388E-3</v>
      </c>
      <c r="F40" s="19">
        <v>1.1007499999999999E-3</v>
      </c>
      <c r="G40" s="1">
        <v>0.99735099565088181</v>
      </c>
      <c r="H40" s="1">
        <f t="shared" si="0"/>
        <v>-3.1063167542459226E-5</v>
      </c>
      <c r="I40" s="20">
        <f>E40-N40</f>
        <v>-5.3329438173945008E-6</v>
      </c>
      <c r="K40" s="1">
        <v>1.0000696712828341</v>
      </c>
      <c r="L40" s="1">
        <v>1.4212220338529313</v>
      </c>
      <c r="M40" s="1">
        <v>0.69936069358635911</v>
      </c>
      <c r="N40" s="19">
        <v>1.1029270830013333E-3</v>
      </c>
      <c r="O40" s="19">
        <v>1.1010482569999999E-3</v>
      </c>
      <c r="P40" s="1">
        <v>0.99733814192638148</v>
      </c>
    </row>
    <row r="41" spans="1:16" x14ac:dyDescent="0.2">
      <c r="A41" s="1">
        <v>30</v>
      </c>
      <c r="B41" s="1">
        <v>0.99999012048034241</v>
      </c>
      <c r="C41" s="1">
        <v>1.3419398498883033</v>
      </c>
      <c r="D41" s="1">
        <v>0.74054099301831744</v>
      </c>
      <c r="E41" s="19">
        <v>1.0972981487541583E-3</v>
      </c>
      <c r="F41" s="19">
        <v>1.10081E-3</v>
      </c>
      <c r="G41" s="1">
        <v>0.99726051388739057</v>
      </c>
      <c r="H41" s="1">
        <f t="shared" si="0"/>
        <v>-3.6185257993592845E-5</v>
      </c>
      <c r="I41" s="20">
        <f>E41-N41</f>
        <v>-5.8055876210774508E-6</v>
      </c>
      <c r="K41" s="1">
        <v>1.0001013297151615</v>
      </c>
      <c r="L41" s="1">
        <v>1.3835509628953213</v>
      </c>
      <c r="M41" s="1">
        <v>0.71826578949891373</v>
      </c>
      <c r="N41" s="19">
        <v>1.1031037363752358E-3</v>
      </c>
      <c r="O41" s="19">
        <v>1.101204918E-3</v>
      </c>
      <c r="P41" s="1">
        <v>0.99724603978419313</v>
      </c>
    </row>
    <row r="42" spans="1:16" x14ac:dyDescent="0.2">
      <c r="A42" s="1">
        <v>31</v>
      </c>
      <c r="B42" s="1">
        <v>0.99998464025141043</v>
      </c>
      <c r="C42" s="1">
        <v>1.3640536697036076</v>
      </c>
      <c r="D42" s="1">
        <v>0.7284017405547607</v>
      </c>
      <c r="E42" s="19">
        <v>1.0970272514086491E-3</v>
      </c>
      <c r="F42" s="19">
        <v>1.1008400000000001E-3</v>
      </c>
      <c r="G42" s="1">
        <v>0.99717002488437301</v>
      </c>
      <c r="H42" s="1">
        <f t="shared" si="0"/>
        <v>-4.4049761482450878E-5</v>
      </c>
      <c r="I42" s="20">
        <f>E42-N42</f>
        <v>-6.6193777188466776E-6</v>
      </c>
      <c r="K42" s="1">
        <v>1.0001247702300633</v>
      </c>
      <c r="L42" s="1">
        <v>1.3817846707477035</v>
      </c>
      <c r="M42" s="1">
        <v>0.71906462986166042</v>
      </c>
      <c r="N42" s="19">
        <v>1.1036466291274958E-3</v>
      </c>
      <c r="O42" s="19">
        <v>1.101322281E-3</v>
      </c>
      <c r="P42" s="1">
        <v>0.99715297336379916</v>
      </c>
    </row>
    <row r="43" spans="1:16" x14ac:dyDescent="0.2">
      <c r="A43" s="1">
        <v>32</v>
      </c>
      <c r="B43" s="1">
        <v>0.99999685986330678</v>
      </c>
      <c r="C43" s="1">
        <v>1.3694550490787949</v>
      </c>
      <c r="D43" s="1">
        <v>0.72535966268070418</v>
      </c>
      <c r="E43" s="19">
        <v>1.0970506324121288E-3</v>
      </c>
      <c r="F43" s="19">
        <v>1.1008299999999999E-3</v>
      </c>
      <c r="G43" s="1">
        <v>0.99707880665962256</v>
      </c>
      <c r="H43" s="1">
        <f t="shared" si="0"/>
        <v>-4.5714875936890088E-5</v>
      </c>
      <c r="I43" s="20">
        <f>E43-N43</f>
        <v>-6.4475442173913405E-6</v>
      </c>
      <c r="K43" s="1">
        <v>1.0000975865616202</v>
      </c>
      <c r="L43" s="1">
        <v>1.3952397857692909</v>
      </c>
      <c r="M43" s="1">
        <v>0.71193472425989202</v>
      </c>
      <c r="N43" s="19">
        <v>1.1034981766295201E-3</v>
      </c>
      <c r="O43" s="19">
        <v>1.1013860360000001E-3</v>
      </c>
      <c r="P43" s="1">
        <v>0.99706166358114623</v>
      </c>
    </row>
    <row r="44" spans="1:16" x14ac:dyDescent="0.2">
      <c r="A44" s="1">
        <v>33</v>
      </c>
      <c r="B44" s="1">
        <v>1.0000049854826221</v>
      </c>
      <c r="C44" s="1">
        <v>1.4070276902266714</v>
      </c>
      <c r="D44" s="1">
        <v>0.70586145728332383</v>
      </c>
      <c r="E44" s="19">
        <v>1.0966215719219166E-3</v>
      </c>
      <c r="F44" s="19">
        <v>1.1007899999999999E-3</v>
      </c>
      <c r="G44" s="1">
        <v>0.9969888333609559</v>
      </c>
      <c r="H44" s="1">
        <f t="shared" si="0"/>
        <v>-5.2397171510759621E-5</v>
      </c>
      <c r="I44" s="20">
        <f>E44-N44</f>
        <v>-6.9495440467570984E-6</v>
      </c>
      <c r="K44" s="1">
        <v>1.0001236726953349</v>
      </c>
      <c r="L44" s="1">
        <v>1.4074276137264259</v>
      </c>
      <c r="M44" s="1">
        <v>0.70562761676981312</v>
      </c>
      <c r="N44" s="19">
        <v>1.1035711159686737E-3</v>
      </c>
      <c r="O44" s="19">
        <v>1.10137943E-3</v>
      </c>
      <c r="P44" s="1">
        <v>0.99696977984404289</v>
      </c>
    </row>
    <row r="45" spans="1:16" x14ac:dyDescent="0.2">
      <c r="A45" s="1">
        <v>34</v>
      </c>
      <c r="B45" s="1">
        <v>0.99995913803976255</v>
      </c>
      <c r="C45" s="1">
        <v>1.449110599969534</v>
      </c>
      <c r="D45" s="1">
        <v>0.68520132016334701</v>
      </c>
      <c r="E45" s="19">
        <v>1.0966637309161018E-3</v>
      </c>
      <c r="F45" s="19">
        <v>1.1006900000000001E-3</v>
      </c>
      <c r="G45" s="1">
        <v>0.99689760848883247</v>
      </c>
      <c r="H45" s="1">
        <f t="shared" si="0"/>
        <v>-5.4009007864748902E-5</v>
      </c>
      <c r="I45" s="20">
        <f>E45-N45</f>
        <v>-6.7487673267555177E-6</v>
      </c>
      <c r="K45" s="1">
        <v>1.000137721937989</v>
      </c>
      <c r="L45" s="1">
        <v>1.3879391664390048</v>
      </c>
      <c r="M45" s="1">
        <v>0.71541835204045445</v>
      </c>
      <c r="N45" s="19">
        <v>1.1034124982428574E-3</v>
      </c>
      <c r="O45" s="19">
        <v>1.1012850990000001E-3</v>
      </c>
      <c r="P45" s="1">
        <v>0.99687854648605667</v>
      </c>
    </row>
    <row r="46" spans="1:16" x14ac:dyDescent="0.2">
      <c r="A46" s="1">
        <v>35</v>
      </c>
      <c r="B46" s="1">
        <v>0.99997145968836743</v>
      </c>
      <c r="C46" s="1">
        <v>1.4575565142073774</v>
      </c>
      <c r="D46" s="1">
        <v>0.68111726479396284</v>
      </c>
      <c r="E46" s="19">
        <v>1.0962044177911516E-3</v>
      </c>
      <c r="F46" s="19">
        <v>1.10053E-3</v>
      </c>
      <c r="G46" s="1">
        <v>0.99680784291677449</v>
      </c>
      <c r="H46" s="1">
        <f t="shared" si="0"/>
        <v>-6.0285571739186285E-5</v>
      </c>
      <c r="I46" s="20">
        <f>E46-N46</f>
        <v>-7.1093982633898666E-6</v>
      </c>
      <c r="K46" s="1">
        <v>1.0001553918909201</v>
      </c>
      <c r="L46" s="1">
        <v>1.3984891047932262</v>
      </c>
      <c r="M46" s="1">
        <v>0.70986466050189301</v>
      </c>
      <c r="N46" s="19">
        <v>1.1033138160545415E-3</v>
      </c>
      <c r="O46" s="19">
        <v>1.101085677E-3</v>
      </c>
      <c r="P46" s="1">
        <v>0.99678717357789248</v>
      </c>
    </row>
    <row r="47" spans="1:16" x14ac:dyDescent="0.2">
      <c r="A47" s="1">
        <v>36</v>
      </c>
      <c r="B47" s="1">
        <v>0.99998995791655065</v>
      </c>
      <c r="C47" s="1">
        <v>1.4851821905740901</v>
      </c>
      <c r="D47" s="1">
        <v>0.66827256032564597</v>
      </c>
      <c r="E47" s="19">
        <v>1.0959259257025172E-3</v>
      </c>
      <c r="F47" s="19">
        <v>1.1003E-3</v>
      </c>
      <c r="G47" s="1">
        <v>0.99671762104591743</v>
      </c>
      <c r="H47" s="1">
        <f t="shared" si="0"/>
        <v>-6.2367946403019126E-5</v>
      </c>
      <c r="I47" s="20">
        <f>E47-N47</f>
        <v>-6.9526653758904093E-6</v>
      </c>
      <c r="K47" s="1">
        <v>1.0002025806972448</v>
      </c>
      <c r="L47" s="1">
        <v>1.3994444338245871</v>
      </c>
      <c r="M47" s="1">
        <v>0.70920977697733012</v>
      </c>
      <c r="N47" s="19">
        <v>1.1028785910784076E-3</v>
      </c>
      <c r="O47" s="19">
        <v>1.1007637990000001E-3</v>
      </c>
      <c r="P47" s="1">
        <v>0.99669683173044976</v>
      </c>
    </row>
    <row r="48" spans="1:16" x14ac:dyDescent="0.2">
      <c r="A48" s="1">
        <v>37</v>
      </c>
      <c r="B48" s="1">
        <v>1.0000297004506578</v>
      </c>
      <c r="C48" s="1">
        <v>1.466478466275444</v>
      </c>
      <c r="D48" s="1">
        <v>0.67665922299558579</v>
      </c>
      <c r="E48" s="19">
        <v>1.0955119492827839E-3</v>
      </c>
      <c r="F48" s="19">
        <v>1.1000000000000001E-3</v>
      </c>
      <c r="G48" s="1">
        <v>0.99662786993450514</v>
      </c>
      <c r="H48" s="1">
        <f t="shared" si="0"/>
        <v>-6.5721054874947241E-5</v>
      </c>
      <c r="I48" s="20">
        <f>E48-N48</f>
        <v>-6.9364168732890651E-6</v>
      </c>
      <c r="K48" s="1">
        <v>1.0002216607391357</v>
      </c>
      <c r="L48" s="1">
        <v>1.4166761010043236</v>
      </c>
      <c r="M48" s="1">
        <v>0.70042125722542337</v>
      </c>
      <c r="N48" s="19">
        <v>1.1024483661560729E-3</v>
      </c>
      <c r="O48" s="19">
        <v>1.1003021010000001E-3</v>
      </c>
      <c r="P48" s="1">
        <v>0.99660655499778894</v>
      </c>
    </row>
    <row r="49" spans="1:16" x14ac:dyDescent="0.2">
      <c r="A49" s="1">
        <v>38</v>
      </c>
      <c r="B49" s="1">
        <v>0.99999048941397273</v>
      </c>
      <c r="C49" s="1">
        <v>1.4743758286397639</v>
      </c>
      <c r="D49" s="1">
        <v>0.67292180720173922</v>
      </c>
      <c r="E49" s="19">
        <v>1.0949923971445338E-3</v>
      </c>
      <c r="F49" s="19">
        <v>1.09965E-3</v>
      </c>
      <c r="G49" s="1">
        <v>0.99653852882790217</v>
      </c>
      <c r="H49" s="1">
        <f t="shared" si="0"/>
        <v>-6.6828697832495745E-5</v>
      </c>
      <c r="I49" s="20">
        <f>E49-N49</f>
        <v>-6.687577100824172E-6</v>
      </c>
      <c r="K49" s="1">
        <v>1.000209367683659</v>
      </c>
      <c r="L49" s="1">
        <v>1.4387185382953982</v>
      </c>
      <c r="M49" s="1">
        <v>0.68958292955571765</v>
      </c>
      <c r="N49" s="19">
        <v>1.1016799742453579E-3</v>
      </c>
      <c r="O49" s="19">
        <v>1.0996903359999999E-3</v>
      </c>
      <c r="P49" s="1">
        <v>0.99651742502858665</v>
      </c>
    </row>
    <row r="50" spans="1:16" x14ac:dyDescent="0.2">
      <c r="A50" s="1">
        <v>39</v>
      </c>
      <c r="B50" s="1">
        <v>0.99999358030225316</v>
      </c>
      <c r="C50" s="1">
        <v>1.4984624502013304</v>
      </c>
      <c r="D50" s="1">
        <v>0.6619596497810003</v>
      </c>
      <c r="E50" s="19">
        <v>1.094332970179275E-3</v>
      </c>
      <c r="F50" s="19">
        <v>1.0992899999999999E-3</v>
      </c>
      <c r="G50" s="1">
        <v>0.99644973499385336</v>
      </c>
      <c r="H50" s="1">
        <f t="shared" si="0"/>
        <v>-7.1841748156914464E-5</v>
      </c>
      <c r="I50" s="20">
        <f>E50-N50</f>
        <v>-6.8258948037851208E-6</v>
      </c>
      <c r="K50" s="1">
        <v>1.0001900876078789</v>
      </c>
      <c r="L50" s="1">
        <v>1.4099847989302547</v>
      </c>
      <c r="M50" s="1">
        <v>0.70346443457510122</v>
      </c>
      <c r="N50" s="19">
        <v>1.1011588649830601E-3</v>
      </c>
      <c r="O50" s="19">
        <v>1.0989467310000001E-3</v>
      </c>
      <c r="P50" s="1">
        <v>0.99642762984057431</v>
      </c>
    </row>
    <row r="51" spans="1:16" x14ac:dyDescent="0.2">
      <c r="A51" s="1">
        <v>40</v>
      </c>
      <c r="B51" s="1">
        <v>1.0000264127375411</v>
      </c>
      <c r="C51" s="1">
        <v>1.5240335184983467</v>
      </c>
      <c r="D51" s="1">
        <v>0.65071644394535233</v>
      </c>
      <c r="E51" s="19">
        <v>1.0939757618444741E-3</v>
      </c>
      <c r="F51" s="19">
        <v>1.0989400000000001E-3</v>
      </c>
      <c r="G51" s="1">
        <v>0.99636005484701162</v>
      </c>
      <c r="H51" s="1">
        <f t="shared" si="0"/>
        <v>-6.8784605867418705E-5</v>
      </c>
      <c r="I51" s="20">
        <f>E51-N51</f>
        <v>-6.2132946870229692E-6</v>
      </c>
      <c r="K51" s="1">
        <v>1.0001707463023928</v>
      </c>
      <c r="L51" s="1">
        <v>1.4353271388874373</v>
      </c>
      <c r="M51" s="1">
        <v>0.69089565559434085</v>
      </c>
      <c r="N51" s="19">
        <v>1.100189056531497E-3</v>
      </c>
      <c r="O51" s="19">
        <v>1.0980966300000001E-3</v>
      </c>
      <c r="P51" s="1">
        <v>0.9963394194652514</v>
      </c>
    </row>
    <row r="52" spans="1:16" x14ac:dyDescent="0.2">
      <c r="A52" s="1">
        <v>41</v>
      </c>
      <c r="B52" s="1">
        <v>1.0000295784952622</v>
      </c>
      <c r="C52" s="1">
        <v>1.5092578395511724</v>
      </c>
      <c r="D52" s="1">
        <v>0.65693321898277468</v>
      </c>
      <c r="E52" s="19">
        <v>1.0932993572058034E-3</v>
      </c>
      <c r="F52" s="19">
        <v>1.09863E-3</v>
      </c>
      <c r="G52" s="1">
        <v>0.99627152860459123</v>
      </c>
      <c r="H52" s="1">
        <f t="shared" si="0"/>
        <v>-7.1815713534512104E-5</v>
      </c>
      <c r="I52" s="20">
        <f>E52-N52</f>
        <v>-6.1750591304151649E-6</v>
      </c>
      <c r="K52" s="1">
        <v>1.0001615222199851</v>
      </c>
      <c r="L52" s="1">
        <v>1.4245700202952534</v>
      </c>
      <c r="M52" s="1">
        <v>0.69601725544892312</v>
      </c>
      <c r="N52" s="19">
        <v>1.0994744163362186E-3</v>
      </c>
      <c r="O52" s="19">
        <v>1.097165378E-3</v>
      </c>
      <c r="P52" s="1">
        <v>0.99625050937136161</v>
      </c>
    </row>
    <row r="53" spans="1:16" x14ac:dyDescent="0.2">
      <c r="A53" s="1">
        <v>42</v>
      </c>
      <c r="B53" s="1">
        <v>1.0000539262889487</v>
      </c>
      <c r="C53" s="1">
        <v>1.4951948903989865</v>
      </c>
      <c r="D53" s="1">
        <v>0.66300513645718007</v>
      </c>
      <c r="E53" s="19">
        <v>1.0928320812820624E-3</v>
      </c>
      <c r="F53" s="19">
        <v>1.0984E-3</v>
      </c>
      <c r="G53" s="1">
        <v>0.99618239337503434</v>
      </c>
      <c r="H53" s="1">
        <f t="shared" si="0"/>
        <v>-7.0851228414159362E-5</v>
      </c>
      <c r="I53" s="20">
        <f>E53-N53</f>
        <v>-5.8059975289329394E-6</v>
      </c>
      <c r="K53" s="1">
        <v>1.0001761851492472</v>
      </c>
      <c r="L53" s="1">
        <v>1.4178179225868401</v>
      </c>
      <c r="M53" s="1">
        <v>0.6991366587229535</v>
      </c>
      <c r="N53" s="19">
        <v>1.0986380788109954E-3</v>
      </c>
      <c r="O53" s="19">
        <v>1.096178319E-3</v>
      </c>
      <c r="P53" s="1">
        <v>0.99616215016691601</v>
      </c>
    </row>
    <row r="54" spans="1:16" x14ac:dyDescent="0.2">
      <c r="A54" s="1">
        <v>43</v>
      </c>
      <c r="B54" s="1">
        <v>1.0001019109619249</v>
      </c>
      <c r="C54" s="1">
        <v>1.4971766163868745</v>
      </c>
      <c r="D54" s="1">
        <v>0.66194489266795875</v>
      </c>
      <c r="E54" s="19">
        <v>1.0926170657619028E-3</v>
      </c>
      <c r="F54" s="19">
        <v>1.0982800000000001E-3</v>
      </c>
      <c r="G54" s="1">
        <v>0.99609244329402047</v>
      </c>
      <c r="H54" s="1">
        <f t="shared" si="0"/>
        <v>-6.5023554128527491E-5</v>
      </c>
      <c r="I54" s="20">
        <f>E54-N54</f>
        <v>-5.0839420945505021E-6</v>
      </c>
      <c r="K54" s="1">
        <v>1.0001480065373203</v>
      </c>
      <c r="L54" s="1">
        <v>1.4147106999503349</v>
      </c>
      <c r="M54" s="1">
        <v>0.70053894305953024</v>
      </c>
      <c r="N54" s="19">
        <v>1.0977010078564533E-3</v>
      </c>
      <c r="O54" s="19">
        <v>1.095160799E-3</v>
      </c>
      <c r="P54" s="1">
        <v>0.99607429718589158</v>
      </c>
    </row>
    <row r="55" spans="1:16" x14ac:dyDescent="0.2">
      <c r="A55" s="1">
        <v>44</v>
      </c>
      <c r="B55" s="1">
        <v>1.0000929073945906</v>
      </c>
      <c r="C55" s="1">
        <v>1.498884869652068</v>
      </c>
      <c r="D55" s="1">
        <v>0.66107435039195273</v>
      </c>
      <c r="E55" s="19">
        <v>1.0922148828396783E-3</v>
      </c>
      <c r="F55" s="19">
        <v>1.09829E-3</v>
      </c>
      <c r="G55" s="1">
        <v>0.99600322056502499</v>
      </c>
      <c r="H55" s="1">
        <f t="shared" si="0"/>
        <v>-6.25982362448078E-5</v>
      </c>
      <c r="I55" s="20">
        <f>E55-N55</f>
        <v>-4.6747911726333514E-6</v>
      </c>
      <c r="K55" s="1">
        <v>1.0001658729163752</v>
      </c>
      <c r="L55" s="1">
        <v>1.412371554388556</v>
      </c>
      <c r="M55" s="1">
        <v>0.70158506374106577</v>
      </c>
      <c r="N55" s="19">
        <v>1.0968896740123117E-3</v>
      </c>
      <c r="O55" s="19">
        <v>1.0941381210000001E-3</v>
      </c>
      <c r="P55" s="1">
        <v>0.99598614831877641</v>
      </c>
    </row>
    <row r="56" spans="1:16" x14ac:dyDescent="0.2">
      <c r="A56" s="1">
        <v>45</v>
      </c>
      <c r="B56" s="1">
        <v>1.0001052876743393</v>
      </c>
      <c r="C56" s="1">
        <v>1.5201903074641807</v>
      </c>
      <c r="D56" s="1">
        <v>0.65167512600223598</v>
      </c>
      <c r="E56" s="19">
        <v>1.092465004103896E-3</v>
      </c>
      <c r="F56" s="19">
        <v>1.0984600000000001E-3</v>
      </c>
      <c r="G56" s="1">
        <v>0.99591163644159064</v>
      </c>
      <c r="H56" s="1">
        <f t="shared" si="0"/>
        <v>-5.1194039636659472E-5</v>
      </c>
      <c r="I56" s="20">
        <f>E56-N56</f>
        <v>-3.6554347385910242E-6</v>
      </c>
      <c r="K56" s="1">
        <v>1.0001822673629808</v>
      </c>
      <c r="L56" s="1">
        <v>1.4267938225571573</v>
      </c>
      <c r="M56" s="1">
        <v>0.69433343698817784</v>
      </c>
      <c r="N56" s="19">
        <v>1.096120438842487E-3</v>
      </c>
      <c r="O56" s="19">
        <v>1.0931354229999999E-3</v>
      </c>
      <c r="P56" s="1">
        <v>0.99589798469768753</v>
      </c>
    </row>
    <row r="57" spans="1:16" x14ac:dyDescent="0.2">
      <c r="A57" s="1">
        <v>46</v>
      </c>
      <c r="B57" s="1">
        <v>1.0000670153838416</v>
      </c>
      <c r="C57" s="1">
        <v>1.5049464489807722</v>
      </c>
      <c r="D57" s="1">
        <v>0.6581603045692358</v>
      </c>
      <c r="E57" s="19">
        <v>1.0923096591082255E-3</v>
      </c>
      <c r="F57" s="19">
        <v>1.09884E-3</v>
      </c>
      <c r="G57" s="1">
        <v>0.99582156701847946</v>
      </c>
      <c r="H57" s="1">
        <f t="shared" si="0"/>
        <v>-4.5891707902238434E-5</v>
      </c>
      <c r="I57" s="20">
        <f>E57-N57</f>
        <v>-3.1361883136085678E-6</v>
      </c>
      <c r="K57" s="1">
        <v>1.0001742871308144</v>
      </c>
      <c r="L57" s="1">
        <v>1.4168655810934012</v>
      </c>
      <c r="M57" s="1">
        <v>0.69906841227026839</v>
      </c>
      <c r="N57" s="19">
        <v>1.0954458474218341E-3</v>
      </c>
      <c r="O57" s="19">
        <v>1.092177803E-3</v>
      </c>
      <c r="P57" s="1">
        <v>0.99580959526859192</v>
      </c>
    </row>
    <row r="58" spans="1:16" x14ac:dyDescent="0.2">
      <c r="A58" s="1">
        <v>47</v>
      </c>
      <c r="B58" s="1">
        <v>1.0000781108750674</v>
      </c>
      <c r="C58" s="1">
        <v>1.503893789282909</v>
      </c>
      <c r="D58" s="1">
        <v>0.65845548943600352</v>
      </c>
      <c r="E58" s="19">
        <v>1.0928709108177139E-3</v>
      </c>
      <c r="F58" s="19">
        <v>1.0994399999999999E-3</v>
      </c>
      <c r="G58" s="1">
        <v>0.99572873683516794</v>
      </c>
      <c r="H58" s="1">
        <f t="shared" si="0"/>
        <v>-3.1244724412543556E-5</v>
      </c>
      <c r="I58" s="20">
        <f>E58-N58</f>
        <v>-2.0455220869773812E-6</v>
      </c>
      <c r="K58" s="1">
        <v>1.0001227247642233</v>
      </c>
      <c r="L58" s="1">
        <v>1.4342939757014632</v>
      </c>
      <c r="M58" s="1">
        <v>0.69041895205387227</v>
      </c>
      <c r="N58" s="19">
        <v>1.0949164329046913E-3</v>
      </c>
      <c r="O58" s="19">
        <v>1.0912903580000001E-3</v>
      </c>
      <c r="P58" s="1">
        <v>0.99572075945872218</v>
      </c>
    </row>
    <row r="59" spans="1:16" x14ac:dyDescent="0.2">
      <c r="A59" s="1">
        <v>48</v>
      </c>
      <c r="B59" s="1">
        <v>1.0000745888534854</v>
      </c>
      <c r="C59" s="1">
        <v>1.4933063621044649</v>
      </c>
      <c r="D59" s="1">
        <v>0.6630079992744462</v>
      </c>
      <c r="E59" s="19">
        <v>1.093541194652459E-3</v>
      </c>
      <c r="F59" s="19">
        <v>1.1003E-3</v>
      </c>
      <c r="G59" s="1">
        <v>0.99563538794667161</v>
      </c>
      <c r="H59" s="1">
        <f t="shared" si="0"/>
        <v>-1.3803756863328687E-5</v>
      </c>
      <c r="I59" s="20">
        <f>E59-N59</f>
        <v>-8.6651831539361762E-7</v>
      </c>
      <c r="K59" s="1">
        <v>1.0001026970288016</v>
      </c>
      <c r="L59" s="1">
        <v>1.4368212666486324</v>
      </c>
      <c r="M59" s="1">
        <v>0.68905574715940299</v>
      </c>
      <c r="N59" s="19">
        <v>1.0944077129678527E-3</v>
      </c>
      <c r="O59" s="19">
        <v>1.090498186E-3</v>
      </c>
      <c r="P59" s="1">
        <v>0.99563193700745578</v>
      </c>
    </row>
    <row r="60" spans="1:16" x14ac:dyDescent="0.2">
      <c r="A60" s="1">
        <v>49</v>
      </c>
      <c r="B60" s="1">
        <v>1.0000519340188798</v>
      </c>
      <c r="C60" s="1">
        <v>1.5101970027096063</v>
      </c>
      <c r="D60" s="1">
        <v>0.65542459559136579</v>
      </c>
      <c r="E60" s="19">
        <v>1.0946104303447969E-3</v>
      </c>
      <c r="F60" s="19">
        <v>1.10143E-3</v>
      </c>
      <c r="G60" s="1">
        <v>0.995540314803945</v>
      </c>
      <c r="H60" s="1">
        <f t="shared" si="0"/>
        <v>9.0983138225734592E-6</v>
      </c>
      <c r="I60" s="20">
        <f>E60-N60</f>
        <v>5.4811527718705635E-7</v>
      </c>
      <c r="K60" s="1">
        <v>1.000121459290469</v>
      </c>
      <c r="L60" s="1">
        <v>1.4515607767524508</v>
      </c>
      <c r="M60" s="1">
        <v>0.68188944306961241</v>
      </c>
      <c r="N60" s="19">
        <v>1.0940623150676098E-3</v>
      </c>
      <c r="O60" s="19">
        <v>1.0898263830000001E-3</v>
      </c>
      <c r="P60" s="1">
        <v>0.99554254296243216</v>
      </c>
    </row>
    <row r="61" spans="1:16" x14ac:dyDescent="0.2">
      <c r="A61" s="1">
        <v>50</v>
      </c>
      <c r="B61" s="1">
        <v>1.0000284117883262</v>
      </c>
      <c r="C61" s="1">
        <v>1.4769253711188235</v>
      </c>
      <c r="D61" s="1">
        <v>0.67004993982908501</v>
      </c>
      <c r="E61" s="19">
        <v>1.0957484774758749E-3</v>
      </c>
      <c r="F61" s="19">
        <v>1.1027299999999999E-3</v>
      </c>
      <c r="G61" s="1">
        <v>0.99544478793717117</v>
      </c>
      <c r="H61" s="1">
        <f t="shared" si="0"/>
        <v>3.1053664808119073E-5</v>
      </c>
      <c r="I61" s="20">
        <f>E61-N61</f>
        <v>1.7968695187368326E-6</v>
      </c>
      <c r="K61" s="1">
        <v>1.0000681277399432</v>
      </c>
      <c r="L61" s="1">
        <v>1.4623135769440225</v>
      </c>
      <c r="M61" s="1">
        <v>0.67673710046789082</v>
      </c>
      <c r="N61" s="19">
        <v>1.0939516079571381E-3</v>
      </c>
      <c r="O61" s="19">
        <v>1.0893000610000001E-3</v>
      </c>
      <c r="P61" s="1">
        <v>0.99545224081672512</v>
      </c>
    </row>
    <row r="62" spans="1:16" x14ac:dyDescent="0.2">
      <c r="A62" s="1">
        <v>51</v>
      </c>
      <c r="B62" s="1">
        <v>1.0000497972329281</v>
      </c>
      <c r="C62" s="1">
        <v>1.5274892838708918</v>
      </c>
      <c r="D62" s="1">
        <v>0.64771864991251205</v>
      </c>
      <c r="E62" s="19">
        <v>1.0970169282391998E-3</v>
      </c>
      <c r="F62" s="19">
        <v>1.1040900000000001E-3</v>
      </c>
      <c r="G62" s="1">
        <v>0.99534852980660593</v>
      </c>
      <c r="H62" s="1">
        <f t="shared" si="0"/>
        <v>5.4243468763870428E-5</v>
      </c>
      <c r="I62" s="20">
        <f>E62-N62</f>
        <v>3.0171133756989269E-6</v>
      </c>
      <c r="K62" s="1">
        <v>1.0000438028525804</v>
      </c>
      <c r="L62" s="1">
        <v>1.4487171591839467</v>
      </c>
      <c r="M62" s="1">
        <v>0.68299629482848767</v>
      </c>
      <c r="N62" s="19">
        <v>1.0939998148635009E-3</v>
      </c>
      <c r="O62" s="19">
        <v>1.0889443910000001E-3</v>
      </c>
      <c r="P62" s="1">
        <v>0.99536129297572684</v>
      </c>
    </row>
    <row r="63" spans="1:16" x14ac:dyDescent="0.2">
      <c r="A63" s="1">
        <v>52</v>
      </c>
      <c r="B63" s="1">
        <v>1.0000547331351706</v>
      </c>
      <c r="C63" s="1">
        <v>1.539288270335569</v>
      </c>
      <c r="D63" s="1">
        <v>0.64263941009415526</v>
      </c>
      <c r="E63" s="19">
        <v>1.0981191076123999E-3</v>
      </c>
      <c r="F63" s="19">
        <v>1.1054000000000001E-3</v>
      </c>
      <c r="G63" s="1">
        <v>0.99525278766802605</v>
      </c>
      <c r="H63" s="1">
        <f t="shared" si="0"/>
        <v>7.0804885405636078E-5</v>
      </c>
      <c r="I63" s="20">
        <f>E63-N63</f>
        <v>3.788628844049978E-6</v>
      </c>
      <c r="K63" s="1">
        <v>1.0000027022991165</v>
      </c>
      <c r="L63" s="1">
        <v>1.436642339486333</v>
      </c>
      <c r="M63" s="1">
        <v>0.68856334877267023</v>
      </c>
      <c r="N63" s="19">
        <v>1.09433047876835E-3</v>
      </c>
      <c r="O63" s="19">
        <v>1.0887845569999999E-3</v>
      </c>
      <c r="P63" s="1">
        <v>0.99526912725696581</v>
      </c>
    </row>
    <row r="64" spans="1:16" x14ac:dyDescent="0.2">
      <c r="A64" s="1">
        <v>53</v>
      </c>
      <c r="B64" s="1">
        <v>1.0000320289765097</v>
      </c>
      <c r="C64" s="1">
        <v>1.5204961921558522</v>
      </c>
      <c r="D64" s="1">
        <v>0.65047416059900842</v>
      </c>
      <c r="E64" s="19">
        <v>1.0991146917425597E-3</v>
      </c>
      <c r="F64" s="19">
        <v>1.10655E-3</v>
      </c>
      <c r="G64" s="1">
        <v>0.99515734044757087</v>
      </c>
      <c r="H64" s="1">
        <f t="shared" si="0"/>
        <v>8.1960509749105334E-5</v>
      </c>
      <c r="I64" s="20">
        <f>E64-N64</f>
        <v>4.2220133646688699E-6</v>
      </c>
      <c r="K64" s="1">
        <v>1.0000169113523902</v>
      </c>
      <c r="L64" s="1">
        <v>1.4210896557826052</v>
      </c>
      <c r="M64" s="1">
        <v>0.69594739002104611</v>
      </c>
      <c r="N64" s="19">
        <v>1.0948926783778908E-3</v>
      </c>
      <c r="O64" s="19">
        <v>1.088845744E-3</v>
      </c>
      <c r="P64" s="1">
        <v>0.99517589754411784</v>
      </c>
    </row>
    <row r="65" spans="1:16" x14ac:dyDescent="0.2">
      <c r="A65" s="1">
        <v>54</v>
      </c>
      <c r="B65" s="1">
        <v>1.0000438343038256</v>
      </c>
      <c r="C65" s="1">
        <v>1.532802453516765</v>
      </c>
      <c r="D65" s="1">
        <v>0.64507459584977389</v>
      </c>
      <c r="E65" s="19">
        <v>1.0999612635944958E-3</v>
      </c>
      <c r="F65" s="19">
        <v>1.1074100000000001E-3</v>
      </c>
      <c r="G65" s="1">
        <v>0.99506240451354677</v>
      </c>
      <c r="H65" s="1">
        <f t="shared" si="0"/>
        <v>8.6814408210234006E-5</v>
      </c>
      <c r="I65" s="20">
        <f>E65-N65</f>
        <v>4.308362663153157E-6</v>
      </c>
      <c r="K65" s="1">
        <v>1.0000294356250656</v>
      </c>
      <c r="L65" s="1">
        <v>1.434801877008673</v>
      </c>
      <c r="M65" s="1">
        <v>0.6891887920486317</v>
      </c>
      <c r="N65" s="19">
        <v>1.0956529009313427E-3</v>
      </c>
      <c r="O65" s="19">
        <v>1.0891531349999999E-3</v>
      </c>
      <c r="P65" s="1">
        <v>0.99508169660426016</v>
      </c>
    </row>
    <row r="66" spans="1:16" x14ac:dyDescent="0.2">
      <c r="A66" s="1">
        <v>55</v>
      </c>
      <c r="B66" s="1">
        <v>1.0000717988812446</v>
      </c>
      <c r="C66" s="1">
        <v>1.5545910620995362</v>
      </c>
      <c r="D66" s="1">
        <v>0.6359144707972344</v>
      </c>
      <c r="E66" s="19">
        <v>1.1002435395877849E-3</v>
      </c>
      <c r="F66" s="19">
        <v>1.1078800000000001E-3</v>
      </c>
      <c r="G66" s="1">
        <v>0.99496991059406825</v>
      </c>
      <c r="H66" s="1">
        <f t="shared" si="0"/>
        <v>7.1814030899776851E-5</v>
      </c>
      <c r="I66" s="20">
        <f>E66-N66</f>
        <v>3.4358409425165604E-6</v>
      </c>
      <c r="K66" s="1">
        <v>1.0000636470603572</v>
      </c>
      <c r="L66" s="1">
        <v>1.441035017511844</v>
      </c>
      <c r="M66" s="1">
        <v>0.6859954188014723</v>
      </c>
      <c r="N66" s="19">
        <v>1.0968076986452684E-3</v>
      </c>
      <c r="O66" s="19">
        <v>1.0897319150000001E-3</v>
      </c>
      <c r="P66" s="1">
        <v>0.99498557910990093</v>
      </c>
    </row>
    <row r="67" spans="1:16" x14ac:dyDescent="0.2">
      <c r="A67" s="1">
        <v>56</v>
      </c>
      <c r="B67" s="1">
        <v>1.0000760668925102</v>
      </c>
      <c r="C67" s="1">
        <v>1.5439403246931904</v>
      </c>
      <c r="D67" s="1">
        <v>0.64019007427771812</v>
      </c>
      <c r="E67" s="19">
        <v>1.1000447459446954E-3</v>
      </c>
      <c r="F67" s="19">
        <v>1.10783E-3</v>
      </c>
      <c r="G67" s="1">
        <v>0.99487961196106611</v>
      </c>
      <c r="H67" s="1">
        <f t="shared" si="0"/>
        <v>3.9136339415805445E-5</v>
      </c>
      <c r="I67" s="20">
        <f>E67-N67</f>
        <v>1.8063182862511178E-6</v>
      </c>
      <c r="K67" s="1">
        <v>1.0001081357608566</v>
      </c>
      <c r="L67" s="1">
        <v>1.4490695348236828</v>
      </c>
      <c r="M67" s="1">
        <v>0.6820807854942168</v>
      </c>
      <c r="N67" s="19">
        <v>1.0982384276584443E-3</v>
      </c>
      <c r="O67" s="19">
        <v>1.090607268E-3</v>
      </c>
      <c r="P67" s="1">
        <v>0.99488799831951236</v>
      </c>
    </row>
    <row r="68" spans="1:16" x14ac:dyDescent="0.2">
      <c r="A68" s="1">
        <v>57</v>
      </c>
      <c r="B68" s="1">
        <v>1.00007385889276</v>
      </c>
      <c r="C68" s="1">
        <v>1.5272691611521159</v>
      </c>
      <c r="D68" s="1">
        <v>0.64704546503357208</v>
      </c>
      <c r="E68" s="19">
        <v>1.0993442608127034E-3</v>
      </c>
      <c r="F68" s="19">
        <v>1.10717E-3</v>
      </c>
      <c r="G68" s="1">
        <v>0.99479172510301028</v>
      </c>
      <c r="H68" s="1">
        <f t="shared" si="0"/>
        <v>-1.4198013034899537E-5</v>
      </c>
      <c r="I68" s="20">
        <f>E68-N68</f>
        <v>-6.3257036168103825E-7</v>
      </c>
      <c r="K68" s="1">
        <v>1.0001047459072427</v>
      </c>
      <c r="L68" s="1">
        <v>1.4701891718948858</v>
      </c>
      <c r="M68" s="1">
        <v>0.67218972066029081</v>
      </c>
      <c r="N68" s="19">
        <v>1.0999768311743844E-3</v>
      </c>
      <c r="O68" s="19">
        <v>1.091804379E-3</v>
      </c>
      <c r="P68" s="1">
        <v>0.99478873604763451</v>
      </c>
    </row>
    <row r="69" spans="1:16" x14ac:dyDescent="0.2">
      <c r="A69" s="1">
        <v>58</v>
      </c>
      <c r="B69" s="1">
        <v>1.000082900934824</v>
      </c>
      <c r="C69" s="1">
        <v>1.5066822631098822</v>
      </c>
      <c r="D69" s="1">
        <v>0.65572171115348277</v>
      </c>
      <c r="E69" s="19">
        <v>1.0977364307167034E-3</v>
      </c>
      <c r="F69" s="19">
        <v>1.1057700000000001E-3</v>
      </c>
      <c r="G69" s="1">
        <v>0.99470832442247137</v>
      </c>
      <c r="H69" s="1">
        <f t="shared" si="0"/>
        <v>-1.0731008097899138E-4</v>
      </c>
      <c r="I69" s="20">
        <f>E69-N69</f>
        <v>-4.6180233228079477E-6</v>
      </c>
      <c r="K69" s="1">
        <v>1.0000923345138002</v>
      </c>
      <c r="L69" s="1">
        <v>1.4896439679292237</v>
      </c>
      <c r="M69" s="1">
        <v>0.66324613738676053</v>
      </c>
      <c r="N69" s="19">
        <v>1.1023544540395113E-3</v>
      </c>
      <c r="O69" s="19">
        <v>1.0933484320000001E-3</v>
      </c>
      <c r="P69" s="1">
        <v>0.99468612233675158</v>
      </c>
    </row>
    <row r="70" spans="1:16" x14ac:dyDescent="0.2">
      <c r="A70" s="1">
        <v>59</v>
      </c>
      <c r="B70" s="1">
        <v>1.0000916240850433</v>
      </c>
      <c r="C70" s="1">
        <v>1.5365069919215439</v>
      </c>
      <c r="D70" s="1">
        <v>0.64288132685909027</v>
      </c>
      <c r="E70" s="19">
        <v>1.0953157774374336E-3</v>
      </c>
      <c r="F70" s="19">
        <v>1.10352E-3</v>
      </c>
      <c r="G70" s="1">
        <v>0.99462917217421076</v>
      </c>
      <c r="H70" s="1">
        <f t="shared" si="0"/>
        <v>-2.3337566119057315E-4</v>
      </c>
      <c r="I70" s="20">
        <f>E70-N70</f>
        <v>-9.70651210330329E-6</v>
      </c>
      <c r="K70" s="1">
        <v>1.000079088897093</v>
      </c>
      <c r="L70" s="1">
        <v>1.4878348192227897</v>
      </c>
      <c r="M70" s="1">
        <v>0.66388112989047199</v>
      </c>
      <c r="N70" s="19">
        <v>1.1050222895407369E-3</v>
      </c>
      <c r="O70" s="19">
        <v>1.095264612E-3</v>
      </c>
      <c r="P70" s="1">
        <v>0.99458170593803641</v>
      </c>
    </row>
    <row r="71" spans="1:16" x14ac:dyDescent="0.2">
      <c r="A71" s="1">
        <v>60</v>
      </c>
      <c r="B71" s="1">
        <v>1.0000893474831352</v>
      </c>
      <c r="C71" s="1">
        <v>1.5156420559071209</v>
      </c>
      <c r="D71" s="1">
        <v>0.65158584515541096</v>
      </c>
      <c r="E71" s="19">
        <v>1.0918635232860046E-3</v>
      </c>
      <c r="F71" s="19">
        <v>1.1003E-3</v>
      </c>
      <c r="G71" s="1">
        <v>0.99455555737657431</v>
      </c>
      <c r="H71" s="1">
        <f t="shared" si="0"/>
        <v>-4.0367054549739212E-4</v>
      </c>
      <c r="I71" s="20">
        <f>E71-N71</f>
        <v>-1.6235872499377729E-5</v>
      </c>
      <c r="K71" s="1">
        <v>1.0000887178184263</v>
      </c>
      <c r="L71" s="1">
        <v>1.4741577039107856</v>
      </c>
      <c r="M71" s="1">
        <v>0.66990900635932449</v>
      </c>
      <c r="N71" s="19">
        <v>1.1080993957853823E-3</v>
      </c>
      <c r="O71" s="19">
        <v>1.0975781019999999E-3</v>
      </c>
      <c r="P71" s="1">
        <v>0.99447482326747483</v>
      </c>
    </row>
    <row r="72" spans="1:16" x14ac:dyDescent="0.2">
      <c r="A72" s="1">
        <v>61</v>
      </c>
      <c r="B72" s="1">
        <v>1.0000548149635868</v>
      </c>
      <c r="C72" s="1">
        <v>1.5217333287642554</v>
      </c>
      <c r="D72" s="1">
        <v>0.64884870428597963</v>
      </c>
      <c r="E72" s="19">
        <v>1.0874073983109416E-3</v>
      </c>
      <c r="F72" s="19">
        <v>1.0960900000000001E-3</v>
      </c>
      <c r="G72" s="1">
        <v>0.99448759509545637</v>
      </c>
      <c r="H72" s="1">
        <f t="shared" si="0"/>
        <v>-6.2104307970034522E-4</v>
      </c>
      <c r="I72" s="20">
        <f>E72-N72</f>
        <v>-2.4168620168325957E-5</v>
      </c>
      <c r="K72" s="1">
        <v>1.000139365138691</v>
      </c>
      <c r="L72" s="1">
        <v>1.5014835478777853</v>
      </c>
      <c r="M72" s="1">
        <v>0.6575688058607787</v>
      </c>
      <c r="N72" s="19">
        <v>1.1115760184792676E-3</v>
      </c>
      <c r="O72" s="19">
        <v>1.1003140869999999E-3</v>
      </c>
      <c r="P72" s="1">
        <v>0.99436542268633499</v>
      </c>
    </row>
    <row r="73" spans="1:16" x14ac:dyDescent="0.2">
      <c r="A73" s="1">
        <v>62</v>
      </c>
      <c r="B73" s="1">
        <v>1.0001041224138467</v>
      </c>
      <c r="C73" s="1">
        <v>1.5630595901117514</v>
      </c>
      <c r="D73" s="1">
        <v>0.6315803059374161</v>
      </c>
      <c r="E73" s="19">
        <v>1.0821071151310524E-3</v>
      </c>
      <c r="F73" s="19">
        <v>1.0912300000000001E-3</v>
      </c>
      <c r="G73" s="1">
        <v>0.99442471315987491</v>
      </c>
      <c r="H73" s="1">
        <f t="shared" si="0"/>
        <v>-8.8605732548628169E-4</v>
      </c>
      <c r="I73" s="20">
        <f>E73-N73</f>
        <v>-3.3381548280565776E-5</v>
      </c>
      <c r="K73" s="1">
        <v>1.0001486356224871</v>
      </c>
      <c r="L73" s="1">
        <v>1.4651971776296482</v>
      </c>
      <c r="M73" s="1">
        <v>0.67372670815411706</v>
      </c>
      <c r="N73" s="19">
        <v>1.1154886634116182E-3</v>
      </c>
      <c r="O73" s="19">
        <v>1.103511047E-3</v>
      </c>
      <c r="P73" s="1">
        <v>0.99425321819365176</v>
      </c>
    </row>
    <row r="74" spans="1:16" x14ac:dyDescent="0.2">
      <c r="A74" s="1">
        <v>63</v>
      </c>
      <c r="B74" s="1">
        <v>1.0001313023370577</v>
      </c>
      <c r="C74" s="1">
        <v>1.5668247480988058</v>
      </c>
      <c r="D74" s="1">
        <v>0.62990012649381888</v>
      </c>
      <c r="E74" s="19">
        <v>1.0767850198263678E-3</v>
      </c>
      <c r="F74" s="19">
        <v>1.08614E-3</v>
      </c>
      <c r="G74" s="1">
        <v>0.99436282746873728</v>
      </c>
      <c r="H74" s="1">
        <f t="shared" si="0"/>
        <v>-1.1858631317326895E-3</v>
      </c>
      <c r="I74" s="20">
        <f>E74-N74</f>
        <v>-4.3273339444078454E-5</v>
      </c>
      <c r="K74" s="1">
        <v>1.0001468057066343</v>
      </c>
      <c r="L74" s="1">
        <v>1.4920168879513243</v>
      </c>
      <c r="M74" s="1">
        <v>0.66146399762649033</v>
      </c>
      <c r="N74" s="19">
        <v>1.1200583592704462E-3</v>
      </c>
      <c r="O74" s="19">
        <v>1.1072606459999999E-3</v>
      </c>
      <c r="P74" s="1">
        <v>0.99413694877697867</v>
      </c>
    </row>
    <row r="75" spans="1:16" x14ac:dyDescent="0.2">
      <c r="A75" s="1">
        <v>64</v>
      </c>
      <c r="B75" s="1">
        <v>1.0001306507300443</v>
      </c>
      <c r="C75" s="1">
        <v>1.5736362846528773</v>
      </c>
      <c r="D75" s="1">
        <v>0.62703608136296318</v>
      </c>
      <c r="E75" s="19">
        <v>1.0717051463514109E-3</v>
      </c>
      <c r="F75" s="19">
        <v>1.08125E-3</v>
      </c>
      <c r="G75" s="1">
        <v>0.99430054310228788</v>
      </c>
      <c r="H75" s="1">
        <f t="shared" si="0"/>
        <v>-1.517390851727048E-3</v>
      </c>
      <c r="I75" s="20">
        <f>E75-N75</f>
        <v>-5.3659234303622899E-5</v>
      </c>
      <c r="K75" s="1">
        <v>1.0001345856400314</v>
      </c>
      <c r="L75" s="1">
        <v>1.4668417943127567</v>
      </c>
      <c r="M75" s="1">
        <v>0.67271480829677455</v>
      </c>
      <c r="N75" s="19">
        <v>1.1253643806550338E-3</v>
      </c>
      <c r="O75" s="19">
        <v>1.1116678450000001E-3</v>
      </c>
      <c r="P75" s="1">
        <v>0.99401603231758906</v>
      </c>
    </row>
    <row r="76" spans="1:16" x14ac:dyDescent="0.2">
      <c r="A76" s="1">
        <v>65</v>
      </c>
      <c r="B76" s="1">
        <v>1.0001679426322654</v>
      </c>
      <c r="C76" s="1">
        <v>1.5854949310107185</v>
      </c>
      <c r="D76" s="1">
        <v>0.62220556283559614</v>
      </c>
      <c r="E76" s="19">
        <v>1.0672158471715623E-3</v>
      </c>
      <c r="F76" s="19">
        <v>1.0769899999999999E-3</v>
      </c>
      <c r="G76" s="1">
        <v>0.99423592389473092</v>
      </c>
      <c r="H76" s="1">
        <f t="shared" si="0"/>
        <v>-1.8752986842715997E-3</v>
      </c>
      <c r="I76" s="20">
        <f>E76-N76</f>
        <v>-6.4297250486328563E-5</v>
      </c>
      <c r="K76" s="1">
        <v>1.0001534039542641</v>
      </c>
      <c r="L76" s="1">
        <v>1.4982571787659977</v>
      </c>
      <c r="M76" s="1">
        <v>0.65845043825355676</v>
      </c>
      <c r="N76" s="19">
        <v>1.1315130976578909E-3</v>
      </c>
      <c r="O76" s="19">
        <v>1.116837605E-3</v>
      </c>
      <c r="P76" s="1">
        <v>0.9938897149068654</v>
      </c>
    </row>
    <row r="77" spans="1:16" x14ac:dyDescent="0.2">
      <c r="A77" s="1">
        <v>66</v>
      </c>
      <c r="B77" s="1">
        <v>1.0001866696844244</v>
      </c>
      <c r="C77" s="1">
        <v>1.5979580794114638</v>
      </c>
      <c r="D77" s="1">
        <v>0.61723420285139319</v>
      </c>
      <c r="E77" s="19">
        <v>1.0636786990458513E-3</v>
      </c>
      <c r="F77" s="19">
        <v>1.0737699999999999E-3</v>
      </c>
      <c r="G77" s="1">
        <v>0.99416684644524467</v>
      </c>
      <c r="H77" s="1">
        <f t="shared" ref="H77:H140" si="1">(P77-G77)*A77/12</f>
        <v>-2.2499731658329192E-3</v>
      </c>
      <c r="I77" s="20">
        <f>E77-N77</f>
        <v>-7.4831086654493072E-5</v>
      </c>
      <c r="K77" s="1">
        <v>1.0001827450083414</v>
      </c>
      <c r="L77" s="1">
        <v>1.521410894828636</v>
      </c>
      <c r="M77" s="1">
        <v>0.64832297224218338</v>
      </c>
      <c r="N77" s="19">
        <v>1.1385097857003444E-3</v>
      </c>
      <c r="O77" s="19">
        <v>1.122874886E-3</v>
      </c>
      <c r="P77" s="1">
        <v>0.99375776041509323</v>
      </c>
    </row>
    <row r="78" spans="1:16" x14ac:dyDescent="0.2">
      <c r="A78" s="1">
        <v>67</v>
      </c>
      <c r="B78" s="1">
        <v>1.0001558373735948</v>
      </c>
      <c r="C78" s="1">
        <v>1.5692976118807356</v>
      </c>
      <c r="D78" s="1">
        <v>0.62837543074813884</v>
      </c>
      <c r="E78" s="19">
        <v>1.0617766842145947E-3</v>
      </c>
      <c r="F78" s="19">
        <v>1.0720199999999999E-3</v>
      </c>
      <c r="G78" s="1">
        <v>0.99408928426665877</v>
      </c>
      <c r="H78" s="1">
        <f t="shared" si="1"/>
        <v>-2.6264648355412237E-3</v>
      </c>
      <c r="I78" s="20">
        <f>E78-N78</f>
        <v>-8.47738410385563E-5</v>
      </c>
      <c r="K78" s="1">
        <v>1.0001921802541249</v>
      </c>
      <c r="L78" s="1">
        <v>1.522127177779202</v>
      </c>
      <c r="M78" s="1">
        <v>0.64789976645559288</v>
      </c>
      <c r="N78" s="19">
        <v>1.146550525253151E-3</v>
      </c>
      <c r="O78" s="19">
        <v>1.1298846470000001E-3</v>
      </c>
      <c r="P78" s="1">
        <v>0.99361887265432303</v>
      </c>
    </row>
    <row r="79" spans="1:16" x14ac:dyDescent="0.2">
      <c r="A79" s="1">
        <v>68</v>
      </c>
      <c r="B79" s="1">
        <v>1.0001794999668803</v>
      </c>
      <c r="C79" s="1">
        <v>1.5839279523178675</v>
      </c>
      <c r="D79" s="1">
        <v>0.6224734992674823</v>
      </c>
      <c r="E79" s="19">
        <v>1.061499105101513E-3</v>
      </c>
      <c r="F79" s="19">
        <v>1.0721800000000001E-3</v>
      </c>
      <c r="G79" s="1">
        <v>0.99400289326981861</v>
      </c>
      <c r="H79" s="1">
        <f t="shared" si="1"/>
        <v>-3.0075737200300954E-3</v>
      </c>
      <c r="I79" s="20">
        <f>E79-N79</f>
        <v>-9.4251717132744954E-5</v>
      </c>
      <c r="K79" s="1">
        <v>1.0002409200158684</v>
      </c>
      <c r="L79" s="1">
        <v>1.5146729675122481</v>
      </c>
      <c r="M79" s="1">
        <v>0.65093732626814815</v>
      </c>
      <c r="N79" s="19">
        <v>1.155750822234258E-3</v>
      </c>
      <c r="O79" s="19">
        <v>1.1379719050000001E-3</v>
      </c>
      <c r="P79" s="1">
        <v>0.99347214496628389</v>
      </c>
    </row>
    <row r="80" spans="1:16" x14ac:dyDescent="0.2">
      <c r="A80" s="1">
        <v>69</v>
      </c>
      <c r="B80" s="1">
        <v>1.0002162280332672</v>
      </c>
      <c r="C80" s="1">
        <v>1.5561922392572356</v>
      </c>
      <c r="D80" s="1">
        <v>0.63344068681918864</v>
      </c>
      <c r="E80" s="19">
        <v>1.0636264857860178E-3</v>
      </c>
      <c r="F80" s="19">
        <v>1.0746600000000001E-3</v>
      </c>
      <c r="G80" s="1">
        <v>0.99390281146372306</v>
      </c>
      <c r="H80" s="1">
        <f t="shared" si="1"/>
        <v>-3.3717308944830604E-3</v>
      </c>
      <c r="I80" s="20">
        <f>E80-N80</f>
        <v>-1.0263640741214582E-4</v>
      </c>
      <c r="K80" s="1">
        <v>1.0002361630629728</v>
      </c>
      <c r="L80" s="1">
        <v>1.5439261615875526</v>
      </c>
      <c r="M80" s="1">
        <v>0.638433377123094</v>
      </c>
      <c r="N80" s="19">
        <v>1.1662628931981636E-3</v>
      </c>
      <c r="O80" s="19">
        <v>1.1472418939999999E-3</v>
      </c>
      <c r="P80" s="1">
        <v>0.99331642348207383</v>
      </c>
    </row>
    <row r="81" spans="1:16" x14ac:dyDescent="0.2">
      <c r="A81" s="1">
        <v>70</v>
      </c>
      <c r="B81" s="1">
        <v>1.0002247715539205</v>
      </c>
      <c r="C81" s="1">
        <v>1.5672720970101457</v>
      </c>
      <c r="D81" s="1">
        <v>0.6288071580720479</v>
      </c>
      <c r="E81" s="19">
        <v>1.0685865222055091E-3</v>
      </c>
      <c r="F81" s="19">
        <v>1.07989E-3</v>
      </c>
      <c r="G81" s="1">
        <v>0.99378596608718217</v>
      </c>
      <c r="H81" s="1">
        <f t="shared" si="1"/>
        <v>-3.7023889420573219E-3</v>
      </c>
      <c r="I81" s="20">
        <f>E81-N81</f>
        <v>-1.0952022157549503E-4</v>
      </c>
      <c r="K81" s="1">
        <v>1.0002481973314388</v>
      </c>
      <c r="L81" s="1">
        <v>1.5521923459998839</v>
      </c>
      <c r="M81" s="1">
        <v>0.63490024254294697</v>
      </c>
      <c r="N81" s="19">
        <v>1.1781067437810042E-3</v>
      </c>
      <c r="O81" s="19">
        <v>1.157799902E-3</v>
      </c>
      <c r="P81" s="1">
        <v>0.99315127083997234</v>
      </c>
    </row>
    <row r="82" spans="1:16" x14ac:dyDescent="0.2">
      <c r="A82" s="1">
        <v>71</v>
      </c>
      <c r="B82" s="1">
        <v>1.0002365053546878</v>
      </c>
      <c r="C82" s="1">
        <v>1.579266900421129</v>
      </c>
      <c r="D82" s="1">
        <v>0.62390305389856315</v>
      </c>
      <c r="E82" s="19">
        <v>1.0766609668492375E-3</v>
      </c>
      <c r="F82" s="19">
        <v>1.0882999999999999E-3</v>
      </c>
      <c r="G82" s="1">
        <v>0.99365000293522776</v>
      </c>
      <c r="H82" s="1">
        <f t="shared" si="1"/>
        <v>-3.9943781297868781E-3</v>
      </c>
      <c r="I82" s="20">
        <f>E82-N82</f>
        <v>-1.1487065772356267E-4</v>
      </c>
      <c r="K82" s="1">
        <v>1.000253032546023</v>
      </c>
      <c r="L82" s="1">
        <v>1.5569096752632459</v>
      </c>
      <c r="M82" s="1">
        <v>0.63288971601507327</v>
      </c>
      <c r="N82" s="19">
        <v>1.1915316245728002E-3</v>
      </c>
      <c r="O82" s="19">
        <v>1.1697512189999999E-3</v>
      </c>
      <c r="P82" s="1">
        <v>0.99297489677244688</v>
      </c>
    </row>
    <row r="83" spans="1:16" x14ac:dyDescent="0.2">
      <c r="A83" s="1">
        <v>72</v>
      </c>
      <c r="B83" s="1">
        <v>1.0002419718942555</v>
      </c>
      <c r="C83" s="1">
        <v>1.5819509620936005</v>
      </c>
      <c r="D83" s="1">
        <v>0.62273688044970998</v>
      </c>
      <c r="E83" s="19">
        <v>1.0885189040214876E-3</v>
      </c>
      <c r="F83" s="19">
        <v>1.10031E-3</v>
      </c>
      <c r="G83" s="1">
        <v>0.99349016794160794</v>
      </c>
      <c r="H83" s="1">
        <f t="shared" si="1"/>
        <v>-4.2198831123974045E-3</v>
      </c>
      <c r="I83" s="20">
        <f>E83-N83</f>
        <v>-1.1802883378610445E-4</v>
      </c>
      <c r="K83" s="1">
        <v>1.0002391927243433</v>
      </c>
      <c r="L83" s="1">
        <v>1.5946325533365553</v>
      </c>
      <c r="M83" s="1">
        <v>0.61774950409508589</v>
      </c>
      <c r="N83" s="19">
        <v>1.206547737807592E-3</v>
      </c>
      <c r="O83" s="19">
        <v>1.1832011329999999E-3</v>
      </c>
      <c r="P83" s="1">
        <v>0.9927868540895417</v>
      </c>
    </row>
    <row r="84" spans="1:16" x14ac:dyDescent="0.2">
      <c r="A84" s="1">
        <v>73</v>
      </c>
      <c r="B84" s="1">
        <v>1.0002228361463077</v>
      </c>
      <c r="C84" s="1">
        <v>1.5521879208607023</v>
      </c>
      <c r="D84" s="1">
        <v>0.63451167764480132</v>
      </c>
      <c r="E84" s="19">
        <v>1.1043262540011561E-3</v>
      </c>
      <c r="F84" s="19">
        <v>1.1162800000000001E-3</v>
      </c>
      <c r="G84" s="1">
        <v>0.99330453050029011</v>
      </c>
      <c r="H84" s="1">
        <f t="shared" si="1"/>
        <v>-4.371638585798282E-3</v>
      </c>
      <c r="I84" s="20">
        <f>E84-N84</f>
        <v>-1.189695319219967E-4</v>
      </c>
      <c r="K84" s="1">
        <v>1.0002761085435297</v>
      </c>
      <c r="L84" s="1">
        <v>1.61070258966003</v>
      </c>
      <c r="M84" s="1">
        <v>0.61148516089971694</v>
      </c>
      <c r="N84" s="19">
        <v>1.2232957859231528E-3</v>
      </c>
      <c r="O84" s="19">
        <v>1.1982549329999999E-3</v>
      </c>
      <c r="P84" s="1">
        <v>0.99258590497933696</v>
      </c>
    </row>
    <row r="85" spans="1:16" x14ac:dyDescent="0.2">
      <c r="A85" s="1">
        <v>74</v>
      </c>
      <c r="B85" s="1">
        <v>1.0002217699945379</v>
      </c>
      <c r="C85" s="1">
        <v>1.528531767484602</v>
      </c>
      <c r="D85" s="1">
        <v>0.64421696640699588</v>
      </c>
      <c r="E85" s="19">
        <v>1.1242148777356026E-3</v>
      </c>
      <c r="F85" s="19">
        <v>1.1362200000000001E-3</v>
      </c>
      <c r="G85" s="1">
        <v>0.99309131702712561</v>
      </c>
      <c r="H85" s="1">
        <f t="shared" si="1"/>
        <v>-4.4436149243623864E-3</v>
      </c>
      <c r="I85" s="20">
        <f>E85-N85</f>
        <v>-1.1770743451270651E-4</v>
      </c>
      <c r="K85" s="1">
        <v>1.0003419296720686</v>
      </c>
      <c r="L85" s="1">
        <v>1.601517777599931</v>
      </c>
      <c r="M85" s="1">
        <v>0.6148858569206368</v>
      </c>
      <c r="N85" s="19">
        <v>1.2419223122483091E-3</v>
      </c>
      <c r="O85" s="19">
        <v>1.2150180169999999E-3</v>
      </c>
      <c r="P85" s="1">
        <v>0.99237073082317495</v>
      </c>
    </row>
    <row r="86" spans="1:16" x14ac:dyDescent="0.2">
      <c r="A86" s="1">
        <v>75</v>
      </c>
      <c r="B86" s="1">
        <v>1.0002577037594094</v>
      </c>
      <c r="C86" s="1">
        <v>1.5200055370887324</v>
      </c>
      <c r="D86" s="1">
        <v>0.64770425917462338</v>
      </c>
      <c r="E86" s="19">
        <v>1.1479076537736302E-3</v>
      </c>
      <c r="F86" s="19">
        <v>1.16008E-3</v>
      </c>
      <c r="G86" s="1">
        <v>0.99285125189827161</v>
      </c>
      <c r="H86" s="1">
        <f t="shared" si="1"/>
        <v>-4.4431189521958181E-3</v>
      </c>
      <c r="I86" s="20">
        <f>E86-N86</f>
        <v>-1.146038600528343E-4</v>
      </c>
      <c r="K86" s="1">
        <v>1.0003508833486907</v>
      </c>
      <c r="L86" s="1">
        <v>1.6115967447299133</v>
      </c>
      <c r="M86" s="1">
        <v>0.61085481298421151</v>
      </c>
      <c r="N86" s="19">
        <v>1.2625115138264645E-3</v>
      </c>
      <c r="O86" s="19">
        <v>1.233596217E-3</v>
      </c>
      <c r="P86" s="1">
        <v>0.99214035286592028</v>
      </c>
    </row>
    <row r="87" spans="1:16" x14ac:dyDescent="0.2">
      <c r="A87" s="1">
        <v>76</v>
      </c>
      <c r="B87" s="1">
        <v>1.0002400805724494</v>
      </c>
      <c r="C87" s="1">
        <v>1.5597112264344855</v>
      </c>
      <c r="D87" s="1">
        <v>0.63109017539606127</v>
      </c>
      <c r="E87" s="19">
        <v>1.1754353825253082E-3</v>
      </c>
      <c r="F87" s="19">
        <v>1.18782E-3</v>
      </c>
      <c r="G87" s="1">
        <v>0.99258321700248364</v>
      </c>
      <c r="H87" s="1">
        <f t="shared" si="1"/>
        <v>-4.3592219385446178E-3</v>
      </c>
      <c r="I87" s="20">
        <f>E87-N87</f>
        <v>-1.0952871254662827E-4</v>
      </c>
      <c r="K87" s="1">
        <v>1.0003704370838422</v>
      </c>
      <c r="L87" s="1">
        <v>1.6167770922158522</v>
      </c>
      <c r="M87" s="1">
        <v>0.60879224080989636</v>
      </c>
      <c r="N87" s="19">
        <v>1.2849640950719364E-3</v>
      </c>
      <c r="O87" s="19">
        <v>1.2540954740000001E-3</v>
      </c>
      <c r="P87" s="1">
        <v>0.99189491880166081</v>
      </c>
    </row>
    <row r="88" spans="1:16" x14ac:dyDescent="0.2">
      <c r="A88" s="1">
        <v>77</v>
      </c>
      <c r="B88" s="1">
        <v>1.0002751270663859</v>
      </c>
      <c r="C88" s="1">
        <v>1.5378360718282753</v>
      </c>
      <c r="D88" s="1">
        <v>0.63994128778687387</v>
      </c>
      <c r="E88" s="19">
        <v>1.2068251061236033E-3</v>
      </c>
      <c r="F88" s="19">
        <v>1.21937E-3</v>
      </c>
      <c r="G88" s="1">
        <v>0.99228611150021739</v>
      </c>
      <c r="H88" s="1">
        <f t="shared" si="1"/>
        <v>-4.1964509079326267E-3</v>
      </c>
      <c r="I88" s="20">
        <f>E88-N88</f>
        <v>-1.0274706660840351E-4</v>
      </c>
      <c r="K88" s="1">
        <v>1.0003183881614586</v>
      </c>
      <c r="L88" s="1">
        <v>1.5945631899400516</v>
      </c>
      <c r="M88" s="1">
        <v>0.61715704619862444</v>
      </c>
      <c r="N88" s="19">
        <v>1.3095721727320068E-3</v>
      </c>
      <c r="O88" s="19">
        <v>1.27662173E-3</v>
      </c>
      <c r="P88" s="1">
        <v>0.99163211915092919</v>
      </c>
    </row>
    <row r="89" spans="1:16" x14ac:dyDescent="0.2">
      <c r="A89" s="1">
        <v>78</v>
      </c>
      <c r="B89" s="1">
        <v>1.0002881409803195</v>
      </c>
      <c r="C89" s="1">
        <v>1.5781254746281705</v>
      </c>
      <c r="D89" s="1">
        <v>0.62343951458608915</v>
      </c>
      <c r="E89" s="19">
        <v>1.2419450219701036E-3</v>
      </c>
      <c r="F89" s="19">
        <v>1.2546899999999999E-3</v>
      </c>
      <c r="G89" s="1">
        <v>0.99195985363440908</v>
      </c>
      <c r="H89" s="1">
        <f t="shared" si="1"/>
        <v>-3.9575066131010694E-3</v>
      </c>
      <c r="I89" s="20">
        <f>E89-N89</f>
        <v>-9.4457001575835864E-5</v>
      </c>
      <c r="K89" s="1">
        <v>1.0002999756160031</v>
      </c>
      <c r="L89" s="1">
        <v>1.6295957752820625</v>
      </c>
      <c r="M89" s="1">
        <v>0.60377602362062088</v>
      </c>
      <c r="N89" s="19">
        <v>1.3364020235459395E-3</v>
      </c>
      <c r="O89" s="19">
        <v>1.3012809259999999E-3</v>
      </c>
      <c r="P89" s="1">
        <v>0.99135100646316276</v>
      </c>
    </row>
    <row r="90" spans="1:16" x14ac:dyDescent="0.2">
      <c r="A90" s="1">
        <v>79</v>
      </c>
      <c r="B90" s="1">
        <v>1.000318451774961</v>
      </c>
      <c r="C90" s="1">
        <v>1.6015035164725391</v>
      </c>
      <c r="D90" s="1">
        <v>0.61421000883300958</v>
      </c>
      <c r="E90" s="19">
        <v>1.2807863208942134E-3</v>
      </c>
      <c r="F90" s="19">
        <v>1.2937199999999999E-3</v>
      </c>
      <c r="G90" s="1">
        <v>0.99160360500988265</v>
      </c>
      <c r="H90" s="1">
        <f t="shared" si="1"/>
        <v>-3.6399538442392445E-3</v>
      </c>
      <c r="I90" s="20">
        <f>E90-N90</f>
        <v>-8.4720243558878512E-5</v>
      </c>
      <c r="K90" s="1">
        <v>1.0003162204667515</v>
      </c>
      <c r="L90" s="1">
        <v>1.6330492184227037</v>
      </c>
      <c r="M90" s="1">
        <v>0.60233732677536878</v>
      </c>
      <c r="N90" s="19">
        <v>1.365506564453092E-3</v>
      </c>
      <c r="O90" s="19">
        <v>1.3281790020000001E-3</v>
      </c>
      <c r="P90" s="1">
        <v>0.99105070062847922</v>
      </c>
    </row>
    <row r="91" spans="1:16" x14ac:dyDescent="0.2">
      <c r="A91" s="1">
        <v>80</v>
      </c>
      <c r="B91" s="1">
        <v>1.0003720306590276</v>
      </c>
      <c r="C91" s="1">
        <v>1.5662643807205952</v>
      </c>
      <c r="D91" s="1">
        <v>0.62792796159603692</v>
      </c>
      <c r="E91" s="19">
        <v>1.3232239643711325E-3</v>
      </c>
      <c r="F91" s="19">
        <v>1.3364E-3</v>
      </c>
      <c r="G91" s="1">
        <v>0.99121730211337722</v>
      </c>
      <c r="H91" s="1">
        <f t="shared" si="1"/>
        <v>-3.2483090078150312E-3</v>
      </c>
      <c r="I91" s="20">
        <f>E91-N91</f>
        <v>-7.3752669421652071E-5</v>
      </c>
      <c r="K91" s="1">
        <v>1.00035167213378</v>
      </c>
      <c r="L91" s="1">
        <v>1.6320532500916165</v>
      </c>
      <c r="M91" s="1">
        <v>0.60260824779171052</v>
      </c>
      <c r="N91" s="19">
        <v>1.3969766337927846E-3</v>
      </c>
      <c r="O91" s="19">
        <v>1.3574221540000001E-3</v>
      </c>
      <c r="P91" s="1">
        <v>0.99073005576220496</v>
      </c>
    </row>
    <row r="92" spans="1:16" x14ac:dyDescent="0.2">
      <c r="A92" s="1">
        <v>81</v>
      </c>
      <c r="B92" s="1">
        <v>1.0003680300575504</v>
      </c>
      <c r="C92" s="1">
        <v>1.5722673714419888</v>
      </c>
      <c r="D92" s="1">
        <v>0.62536499759746667</v>
      </c>
      <c r="E92" s="19">
        <v>1.3692185481503456E-3</v>
      </c>
      <c r="F92" s="19">
        <v>1.3826999999999999E-3</v>
      </c>
      <c r="G92" s="1">
        <v>0.99080035289024493</v>
      </c>
      <c r="H92" s="1">
        <f t="shared" si="1"/>
        <v>-2.7954922583683928E-3</v>
      </c>
      <c r="I92" s="20">
        <f>E92-N92</f>
        <v>-6.1937743234313693E-5</v>
      </c>
      <c r="K92" s="1">
        <v>1.0002998872807574</v>
      </c>
      <c r="L92" s="1">
        <v>1.6469141700481307</v>
      </c>
      <c r="M92" s="1">
        <v>0.59703204971212354</v>
      </c>
      <c r="N92" s="19">
        <v>1.4311562913846593E-3</v>
      </c>
      <c r="O92" s="19">
        <v>1.3891175930000001E-3</v>
      </c>
      <c r="P92" s="1">
        <v>0.99038620588900517</v>
      </c>
    </row>
    <row r="93" spans="1:16" x14ac:dyDescent="0.2">
      <c r="A93" s="1">
        <v>82</v>
      </c>
      <c r="B93" s="1">
        <v>1.0003710314766294</v>
      </c>
      <c r="C93" s="1">
        <v>1.5661055046516166</v>
      </c>
      <c r="D93" s="1">
        <v>0.62771336511324838</v>
      </c>
      <c r="E93" s="19">
        <v>1.4187550534599093E-3</v>
      </c>
      <c r="F93" s="19">
        <v>1.4325500000000001E-3</v>
      </c>
      <c r="G93" s="1">
        <v>0.99035201712734633</v>
      </c>
      <c r="H93" s="1">
        <f t="shared" si="1"/>
        <v>-2.2698872248021842E-3</v>
      </c>
      <c r="I93" s="20">
        <f>E93-N93</f>
        <v>-4.9093310864127245E-5</v>
      </c>
      <c r="K93" s="1">
        <v>1.0002838973637569</v>
      </c>
      <c r="L93" s="1">
        <v>1.6721852372679569</v>
      </c>
      <c r="M93" s="1">
        <v>0.5878843044599581</v>
      </c>
      <c r="N93" s="19">
        <v>1.4678483643240365E-3</v>
      </c>
      <c r="O93" s="19">
        <v>1.4233727829999999E-3</v>
      </c>
      <c r="P93" s="1">
        <v>0.99001983850908259</v>
      </c>
    </row>
    <row r="94" spans="1:16" x14ac:dyDescent="0.2">
      <c r="A94" s="1">
        <v>83</v>
      </c>
      <c r="B94" s="1">
        <v>1.0003043503445099</v>
      </c>
      <c r="C94" s="1">
        <v>1.5881885909718179</v>
      </c>
      <c r="D94" s="1">
        <v>0.61880345201499809</v>
      </c>
      <c r="E94" s="19">
        <v>1.4717878338825494E-3</v>
      </c>
      <c r="F94" s="19">
        <v>1.4859000000000001E-3</v>
      </c>
      <c r="G94" s="1">
        <v>0.98987177360721712</v>
      </c>
      <c r="H94" s="1">
        <f t="shared" si="1"/>
        <v>-1.6797413204575062E-3</v>
      </c>
      <c r="I94" s="20">
        <f>E94-N94</f>
        <v>-3.5475052980568807E-5</v>
      </c>
      <c r="K94" s="1">
        <v>1.0002926433011394</v>
      </c>
      <c r="L94" s="1">
        <v>1.6565525404579242</v>
      </c>
      <c r="M94" s="1">
        <v>0.59331793243840303</v>
      </c>
      <c r="N94" s="19">
        <v>1.5072628868631182E-3</v>
      </c>
      <c r="O94" s="19">
        <v>1.460295189E-3</v>
      </c>
      <c r="P94" s="1">
        <v>0.98962891944040399</v>
      </c>
    </row>
    <row r="95" spans="1:16" x14ac:dyDescent="0.2">
      <c r="A95" s="1">
        <v>84</v>
      </c>
      <c r="B95" s="1">
        <v>1.0003270844855092</v>
      </c>
      <c r="C95" s="1">
        <v>1.5767050989892375</v>
      </c>
      <c r="D95" s="1">
        <v>0.62320701358952624</v>
      </c>
      <c r="E95" s="19">
        <v>1.5283407063211435E-3</v>
      </c>
      <c r="F95" s="19">
        <v>1.5427100000000001E-3</v>
      </c>
      <c r="G95" s="1">
        <v>0.98935863923923573</v>
      </c>
      <c r="H95" s="1">
        <f t="shared" si="1"/>
        <v>-1.020680217514891E-3</v>
      </c>
      <c r="I95" s="20">
        <f>E95-N95</f>
        <v>-2.1055806075892525E-5</v>
      </c>
      <c r="K95" s="1">
        <v>1.0001909826618214</v>
      </c>
      <c r="L95" s="1">
        <v>1.6517268734141419</v>
      </c>
      <c r="M95" s="1">
        <v>0.5949083844055425</v>
      </c>
      <c r="N95" s="19">
        <v>1.549396512397036E-3</v>
      </c>
      <c r="O95" s="19">
        <v>1.4999922750000001E-3</v>
      </c>
      <c r="P95" s="1">
        <v>0.98921282777959074</v>
      </c>
    </row>
    <row r="96" spans="1:16" x14ac:dyDescent="0.2">
      <c r="A96" s="1">
        <v>85</v>
      </c>
      <c r="B96" s="1">
        <v>1.0003310785851969</v>
      </c>
      <c r="C96" s="1">
        <v>1.5680143401277964</v>
      </c>
      <c r="D96" s="1">
        <v>0.62654665003216881</v>
      </c>
      <c r="E96" s="19">
        <v>1.5882901026316616E-3</v>
      </c>
      <c r="F96" s="19">
        <v>1.6029E-3</v>
      </c>
      <c r="G96" s="1">
        <v>0.98881266072741114</v>
      </c>
      <c r="H96" s="1">
        <f t="shared" si="1"/>
        <v>-3.0719789104756884E-4</v>
      </c>
      <c r="I96" s="20">
        <f>E96-N96</f>
        <v>-6.1921059150676482E-6</v>
      </c>
      <c r="K96" s="1">
        <v>1.0001702870969851</v>
      </c>
      <c r="L96" s="1">
        <v>1.6672615122728089</v>
      </c>
      <c r="M96" s="1">
        <v>0.58923762989066386</v>
      </c>
      <c r="N96" s="19">
        <v>1.5944822085467293E-3</v>
      </c>
      <c r="O96" s="19">
        <v>1.5425715080000001E-3</v>
      </c>
      <c r="P96" s="1">
        <v>0.9887692916133809</v>
      </c>
    </row>
    <row r="97" spans="1:16" x14ac:dyDescent="0.2">
      <c r="A97" s="1">
        <v>86</v>
      </c>
      <c r="B97" s="1">
        <v>1.0003311839665809</v>
      </c>
      <c r="C97" s="1">
        <v>1.554739070293802</v>
      </c>
      <c r="D97" s="1">
        <v>0.63176962300979389</v>
      </c>
      <c r="E97" s="19">
        <v>1.6515114154934947E-3</v>
      </c>
      <c r="F97" s="19">
        <v>1.6663699999999999E-3</v>
      </c>
      <c r="G97" s="1">
        <v>0.98823393612118193</v>
      </c>
      <c r="H97" s="1">
        <f t="shared" si="1"/>
        <v>4.5840049167381974E-4</v>
      </c>
      <c r="I97" s="20">
        <f>E97-N97</f>
        <v>9.0310208820936367E-6</v>
      </c>
      <c r="K97" s="1">
        <v>1.0001178425023951</v>
      </c>
      <c r="L97" s="1">
        <v>1.6698255261621304</v>
      </c>
      <c r="M97" s="1">
        <v>0.58821190967581283</v>
      </c>
      <c r="N97" s="19">
        <v>1.642480394611401E-3</v>
      </c>
      <c r="O97" s="19">
        <v>1.5881007540000001E-3</v>
      </c>
      <c r="P97" s="1">
        <v>0.98829789898048526</v>
      </c>
    </row>
    <row r="98" spans="1:16" x14ac:dyDescent="0.2">
      <c r="A98" s="1">
        <v>87</v>
      </c>
      <c r="B98" s="1">
        <v>1.0003357273506921</v>
      </c>
      <c r="C98" s="1">
        <v>1.5828803322056042</v>
      </c>
      <c r="D98" s="1">
        <v>0.62040123300538697</v>
      </c>
      <c r="E98" s="19">
        <v>1.7180528969428942E-3</v>
      </c>
      <c r="F98" s="19">
        <v>1.7329800000000001E-3</v>
      </c>
      <c r="G98" s="1">
        <v>0.98762136992817451</v>
      </c>
      <c r="H98" s="1">
        <f t="shared" si="1"/>
        <v>1.3011998005890979E-3</v>
      </c>
      <c r="I98" s="20">
        <f>E98-N98</f>
        <v>2.5063287632944671E-5</v>
      </c>
      <c r="K98" s="1">
        <v>1.0000917387481041</v>
      </c>
      <c r="L98" s="1">
        <v>1.6742187605943404</v>
      </c>
      <c r="M98" s="1">
        <v>0.58655198230844374</v>
      </c>
      <c r="N98" s="19">
        <v>1.6929896093099495E-3</v>
      </c>
      <c r="O98" s="19">
        <v>1.636489502E-3</v>
      </c>
      <c r="P98" s="1">
        <v>0.98780084576273852</v>
      </c>
    </row>
    <row r="99" spans="1:16" x14ac:dyDescent="0.2">
      <c r="A99" s="1">
        <v>88</v>
      </c>
      <c r="B99" s="1">
        <v>1.0003107143379444</v>
      </c>
      <c r="C99" s="1">
        <v>1.5791403313110954</v>
      </c>
      <c r="D99" s="1">
        <v>0.62171656575819723</v>
      </c>
      <c r="E99" s="19">
        <v>1.7876641917048486E-3</v>
      </c>
      <c r="F99" s="19">
        <v>1.80259E-3</v>
      </c>
      <c r="G99" s="1">
        <v>0.98697601830631632</v>
      </c>
      <c r="H99" s="1">
        <f t="shared" si="1"/>
        <v>2.2041980246834125E-3</v>
      </c>
      <c r="I99" s="20">
        <f>E99-N99</f>
        <v>4.1521691276909505E-5</v>
      </c>
      <c r="K99" s="1">
        <v>1.0001185305925584</v>
      </c>
      <c r="L99" s="1">
        <v>1.6474659020209157</v>
      </c>
      <c r="M99" s="1">
        <v>0.59595894763309132</v>
      </c>
      <c r="N99" s="19">
        <v>1.7461425004279391E-3</v>
      </c>
      <c r="O99" s="19">
        <v>1.6876076400000001E-3</v>
      </c>
      <c r="P99" s="1">
        <v>0.98727659076422769</v>
      </c>
    </row>
    <row r="100" spans="1:16" x14ac:dyDescent="0.2">
      <c r="A100" s="1">
        <v>89</v>
      </c>
      <c r="B100" s="1">
        <v>1.0003262035701681</v>
      </c>
      <c r="C100" s="1">
        <v>1.5563007071707531</v>
      </c>
      <c r="D100" s="1">
        <v>0.63073903095138406</v>
      </c>
      <c r="E100" s="19">
        <v>1.8600355946311153E-3</v>
      </c>
      <c r="F100" s="19">
        <v>1.87509E-3</v>
      </c>
      <c r="G100" s="1">
        <v>0.98629945460453305</v>
      </c>
      <c r="H100" s="1">
        <f t="shared" si="1"/>
        <v>3.1595980790798208E-3</v>
      </c>
      <c r="I100" s="20">
        <f>E100-N100</f>
        <v>5.8225302192184978E-5</v>
      </c>
      <c r="K100" s="1">
        <v>1.0000556205924049</v>
      </c>
      <c r="L100" s="1">
        <v>1.6122808325031215</v>
      </c>
      <c r="M100" s="1">
        <v>0.60886436994975524</v>
      </c>
      <c r="N100" s="19">
        <v>1.8018102924389303E-3</v>
      </c>
      <c r="O100" s="19">
        <v>1.7413250599999999E-3</v>
      </c>
      <c r="P100" s="1">
        <v>0.98672546782867865</v>
      </c>
    </row>
    <row r="101" spans="1:16" x14ac:dyDescent="0.2">
      <c r="A101" s="1">
        <v>90</v>
      </c>
      <c r="B101" s="1">
        <v>1.0003007876657415</v>
      </c>
      <c r="C101" s="1">
        <v>1.5637305433258539</v>
      </c>
      <c r="D101" s="1">
        <v>0.62763610401321202</v>
      </c>
      <c r="E101" s="19">
        <v>1.9351143488205763E-3</v>
      </c>
      <c r="F101" s="19">
        <v>1.9503400000000001E-3</v>
      </c>
      <c r="G101" s="1">
        <v>0.98559145349213373</v>
      </c>
      <c r="H101" s="1">
        <f t="shared" si="1"/>
        <v>4.1859679231445734E-3</v>
      </c>
      <c r="I101" s="20">
        <f>E101-N101</f>
        <v>7.5483755878579884E-5</v>
      </c>
      <c r="K101" s="1">
        <v>1.0000542067319242</v>
      </c>
      <c r="L101" s="1">
        <v>1.6433200769430585</v>
      </c>
      <c r="M101" s="1">
        <v>0.59721584706755482</v>
      </c>
      <c r="N101" s="19">
        <v>1.8596305929419964E-3</v>
      </c>
      <c r="O101" s="19">
        <v>1.7975116509999999E-3</v>
      </c>
      <c r="P101" s="1">
        <v>0.98614958254855301</v>
      </c>
    </row>
    <row r="102" spans="1:16" x14ac:dyDescent="0.2">
      <c r="A102" s="1">
        <v>91</v>
      </c>
      <c r="B102" s="1">
        <v>1.0003262638270125</v>
      </c>
      <c r="C102" s="1">
        <v>1.6162633070483752</v>
      </c>
      <c r="D102" s="1">
        <v>0.60711861488493291</v>
      </c>
      <c r="E102" s="19">
        <v>2.0127382741278567E-3</v>
      </c>
      <c r="F102" s="19">
        <v>2.0282099999999999E-3</v>
      </c>
      <c r="G102" s="1">
        <v>0.98485262800183193</v>
      </c>
      <c r="H102" s="1">
        <f t="shared" si="1"/>
        <v>5.2793493283274468E-3</v>
      </c>
      <c r="I102" s="20">
        <f>E102-N102</f>
        <v>9.3182724865020251E-5</v>
      </c>
      <c r="K102" s="1">
        <v>1.0000316885856901</v>
      </c>
      <c r="L102" s="1">
        <v>1.6207422663802984</v>
      </c>
      <c r="M102" s="1">
        <v>0.60541528161321401</v>
      </c>
      <c r="N102" s="19">
        <v>1.9195555492628365E-3</v>
      </c>
      <c r="O102" s="19">
        <v>1.8560373039999999E-3</v>
      </c>
      <c r="P102" s="1">
        <v>0.98554880593523775</v>
      </c>
    </row>
    <row r="103" spans="1:16" x14ac:dyDescent="0.2">
      <c r="A103" s="1">
        <v>92</v>
      </c>
      <c r="B103" s="1">
        <v>1.0003685746413244</v>
      </c>
      <c r="C103" s="1">
        <v>1.5879227913072873</v>
      </c>
      <c r="D103" s="1">
        <v>0.6178031687328347</v>
      </c>
      <c r="E103" s="19">
        <v>2.0928897031461751E-3</v>
      </c>
      <c r="F103" s="19">
        <v>2.1085700000000001E-3</v>
      </c>
      <c r="G103" s="1">
        <v>0.98408255536138056</v>
      </c>
      <c r="H103" s="1">
        <f t="shared" si="1"/>
        <v>6.4476871524991415E-3</v>
      </c>
      <c r="I103" s="20">
        <f>E103-N103</f>
        <v>1.1142271893274614E-4</v>
      </c>
      <c r="K103" s="1">
        <v>1.0001299624846602</v>
      </c>
      <c r="L103" s="1">
        <v>1.6485013800628907</v>
      </c>
      <c r="M103" s="1">
        <v>0.59511744974343583</v>
      </c>
      <c r="N103" s="19">
        <v>1.9814669842134289E-3</v>
      </c>
      <c r="O103" s="19">
        <v>1.9167717889999999E-3</v>
      </c>
      <c r="P103" s="1">
        <v>0.98492355803344567</v>
      </c>
    </row>
    <row r="104" spans="1:16" x14ac:dyDescent="0.2">
      <c r="A104" s="1">
        <v>93</v>
      </c>
      <c r="B104" s="1">
        <v>1.0002642345447139</v>
      </c>
      <c r="C104" s="1">
        <v>1.5815840296635615</v>
      </c>
      <c r="D104" s="1">
        <v>0.62016017791032862</v>
      </c>
      <c r="E104" s="19">
        <v>2.1753671617034697E-3</v>
      </c>
      <c r="F104" s="19">
        <v>2.1912799999999999E-3</v>
      </c>
      <c r="G104" s="1">
        <v>0.98328222376123708</v>
      </c>
      <c r="H104" s="1">
        <f t="shared" si="1"/>
        <v>7.6792646701203116E-3</v>
      </c>
      <c r="I104" s="20">
        <f>E104-N104</f>
        <v>1.2996287540193406E-4</v>
      </c>
      <c r="K104" s="1">
        <v>1.0001008959968358</v>
      </c>
      <c r="L104" s="1">
        <v>1.6314664833672485</v>
      </c>
      <c r="M104" s="1">
        <v>0.60120363680407296</v>
      </c>
      <c r="N104" s="19">
        <v>2.0454042863015357E-3</v>
      </c>
      <c r="O104" s="19">
        <v>1.9795843940000001E-3</v>
      </c>
      <c r="P104" s="1">
        <v>0.98427309662189777</v>
      </c>
    </row>
    <row r="105" spans="1:16" x14ac:dyDescent="0.2">
      <c r="A105" s="1">
        <v>94</v>
      </c>
      <c r="B105" s="1">
        <v>1.000290825591003</v>
      </c>
      <c r="C105" s="1">
        <v>1.5610363003946333</v>
      </c>
      <c r="D105" s="1">
        <v>0.62818325569926314</v>
      </c>
      <c r="E105" s="19">
        <v>2.2599886845680473E-3</v>
      </c>
      <c r="F105" s="19">
        <v>2.2762300000000002E-3</v>
      </c>
      <c r="G105" s="1">
        <v>0.98245253710489888</v>
      </c>
      <c r="H105" s="1">
        <f t="shared" si="1"/>
        <v>8.978957338843907E-3</v>
      </c>
      <c r="I105" s="20">
        <f>E105-N105</f>
        <v>1.4885652863104969E-4</v>
      </c>
      <c r="K105" s="1">
        <v>1.0000439947955904</v>
      </c>
      <c r="L105" s="1">
        <v>1.6170777368708102</v>
      </c>
      <c r="M105" s="1">
        <v>0.60639585479975355</v>
      </c>
      <c r="N105" s="19">
        <v>2.1111321559369976E-3</v>
      </c>
      <c r="O105" s="19">
        <v>2.0443442880000002E-3</v>
      </c>
      <c r="P105" s="1">
        <v>0.98359878697794279</v>
      </c>
    </row>
    <row r="106" spans="1:16" x14ac:dyDescent="0.2">
      <c r="A106" s="1">
        <v>95</v>
      </c>
      <c r="B106" s="1">
        <v>1.0003199488172265</v>
      </c>
      <c r="C106" s="1">
        <v>1.5650857651455803</v>
      </c>
      <c r="D106" s="1">
        <v>0.62644429579941707</v>
      </c>
      <c r="E106" s="19">
        <v>2.3468021392378771E-3</v>
      </c>
      <c r="F106" s="19">
        <v>2.3632700000000002E-3</v>
      </c>
      <c r="G106" s="1">
        <v>0.98159267269399386</v>
      </c>
      <c r="H106" s="1">
        <f t="shared" si="1"/>
        <v>1.0359700401383065E-2</v>
      </c>
      <c r="I106" s="20">
        <f>E106-N106</f>
        <v>1.6828361939138755E-4</v>
      </c>
      <c r="K106" s="1">
        <v>1.0000327071760571</v>
      </c>
      <c r="L106" s="1">
        <v>1.6546879658116156</v>
      </c>
      <c r="M106" s="1">
        <v>0.5924943345600503</v>
      </c>
      <c r="N106" s="19">
        <v>2.1785185198464896E-3</v>
      </c>
      <c r="O106" s="19">
        <v>2.1109206390000001E-3</v>
      </c>
      <c r="P106" s="1">
        <v>0.98290126642890541</v>
      </c>
    </row>
    <row r="107" spans="1:16" x14ac:dyDescent="0.2">
      <c r="A107" s="1">
        <v>96</v>
      </c>
      <c r="B107" s="1">
        <v>1.0003191018019271</v>
      </c>
      <c r="C107" s="1">
        <v>1.6065653015847725</v>
      </c>
      <c r="D107" s="1">
        <v>0.61013057008444849</v>
      </c>
      <c r="E107" s="19">
        <v>2.4356044412002153E-3</v>
      </c>
      <c r="F107" s="19">
        <v>2.4522900000000002E-3</v>
      </c>
      <c r="G107" s="1">
        <v>0.98070376692914796</v>
      </c>
      <c r="H107" s="1">
        <f t="shared" si="1"/>
        <v>1.181601141614852E-2</v>
      </c>
      <c r="I107" s="20">
        <f>E107-N107</f>
        <v>1.8811622375497364E-4</v>
      </c>
      <c r="K107" s="1">
        <v>1.0001267756312124</v>
      </c>
      <c r="L107" s="1">
        <v>1.6479196385482475</v>
      </c>
      <c r="M107" s="1">
        <v>0.59480892525913109</v>
      </c>
      <c r="N107" s="19">
        <v>2.2474882174452417E-3</v>
      </c>
      <c r="O107" s="19">
        <v>2.1791826160000001E-3</v>
      </c>
      <c r="P107" s="1">
        <v>0.98218076835616652</v>
      </c>
    </row>
    <row r="108" spans="1:16" x14ac:dyDescent="0.2">
      <c r="A108" s="1">
        <v>97</v>
      </c>
      <c r="B108" s="1">
        <v>1.0002549687876801</v>
      </c>
      <c r="C108" s="1">
        <v>1.6212884968587444</v>
      </c>
      <c r="D108" s="1">
        <v>0.60443442877521358</v>
      </c>
      <c r="E108" s="19">
        <v>2.5262511994514291E-3</v>
      </c>
      <c r="F108" s="19">
        <v>2.5430600000000002E-3</v>
      </c>
      <c r="G108" s="1">
        <v>0.97978655650016622</v>
      </c>
      <c r="H108" s="1">
        <f t="shared" si="1"/>
        <v>1.3353983186446103E-2</v>
      </c>
      <c r="I108" s="20">
        <f>E108-N108</f>
        <v>2.0841668924147022E-4</v>
      </c>
      <c r="K108" s="1">
        <v>1.0000756905877726</v>
      </c>
      <c r="L108" s="1">
        <v>1.6642775911867307</v>
      </c>
      <c r="M108" s="1">
        <v>0.58883006320411779</v>
      </c>
      <c r="N108" s="19">
        <v>2.3178345102099589E-3</v>
      </c>
      <c r="O108" s="19">
        <v>2.248999387E-3</v>
      </c>
      <c r="P108" s="1">
        <v>0.98143859565725233</v>
      </c>
    </row>
    <row r="109" spans="1:16" x14ac:dyDescent="0.2">
      <c r="A109" s="1">
        <v>98</v>
      </c>
      <c r="B109" s="1">
        <v>1.0002332434386074</v>
      </c>
      <c r="C109" s="1">
        <v>1.6041324844350697</v>
      </c>
      <c r="D109" s="1">
        <v>0.61079413385261572</v>
      </c>
      <c r="E109" s="19">
        <v>2.6178976979355567E-3</v>
      </c>
      <c r="F109" s="19">
        <v>2.63503E-3</v>
      </c>
      <c r="G109" s="1">
        <v>0.97884742356556309</v>
      </c>
      <c r="H109" s="1">
        <f t="shared" si="1"/>
        <v>1.4926680983056939E-2</v>
      </c>
      <c r="I109" s="20">
        <f>E109-N109</f>
        <v>2.2843015568832937E-4</v>
      </c>
      <c r="K109" s="1">
        <v>1.0000943184288709</v>
      </c>
      <c r="L109" s="1">
        <v>1.6770808652291065</v>
      </c>
      <c r="M109" s="1">
        <v>0.58419912757080339</v>
      </c>
      <c r="N109" s="19">
        <v>2.3894675422472273E-3</v>
      </c>
      <c r="O109" s="19">
        <v>2.3202398879999999E-3</v>
      </c>
      <c r="P109" s="1">
        <v>0.98067518042063129</v>
      </c>
    </row>
    <row r="110" spans="1:16" x14ac:dyDescent="0.2">
      <c r="A110" s="1">
        <v>99</v>
      </c>
      <c r="B110" s="1">
        <v>1.0002387010915714</v>
      </c>
      <c r="C110" s="1">
        <v>1.6024436334738672</v>
      </c>
      <c r="D110" s="1">
        <v>0.61132842712686608</v>
      </c>
      <c r="E110" s="19">
        <v>2.7101277219117761E-3</v>
      </c>
      <c r="F110" s="19">
        <v>2.7275699999999999E-3</v>
      </c>
      <c r="G110" s="1">
        <v>0.9778895462639362</v>
      </c>
      <c r="H110" s="1">
        <f t="shared" si="1"/>
        <v>1.6515700996846516E-2</v>
      </c>
      <c r="I110" s="20">
        <f>E110-N110</f>
        <v>2.478878000322835E-4</v>
      </c>
      <c r="K110" s="1">
        <v>1.0001336060215502</v>
      </c>
      <c r="L110" s="1">
        <v>1.7115980413150829</v>
      </c>
      <c r="M110" s="1">
        <v>0.57232139672048887</v>
      </c>
      <c r="N110" s="19">
        <v>2.4622399218794926E-3</v>
      </c>
      <c r="O110" s="19">
        <v>2.392772131E-3</v>
      </c>
      <c r="P110" s="1">
        <v>0.97989144941506912</v>
      </c>
    </row>
    <row r="111" spans="1:16" x14ac:dyDescent="0.2">
      <c r="A111" s="1">
        <v>100</v>
      </c>
      <c r="B111" s="1">
        <v>1.0002761918036669</v>
      </c>
      <c r="C111" s="1">
        <v>1.6149622479900891</v>
      </c>
      <c r="D111" s="1">
        <v>0.60643503910099039</v>
      </c>
      <c r="E111" s="19">
        <v>2.8021770256023136E-3</v>
      </c>
      <c r="F111" s="19">
        <v>2.8200399999999998E-3</v>
      </c>
      <c r="G111" s="1">
        <v>0.9769190605891952</v>
      </c>
      <c r="H111" s="1">
        <f t="shared" si="1"/>
        <v>1.8071176707469088E-2</v>
      </c>
      <c r="I111" s="20">
        <f>E111-N111</f>
        <v>2.6607787816689682E-4</v>
      </c>
      <c r="K111" s="1">
        <v>1.0001316471659363</v>
      </c>
      <c r="L111" s="1">
        <v>1.7011384484004926</v>
      </c>
      <c r="M111" s="1">
        <v>0.57571929053766024</v>
      </c>
      <c r="N111" s="19">
        <v>2.5360991474354167E-3</v>
      </c>
      <c r="O111" s="19">
        <v>2.4664638939999998E-3</v>
      </c>
      <c r="P111" s="1">
        <v>0.97908760179409149</v>
      </c>
    </row>
    <row r="112" spans="1:16" x14ac:dyDescent="0.2">
      <c r="A112" s="1">
        <v>101</v>
      </c>
      <c r="B112" s="1">
        <v>1.0002646715419028</v>
      </c>
      <c r="C112" s="1">
        <v>1.6412048596365094</v>
      </c>
      <c r="D112" s="1">
        <v>0.59660412352475212</v>
      </c>
      <c r="E112" s="19">
        <v>2.8934177497817798E-3</v>
      </c>
      <c r="F112" s="19">
        <v>2.9118199999999999E-3</v>
      </c>
      <c r="G112" s="1">
        <v>0.97594120737636969</v>
      </c>
      <c r="H112" s="1">
        <f t="shared" si="1"/>
        <v>1.955693744958854E-2</v>
      </c>
      <c r="I112" s="20">
        <f>E112-N112</f>
        <v>2.8254032911573333E-4</v>
      </c>
      <c r="K112" s="1">
        <v>1.000111000824474</v>
      </c>
      <c r="L112" s="1">
        <v>1.733225842162454</v>
      </c>
      <c r="M112" s="1">
        <v>0.56497445545078873</v>
      </c>
      <c r="N112" s="19">
        <v>2.6108774206660464E-3</v>
      </c>
      <c r="O112" s="19">
        <v>2.541182958E-3</v>
      </c>
      <c r="P112" s="1">
        <v>0.97826480390503368</v>
      </c>
    </row>
    <row r="113" spans="1:16" x14ac:dyDescent="0.2">
      <c r="A113" s="1">
        <v>102</v>
      </c>
      <c r="B113" s="1">
        <v>1.0002786645718973</v>
      </c>
      <c r="C113" s="1">
        <v>1.6408770931230949</v>
      </c>
      <c r="D113" s="1">
        <v>0.59659347093438764</v>
      </c>
      <c r="E113" s="19">
        <v>2.9833956397402623E-3</v>
      </c>
      <c r="F113" s="19">
        <v>3.0022600000000001E-3</v>
      </c>
      <c r="G113" s="1">
        <v>0.9749599722420097</v>
      </c>
      <c r="H113" s="1">
        <f t="shared" si="1"/>
        <v>2.0949279008306121E-2</v>
      </c>
      <c r="I113" s="20">
        <f>E113-N113</f>
        <v>2.9702711027151593E-4</v>
      </c>
      <c r="K113" s="1">
        <v>1.0001400438774561</v>
      </c>
      <c r="L113" s="1">
        <v>1.7436889014023389</v>
      </c>
      <c r="M113" s="1">
        <v>0.56141432656301682</v>
      </c>
      <c r="N113" s="19">
        <v>2.6863685294687464E-3</v>
      </c>
      <c r="O113" s="19">
        <v>2.6167971020000002E-3</v>
      </c>
      <c r="P113" s="1">
        <v>0.97742459330181042</v>
      </c>
    </row>
    <row r="114" spans="1:16" x14ac:dyDescent="0.2">
      <c r="A114" s="1">
        <v>103</v>
      </c>
      <c r="B114" s="1">
        <v>1.0003220532512243</v>
      </c>
      <c r="C114" s="1">
        <v>1.6414532467506102</v>
      </c>
      <c r="D114" s="1">
        <v>0.59630326687820134</v>
      </c>
      <c r="E114" s="19">
        <v>3.0713639238138133E-3</v>
      </c>
      <c r="F114" s="19">
        <v>3.0907199999999999E-3</v>
      </c>
      <c r="G114" s="1">
        <v>0.97398191785154964</v>
      </c>
      <c r="H114" s="1">
        <f t="shared" si="1"/>
        <v>2.2186444835396817E-2</v>
      </c>
      <c r="I114" s="20">
        <f>E114-N114</f>
        <v>3.0878003981197472E-4</v>
      </c>
      <c r="K114" s="1">
        <v>1.0001298783537063</v>
      </c>
      <c r="L114" s="1">
        <v>1.7398596399359576</v>
      </c>
      <c r="M114" s="1">
        <v>0.56256275570943415</v>
      </c>
      <c r="N114" s="19">
        <v>2.7625838840018386E-3</v>
      </c>
      <c r="O114" s="19">
        <v>2.693174104E-3</v>
      </c>
      <c r="P114" s="1">
        <v>0.97656674637606189</v>
      </c>
    </row>
    <row r="115" spans="1:16" x14ac:dyDescent="0.2">
      <c r="A115" s="1">
        <v>104</v>
      </c>
      <c r="B115" s="1">
        <v>1.0003720688121551</v>
      </c>
      <c r="C115" s="1">
        <v>1.6351726276851755</v>
      </c>
      <c r="D115" s="1">
        <v>0.59845260206024309</v>
      </c>
      <c r="E115" s="19">
        <v>3.1569171354493874E-3</v>
      </c>
      <c r="F115" s="19">
        <v>3.1765700000000001E-3</v>
      </c>
      <c r="G115" s="1">
        <v>0.97301094464665772</v>
      </c>
      <c r="H115" s="1">
        <f t="shared" si="1"/>
        <v>2.3244950660636182E-2</v>
      </c>
      <c r="I115" s="20">
        <f>E115-N115</f>
        <v>3.1762072717599456E-4</v>
      </c>
      <c r="K115" s="1">
        <v>1.0001325818973594</v>
      </c>
      <c r="L115" s="1">
        <v>1.7853214180325074</v>
      </c>
      <c r="M115" s="1">
        <v>0.54812458258415153</v>
      </c>
      <c r="N115" s="19">
        <v>2.8392964082733928E-3</v>
      </c>
      <c r="O115" s="19">
        <v>2.7701813990000002E-3</v>
      </c>
      <c r="P115" s="1">
        <v>0.97569305433826958</v>
      </c>
    </row>
    <row r="116" spans="1:16" x14ac:dyDescent="0.2">
      <c r="A116" s="1">
        <v>105</v>
      </c>
      <c r="B116" s="1">
        <v>1.0004452814826981</v>
      </c>
      <c r="C116" s="1">
        <v>1.6319581029201022</v>
      </c>
      <c r="D116" s="1">
        <v>0.5994642260740316</v>
      </c>
      <c r="E116" s="19">
        <v>3.2389665668503022E-3</v>
      </c>
      <c r="F116" s="19">
        <v>3.2591500000000002E-3</v>
      </c>
      <c r="G116" s="1">
        <v>0.97205688024824488</v>
      </c>
      <c r="H116" s="1">
        <f t="shared" si="1"/>
        <v>2.4045523791135087E-2</v>
      </c>
      <c r="I116" s="20">
        <f>E116-N116</f>
        <v>3.2263634687358742E-4</v>
      </c>
      <c r="K116" s="1">
        <v>1.0001985559699094</v>
      </c>
      <c r="L116" s="1">
        <v>1.7750425095201092</v>
      </c>
      <c r="M116" s="1">
        <v>0.55115617826143071</v>
      </c>
      <c r="N116" s="19">
        <v>2.9163302199767148E-3</v>
      </c>
      <c r="O116" s="19">
        <v>2.8476850359999998E-3</v>
      </c>
      <c r="P116" s="1">
        <v>0.97480494011008889</v>
      </c>
    </row>
    <row r="117" spans="1:16" x14ac:dyDescent="0.2">
      <c r="A117" s="1">
        <v>106</v>
      </c>
      <c r="B117" s="1">
        <v>1.0004879402637259</v>
      </c>
      <c r="C117" s="1">
        <v>1.6343654968876558</v>
      </c>
      <c r="D117" s="1">
        <v>0.59847781223801666</v>
      </c>
      <c r="E117" s="19">
        <v>3.3173154996108275E-3</v>
      </c>
      <c r="F117" s="19">
        <v>3.3378100000000001E-3</v>
      </c>
      <c r="G117" s="1">
        <v>0.97112221494534856</v>
      </c>
      <c r="H117" s="1">
        <f t="shared" si="1"/>
        <v>2.4560700075271336E-2</v>
      </c>
      <c r="I117" s="20">
        <f>E117-N117</f>
        <v>3.2366566586168426E-4</v>
      </c>
      <c r="K117" s="1">
        <v>1.0001436979218776</v>
      </c>
      <c r="L117" s="1">
        <v>1.7851780231768655</v>
      </c>
      <c r="M117" s="1">
        <v>0.54796148383507015</v>
      </c>
      <c r="N117" s="19">
        <v>2.9936498337491432E-3</v>
      </c>
      <c r="O117" s="19">
        <v>2.925550719E-3</v>
      </c>
      <c r="P117" s="1">
        <v>0.97390267155764343</v>
      </c>
    </row>
    <row r="118" spans="1:16" x14ac:dyDescent="0.2">
      <c r="A118" s="1">
        <v>107</v>
      </c>
      <c r="B118" s="1">
        <v>1.0004027310909389</v>
      </c>
      <c r="C118" s="1">
        <v>1.6336815380760707</v>
      </c>
      <c r="D118" s="1">
        <v>0.59864040766540616</v>
      </c>
      <c r="E118" s="19">
        <v>3.3910058526805719E-3</v>
      </c>
      <c r="F118" s="19">
        <v>3.4119100000000002E-3</v>
      </c>
      <c r="G118" s="1">
        <v>0.97021608053653907</v>
      </c>
      <c r="H118" s="1">
        <f t="shared" si="1"/>
        <v>2.4726783169056705E-2</v>
      </c>
      <c r="I118" s="20">
        <f>E118-N118</f>
        <v>3.2009152142501319E-4</v>
      </c>
      <c r="K118" s="1">
        <v>1.0001331173190717</v>
      </c>
      <c r="L118" s="1">
        <v>1.8010981599571279</v>
      </c>
      <c r="M118" s="1">
        <v>0.54297033870918532</v>
      </c>
      <c r="N118" s="19">
        <v>3.0709143312555587E-3</v>
      </c>
      <c r="O118" s="19">
        <v>3.003644154E-3</v>
      </c>
      <c r="P118" s="1">
        <v>0.97298917771437721</v>
      </c>
    </row>
    <row r="119" spans="1:16" x14ac:dyDescent="0.2">
      <c r="A119" s="1">
        <v>108</v>
      </c>
      <c r="B119" s="1">
        <v>1.0003186765088183</v>
      </c>
      <c r="C119" s="1">
        <v>1.6003071850747999</v>
      </c>
      <c r="D119" s="1">
        <v>0.61096700372214052</v>
      </c>
      <c r="E119" s="19">
        <v>3.4594296752904399E-3</v>
      </c>
      <c r="F119" s="19">
        <v>3.4808E-3</v>
      </c>
      <c r="G119" s="1">
        <v>0.96934483155522866</v>
      </c>
      <c r="H119" s="1">
        <f t="shared" si="1"/>
        <v>2.4485515875646735E-2</v>
      </c>
      <c r="I119" s="20">
        <f>E119-N119</f>
        <v>3.1141332779767873E-4</v>
      </c>
      <c r="K119" s="1">
        <v>1.000071607344625</v>
      </c>
      <c r="L119" s="1">
        <v>1.7663596052633928</v>
      </c>
      <c r="M119" s="1">
        <v>0.55351872595112073</v>
      </c>
      <c r="N119" s="19">
        <v>3.1480163474927611E-3</v>
      </c>
      <c r="O119" s="19">
        <v>3.081831043E-3</v>
      </c>
      <c r="P119" s="1">
        <v>0.97206544443030052</v>
      </c>
    </row>
    <row r="120" spans="1:16" x14ac:dyDescent="0.2">
      <c r="A120" s="1">
        <v>109</v>
      </c>
      <c r="B120" s="1">
        <v>1.0003271593226288</v>
      </c>
      <c r="C120" s="1">
        <v>1.6079078981559365</v>
      </c>
      <c r="D120" s="1">
        <v>0.6079683385715362</v>
      </c>
      <c r="E120" s="19">
        <v>3.5222201116344195E-3</v>
      </c>
      <c r="F120" s="19">
        <v>3.54404E-3</v>
      </c>
      <c r="G120" s="1">
        <v>0.96851287802454467</v>
      </c>
      <c r="H120" s="1">
        <f t="shared" si="1"/>
        <v>2.3792397446676345E-2</v>
      </c>
      <c r="I120" s="20">
        <f>E120-N120</f>
        <v>2.9734160935052318E-4</v>
      </c>
      <c r="K120" s="1">
        <v>1.0000695527083898</v>
      </c>
      <c r="L120" s="1">
        <v>1.7348202337097813</v>
      </c>
      <c r="M120" s="1">
        <v>0.56352308174739607</v>
      </c>
      <c r="N120" s="19">
        <v>3.2248785022838964E-3</v>
      </c>
      <c r="O120" s="19">
        <v>3.1599770920000001E-3</v>
      </c>
      <c r="P120" s="1">
        <v>0.97113222453243564</v>
      </c>
    </row>
    <row r="121" spans="1:16" x14ac:dyDescent="0.2">
      <c r="A121" s="1">
        <v>110</v>
      </c>
      <c r="B121" s="1">
        <v>1.0002952364305384</v>
      </c>
      <c r="C121" s="1">
        <v>1.5893381698401334</v>
      </c>
      <c r="D121" s="1">
        <v>0.61492100132291538</v>
      </c>
      <c r="E121" s="19">
        <v>3.579916527505448E-3</v>
      </c>
      <c r="F121" s="19">
        <v>3.6020900000000001E-3</v>
      </c>
      <c r="G121" s="1">
        <v>0.96771669838151941</v>
      </c>
      <c r="H121" s="1">
        <f t="shared" si="1"/>
        <v>2.2675374035499296E-2</v>
      </c>
      <c r="I121" s="20">
        <f>E121-N121</f>
        <v>2.7850235049595076E-4</v>
      </c>
      <c r="K121" s="1">
        <v>1.0001231742415508</v>
      </c>
      <c r="L121" s="1">
        <v>1.7363190235922397</v>
      </c>
      <c r="M121" s="1">
        <v>0.56288749912159564</v>
      </c>
      <c r="N121" s="19">
        <v>3.3014141770094972E-3</v>
      </c>
      <c r="O121" s="19">
        <v>3.2379476149999998E-3</v>
      </c>
      <c r="P121" s="1">
        <v>0.97019037554902843</v>
      </c>
    </row>
    <row r="122" spans="1:16" x14ac:dyDescent="0.2">
      <c r="A122" s="1">
        <v>111</v>
      </c>
      <c r="B122" s="1">
        <v>1.0002782919632258</v>
      </c>
      <c r="C122" s="1">
        <v>1.6067898939064313</v>
      </c>
      <c r="D122" s="1">
        <v>0.60812177951197</v>
      </c>
      <c r="E122" s="19">
        <v>3.6330740269370672E-3</v>
      </c>
      <c r="F122" s="19">
        <v>3.6556100000000001E-3</v>
      </c>
      <c r="G122" s="1">
        <v>0.96695247193798628</v>
      </c>
      <c r="H122" s="1">
        <f t="shared" si="1"/>
        <v>2.1178739400945862E-2</v>
      </c>
      <c r="I122" s="20">
        <f>E122-N122</f>
        <v>2.5568064229633883E-4</v>
      </c>
      <c r="K122" s="1">
        <v>1.0000900118277092</v>
      </c>
      <c r="L122" s="1">
        <v>1.7289847148613926</v>
      </c>
      <c r="M122" s="1">
        <v>0.56514206263068101</v>
      </c>
      <c r="N122" s="19">
        <v>3.3773933846407284E-3</v>
      </c>
      <c r="O122" s="19">
        <v>3.3156063719999998E-3</v>
      </c>
      <c r="P122" s="1">
        <v>0.96924206538673718</v>
      </c>
    </row>
    <row r="123" spans="1:16" x14ac:dyDescent="0.2">
      <c r="A123" s="1">
        <v>112</v>
      </c>
      <c r="B123" s="1">
        <v>1.0002918409253341</v>
      </c>
      <c r="C123" s="1">
        <v>1.6178087577258733</v>
      </c>
      <c r="D123" s="1">
        <v>0.60385843919722704</v>
      </c>
      <c r="E123" s="19">
        <v>3.6824552625245722E-3</v>
      </c>
      <c r="F123" s="19">
        <v>3.7052500000000002E-3</v>
      </c>
      <c r="G123" s="1">
        <v>0.96621434277694407</v>
      </c>
      <c r="H123" s="1">
        <f t="shared" si="1"/>
        <v>1.935299761931682E-2</v>
      </c>
      <c r="I123" s="20">
        <f>E123-N123</f>
        <v>2.2968657896170041E-4</v>
      </c>
      <c r="K123" s="1">
        <v>1.0001359431703252</v>
      </c>
      <c r="L123" s="1">
        <v>1.7546479684184284</v>
      </c>
      <c r="M123" s="1">
        <v>0.55676408319204451</v>
      </c>
      <c r="N123" s="19">
        <v>3.4527686835628718E-3</v>
      </c>
      <c r="O123" s="19">
        <v>3.392816733E-3</v>
      </c>
      <c r="P123" s="1">
        <v>0.96828787823615659</v>
      </c>
    </row>
    <row r="124" spans="1:16" x14ac:dyDescent="0.2">
      <c r="A124" s="1">
        <v>113</v>
      </c>
      <c r="B124" s="1">
        <v>1.0003490968863811</v>
      </c>
      <c r="C124" s="1">
        <v>1.6355357054000357</v>
      </c>
      <c r="D124" s="1">
        <v>0.59716961750482878</v>
      </c>
      <c r="E124" s="19">
        <v>3.728635001405585E-3</v>
      </c>
      <c r="F124" s="19">
        <v>3.7516899999999998E-3</v>
      </c>
      <c r="G124" s="1">
        <v>0.96549793787153104</v>
      </c>
      <c r="H124" s="1">
        <f t="shared" si="1"/>
        <v>1.7241696554087294E-2</v>
      </c>
      <c r="I124" s="20">
        <f>E124-N124</f>
        <v>2.011975915196312E-4</v>
      </c>
      <c r="K124" s="1">
        <v>1.0001194332711134</v>
      </c>
      <c r="L124" s="1">
        <v>1.7919506652884445</v>
      </c>
      <c r="M124" s="1">
        <v>0.5450395853880734</v>
      </c>
      <c r="N124" s="19">
        <v>3.5274374098859538E-3</v>
      </c>
      <c r="O124" s="19">
        <v>3.4694420689999998E-3</v>
      </c>
      <c r="P124" s="1">
        <v>0.96732891449674385</v>
      </c>
    </row>
    <row r="125" spans="1:16" x14ac:dyDescent="0.2">
      <c r="A125" s="1">
        <v>114</v>
      </c>
      <c r="B125" s="1">
        <v>1.0004535676379782</v>
      </c>
      <c r="C125" s="1">
        <v>1.6283154600341203</v>
      </c>
      <c r="D125" s="1">
        <v>0.59968495903314101</v>
      </c>
      <c r="E125" s="19">
        <v>3.7722798698905636E-3</v>
      </c>
      <c r="F125" s="19">
        <v>3.7956000000000001E-3</v>
      </c>
      <c r="G125" s="1">
        <v>0.96479787189016974</v>
      </c>
      <c r="H125" s="1">
        <f t="shared" si="1"/>
        <v>1.4895665820131965E-2</v>
      </c>
      <c r="I125" s="20">
        <f>E125-N125</f>
        <v>1.7093213204848754E-4</v>
      </c>
      <c r="K125" s="1">
        <v>1.0001259464737944</v>
      </c>
      <c r="L125" s="1">
        <v>1.8302608304664243</v>
      </c>
      <c r="M125" s="1">
        <v>0.53354443266226459</v>
      </c>
      <c r="N125" s="19">
        <v>3.601347737842076E-3</v>
      </c>
      <c r="O125" s="19">
        <v>3.5453457510000001E-3</v>
      </c>
      <c r="P125" s="1">
        <v>0.96636583671334153</v>
      </c>
    </row>
    <row r="126" spans="1:16" x14ac:dyDescent="0.2">
      <c r="A126" s="1">
        <v>115</v>
      </c>
      <c r="B126" s="1">
        <v>1.0004529217764007</v>
      </c>
      <c r="C126" s="1">
        <v>1.6735723641835492</v>
      </c>
      <c r="D126" s="1">
        <v>0.58342075119882797</v>
      </c>
      <c r="E126" s="19">
        <v>3.8140226674068479E-3</v>
      </c>
      <c r="F126" s="19">
        <v>3.8376199999999999E-3</v>
      </c>
      <c r="G126" s="1">
        <v>0.96410887433950176</v>
      </c>
      <c r="H126" s="1">
        <f t="shared" si="1"/>
        <v>1.2370532172868617E-2</v>
      </c>
      <c r="I126" s="20">
        <f>E126-N126</f>
        <v>1.3961707631767861E-4</v>
      </c>
      <c r="K126" s="1">
        <v>1.0001435014819762</v>
      </c>
      <c r="L126" s="1">
        <v>1.841775831928764</v>
      </c>
      <c r="M126" s="1">
        <v>0.53007874844211955</v>
      </c>
      <c r="N126" s="19">
        <v>3.6744055910891693E-3</v>
      </c>
      <c r="O126" s="19">
        <v>3.620391148E-3</v>
      </c>
      <c r="P126" s="1">
        <v>0.96539971247927936</v>
      </c>
    </row>
    <row r="127" spans="1:16" x14ac:dyDescent="0.2">
      <c r="A127" s="1">
        <v>116</v>
      </c>
      <c r="B127" s="1">
        <v>1.000415055489895</v>
      </c>
      <c r="C127" s="1">
        <v>1.6732117506191042</v>
      </c>
      <c r="D127" s="1">
        <v>0.58340210907534917</v>
      </c>
      <c r="E127" s="19">
        <v>3.8547861929305273E-3</v>
      </c>
      <c r="F127" s="19">
        <v>3.8784499999999999E-3</v>
      </c>
      <c r="G127" s="1">
        <v>0.96342278620904276</v>
      </c>
      <c r="H127" s="1">
        <f t="shared" si="1"/>
        <v>9.783313279719005E-3</v>
      </c>
      <c r="I127" s="20">
        <f>E127-N127</f>
        <v>1.0861443543829863E-4</v>
      </c>
      <c r="K127" s="1">
        <v>1.0000408164749921</v>
      </c>
      <c r="L127" s="1">
        <v>1.8186643948121872</v>
      </c>
      <c r="M127" s="1">
        <v>0.53670324440160422</v>
      </c>
      <c r="N127" s="19">
        <v>3.7461717574922286E-3</v>
      </c>
      <c r="O127" s="19">
        <v>3.6944411879999998E-3</v>
      </c>
      <c r="P127" s="1">
        <v>0.96443485310004817</v>
      </c>
    </row>
    <row r="128" spans="1:16" x14ac:dyDescent="0.2">
      <c r="A128" s="1">
        <v>117</v>
      </c>
      <c r="B128" s="1">
        <v>1.0004417760687965</v>
      </c>
      <c r="C128" s="1">
        <v>1.6906257076681475</v>
      </c>
      <c r="D128" s="1">
        <v>0.57726870119510565</v>
      </c>
      <c r="E128" s="19">
        <v>3.8949117657473406E-3</v>
      </c>
      <c r="F128" s="19">
        <v>3.9187500000000004E-3</v>
      </c>
      <c r="G128" s="1">
        <v>0.9627366338215938</v>
      </c>
      <c r="H128" s="1">
        <f t="shared" si="1"/>
        <v>7.1747129233388496E-3</v>
      </c>
      <c r="I128" s="20">
        <f>E128-N128</f>
        <v>7.8364952688293743E-5</v>
      </c>
      <c r="K128" s="1">
        <v>1.0000107294118152</v>
      </c>
      <c r="L128" s="1">
        <v>1.8244373987960079</v>
      </c>
      <c r="M128" s="1">
        <v>0.53489921987263267</v>
      </c>
      <c r="N128" s="19">
        <v>3.8165468130590468E-3</v>
      </c>
      <c r="O128" s="19">
        <v>3.7673570230000002E-3</v>
      </c>
      <c r="P128" s="1">
        <v>0.96347250181373112</v>
      </c>
    </row>
    <row r="129" spans="1:16" x14ac:dyDescent="0.2">
      <c r="A129" s="1">
        <v>118</v>
      </c>
      <c r="B129" s="1">
        <v>1.0004930617170156</v>
      </c>
      <c r="C129" s="1">
        <v>1.652502706997834</v>
      </c>
      <c r="D129" s="1">
        <v>0.59044293032705786</v>
      </c>
      <c r="E129" s="19">
        <v>3.9350323568447003E-3</v>
      </c>
      <c r="F129" s="19">
        <v>3.9591899999999996E-3</v>
      </c>
      <c r="G129" s="1">
        <v>0.96204458345517574</v>
      </c>
      <c r="H129" s="1">
        <f t="shared" si="1"/>
        <v>4.5931767529260497E-3</v>
      </c>
      <c r="I129" s="20">
        <f>E129-N129</f>
        <v>4.9364077603187423E-5</v>
      </c>
      <c r="K129" s="1">
        <v>0.9999909512885985</v>
      </c>
      <c r="L129" s="1">
        <v>1.819183175155749</v>
      </c>
      <c r="M129" s="1">
        <v>0.53634511729454215</v>
      </c>
      <c r="N129" s="19">
        <v>3.8856682792415128E-3</v>
      </c>
      <c r="O129" s="19">
        <v>3.8389993609999999E-3</v>
      </c>
      <c r="P129" s="1">
        <v>0.96251168617581229</v>
      </c>
    </row>
    <row r="130" spans="1:16" x14ac:dyDescent="0.2">
      <c r="A130" s="1">
        <v>119</v>
      </c>
      <c r="B130" s="1">
        <v>1.0004533119580958</v>
      </c>
      <c r="C130" s="1">
        <v>1.637992715627937</v>
      </c>
      <c r="D130" s="1">
        <v>0.59559118203453953</v>
      </c>
      <c r="E130" s="19">
        <v>3.9759323893390998E-3</v>
      </c>
      <c r="F130" s="19">
        <v>4.00046E-3</v>
      </c>
      <c r="G130" s="1">
        <v>0.96133917157754534</v>
      </c>
      <c r="H130" s="1">
        <f t="shared" si="1"/>
        <v>2.1493407374309679E-3</v>
      </c>
      <c r="I130" s="20">
        <f>E130-N130</f>
        <v>2.273255486664235E-5</v>
      </c>
      <c r="K130" s="1">
        <v>1.0000002958981382</v>
      </c>
      <c r="L130" s="1">
        <v>1.823642410238669</v>
      </c>
      <c r="M130" s="1">
        <v>0.53488449376376146</v>
      </c>
      <c r="N130" s="19">
        <v>3.9531998344724574E-3</v>
      </c>
      <c r="O130" s="19">
        <v>3.9092289119999997E-3</v>
      </c>
      <c r="P130" s="1">
        <v>0.96155591181997535</v>
      </c>
    </row>
    <row r="131" spans="1:16" x14ac:dyDescent="0.2">
      <c r="A131" s="1">
        <v>120</v>
      </c>
      <c r="B131" s="1">
        <v>1.0004705243260406</v>
      </c>
      <c r="C131" s="1">
        <v>1.6690437428707099</v>
      </c>
      <c r="D131" s="1">
        <v>0.58436662979228104</v>
      </c>
      <c r="E131" s="19">
        <v>4.018275662609299E-3</v>
      </c>
      <c r="F131" s="19">
        <v>4.0432200000000001E-3</v>
      </c>
      <c r="G131" s="1">
        <v>0.96061386456023667</v>
      </c>
      <c r="H131" s="1">
        <f t="shared" si="1"/>
        <v>-6.5580729932124271E-5</v>
      </c>
      <c r="I131" s="20">
        <f>E131-N131</f>
        <v>-6.8269838913656566E-7</v>
      </c>
      <c r="K131" s="1">
        <v>1.0000755763508657</v>
      </c>
      <c r="L131" s="1">
        <v>1.7990298937808666</v>
      </c>
      <c r="M131" s="1">
        <v>0.54209808643603263</v>
      </c>
      <c r="N131" s="19">
        <v>4.0189583609984356E-3</v>
      </c>
      <c r="O131" s="19">
        <v>3.9779063829999996E-3</v>
      </c>
      <c r="P131" s="1">
        <v>0.96060730648724346</v>
      </c>
    </row>
    <row r="132" spans="1:16" x14ac:dyDescent="0.2">
      <c r="A132" s="1">
        <v>121</v>
      </c>
      <c r="B132" s="1">
        <v>1.0003776888517977</v>
      </c>
      <c r="C132" s="1">
        <v>1.6304089128738501</v>
      </c>
      <c r="D132" s="1">
        <v>0.59805561030556875</v>
      </c>
      <c r="E132" s="19">
        <v>4.0627329678603122E-3</v>
      </c>
      <c r="F132" s="19">
        <v>4.0880100000000004E-3</v>
      </c>
      <c r="G132" s="1">
        <v>0.95986186954902164</v>
      </c>
      <c r="H132" s="1">
        <f t="shared" si="1"/>
        <v>-1.9619534886720171E-3</v>
      </c>
      <c r="I132" s="20">
        <f>E132-N132</f>
        <v>-2.0105539952668811E-5</v>
      </c>
      <c r="K132" s="1">
        <v>1.0000833921969825</v>
      </c>
      <c r="L132" s="1">
        <v>1.8237969400796086</v>
      </c>
      <c r="M132" s="1">
        <v>0.53463192860176134</v>
      </c>
      <c r="N132" s="19">
        <v>4.082838507812981E-3</v>
      </c>
      <c r="O132" s="19">
        <v>4.0448924840000003E-3</v>
      </c>
      <c r="P132" s="1">
        <v>0.95966729564931863</v>
      </c>
    </row>
    <row r="133" spans="1:16" x14ac:dyDescent="0.2">
      <c r="A133" s="1">
        <v>122</v>
      </c>
      <c r="B133" s="1">
        <v>1.0003796685772512</v>
      </c>
      <c r="C133" s="1">
        <v>1.6476325503815821</v>
      </c>
      <c r="D133" s="1">
        <v>0.5916963897149341</v>
      </c>
      <c r="E133" s="19">
        <v>4.109152703220092E-3</v>
      </c>
      <c r="F133" s="19">
        <v>4.1347600000000003E-3</v>
      </c>
      <c r="G133" s="1">
        <v>0.95908422143107674</v>
      </c>
      <c r="H133" s="1">
        <f t="shared" si="1"/>
        <v>-3.5561877177318624E-3</v>
      </c>
      <c r="I133" s="20">
        <f>E133-N133</f>
        <v>-3.5879796432162353E-5</v>
      </c>
      <c r="K133" s="1">
        <v>1.0000172953186786</v>
      </c>
      <c r="L133" s="1">
        <v>1.8282243149960389</v>
      </c>
      <c r="M133" s="1">
        <v>0.5332803932034369</v>
      </c>
      <c r="N133" s="19">
        <v>4.1450324996522543E-3</v>
      </c>
      <c r="O133" s="19">
        <v>4.1100847479999996E-3</v>
      </c>
      <c r="P133" s="1">
        <v>0.95873443247523427</v>
      </c>
    </row>
    <row r="134" spans="1:16" x14ac:dyDescent="0.2">
      <c r="A134" s="1">
        <v>123</v>
      </c>
      <c r="B134" s="1">
        <v>1.0004096334315966</v>
      </c>
      <c r="C134" s="1">
        <v>1.662985800113099</v>
      </c>
      <c r="D134" s="1">
        <v>0.58609713107040717</v>
      </c>
      <c r="E134" s="19">
        <v>4.1573422173807988E-3</v>
      </c>
      <c r="F134" s="19">
        <v>4.1832800000000002E-3</v>
      </c>
      <c r="G134" s="1">
        <v>0.95828240568177658</v>
      </c>
      <c r="H134" s="1">
        <f t="shared" si="1"/>
        <v>-4.8545573265539044E-3</v>
      </c>
      <c r="I134" s="20">
        <f>E134-N134</f>
        <v>-4.8229830127813171E-5</v>
      </c>
      <c r="K134" s="1">
        <v>1.0000835635534369</v>
      </c>
      <c r="L134" s="1">
        <v>1.8663601926012268</v>
      </c>
      <c r="M134" s="1">
        <v>0.52223815613477365</v>
      </c>
      <c r="N134" s="19">
        <v>4.2055720475086119E-3</v>
      </c>
      <c r="O134" s="19">
        <v>4.1735280120000001E-3</v>
      </c>
      <c r="P134" s="1">
        <v>0.9578087903328445</v>
      </c>
    </row>
    <row r="135" spans="1:16" x14ac:dyDescent="0.2">
      <c r="A135" s="1">
        <v>124</v>
      </c>
      <c r="B135" s="1">
        <v>1.000447796884653</v>
      </c>
      <c r="C135" s="1">
        <v>1.6844553181614375</v>
      </c>
      <c r="D135" s="1">
        <v>0.57852791899962508</v>
      </c>
      <c r="E135" s="19">
        <v>4.2070702859481283E-3</v>
      </c>
      <c r="F135" s="19">
        <v>4.2333600000000002E-3</v>
      </c>
      <c r="G135" s="1">
        <v>0.95745834803384455</v>
      </c>
      <c r="H135" s="1">
        <f t="shared" si="1"/>
        <v>-5.8744554603672077E-3</v>
      </c>
      <c r="I135" s="20">
        <f>E135-N135</f>
        <v>-5.7477227511793481E-5</v>
      </c>
      <c r="K135" s="1">
        <v>1.0001197697404043</v>
      </c>
      <c r="L135" s="1">
        <v>1.8935272763029405</v>
      </c>
      <c r="M135" s="1">
        <v>0.51465198471016815</v>
      </c>
      <c r="N135" s="19">
        <v>4.2645475134599218E-3</v>
      </c>
      <c r="O135" s="19">
        <v>4.2353039359999999E-3</v>
      </c>
      <c r="P135" s="1">
        <v>0.9568898523441316</v>
      </c>
    </row>
    <row r="136" spans="1:16" x14ac:dyDescent="0.2">
      <c r="A136" s="1">
        <v>125</v>
      </c>
      <c r="B136" s="1">
        <v>1.0004197984473853</v>
      </c>
      <c r="C136" s="1">
        <v>1.6976580130540408</v>
      </c>
      <c r="D136" s="1">
        <v>0.57390233025374604</v>
      </c>
      <c r="E136" s="19">
        <v>4.2580509424667897E-3</v>
      </c>
      <c r="F136" s="19">
        <v>4.2848000000000001E-3</v>
      </c>
      <c r="G136" s="1">
        <v>0.95661458866165316</v>
      </c>
      <c r="H136" s="1">
        <f t="shared" si="1"/>
        <v>-6.6539300182429555E-3</v>
      </c>
      <c r="I136" s="20">
        <f>E136-N136</f>
        <v>-6.4125200384669741E-5</v>
      </c>
      <c r="K136" s="1">
        <v>1.0001187855094968</v>
      </c>
      <c r="L136" s="1">
        <v>1.8946034659104067</v>
      </c>
      <c r="M136" s="1">
        <v>0.51425952965097343</v>
      </c>
      <c r="N136" s="19">
        <v>4.3221761428514595E-3</v>
      </c>
      <c r="O136" s="19">
        <v>4.2954941819999997E-3</v>
      </c>
      <c r="P136" s="1">
        <v>0.95597581137990184</v>
      </c>
    </row>
    <row r="137" spans="1:16" x14ac:dyDescent="0.2">
      <c r="A137" s="1">
        <v>126</v>
      </c>
      <c r="B137" s="1">
        <v>1.0003950373277781</v>
      </c>
      <c r="C137" s="1">
        <v>1.7450552152909524</v>
      </c>
      <c r="D137" s="1">
        <v>0.55818780227091969</v>
      </c>
      <c r="E137" s="19">
        <v>4.3101401796678783E-3</v>
      </c>
      <c r="F137" s="19">
        <v>4.3373999999999999E-3</v>
      </c>
      <c r="G137" s="1">
        <v>0.9557523267944642</v>
      </c>
      <c r="H137" s="1">
        <f t="shared" si="1"/>
        <v>-7.1921938106830896E-3</v>
      </c>
      <c r="I137" s="20">
        <f>E137-N137</f>
        <v>-6.8279933887962704E-5</v>
      </c>
      <c r="K137" s="1">
        <v>1.000056813083978</v>
      </c>
      <c r="L137" s="1">
        <v>1.8843232034421127</v>
      </c>
      <c r="M137" s="1">
        <v>0.51697519637128775</v>
      </c>
      <c r="N137" s="19">
        <v>4.378420113555841E-3</v>
      </c>
      <c r="O137" s="19">
        <v>4.3541804100000001E-3</v>
      </c>
      <c r="P137" s="1">
        <v>0.95506735595535153</v>
      </c>
    </row>
    <row r="138" spans="1:16" x14ac:dyDescent="0.2">
      <c r="A138" s="1">
        <v>127</v>
      </c>
      <c r="B138" s="1">
        <v>1.0004314211700038</v>
      </c>
      <c r="C138" s="1">
        <v>1.7364347641897155</v>
      </c>
      <c r="D138" s="1">
        <v>0.56085161765192348</v>
      </c>
      <c r="E138" s="19">
        <v>4.3632189616448587E-3</v>
      </c>
      <c r="F138" s="19">
        <v>4.3909600000000002E-3</v>
      </c>
      <c r="G138" s="1">
        <v>0.95487255212684319</v>
      </c>
      <c r="H138" s="1">
        <f t="shared" si="1"/>
        <v>-7.5081015733872531E-3</v>
      </c>
      <c r="I138" s="20">
        <f>E138-N138</f>
        <v>-7.0226522001356692E-5</v>
      </c>
      <c r="K138" s="1">
        <v>1.0000748013726852</v>
      </c>
      <c r="L138" s="1">
        <v>1.8792712110446821</v>
      </c>
      <c r="M138" s="1">
        <v>0.51822558649277795</v>
      </c>
      <c r="N138" s="19">
        <v>4.4334454836462154E-3</v>
      </c>
      <c r="O138" s="19">
        <v>4.4114442809999998E-3</v>
      </c>
      <c r="P138" s="1">
        <v>0.95416312520652313</v>
      </c>
    </row>
    <row r="139" spans="1:16" x14ac:dyDescent="0.2">
      <c r="A139" s="1">
        <v>128</v>
      </c>
      <c r="B139" s="1">
        <v>1.0004863221946541</v>
      </c>
      <c r="C139" s="1">
        <v>1.7436991385659639</v>
      </c>
      <c r="D139" s="1">
        <v>0.55841055533552841</v>
      </c>
      <c r="E139" s="19">
        <v>4.4168667282066506E-3</v>
      </c>
      <c r="F139" s="19">
        <v>4.4452700000000003E-3</v>
      </c>
      <c r="G139" s="1">
        <v>0.95397935798438482</v>
      </c>
      <c r="H139" s="1">
        <f t="shared" si="1"/>
        <v>-7.6407321952937464E-3</v>
      </c>
      <c r="I139" s="20">
        <f>E139-N139</f>
        <v>-7.0420913526220673E-5</v>
      </c>
      <c r="K139" s="1">
        <v>1.0000611557394119</v>
      </c>
      <c r="L139" s="1">
        <v>1.9134413827477661</v>
      </c>
      <c r="M139" s="1">
        <v>0.50888206383404022</v>
      </c>
      <c r="N139" s="19">
        <v>4.4872876417328712E-3</v>
      </c>
      <c r="O139" s="19">
        <v>4.4673677480000003E-3</v>
      </c>
      <c r="P139" s="1">
        <v>0.95326303934107603</v>
      </c>
    </row>
    <row r="140" spans="1:16" x14ac:dyDescent="0.2">
      <c r="A140" s="1">
        <v>129</v>
      </c>
      <c r="B140" s="1">
        <v>1.000490094078089</v>
      </c>
      <c r="C140" s="1">
        <v>1.7165640354925813</v>
      </c>
      <c r="D140" s="1">
        <v>0.56709262097018132</v>
      </c>
      <c r="E140" s="19">
        <v>4.4710510603623056E-3</v>
      </c>
      <c r="F140" s="19">
        <v>4.5001299999999998E-3</v>
      </c>
      <c r="G140" s="1">
        <v>0.95307298013111852</v>
      </c>
      <c r="H140" s="1">
        <f t="shared" si="1"/>
        <v>-7.5837502290072856E-3</v>
      </c>
      <c r="I140" s="20">
        <f>E140-N140</f>
        <v>-6.8881360638181448E-5</v>
      </c>
      <c r="K140" s="1">
        <v>1.0001435609486966</v>
      </c>
      <c r="L140" s="1">
        <v>1.8866744392016945</v>
      </c>
      <c r="M140" s="1">
        <v>0.51595664304963107</v>
      </c>
      <c r="N140" s="19">
        <v>4.5399324210004871E-3</v>
      </c>
      <c r="O140" s="19">
        <v>4.5220339250000002E-3</v>
      </c>
      <c r="P140" s="1">
        <v>0.95236751499353645</v>
      </c>
    </row>
    <row r="141" spans="1:16" x14ac:dyDescent="0.2">
      <c r="A141" s="1">
        <v>130</v>
      </c>
      <c r="B141" s="1">
        <v>1.0004687176100138</v>
      </c>
      <c r="C141" s="1">
        <v>1.7167616608702627</v>
      </c>
      <c r="D141" s="1">
        <v>0.56693486211129251</v>
      </c>
      <c r="E141" s="19">
        <v>4.525643230953883E-3</v>
      </c>
      <c r="F141" s="19">
        <v>4.5553199999999999E-3</v>
      </c>
      <c r="G141" s="1">
        <v>0.95215465784220854</v>
      </c>
      <c r="H141" s="1">
        <f t="shared" ref="H141:H204" si="2">(P141-G141)*A141/12</f>
        <v>-7.3679024959522983E-3</v>
      </c>
      <c r="I141" s="20">
        <f>E141-N141</f>
        <v>-6.5957974935847499E-5</v>
      </c>
      <c r="K141" s="1">
        <v>1.000124936806672</v>
      </c>
      <c r="L141" s="1">
        <v>1.863005195904208</v>
      </c>
      <c r="M141" s="1">
        <v>0.52245191606198715</v>
      </c>
      <c r="N141" s="19">
        <v>4.5916012058897305E-3</v>
      </c>
      <c r="O141" s="19">
        <v>4.5755262150000003E-3</v>
      </c>
      <c r="P141" s="1">
        <v>0.9514745437656591</v>
      </c>
    </row>
    <row r="142" spans="1:16" x14ac:dyDescent="0.2">
      <c r="A142" s="1">
        <v>131</v>
      </c>
      <c r="B142" s="1">
        <v>1.0004700108422886</v>
      </c>
      <c r="C142" s="1">
        <v>1.7127896523157373</v>
      </c>
      <c r="D142" s="1">
        <v>0.56811980663094919</v>
      </c>
      <c r="E142" s="19">
        <v>4.5803052737209311E-3</v>
      </c>
      <c r="F142" s="19">
        <v>4.61065E-3</v>
      </c>
      <c r="G142" s="1">
        <v>0.95122783984438231</v>
      </c>
      <c r="H142" s="1">
        <f t="shared" si="2"/>
        <v>-7.011425946666261E-3</v>
      </c>
      <c r="I142" s="20">
        <f>E142-N142</f>
        <v>-6.1871174268766753E-5</v>
      </c>
      <c r="K142" s="1">
        <v>1.0001310660677694</v>
      </c>
      <c r="L142" s="1">
        <v>1.8944195359508518</v>
      </c>
      <c r="M142" s="1">
        <v>0.51368239320801667</v>
      </c>
      <c r="N142" s="19">
        <v>4.6421764479896979E-3</v>
      </c>
      <c r="O142" s="19">
        <v>4.6279280230000002E-3</v>
      </c>
      <c r="P142" s="1">
        <v>0.95058557181873349</v>
      </c>
    </row>
    <row r="143" spans="1:16" x14ac:dyDescent="0.2">
      <c r="A143" s="1">
        <v>132</v>
      </c>
      <c r="B143" s="1">
        <v>1.0004618536568912</v>
      </c>
      <c r="C143" s="1">
        <v>1.7534942796722992</v>
      </c>
      <c r="D143" s="1">
        <v>0.55482236843775101</v>
      </c>
      <c r="E143" s="19">
        <v>4.63476066311977E-3</v>
      </c>
      <c r="F143" s="19">
        <v>4.6659099999999997E-3</v>
      </c>
      <c r="G143" s="1">
        <v>0.95029542666426836</v>
      </c>
      <c r="H143" s="1">
        <f t="shared" si="2"/>
        <v>-6.5700071715946162E-3</v>
      </c>
      <c r="I143" s="20">
        <f>E143-N143</f>
        <v>-5.7155542305078154E-5</v>
      </c>
      <c r="K143" s="1">
        <v>1.0000863457857041</v>
      </c>
      <c r="L143" s="1">
        <v>1.8673965473849898</v>
      </c>
      <c r="M143" s="1">
        <v>0.52100190918208855</v>
      </c>
      <c r="N143" s="19">
        <v>4.6919162054248481E-3</v>
      </c>
      <c r="O143" s="19">
        <v>4.6793227540000001E-3</v>
      </c>
      <c r="P143" s="1">
        <v>0.94969815328503249</v>
      </c>
    </row>
    <row r="144" spans="1:16" x14ac:dyDescent="0.2">
      <c r="A144" s="1">
        <v>133</v>
      </c>
      <c r="B144" s="1">
        <v>1.0005238380066879</v>
      </c>
      <c r="C144" s="1">
        <v>1.7445334997460733</v>
      </c>
      <c r="D144" s="1">
        <v>0.55757236973704016</v>
      </c>
      <c r="E144" s="19">
        <v>4.6889513422608154E-3</v>
      </c>
      <c r="F144" s="19">
        <v>4.72092E-3</v>
      </c>
      <c r="G144" s="1">
        <v>0.9493580964545989</v>
      </c>
      <c r="H144" s="1">
        <f t="shared" si="2"/>
        <v>-6.0581573274194889E-3</v>
      </c>
      <c r="I144" s="20">
        <f>E144-N144</f>
        <v>-5.1963064256883157E-5</v>
      </c>
      <c r="K144" s="1">
        <v>1.0001066098762816</v>
      </c>
      <c r="L144" s="1">
        <v>1.8585163285436175</v>
      </c>
      <c r="M144" s="1">
        <v>0.52333491019357814</v>
      </c>
      <c r="N144" s="19">
        <v>4.7409144065176986E-3</v>
      </c>
      <c r="O144" s="19">
        <v>4.7297938119999997E-3</v>
      </c>
      <c r="P144" s="1">
        <v>0.94881149579347834</v>
      </c>
    </row>
    <row r="145" spans="1:16" x14ac:dyDescent="0.2">
      <c r="A145" s="1">
        <v>134</v>
      </c>
      <c r="B145" s="1">
        <v>1.0005352022488987</v>
      </c>
      <c r="C145" s="1">
        <v>1.7946799314217172</v>
      </c>
      <c r="D145" s="1">
        <v>0.54185786631120991</v>
      </c>
      <c r="E145" s="19">
        <v>4.7429048380130262E-3</v>
      </c>
      <c r="F145" s="19">
        <v>4.7756099999999996E-3</v>
      </c>
      <c r="G145" s="1">
        <v>0.94841563681043295</v>
      </c>
      <c r="H145" s="1">
        <f t="shared" si="2"/>
        <v>-5.4731113853157725E-3</v>
      </c>
      <c r="I145" s="20">
        <f>E145-N145</f>
        <v>-4.6291443073132391E-5</v>
      </c>
      <c r="K145" s="1">
        <v>1.0001159073422516</v>
      </c>
      <c r="L145" s="1">
        <v>1.828931611174772</v>
      </c>
      <c r="M145" s="1">
        <v>0.53174316544032796</v>
      </c>
      <c r="N145" s="19">
        <v>4.7891962810861586E-3</v>
      </c>
      <c r="O145" s="19">
        <v>4.7794247860000003E-3</v>
      </c>
      <c r="P145" s="1">
        <v>0.94792550743264348</v>
      </c>
    </row>
    <row r="146" spans="1:16" x14ac:dyDescent="0.2">
      <c r="A146" s="1">
        <v>135</v>
      </c>
      <c r="B146" s="1">
        <v>1.0005181656354269</v>
      </c>
      <c r="C146" s="1">
        <v>1.8439322909562967</v>
      </c>
      <c r="D146" s="1">
        <v>0.52727808815517041</v>
      </c>
      <c r="E146" s="19">
        <v>4.796213636595794E-3</v>
      </c>
      <c r="F146" s="19">
        <v>4.8299099999999998E-3</v>
      </c>
      <c r="G146" s="1">
        <v>0.94747246473673408</v>
      </c>
      <c r="H146" s="1">
        <f t="shared" si="2"/>
        <v>-4.849265626569732E-3</v>
      </c>
      <c r="I146" s="20">
        <f>E146-N146</f>
        <v>-4.0448566980277184E-5</v>
      </c>
      <c r="K146" s="1">
        <v>1.0002036262431671</v>
      </c>
      <c r="L146" s="1">
        <v>1.8539799267372787</v>
      </c>
      <c r="M146" s="1">
        <v>0.52441472022526114</v>
      </c>
      <c r="N146" s="19">
        <v>4.8366622035760712E-3</v>
      </c>
      <c r="O146" s="19">
        <v>4.8283000070000002E-3</v>
      </c>
      <c r="P146" s="1">
        <v>0.94704141890326121</v>
      </c>
    </row>
    <row r="147" spans="1:16" x14ac:dyDescent="0.2">
      <c r="A147" s="1">
        <v>136</v>
      </c>
      <c r="B147" s="1">
        <v>1.0005289851159629</v>
      </c>
      <c r="C147" s="1">
        <v>1.8509883674697392</v>
      </c>
      <c r="D147" s="1">
        <v>0.52516579596814583</v>
      </c>
      <c r="E147" s="19">
        <v>4.849270508277435E-3</v>
      </c>
      <c r="F147" s="19">
        <v>4.88377E-3</v>
      </c>
      <c r="G147" s="1">
        <v>0.94652452341235493</v>
      </c>
      <c r="H147" s="1">
        <f t="shared" si="2"/>
        <v>-4.1545355183623123E-3</v>
      </c>
      <c r="I147" s="20">
        <f>E147-N147</f>
        <v>-3.4179003213489004E-5</v>
      </c>
      <c r="K147" s="1">
        <v>1.0002098259078267</v>
      </c>
      <c r="L147" s="1">
        <v>1.828145764639054</v>
      </c>
      <c r="M147" s="1">
        <v>0.53173128715469775</v>
      </c>
      <c r="N147" s="19">
        <v>4.883449511490924E-3</v>
      </c>
      <c r="O147" s="19">
        <v>4.8765039869999999E-3</v>
      </c>
      <c r="P147" s="1">
        <v>0.94615794674897002</v>
      </c>
    </row>
    <row r="148" spans="1:16" x14ac:dyDescent="0.2">
      <c r="A148" s="1">
        <v>137</v>
      </c>
      <c r="B148" s="1">
        <v>1.0005245142441985</v>
      </c>
      <c r="C148" s="1">
        <v>1.84090508427379</v>
      </c>
      <c r="D148" s="1">
        <v>0.52791651987814703</v>
      </c>
      <c r="E148" s="19">
        <v>4.9017774821662084E-3</v>
      </c>
      <c r="F148" s="19">
        <v>4.9371500000000004E-3</v>
      </c>
      <c r="G148" s="1">
        <v>0.94557510527276767</v>
      </c>
      <c r="H148" s="1">
        <f t="shared" si="2"/>
        <v>-3.4477581316951313E-3</v>
      </c>
      <c r="I148" s="20">
        <f>E148-N148</f>
        <v>-2.7978954382314181E-5</v>
      </c>
      <c r="K148" s="1">
        <v>1.0002565158288712</v>
      </c>
      <c r="L148" s="1">
        <v>1.8860601158917831</v>
      </c>
      <c r="M148" s="1">
        <v>0.51528415976902164</v>
      </c>
      <c r="N148" s="19">
        <v>4.9297564365485226E-3</v>
      </c>
      <c r="O148" s="19">
        <v>4.924121242E-3</v>
      </c>
      <c r="P148" s="1">
        <v>0.94527311185977247</v>
      </c>
    </row>
    <row r="149" spans="1:16" x14ac:dyDescent="0.2">
      <c r="A149" s="1">
        <v>138</v>
      </c>
      <c r="B149" s="1">
        <v>1.0004848458026343</v>
      </c>
      <c r="C149" s="1">
        <v>1.8201059233095922</v>
      </c>
      <c r="D149" s="1">
        <v>0.53384947370019376</v>
      </c>
      <c r="E149" s="19">
        <v>4.9537282947227836E-3</v>
      </c>
      <c r="F149" s="19">
        <v>4.9899899999999997E-3</v>
      </c>
      <c r="G149" s="1">
        <v>0.94462441457067126</v>
      </c>
      <c r="H149" s="1">
        <f t="shared" si="2"/>
        <v>-2.7571949071473756E-3</v>
      </c>
      <c r="I149" s="20">
        <f>E149-N149</f>
        <v>-2.2073324151454868E-5</v>
      </c>
      <c r="K149" s="1">
        <v>1.0001656297089569</v>
      </c>
      <c r="L149" s="1">
        <v>1.9074757938978883</v>
      </c>
      <c r="M149" s="1">
        <v>0.50938947134055357</v>
      </c>
      <c r="N149" s="19">
        <v>4.9758016188742385E-3</v>
      </c>
      <c r="O149" s="19">
        <v>4.9712362849999997E-3</v>
      </c>
      <c r="P149" s="1">
        <v>0.94438465849178888</v>
      </c>
    </row>
    <row r="150" spans="1:16" x14ac:dyDescent="0.2">
      <c r="A150" s="1">
        <v>139</v>
      </c>
      <c r="B150" s="1">
        <v>1.0004723851122121</v>
      </c>
      <c r="C150" s="1">
        <v>1.853907182473157</v>
      </c>
      <c r="D150" s="1">
        <v>0.52402493076256562</v>
      </c>
      <c r="E150" s="19">
        <v>5.0049504657906476E-3</v>
      </c>
      <c r="F150" s="19">
        <v>5.04223E-3</v>
      </c>
      <c r="G150" s="1">
        <v>0.94367447363090218</v>
      </c>
      <c r="H150" s="1">
        <f t="shared" si="2"/>
        <v>-2.0875227327455392E-3</v>
      </c>
      <c r="I150" s="20">
        <f>E150-N150</f>
        <v>-1.6488584357552197E-5</v>
      </c>
      <c r="K150" s="1">
        <v>1.0001816816497024</v>
      </c>
      <c r="L150" s="1">
        <v>1.8773317428987069</v>
      </c>
      <c r="M150" s="1">
        <v>0.51746780963487593</v>
      </c>
      <c r="N150" s="19">
        <v>5.0214390501481998E-3</v>
      </c>
      <c r="O150" s="19">
        <v>5.0179336299999997E-3</v>
      </c>
      <c r="P150" s="1">
        <v>0.94349425584102486</v>
      </c>
    </row>
    <row r="151" spans="1:16" x14ac:dyDescent="0.2">
      <c r="A151" s="1">
        <v>140</v>
      </c>
      <c r="B151" s="1">
        <v>1.0005003716812175</v>
      </c>
      <c r="C151" s="1">
        <v>1.8744016957341316</v>
      </c>
      <c r="D151" s="1">
        <v>0.51817557010566739</v>
      </c>
      <c r="E151" s="19">
        <v>5.0554204732511637E-3</v>
      </c>
      <c r="F151" s="19">
        <v>5.0938299999999997E-3</v>
      </c>
      <c r="G151" s="1">
        <v>0.94272571254855542</v>
      </c>
      <c r="H151" s="1">
        <f t="shared" si="2"/>
        <v>-1.4660630676336754E-3</v>
      </c>
      <c r="I151" s="20">
        <f>E151-N151</f>
        <v>-1.1426222278246301E-5</v>
      </c>
      <c r="K151" s="1">
        <v>1.0002279624173684</v>
      </c>
      <c r="L151" s="1">
        <v>1.8807224150924469</v>
      </c>
      <c r="M151" s="1">
        <v>0.51641530456112217</v>
      </c>
      <c r="N151" s="19">
        <v>5.06684669552941E-3</v>
      </c>
      <c r="O151" s="19">
        <v>5.064298008E-3</v>
      </c>
      <c r="P151" s="1">
        <v>0.9426000499999011</v>
      </c>
    </row>
    <row r="152" spans="1:16" x14ac:dyDescent="0.2">
      <c r="A152" s="1">
        <v>141</v>
      </c>
      <c r="B152" s="1">
        <v>1.0005095948702449</v>
      </c>
      <c r="C152" s="1">
        <v>1.8851759142825959</v>
      </c>
      <c r="D152" s="1">
        <v>0.51508750856049756</v>
      </c>
      <c r="E152" s="19">
        <v>5.1052263951924613E-3</v>
      </c>
      <c r="F152" s="19">
        <v>5.1447200000000002E-3</v>
      </c>
      <c r="G152" s="1">
        <v>0.94177733211607106</v>
      </c>
      <c r="H152" s="1">
        <f t="shared" si="2"/>
        <v>-8.8579584219125596E-4</v>
      </c>
      <c r="I152" s="20">
        <f>E152-N152</f>
        <v>-6.8128221821150622E-6</v>
      </c>
      <c r="K152" s="1">
        <v>1.0003359929083964</v>
      </c>
      <c r="L152" s="1">
        <v>1.8526146786758999</v>
      </c>
      <c r="M152" s="1">
        <v>0.52415452857953049</v>
      </c>
      <c r="N152" s="19">
        <v>5.1120392173745763E-3</v>
      </c>
      <c r="O152" s="19">
        <v>5.1104150069999996E-3</v>
      </c>
      <c r="P152" s="1">
        <v>0.94170194523588457</v>
      </c>
    </row>
    <row r="153" spans="1:16" x14ac:dyDescent="0.2">
      <c r="A153" s="1">
        <v>142</v>
      </c>
      <c r="B153" s="1">
        <v>1.0005194786319722</v>
      </c>
      <c r="C153" s="1">
        <v>1.902960466245692</v>
      </c>
      <c r="D153" s="1">
        <v>0.51018116921981149</v>
      </c>
      <c r="E153" s="19">
        <v>5.1542547796259728E-3</v>
      </c>
      <c r="F153" s="19">
        <v>5.1948599999999999E-3</v>
      </c>
      <c r="G153" s="1">
        <v>0.94083075238095626</v>
      </c>
      <c r="H153" s="1">
        <f t="shared" si="2"/>
        <v>-3.9679376466903821E-4</v>
      </c>
      <c r="I153" s="20">
        <f>E153-N153</f>
        <v>-3.0119438905488669E-6</v>
      </c>
      <c r="K153" s="1">
        <v>1.0002046611517235</v>
      </c>
      <c r="L153" s="1">
        <v>1.8818038599573907</v>
      </c>
      <c r="M153" s="1">
        <v>0.51589390398804824</v>
      </c>
      <c r="N153" s="19">
        <v>5.1572667235165216E-3</v>
      </c>
      <c r="O153" s="19">
        <v>5.1563704320000004E-3</v>
      </c>
      <c r="P153" s="1">
        <v>0.94079722051351944</v>
      </c>
    </row>
    <row r="154" spans="1:16" x14ac:dyDescent="0.2">
      <c r="A154" s="1">
        <v>143</v>
      </c>
      <c r="B154" s="1">
        <v>1.0004425511031489</v>
      </c>
      <c r="C154" s="1">
        <v>1.8876909102156911</v>
      </c>
      <c r="D154" s="1">
        <v>0.51420895971326064</v>
      </c>
      <c r="E154" s="19">
        <v>5.2025716871045404E-3</v>
      </c>
      <c r="F154" s="19">
        <v>5.2442000000000001E-3</v>
      </c>
      <c r="G154" s="1">
        <v>0.93988541263137071</v>
      </c>
      <c r="H154" s="1">
        <f t="shared" si="2"/>
        <v>7.7438727568157617E-6</v>
      </c>
      <c r="I154" s="20">
        <f>E154-N154</f>
        <v>5.8019444455423286E-8</v>
      </c>
      <c r="K154" s="1">
        <v>1.0002574391857553</v>
      </c>
      <c r="L154" s="1">
        <v>1.8685545102746273</v>
      </c>
      <c r="M154" s="1">
        <v>0.51943251023614034</v>
      </c>
      <c r="N154" s="19">
        <v>5.202513667660085E-3</v>
      </c>
      <c r="O154" s="19">
        <v>5.2022500879999999E-3</v>
      </c>
      <c r="P154" s="1">
        <v>0.93988606246684681</v>
      </c>
    </row>
    <row r="155" spans="1:16" x14ac:dyDescent="0.2">
      <c r="A155" s="1">
        <v>144</v>
      </c>
      <c r="B155" s="1">
        <v>1.000535694545398</v>
      </c>
      <c r="C155" s="1">
        <v>1.8962984530984863</v>
      </c>
      <c r="D155" s="1">
        <v>0.51176975021853821</v>
      </c>
      <c r="E155" s="19">
        <v>5.2499436401184122E-3</v>
      </c>
      <c r="F155" s="19">
        <v>5.2926700000000002E-3</v>
      </c>
      <c r="G155" s="1">
        <v>0.93894410871426393</v>
      </c>
      <c r="H155" s="1">
        <f t="shared" si="2"/>
        <v>3.0095873087265801E-4</v>
      </c>
      <c r="I155" s="20">
        <f>E155-N155</f>
        <v>2.2258654749614595E-6</v>
      </c>
      <c r="K155" s="1">
        <v>1.0001817037077261</v>
      </c>
      <c r="L155" s="1">
        <v>1.8511148785072062</v>
      </c>
      <c r="M155" s="1">
        <v>0.52428670973733937</v>
      </c>
      <c r="N155" s="19">
        <v>5.2477177746434508E-3</v>
      </c>
      <c r="O155" s="19">
        <v>5.2481397789999997E-3</v>
      </c>
      <c r="P155" s="1">
        <v>0.93896918860850331</v>
      </c>
    </row>
    <row r="156" spans="1:16" x14ac:dyDescent="0.2">
      <c r="A156" s="1">
        <v>145</v>
      </c>
      <c r="B156" s="1">
        <v>1.0004936471188131</v>
      </c>
      <c r="C156" s="1">
        <v>1.8905227056722713</v>
      </c>
      <c r="D156" s="1">
        <v>0.51322337692897468</v>
      </c>
      <c r="E156" s="19">
        <v>5.2964979519155124E-3</v>
      </c>
      <c r="F156" s="19">
        <v>5.3402399999999996E-3</v>
      </c>
      <c r="G156" s="1">
        <v>0.93800560899750685</v>
      </c>
      <c r="H156" s="1">
        <f t="shared" si="2"/>
        <v>4.6241618689153258E-4</v>
      </c>
      <c r="I156" s="20">
        <f>E156-N156</f>
        <v>3.3763325946040146E-6</v>
      </c>
      <c r="K156" s="1">
        <v>1.0001559909651763</v>
      </c>
      <c r="L156" s="1">
        <v>1.8361340342787391</v>
      </c>
      <c r="M156" s="1">
        <v>0.52842675970080233</v>
      </c>
      <c r="N156" s="19">
        <v>5.2931216193209084E-3</v>
      </c>
      <c r="O156" s="19">
        <v>5.2941253099999998E-3</v>
      </c>
      <c r="P156" s="1">
        <v>0.93804387792331856</v>
      </c>
    </row>
    <row r="157" spans="1:16" x14ac:dyDescent="0.2">
      <c r="A157" s="1">
        <v>146</v>
      </c>
      <c r="B157" s="1">
        <v>1.0005841982975514</v>
      </c>
      <c r="C157" s="1">
        <v>1.8314559341632777</v>
      </c>
      <c r="D157" s="1">
        <v>0.52966991551504339</v>
      </c>
      <c r="E157" s="19">
        <v>5.3421412290754139E-3</v>
      </c>
      <c r="F157" s="19">
        <v>5.3869900000000004E-3</v>
      </c>
      <c r="G157" s="1">
        <v>0.93707116328274753</v>
      </c>
      <c r="H157" s="1">
        <f t="shared" si="2"/>
        <v>4.8581552843011505E-4</v>
      </c>
      <c r="I157" s="20">
        <f>E157-N157</f>
        <v>3.5022435699054097E-6</v>
      </c>
      <c r="K157" s="1">
        <v>1.0001968966224566</v>
      </c>
      <c r="L157" s="1">
        <v>1.8666250311976036</v>
      </c>
      <c r="M157" s="1">
        <v>0.51969411607005422</v>
      </c>
      <c r="N157" s="19">
        <v>5.3386389855055085E-3</v>
      </c>
      <c r="O157" s="19">
        <v>5.3402747960000002E-3</v>
      </c>
      <c r="P157" s="1">
        <v>0.93711109332618014</v>
      </c>
    </row>
    <row r="158" spans="1:16" x14ac:dyDescent="0.2">
      <c r="A158" s="1">
        <v>147</v>
      </c>
      <c r="B158" s="1">
        <v>1.0006270125703427</v>
      </c>
      <c r="C158" s="1">
        <v>1.8481947817445099</v>
      </c>
      <c r="D158" s="1">
        <v>0.52474740864782354</v>
      </c>
      <c r="E158" s="19">
        <v>5.3870506555693453E-3</v>
      </c>
      <c r="F158" s="19">
        <v>5.4329900000000004E-3</v>
      </c>
      <c r="G158" s="1">
        <v>0.93613894263900599</v>
      </c>
      <c r="H158" s="1">
        <f t="shared" si="2"/>
        <v>4.0417212990961904E-4</v>
      </c>
      <c r="I158" s="20">
        <f>E158-N158</f>
        <v>2.8770421236145802E-6</v>
      </c>
      <c r="K158" s="1">
        <v>1.0002119258445703</v>
      </c>
      <c r="L158" s="1">
        <v>1.8468755769668501</v>
      </c>
      <c r="M158" s="1">
        <v>0.52512713340714601</v>
      </c>
      <c r="N158" s="19">
        <v>5.3841736134457308E-3</v>
      </c>
      <c r="O158" s="19">
        <v>5.3865856020000004E-3</v>
      </c>
      <c r="P158" s="1">
        <v>0.93617193628226392</v>
      </c>
    </row>
    <row r="159" spans="1:16" x14ac:dyDescent="0.2">
      <c r="A159" s="1">
        <v>148</v>
      </c>
      <c r="B159" s="1">
        <v>1.0005971436531702</v>
      </c>
      <c r="C159" s="1">
        <v>1.8182840594524701</v>
      </c>
      <c r="D159" s="1">
        <v>0.53327561469120921</v>
      </c>
      <c r="E159" s="19">
        <v>5.4314501406328292E-3</v>
      </c>
      <c r="F159" s="19">
        <v>5.4783200000000001E-3</v>
      </c>
      <c r="G159" s="1">
        <v>0.93520653123186026</v>
      </c>
      <c r="H159" s="1">
        <f t="shared" si="2"/>
        <v>2.4021266167484345E-4</v>
      </c>
      <c r="I159" s="20">
        <f>E159-N159</f>
        <v>1.6885849077174359E-6</v>
      </c>
      <c r="K159" s="1">
        <v>1.0002203960935399</v>
      </c>
      <c r="L159" s="1">
        <v>1.8249939763553471</v>
      </c>
      <c r="M159" s="1">
        <v>0.53129895031595276</v>
      </c>
      <c r="N159" s="19">
        <v>5.4297615557251117E-3</v>
      </c>
      <c r="O159" s="19">
        <v>5.4330374000000001E-3</v>
      </c>
      <c r="P159" s="1">
        <v>0.93522600793415822</v>
      </c>
    </row>
    <row r="160" spans="1:16" x14ac:dyDescent="0.2">
      <c r="A160" s="1">
        <v>149</v>
      </c>
      <c r="B160" s="1">
        <v>1.0005797751333005</v>
      </c>
      <c r="C160" s="1">
        <v>1.8119869303821186</v>
      </c>
      <c r="D160" s="1">
        <v>0.53499861851382968</v>
      </c>
      <c r="E160" s="19">
        <v>5.4752274017244324E-3</v>
      </c>
      <c r="F160" s="19">
        <v>5.5230699999999997E-3</v>
      </c>
      <c r="G160" s="1">
        <v>0.93427535312841758</v>
      </c>
      <c r="H160" s="1">
        <f t="shared" si="2"/>
        <v>-4.1574784142045518E-5</v>
      </c>
      <c r="I160" s="20">
        <f>E160-N160</f>
        <v>-2.8863290772469102E-7</v>
      </c>
      <c r="K160" s="1">
        <v>1.0002016993305778</v>
      </c>
      <c r="L160" s="1">
        <v>1.8321103896661133</v>
      </c>
      <c r="M160" s="1">
        <v>0.52913010275106964</v>
      </c>
      <c r="N160" s="19">
        <v>5.4755160346321571E-3</v>
      </c>
      <c r="O160" s="19">
        <v>5.4796098670000003E-3</v>
      </c>
      <c r="P160" s="1">
        <v>0.93427200482365447</v>
      </c>
    </row>
    <row r="161" spans="1:16" x14ac:dyDescent="0.2">
      <c r="A161" s="1">
        <v>150</v>
      </c>
      <c r="B161" s="1">
        <v>1.0006171874151071</v>
      </c>
      <c r="C161" s="1">
        <v>1.883570977072232</v>
      </c>
      <c r="D161" s="1">
        <v>0.51457583705191556</v>
      </c>
      <c r="E161" s="19">
        <v>5.5184822299739408E-3</v>
      </c>
      <c r="F161" s="19">
        <v>5.5673199999999997E-3</v>
      </c>
      <c r="G161" s="1">
        <v>0.93334438743691883</v>
      </c>
      <c r="H161" s="1">
        <f t="shared" si="2"/>
        <v>-4.1419793449237741E-4</v>
      </c>
      <c r="I161" s="20">
        <f>E161-N161</f>
        <v>-2.8402311873596681E-6</v>
      </c>
      <c r="K161" s="1">
        <v>1.0001976777380441</v>
      </c>
      <c r="L161" s="1">
        <v>1.8663799517365876</v>
      </c>
      <c r="M161" s="1">
        <v>0.51931751526609116</v>
      </c>
      <c r="N161" s="19">
        <v>5.5213224611613005E-3</v>
      </c>
      <c r="O161" s="19">
        <v>5.5262826769999999E-3</v>
      </c>
      <c r="P161" s="1">
        <v>0.93331125160215944</v>
      </c>
    </row>
    <row r="162" spans="1:16" x14ac:dyDescent="0.2">
      <c r="A162" s="1">
        <v>151</v>
      </c>
      <c r="B162" s="1">
        <v>1.000617081981179</v>
      </c>
      <c r="C162" s="1">
        <v>1.9089322736654113</v>
      </c>
      <c r="D162" s="1">
        <v>0.50761620872297641</v>
      </c>
      <c r="E162" s="19">
        <v>5.5612655602783308E-3</v>
      </c>
      <c r="F162" s="19">
        <v>5.6111599999999996E-3</v>
      </c>
      <c r="G162" s="1">
        <v>0.93241315953925274</v>
      </c>
      <c r="H162" s="1">
        <f t="shared" si="2"/>
        <v>-8.5984294447956822E-4</v>
      </c>
      <c r="I162" s="20">
        <f>E162-N162</f>
        <v>-5.8241861778402654E-6</v>
      </c>
      <c r="K162" s="1">
        <v>1.0002257945026218</v>
      </c>
      <c r="L162" s="1">
        <v>1.8585779764203789</v>
      </c>
      <c r="M162" s="1">
        <v>0.52139257982645648</v>
      </c>
      <c r="N162" s="19">
        <v>5.5670897464561711E-3</v>
      </c>
      <c r="O162" s="19">
        <v>5.5730355040000002E-3</v>
      </c>
      <c r="P162" s="1">
        <v>0.93234482764962523</v>
      </c>
    </row>
    <row r="163" spans="1:16" x14ac:dyDescent="0.2">
      <c r="A163" s="1">
        <v>152</v>
      </c>
      <c r="B163" s="1">
        <v>1.0005998406652308</v>
      </c>
      <c r="C163" s="1">
        <v>1.9575589838582335</v>
      </c>
      <c r="D163" s="1">
        <v>0.49492600904476863</v>
      </c>
      <c r="E163" s="19">
        <v>5.6037500716428264E-3</v>
      </c>
      <c r="F163" s="19">
        <v>5.6546699999999997E-3</v>
      </c>
      <c r="G163" s="1">
        <v>0.93147974447298842</v>
      </c>
      <c r="H163" s="1">
        <f t="shared" si="2"/>
        <v>-1.3744743589543991E-3</v>
      </c>
      <c r="I163" s="20">
        <f>E163-N163</f>
        <v>-9.1973738682903441E-6</v>
      </c>
      <c r="K163" s="1">
        <v>1.0001642428685713</v>
      </c>
      <c r="L163" s="1">
        <v>1.8315488096878192</v>
      </c>
      <c r="M163" s="1">
        <v>0.52896422839820667</v>
      </c>
      <c r="N163" s="19">
        <v>5.6129474455111168E-3</v>
      </c>
      <c r="O163" s="19">
        <v>5.619847953E-3</v>
      </c>
      <c r="P163" s="1">
        <v>0.93137123333938676</v>
      </c>
    </row>
    <row r="164" spans="1:16" x14ac:dyDescent="0.2">
      <c r="A164" s="1">
        <v>153</v>
      </c>
      <c r="B164" s="1">
        <v>1.0005922341177256</v>
      </c>
      <c r="C164" s="1">
        <v>1.9624559742589793</v>
      </c>
      <c r="D164" s="1">
        <v>0.49357901920971992</v>
      </c>
      <c r="E164" s="19">
        <v>5.6461164676077525E-3</v>
      </c>
      <c r="F164" s="19">
        <v>5.6979400000000003E-3</v>
      </c>
      <c r="G164" s="1">
        <v>0.93054207624244667</v>
      </c>
      <c r="H164" s="1">
        <f t="shared" si="2"/>
        <v>-1.9512470551979744E-3</v>
      </c>
      <c r="I164" s="20">
        <f>E164-N164</f>
        <v>-1.2900055853966134E-5</v>
      </c>
      <c r="K164" s="1">
        <v>1.0001097120895788</v>
      </c>
      <c r="L164" s="1">
        <v>1.894820553576869</v>
      </c>
      <c r="M164" s="1">
        <v>0.51120516880550992</v>
      </c>
      <c r="N164" s="19">
        <v>5.6590165234617186E-3</v>
      </c>
      <c r="O164" s="19">
        <v>5.6666993509999998E-3</v>
      </c>
      <c r="P164" s="1">
        <v>0.93038903725772526</v>
      </c>
    </row>
    <row r="165" spans="1:16" x14ac:dyDescent="0.2">
      <c r="A165" s="1">
        <v>154</v>
      </c>
      <c r="B165" s="1">
        <v>1.000643793018996</v>
      </c>
      <c r="C165" s="1">
        <v>1.9461025538146721</v>
      </c>
      <c r="D165" s="1">
        <v>0.49763165790444469</v>
      </c>
      <c r="E165" s="19">
        <v>5.6884118448301841E-3</v>
      </c>
      <c r="F165" s="19">
        <v>5.7410600000000001E-3</v>
      </c>
      <c r="G165" s="1">
        <v>0.92959963517158228</v>
      </c>
      <c r="H165" s="1">
        <f t="shared" si="2"/>
        <v>-2.5448281751958013E-3</v>
      </c>
      <c r="I165" s="20">
        <f>E165-N165</f>
        <v>-1.6623784307788318E-5</v>
      </c>
      <c r="K165" s="1">
        <v>1.0001199246408632</v>
      </c>
      <c r="L165" s="1">
        <v>1.8726707579886843</v>
      </c>
      <c r="M165" s="1">
        <v>0.51714634396703407</v>
      </c>
      <c r="N165" s="19">
        <v>5.7050356291379724E-3</v>
      </c>
      <c r="O165" s="19">
        <v>5.7135689560000001E-3</v>
      </c>
      <c r="P165" s="1">
        <v>0.92940133687221638</v>
      </c>
    </row>
    <row r="166" spans="1:16" x14ac:dyDescent="0.2">
      <c r="A166" s="1">
        <v>155</v>
      </c>
      <c r="B166" s="1">
        <v>1.0005385170534247</v>
      </c>
      <c r="C166" s="1">
        <v>1.974402088064946</v>
      </c>
      <c r="D166" s="1">
        <v>0.49039171249384461</v>
      </c>
      <c r="E166" s="19">
        <v>5.7307631653660792E-3</v>
      </c>
      <c r="F166" s="19">
        <v>5.7840900000000004E-3</v>
      </c>
      <c r="G166" s="1">
        <v>0.9286509312471033</v>
      </c>
      <c r="H166" s="1">
        <f t="shared" si="2"/>
        <v>-3.1419549362118417E-3</v>
      </c>
      <c r="I166" s="20">
        <f>E166-N166</f>
        <v>-2.0281657019382941E-5</v>
      </c>
      <c r="K166" s="1">
        <v>1.0001562472572973</v>
      </c>
      <c r="L166" s="1">
        <v>1.8449492521852586</v>
      </c>
      <c r="M166" s="1">
        <v>0.52478859121601928</v>
      </c>
      <c r="N166" s="19">
        <v>5.7510448223854621E-3</v>
      </c>
      <c r="O166" s="19">
        <v>5.7604360250000002E-3</v>
      </c>
      <c r="P166" s="1">
        <v>0.92840768312300948</v>
      </c>
    </row>
    <row r="167" spans="1:16" x14ac:dyDescent="0.2">
      <c r="A167" s="1">
        <v>156</v>
      </c>
      <c r="B167" s="1">
        <v>1.000460695840621</v>
      </c>
      <c r="C167" s="1">
        <v>1.9632469656104623</v>
      </c>
      <c r="D167" s="1">
        <v>0.49306525796882561</v>
      </c>
      <c r="E167" s="19">
        <v>5.7732175356954374E-3</v>
      </c>
      <c r="F167" s="19">
        <v>5.8271499999999997E-3</v>
      </c>
      <c r="G167" s="1">
        <v>0.92769540451850641</v>
      </c>
      <c r="H167" s="1">
        <f t="shared" si="2"/>
        <v>-3.7315893627390961E-3</v>
      </c>
      <c r="I167" s="20">
        <f>E167-N167</f>
        <v>-2.38050410318498E-5</v>
      </c>
      <c r="K167" s="1">
        <v>1.0001155590900366</v>
      </c>
      <c r="L167" s="1">
        <v>1.8357447446391135</v>
      </c>
      <c r="M167" s="1">
        <v>0.52731788921345613</v>
      </c>
      <c r="N167" s="19">
        <v>5.7970225767272872E-3</v>
      </c>
      <c r="O167" s="19">
        <v>5.8072798159999996E-3</v>
      </c>
      <c r="P167" s="1">
        <v>0.92740835918291109</v>
      </c>
    </row>
    <row r="168" spans="1:16" x14ac:dyDescent="0.2">
      <c r="A168" s="1">
        <v>157</v>
      </c>
      <c r="B168" s="1">
        <v>1.0004601240638962</v>
      </c>
      <c r="C168" s="1">
        <v>1.9501167061393683</v>
      </c>
      <c r="D168" s="1">
        <v>0.49627822503386737</v>
      </c>
      <c r="E168" s="19">
        <v>5.8157571943732479E-3</v>
      </c>
      <c r="F168" s="19">
        <v>5.8702900000000002E-3</v>
      </c>
      <c r="G168" s="1">
        <v>0.92673326952546375</v>
      </c>
      <c r="H168" s="1">
        <f t="shared" si="2"/>
        <v>-4.2954743998666984E-3</v>
      </c>
      <c r="I168" s="20">
        <f>E168-N168</f>
        <v>-2.7082983722847426E-5</v>
      </c>
      <c r="K168" s="1">
        <v>1.0001875118259538</v>
      </c>
      <c r="L168" s="1">
        <v>1.8548162734224238</v>
      </c>
      <c r="M168" s="1">
        <v>0.52177869450528347</v>
      </c>
      <c r="N168" s="19">
        <v>5.8428401780960953E-3</v>
      </c>
      <c r="O168" s="19">
        <v>5.8540795869999997E-3</v>
      </c>
      <c r="P168" s="1">
        <v>0.92640495301082426</v>
      </c>
    </row>
    <row r="169" spans="1:16" x14ac:dyDescent="0.2">
      <c r="A169" s="1">
        <v>158</v>
      </c>
      <c r="B169" s="1">
        <v>1.0004903498439786</v>
      </c>
      <c r="C169" s="1">
        <v>1.9367794981079145</v>
      </c>
      <c r="D169" s="1">
        <v>0.49960388036846787</v>
      </c>
      <c r="E169" s="19">
        <v>5.8584844575536033E-3</v>
      </c>
      <c r="F169" s="19">
        <v>5.9135799999999999E-3</v>
      </c>
      <c r="G169" s="1">
        <v>0.92576328198231439</v>
      </c>
      <c r="H169" s="1">
        <f t="shared" si="2"/>
        <v>-4.8162980768758539E-3</v>
      </c>
      <c r="I169" s="20">
        <f>E169-N169</f>
        <v>-3.0015635225547066E-5</v>
      </c>
      <c r="K169" s="1">
        <v>1.0002316954546837</v>
      </c>
      <c r="L169" s="1">
        <v>1.8436904692446054</v>
      </c>
      <c r="M169" s="1">
        <v>0.52482019938499447</v>
      </c>
      <c r="N169" s="19">
        <v>5.8885000927791503E-3</v>
      </c>
      <c r="O169" s="19">
        <v>5.9008145440000003E-3</v>
      </c>
      <c r="P169" s="1">
        <v>0.92539748719166559</v>
      </c>
    </row>
    <row r="170" spans="1:16" x14ac:dyDescent="0.2">
      <c r="A170" s="1">
        <v>159</v>
      </c>
      <c r="B170" s="1">
        <v>1.0004548457720173</v>
      </c>
      <c r="C170" s="1">
        <v>1.9876624746798162</v>
      </c>
      <c r="D170" s="1">
        <v>0.48672128218579253</v>
      </c>
      <c r="E170" s="19">
        <v>5.901432380410937E-3</v>
      </c>
      <c r="F170" s="19">
        <v>5.9570700000000001E-3</v>
      </c>
      <c r="G170" s="1">
        <v>0.92478502023272724</v>
      </c>
      <c r="H170" s="1">
        <f t="shared" si="2"/>
        <v>-5.2906854448512841E-3</v>
      </c>
      <c r="I170" s="20">
        <f>E170-N170</f>
        <v>-3.259366321524404E-5</v>
      </c>
      <c r="K170" s="1">
        <v>1.0001527166325956</v>
      </c>
      <c r="L170" s="1">
        <v>1.8895598884313316</v>
      </c>
      <c r="M170" s="1">
        <v>0.5119746858668035</v>
      </c>
      <c r="N170" s="19">
        <v>5.934026043626181E-3</v>
      </c>
      <c r="O170" s="19">
        <v>5.9474636930000003E-3</v>
      </c>
      <c r="P170" s="1">
        <v>0.92438572321802148</v>
      </c>
    </row>
    <row r="171" spans="1:16" x14ac:dyDescent="0.2">
      <c r="A171" s="1">
        <v>160</v>
      </c>
      <c r="B171" s="1">
        <v>1.0004719349432063</v>
      </c>
      <c r="C171" s="1">
        <v>1.9793884304523943</v>
      </c>
      <c r="D171" s="1">
        <v>0.48863600459903694</v>
      </c>
      <c r="E171" s="19">
        <v>5.9446224128817888E-3</v>
      </c>
      <c r="F171" s="19">
        <v>6.0007999999999997E-3</v>
      </c>
      <c r="G171" s="1">
        <v>0.9237981974960161</v>
      </c>
      <c r="H171" s="1">
        <f t="shared" si="2"/>
        <v>-5.6920791030382984E-3</v>
      </c>
      <c r="I171" s="20">
        <f>E171-N171</f>
        <v>-3.4667035931781366E-5</v>
      </c>
      <c r="K171" s="1">
        <v>1.0000492210298397</v>
      </c>
      <c r="L171" s="1">
        <v>1.9006738014069404</v>
      </c>
      <c r="M171" s="1">
        <v>0.50887039874598705</v>
      </c>
      <c r="N171" s="19">
        <v>5.9792894488135701E-3</v>
      </c>
      <c r="O171" s="19">
        <v>5.9940059870000001E-3</v>
      </c>
      <c r="P171" s="1">
        <v>0.92337129156328823</v>
      </c>
    </row>
    <row r="172" spans="1:16" x14ac:dyDescent="0.2">
      <c r="A172" s="1">
        <v>161</v>
      </c>
      <c r="B172" s="1">
        <v>1.0004709297047278</v>
      </c>
      <c r="C172" s="1">
        <v>1.9856649864274083</v>
      </c>
      <c r="D172" s="1">
        <v>0.48699434113631429</v>
      </c>
      <c r="E172" s="19">
        <v>5.9880513350207033E-3</v>
      </c>
      <c r="F172" s="19">
        <v>6.0448300000000002E-3</v>
      </c>
      <c r="G172" s="1">
        <v>0.92280282740602015</v>
      </c>
      <c r="H172" s="1">
        <f t="shared" si="2"/>
        <v>-6.0408902118674708E-3</v>
      </c>
      <c r="I172" s="20">
        <f>E172-N172</f>
        <v>-3.6375480441386276E-5</v>
      </c>
      <c r="K172" s="1">
        <v>1.0000970523026915</v>
      </c>
      <c r="L172" s="1">
        <v>1.9203613695152897</v>
      </c>
      <c r="M172" s="1">
        <v>0.5035377651298667</v>
      </c>
      <c r="N172" s="19">
        <v>6.0244268154620896E-3</v>
      </c>
      <c r="O172" s="19">
        <v>6.0404203819999997E-3</v>
      </c>
      <c r="P172" s="1">
        <v>0.92235257471942134</v>
      </c>
    </row>
    <row r="173" spans="1:16" x14ac:dyDescent="0.2">
      <c r="A173" s="1">
        <v>162</v>
      </c>
      <c r="B173" s="1">
        <v>1.0004469126904183</v>
      </c>
      <c r="C173" s="1">
        <v>2.0130866452011054</v>
      </c>
      <c r="D173" s="1">
        <v>0.48026226950118039</v>
      </c>
      <c r="E173" s="19">
        <v>6.0316831761200538E-3</v>
      </c>
      <c r="F173" s="19">
        <v>6.0892000000000003E-3</v>
      </c>
      <c r="G173" s="1">
        <v>0.92179933244937406</v>
      </c>
      <c r="H173" s="1">
        <f t="shared" si="2"/>
        <v>-6.317336307695709E-3</v>
      </c>
      <c r="I173" s="20">
        <f>E173-N173</f>
        <v>-3.7613203977643513E-5</v>
      </c>
      <c r="K173" s="1">
        <v>1.0001264961945353</v>
      </c>
      <c r="L173" s="1">
        <v>1.923045090805237</v>
      </c>
      <c r="M173" s="1">
        <v>0.50274384674929651</v>
      </c>
      <c r="N173" s="19">
        <v>6.0692963800976973E-3</v>
      </c>
      <c r="O173" s="19">
        <v>6.0866858330000002E-3</v>
      </c>
      <c r="P173" s="1">
        <v>0.92133138161176698</v>
      </c>
    </row>
    <row r="174" spans="1:16" x14ac:dyDescent="0.2">
      <c r="A174" s="1">
        <v>163</v>
      </c>
      <c r="B174" s="1">
        <v>1.0004393986620903</v>
      </c>
      <c r="C174" s="1">
        <v>2.043971463534485</v>
      </c>
      <c r="D174" s="1">
        <v>0.47290807972481735</v>
      </c>
      <c r="E174" s="19">
        <v>6.0755122608298143E-3</v>
      </c>
      <c r="F174" s="19">
        <v>6.1339699999999999E-3</v>
      </c>
      <c r="G174" s="1">
        <v>0.92078776574763854</v>
      </c>
      <c r="H174" s="1">
        <f t="shared" si="2"/>
        <v>-6.5335533928251033E-3</v>
      </c>
      <c r="I174" s="20">
        <f>E174-N174</f>
        <v>-3.8467206142008339E-5</v>
      </c>
      <c r="K174" s="1">
        <v>1.0000298628536393</v>
      </c>
      <c r="L174" s="1">
        <v>1.9407439351383131</v>
      </c>
      <c r="M174" s="1">
        <v>0.49807710971507974</v>
      </c>
      <c r="N174" s="19">
        <v>6.1139794669718226E-3</v>
      </c>
      <c r="O174" s="19">
        <v>6.1327812929999996E-3</v>
      </c>
      <c r="P174" s="1">
        <v>0.92030676795184774</v>
      </c>
    </row>
    <row r="175" spans="1:16" x14ac:dyDescent="0.2">
      <c r="A175" s="1">
        <v>164</v>
      </c>
      <c r="B175" s="1">
        <v>1.0004261568111428</v>
      </c>
      <c r="C175" s="1">
        <v>2.0700858022151523</v>
      </c>
      <c r="D175" s="1">
        <v>0.46684321185310079</v>
      </c>
      <c r="E175" s="19">
        <v>6.1197727655972183E-3</v>
      </c>
      <c r="F175" s="19">
        <v>6.1791700000000003E-3</v>
      </c>
      <c r="G175" s="1">
        <v>0.91976516729378854</v>
      </c>
      <c r="H175" s="1">
        <f t="shared" si="2"/>
        <v>-6.6345508904555777E-3</v>
      </c>
      <c r="I175" s="20">
        <f>E175-N175</f>
        <v>-3.8629937336918246E-5</v>
      </c>
      <c r="K175" s="1">
        <v>1.0001073683937813</v>
      </c>
      <c r="L175" s="1">
        <v>1.9817705908769834</v>
      </c>
      <c r="M175" s="1">
        <v>0.48765672386490472</v>
      </c>
      <c r="N175" s="19">
        <v>6.1584027029341366E-3</v>
      </c>
      <c r="O175" s="19">
        <v>6.1786856559999997E-3</v>
      </c>
      <c r="P175" s="1">
        <v>0.91927971235058448</v>
      </c>
    </row>
    <row r="176" spans="1:16" x14ac:dyDescent="0.2">
      <c r="A176" s="1">
        <v>165</v>
      </c>
      <c r="B176" s="1">
        <v>1.0004474864880983</v>
      </c>
      <c r="C176" s="1">
        <v>2.0515409179276793</v>
      </c>
      <c r="D176" s="1">
        <v>0.47096148695535234</v>
      </c>
      <c r="E176" s="19">
        <v>6.1644959355126195E-3</v>
      </c>
      <c r="F176" s="19">
        <v>6.2248700000000004E-3</v>
      </c>
      <c r="G176" s="1">
        <v>0.91873108252753377</v>
      </c>
      <c r="H176" s="1">
        <f t="shared" si="2"/>
        <v>-6.5949372965339037E-3</v>
      </c>
      <c r="I176" s="20">
        <f>E176-N176</f>
        <v>-3.797783934757562E-5</v>
      </c>
      <c r="K176" s="1">
        <v>0.99998304583354003</v>
      </c>
      <c r="L176" s="1">
        <v>1.9514846517225375</v>
      </c>
      <c r="M176" s="1">
        <v>0.49513152413683265</v>
      </c>
      <c r="N176" s="19">
        <v>6.2024737748601951E-3</v>
      </c>
      <c r="O176" s="19">
        <v>6.224377574E-3</v>
      </c>
      <c r="P176" s="1">
        <v>0.91825145072414949</v>
      </c>
    </row>
    <row r="177" spans="1:16" x14ac:dyDescent="0.2">
      <c r="A177" s="1">
        <v>166</v>
      </c>
      <c r="B177" s="1">
        <v>1.0005789354285739</v>
      </c>
      <c r="C177" s="1">
        <v>2.0647635259687287</v>
      </c>
      <c r="D177" s="1">
        <v>0.46785848943476449</v>
      </c>
      <c r="E177" s="19">
        <v>6.209809832098654E-3</v>
      </c>
      <c r="F177" s="19">
        <v>6.2711199999999998E-3</v>
      </c>
      <c r="G177" s="1">
        <v>0.91768382092013745</v>
      </c>
      <c r="H177" s="1">
        <f t="shared" si="2"/>
        <v>-6.3750283579236773E-3</v>
      </c>
      <c r="I177" s="20">
        <f>E177-N177</f>
        <v>-3.6311520304955179E-5</v>
      </c>
      <c r="K177" s="1">
        <v>1.0000677935086042</v>
      </c>
      <c r="L177" s="1">
        <v>2.0087858675755497</v>
      </c>
      <c r="M177" s="1">
        <v>0.48088075979972578</v>
      </c>
      <c r="N177" s="19">
        <v>6.2461213524036092E-3</v>
      </c>
      <c r="O177" s="19">
        <v>6.2698356379999997E-3</v>
      </c>
      <c r="P177" s="1">
        <v>0.91722297549667309</v>
      </c>
    </row>
    <row r="178" spans="1:16" x14ac:dyDescent="0.2">
      <c r="A178" s="1">
        <v>167</v>
      </c>
      <c r="B178" s="1">
        <v>1.0005222000749425</v>
      </c>
      <c r="C178" s="1">
        <v>2.04952397233418</v>
      </c>
      <c r="D178" s="1">
        <v>0.47124262201222061</v>
      </c>
      <c r="E178" s="19">
        <v>6.255690789979616E-3</v>
      </c>
      <c r="F178" s="19">
        <v>6.3179600000000001E-3</v>
      </c>
      <c r="G178" s="1">
        <v>0.91662359671629567</v>
      </c>
      <c r="H178" s="1">
        <f t="shared" si="2"/>
        <v>-5.9814371860300586E-3</v>
      </c>
      <c r="I178" s="20">
        <f>E178-N178</f>
        <v>-3.3701241745480968E-5</v>
      </c>
      <c r="K178" s="1">
        <v>1.0000924308640207</v>
      </c>
      <c r="L178" s="1">
        <v>1.9866360117926456</v>
      </c>
      <c r="M178" s="1">
        <v>0.48612436982225815</v>
      </c>
      <c r="N178" s="19">
        <v>6.2893920317250969E-3</v>
      </c>
      <c r="O178" s="19">
        <v>6.3150384369999998E-3</v>
      </c>
      <c r="P178" s="1">
        <v>0.91619379284664082</v>
      </c>
    </row>
    <row r="179" spans="1:16" x14ac:dyDescent="0.2">
      <c r="A179" s="1">
        <v>168</v>
      </c>
      <c r="B179" s="1">
        <v>1.0005226202465569</v>
      </c>
      <c r="C179" s="1">
        <v>2.0817659271858187</v>
      </c>
      <c r="D179" s="1">
        <v>0.46383405190939159</v>
      </c>
      <c r="E179" s="19">
        <v>6.302167826168336E-3</v>
      </c>
      <c r="F179" s="19">
        <v>6.36544E-3</v>
      </c>
      <c r="G179" s="1">
        <v>0.91554995589617916</v>
      </c>
      <c r="H179" s="1">
        <f t="shared" si="2"/>
        <v>-5.4034814007961618E-3</v>
      </c>
      <c r="I179" s="20">
        <f>E179-N179</f>
        <v>-3.0118067416399705E-5</v>
      </c>
      <c r="K179" s="1">
        <v>1.0000740537912538</v>
      </c>
      <c r="L179" s="1">
        <v>2.0248023601781888</v>
      </c>
      <c r="M179" s="1">
        <v>0.47689502320478466</v>
      </c>
      <c r="N179" s="19">
        <v>6.3322858935847357E-3</v>
      </c>
      <c r="O179" s="19">
        <v>6.359964563E-3</v>
      </c>
      <c r="P179" s="1">
        <v>0.91516399293897943</v>
      </c>
    </row>
    <row r="180" spans="1:16" x14ac:dyDescent="0.2">
      <c r="A180" s="1">
        <v>169</v>
      </c>
      <c r="B180" s="1">
        <v>1.0004764709575706</v>
      </c>
      <c r="C180" s="1">
        <v>2.0983553698843567</v>
      </c>
      <c r="D180" s="1">
        <v>0.46007572898604882</v>
      </c>
      <c r="E180" s="19">
        <v>6.3495169645332167E-3</v>
      </c>
      <c r="F180" s="19">
        <v>6.4135599999999996E-3</v>
      </c>
      <c r="G180" s="1">
        <v>0.9144592574031345</v>
      </c>
      <c r="H180" s="1">
        <f t="shared" si="2"/>
        <v>-4.5846762542700687E-3</v>
      </c>
      <c r="I180" s="20">
        <f>E180-N180</f>
        <v>-2.5281958230524704E-5</v>
      </c>
      <c r="K180" s="1">
        <v>1.0000365676650536</v>
      </c>
      <c r="L180" s="1">
        <v>2.0175522985458172</v>
      </c>
      <c r="M180" s="1">
        <v>0.47850537660892928</v>
      </c>
      <c r="N180" s="19">
        <v>6.3747989227637414E-3</v>
      </c>
      <c r="O180" s="19">
        <v>6.4045926059999999E-3</v>
      </c>
      <c r="P180" s="1">
        <v>0.91413371826081946</v>
      </c>
    </row>
    <row r="181" spans="1:16" x14ac:dyDescent="0.2">
      <c r="A181" s="1">
        <v>170</v>
      </c>
      <c r="B181" s="1">
        <v>1.000471992029963</v>
      </c>
      <c r="C181" s="1">
        <v>2.1198167208762175</v>
      </c>
      <c r="D181" s="1">
        <v>0.45531784572470702</v>
      </c>
      <c r="E181" s="19">
        <v>6.3972469885379482E-3</v>
      </c>
      <c r="F181" s="19">
        <v>6.4620900000000002E-3</v>
      </c>
      <c r="G181" s="1">
        <v>0.9133577220310406</v>
      </c>
      <c r="H181" s="1">
        <f t="shared" si="2"/>
        <v>-3.6199163940891141E-3</v>
      </c>
      <c r="I181" s="20">
        <f>E181-N181</f>
        <v>-1.9750724966748762E-5</v>
      </c>
      <c r="K181" s="1">
        <v>0.99993144238697984</v>
      </c>
      <c r="L181" s="1">
        <v>2.0320435152509435</v>
      </c>
      <c r="M181" s="1">
        <v>0.47499821532169939</v>
      </c>
      <c r="N181" s="19">
        <v>6.416997713504697E-3</v>
      </c>
      <c r="O181" s="19">
        <v>6.4489010980000004E-3</v>
      </c>
      <c r="P181" s="1">
        <v>0.9131021985208696</v>
      </c>
    </row>
    <row r="182" spans="1:16" x14ac:dyDescent="0.2">
      <c r="A182" s="1">
        <v>171</v>
      </c>
      <c r="B182" s="1">
        <v>1.00046522048243</v>
      </c>
      <c r="C182" s="1">
        <v>2.090448293602873</v>
      </c>
      <c r="D182" s="1">
        <v>0.46162156231215973</v>
      </c>
      <c r="E182" s="19">
        <v>6.4450803007314846E-3</v>
      </c>
      <c r="F182" s="19">
        <v>6.51076E-3</v>
      </c>
      <c r="G182" s="1">
        <v>0.91224891385769424</v>
      </c>
      <c r="H182" s="1">
        <f t="shared" si="2"/>
        <v>-2.5603124877094097E-3</v>
      </c>
      <c r="I182" s="20">
        <f>E182-N182</f>
        <v>-1.3822692994310513E-5</v>
      </c>
      <c r="K182" s="1">
        <v>0.99993552032206334</v>
      </c>
      <c r="L182" s="1">
        <v>2.0990828583631971</v>
      </c>
      <c r="M182" s="1">
        <v>0.45970593858705217</v>
      </c>
      <c r="N182" s="19">
        <v>6.4589029937257951E-3</v>
      </c>
      <c r="O182" s="19">
        <v>6.4928683449999997E-3</v>
      </c>
      <c r="P182" s="1">
        <v>0.91206924280592516</v>
      </c>
    </row>
    <row r="183" spans="1:16" x14ac:dyDescent="0.2">
      <c r="A183" s="1">
        <v>172</v>
      </c>
      <c r="B183" s="1">
        <v>1.0004847219407713</v>
      </c>
      <c r="C183" s="1">
        <v>2.1246031450389125</v>
      </c>
      <c r="D183" s="1">
        <v>0.45411625239263242</v>
      </c>
      <c r="E183" s="19">
        <v>6.4927739154911398E-3</v>
      </c>
      <c r="F183" s="19">
        <v>6.5592699999999999E-3</v>
      </c>
      <c r="G183" s="1">
        <v>0.91113601237071162</v>
      </c>
      <c r="H183" s="1">
        <f t="shared" si="2"/>
        <v>-1.4254608165069256E-3</v>
      </c>
      <c r="I183" s="20">
        <f>E183-N183</f>
        <v>-7.6155517301362829E-6</v>
      </c>
      <c r="K183" s="1">
        <v>0.99993869112069567</v>
      </c>
      <c r="L183" s="1">
        <v>2.0524844237220505</v>
      </c>
      <c r="M183" s="1">
        <v>0.47007502472629503</v>
      </c>
      <c r="N183" s="19">
        <v>6.5003894672212761E-3</v>
      </c>
      <c r="O183" s="19">
        <v>6.53647259E-3</v>
      </c>
      <c r="P183" s="1">
        <v>0.91103656161607161</v>
      </c>
    </row>
    <row r="184" spans="1:16" x14ac:dyDescent="0.2">
      <c r="A184" s="1">
        <v>173</v>
      </c>
      <c r="B184" s="1">
        <v>1.0005327903072383</v>
      </c>
      <c r="C184" s="1">
        <v>2.0719083244787981</v>
      </c>
      <c r="D184" s="1">
        <v>0.46555927475891418</v>
      </c>
      <c r="E184" s="19">
        <v>6.5399418961995942E-3</v>
      </c>
      <c r="F184" s="19">
        <v>6.6073499999999997E-3</v>
      </c>
      <c r="G184" s="1">
        <v>0.91002413091221102</v>
      </c>
      <c r="H184" s="1">
        <f t="shared" si="2"/>
        <v>-2.9819471041668083E-4</v>
      </c>
      <c r="I184" s="20">
        <f>E184-N184</f>
        <v>-1.5766026356485094E-6</v>
      </c>
      <c r="K184" s="1">
        <v>1.0000394682312763</v>
      </c>
      <c r="L184" s="1">
        <v>2.0601305398535041</v>
      </c>
      <c r="M184" s="1">
        <v>0.46819540852622171</v>
      </c>
      <c r="N184" s="19">
        <v>6.5415184988352427E-3</v>
      </c>
      <c r="O184" s="19">
        <v>6.5796920800000004E-3</v>
      </c>
      <c r="P184" s="1">
        <v>0.91000344688605495</v>
      </c>
    </row>
    <row r="185" spans="1:16" x14ac:dyDescent="0.2">
      <c r="A185" s="1">
        <v>174</v>
      </c>
      <c r="B185" s="1">
        <v>1.0005123806326093</v>
      </c>
      <c r="C185" s="1">
        <v>2.1231794925668503</v>
      </c>
      <c r="D185" s="1">
        <v>0.45423638790358872</v>
      </c>
      <c r="E185" s="19">
        <v>6.5864349797951326E-3</v>
      </c>
      <c r="F185" s="19">
        <v>6.6547100000000003E-3</v>
      </c>
      <c r="G185" s="1">
        <v>0.90891535567744708</v>
      </c>
      <c r="H185" s="1">
        <f t="shared" si="2"/>
        <v>8.2040998090388007E-4</v>
      </c>
      <c r="I185" s="20">
        <f>E185-N185</f>
        <v>4.29297118089908E-6</v>
      </c>
      <c r="K185" s="1">
        <v>1.0000426714104782</v>
      </c>
      <c r="L185" s="1">
        <v>2.1276135976995629</v>
      </c>
      <c r="M185" s="1">
        <v>0.45326854861802307</v>
      </c>
      <c r="N185" s="19">
        <v>6.5821420086142335E-3</v>
      </c>
      <c r="O185" s="19">
        <v>6.6225050610000001E-3</v>
      </c>
      <c r="P185" s="1">
        <v>0.90897193567613011</v>
      </c>
    </row>
    <row r="186" spans="1:16" x14ac:dyDescent="0.2">
      <c r="A186" s="1">
        <v>175</v>
      </c>
      <c r="B186" s="1">
        <v>1.0005725510512433</v>
      </c>
      <c r="C186" s="1">
        <v>2.1421235568870687</v>
      </c>
      <c r="D186" s="1">
        <v>0.45011756967220107</v>
      </c>
      <c r="E186" s="19">
        <v>6.6319100584933764E-3</v>
      </c>
      <c r="F186" s="19">
        <v>6.7010699999999999E-3</v>
      </c>
      <c r="G186" s="1">
        <v>0.9078143741646012</v>
      </c>
      <c r="H186" s="1">
        <f t="shared" si="2"/>
        <v>1.8830547094637884E-3</v>
      </c>
      <c r="I186" s="20">
        <f>E186-N186</f>
        <v>9.7526220366097455E-6</v>
      </c>
      <c r="K186" s="1">
        <v>1.0000915257336456</v>
      </c>
      <c r="L186" s="1">
        <v>2.1934826038845228</v>
      </c>
      <c r="M186" s="1">
        <v>0.43959593702448024</v>
      </c>
      <c r="N186" s="19">
        <v>6.6221574364567666E-3</v>
      </c>
      <c r="O186" s="19">
        <v>6.6648897779999997E-3</v>
      </c>
      <c r="P186" s="1">
        <v>0.90794349791610729</v>
      </c>
    </row>
    <row r="187" spans="1:16" x14ac:dyDescent="0.2">
      <c r="A187" s="1">
        <v>176</v>
      </c>
      <c r="B187" s="1">
        <v>1.0004748678863027</v>
      </c>
      <c r="C187" s="1">
        <v>2.1259042436938791</v>
      </c>
      <c r="D187" s="1">
        <v>0.45344465873006962</v>
      </c>
      <c r="E187" s="19">
        <v>6.6762187555863394E-3</v>
      </c>
      <c r="F187" s="19">
        <v>6.7461400000000003E-3</v>
      </c>
      <c r="G187" s="1">
        <v>0.9067233652783887</v>
      </c>
      <c r="H187" s="1">
        <f t="shared" si="2"/>
        <v>2.8535809042706064E-3</v>
      </c>
      <c r="I187" s="20">
        <f>E187-N187</f>
        <v>1.4628707242996843E-5</v>
      </c>
      <c r="K187" s="1">
        <v>0.99998568665715171</v>
      </c>
      <c r="L187" s="1">
        <v>2.2090816728342757</v>
      </c>
      <c r="M187" s="1">
        <v>0.43637091408151291</v>
      </c>
      <c r="N187" s="19">
        <v>6.6615900483433426E-3</v>
      </c>
      <c r="O187" s="19">
        <v>6.7068244149999998E-3</v>
      </c>
      <c r="P187" s="1">
        <v>0.90691792761277079</v>
      </c>
    </row>
    <row r="188" spans="1:16" x14ac:dyDescent="0.2">
      <c r="A188" s="1">
        <v>177</v>
      </c>
      <c r="B188" s="1">
        <v>1.0005629748593134</v>
      </c>
      <c r="C188" s="1">
        <v>2.1194029190708368</v>
      </c>
      <c r="D188" s="1">
        <v>0.45476062100792208</v>
      </c>
      <c r="E188" s="19">
        <v>6.7189703692187852E-3</v>
      </c>
      <c r="F188" s="19">
        <v>6.7896400000000004E-3</v>
      </c>
      <c r="G188" s="1">
        <v>0.9056477794369826</v>
      </c>
      <c r="H188" s="1">
        <f t="shared" si="2"/>
        <v>3.6640160925288656E-3</v>
      </c>
      <c r="I188" s="20">
        <f>E188-N188</f>
        <v>1.859321328793323E-5</v>
      </c>
      <c r="K188" s="1">
        <v>0.99996167527877877</v>
      </c>
      <c r="L188" s="1">
        <v>2.2170385107704638</v>
      </c>
      <c r="M188" s="1">
        <v>0.43473798352406096</v>
      </c>
      <c r="N188" s="19">
        <v>6.700377155930852E-3</v>
      </c>
      <c r="O188" s="19">
        <v>6.7482868990000004E-3</v>
      </c>
      <c r="P188" s="1">
        <v>0.90589618730766253</v>
      </c>
    </row>
    <row r="189" spans="1:16" x14ac:dyDescent="0.2">
      <c r="A189" s="1">
        <v>178</v>
      </c>
      <c r="B189" s="1">
        <v>1.0006668027287275</v>
      </c>
      <c r="C189" s="1">
        <v>2.160070830545695</v>
      </c>
      <c r="D189" s="1">
        <v>0.44608376359791635</v>
      </c>
      <c r="E189" s="19">
        <v>6.7598310298984977E-3</v>
      </c>
      <c r="F189" s="19">
        <v>6.8312700000000004E-3</v>
      </c>
      <c r="G189" s="1">
        <v>0.90459239686433868</v>
      </c>
      <c r="H189" s="1">
        <f t="shared" si="2"/>
        <v>4.220784960332939E-3</v>
      </c>
      <c r="I189" s="20">
        <f>E189-N189</f>
        <v>2.1202861872330128E-5</v>
      </c>
      <c r="K189" s="1">
        <v>0.99992128692278415</v>
      </c>
      <c r="L189" s="1">
        <v>2.2780783586525963</v>
      </c>
      <c r="M189" s="1">
        <v>0.42300369939702276</v>
      </c>
      <c r="N189" s="19">
        <v>6.7386281680261676E-3</v>
      </c>
      <c r="O189" s="19">
        <v>6.7892550959999997E-3</v>
      </c>
      <c r="P189" s="1">
        <v>0.90487694416503528</v>
      </c>
    </row>
    <row r="190" spans="1:16" x14ac:dyDescent="0.2">
      <c r="A190" s="1">
        <v>179</v>
      </c>
      <c r="B190" s="1">
        <v>1.0007667777649059</v>
      </c>
      <c r="C190" s="1">
        <v>2.1923116977021615</v>
      </c>
      <c r="D190" s="1">
        <v>0.43945042042388088</v>
      </c>
      <c r="E190" s="19">
        <v>6.7986867720353549E-3</v>
      </c>
      <c r="F190" s="19">
        <v>6.8707500000000001E-3</v>
      </c>
      <c r="G190" s="1">
        <v>0.90355911306009806</v>
      </c>
      <c r="H190" s="1">
        <f t="shared" si="2"/>
        <v>4.4944711747365584E-3</v>
      </c>
      <c r="I190" s="20">
        <f>E190-N190</f>
        <v>2.2351468317881318E-5</v>
      </c>
      <c r="K190" s="1">
        <v>0.99990019561431454</v>
      </c>
      <c r="L190" s="1">
        <v>2.2767554216956909</v>
      </c>
      <c r="M190" s="1">
        <v>0.42314452660799284</v>
      </c>
      <c r="N190" s="19">
        <v>6.7763353037174736E-3</v>
      </c>
      <c r="O190" s="19">
        <v>6.8297068719999996E-3</v>
      </c>
      <c r="P190" s="1">
        <v>0.903860418390248</v>
      </c>
    </row>
    <row r="191" spans="1:16" x14ac:dyDescent="0.2">
      <c r="A191" s="1">
        <v>180</v>
      </c>
      <c r="B191" s="1">
        <v>1.0006957166712571</v>
      </c>
      <c r="C191" s="1">
        <v>2.1758696629091672</v>
      </c>
      <c r="D191" s="1">
        <v>0.44267076701905966</v>
      </c>
      <c r="E191" s="19">
        <v>6.8351310586995204E-3</v>
      </c>
      <c r="F191" s="19">
        <v>6.9077899999999996E-3</v>
      </c>
      <c r="G191" s="1">
        <v>0.90255381126655976</v>
      </c>
      <c r="H191" s="1">
        <f t="shared" si="2"/>
        <v>4.3778881505474043E-3</v>
      </c>
      <c r="I191" s="20">
        <f>E191-N191</f>
        <v>2.1554543507246171E-5</v>
      </c>
      <c r="K191" s="1">
        <v>0.99988679802541069</v>
      </c>
      <c r="L191" s="1">
        <v>2.2787726076027828</v>
      </c>
      <c r="M191" s="1">
        <v>0.42267660285111269</v>
      </c>
      <c r="N191" s="19">
        <v>6.8135765151922743E-3</v>
      </c>
      <c r="O191" s="19">
        <v>6.869620091E-3</v>
      </c>
      <c r="P191" s="1">
        <v>0.90284567047659625</v>
      </c>
    </row>
    <row r="192" spans="1:16" x14ac:dyDescent="0.2">
      <c r="A192" s="1">
        <v>181</v>
      </c>
      <c r="B192" s="1">
        <v>1.0007287683836701</v>
      </c>
      <c r="C192" s="1">
        <v>2.1448031899413125</v>
      </c>
      <c r="D192" s="1">
        <v>0.44898222156164258</v>
      </c>
      <c r="E192" s="19">
        <v>6.8691055298730347E-3</v>
      </c>
      <c r="F192" s="19">
        <v>6.9421999999999999E-3</v>
      </c>
      <c r="G192" s="1">
        <v>0.90157773783029482</v>
      </c>
      <c r="H192" s="1">
        <f t="shared" si="2"/>
        <v>3.8740224506432588E-3</v>
      </c>
      <c r="I192" s="20">
        <f>E192-N192</f>
        <v>1.8884367466274685E-5</v>
      </c>
      <c r="K192" s="1">
        <v>0.99988246944266834</v>
      </c>
      <c r="L192" s="1">
        <v>2.2506636994463283</v>
      </c>
      <c r="M192" s="1">
        <v>0.42787921592796896</v>
      </c>
      <c r="N192" s="19">
        <v>6.85022116240676E-3</v>
      </c>
      <c r="O192" s="19">
        <v>6.9089726189999999E-3</v>
      </c>
      <c r="P192" s="1">
        <v>0.90183457909774078</v>
      </c>
    </row>
    <row r="193" spans="1:16" x14ac:dyDescent="0.2">
      <c r="A193" s="1">
        <v>182</v>
      </c>
      <c r="B193" s="1">
        <v>1.0006647934315316</v>
      </c>
      <c r="C193" s="1">
        <v>2.1827712185836612</v>
      </c>
      <c r="D193" s="1">
        <v>0.44109281919009219</v>
      </c>
      <c r="E193" s="19">
        <v>6.9006166770704865E-3</v>
      </c>
      <c r="F193" s="19">
        <v>6.97417E-3</v>
      </c>
      <c r="G193" s="1">
        <v>0.90063126773487079</v>
      </c>
      <c r="H193" s="1">
        <f t="shared" si="2"/>
        <v>2.9642983655665902E-3</v>
      </c>
      <c r="I193" s="20">
        <f>E193-N193</f>
        <v>1.4306964210079355E-5</v>
      </c>
      <c r="K193" s="1">
        <v>0.9998649873031783</v>
      </c>
      <c r="L193" s="1">
        <v>2.197017600716634</v>
      </c>
      <c r="M193" s="1">
        <v>0.43823134693543692</v>
      </c>
      <c r="N193" s="19">
        <v>6.8863097128604072E-3</v>
      </c>
      <c r="O193" s="19">
        <v>6.9477473500000001E-3</v>
      </c>
      <c r="P193" s="1">
        <v>0.9008267159787543</v>
      </c>
    </row>
    <row r="194" spans="1:16" x14ac:dyDescent="0.2">
      <c r="A194" s="1">
        <v>183</v>
      </c>
      <c r="B194" s="1">
        <v>1.000726827595132</v>
      </c>
      <c r="C194" s="1">
        <v>2.1737028103653562</v>
      </c>
      <c r="D194" s="1">
        <v>0.4428294876782391</v>
      </c>
      <c r="E194" s="19">
        <v>6.929942526805735E-3</v>
      </c>
      <c r="F194" s="19">
        <v>7.0039799999999999E-3</v>
      </c>
      <c r="G194" s="1">
        <v>0.89971104930628953</v>
      </c>
      <c r="H194" s="1">
        <f t="shared" si="2"/>
        <v>1.673541293528702E-3</v>
      </c>
      <c r="I194" s="20">
        <f>E194-N194</f>
        <v>7.9977386210133491E-6</v>
      </c>
      <c r="K194" s="1">
        <v>0.99975635634159266</v>
      </c>
      <c r="L194" s="1">
        <v>2.206137168479791</v>
      </c>
      <c r="M194" s="1">
        <v>0.43634124921405915</v>
      </c>
      <c r="N194" s="19">
        <v>6.9219447881847217E-3</v>
      </c>
      <c r="O194" s="19">
        <v>6.9859472930000003E-3</v>
      </c>
      <c r="P194" s="1">
        <v>0.89982078971897994</v>
      </c>
    </row>
    <row r="195" spans="1:16" x14ac:dyDescent="0.2">
      <c r="A195" s="1">
        <v>184</v>
      </c>
      <c r="B195" s="1">
        <v>1.0007610549564034</v>
      </c>
      <c r="C195" s="1">
        <v>2.0915952506938602</v>
      </c>
      <c r="D195" s="1">
        <v>0.46013398829489005</v>
      </c>
      <c r="E195" s="19">
        <v>6.9574669244964913E-3</v>
      </c>
      <c r="F195" s="19">
        <v>7.0319299999999996E-3</v>
      </c>
      <c r="G195" s="1">
        <v>0.89881220503368753</v>
      </c>
      <c r="H195" s="1">
        <f t="shared" si="2"/>
        <v>1.2160997904745822E-4</v>
      </c>
      <c r="I195" s="20">
        <f>E195-N195</f>
        <v>5.7547330514426398E-7</v>
      </c>
      <c r="K195" s="1">
        <v>0.99976378887269368</v>
      </c>
      <c r="L195" s="1">
        <v>2.1169055295625925</v>
      </c>
      <c r="M195" s="1">
        <v>0.45458601357843886</v>
      </c>
      <c r="N195" s="19">
        <v>6.9568914511913471E-3</v>
      </c>
      <c r="O195" s="19">
        <v>7.023580483E-3</v>
      </c>
      <c r="P195" s="1">
        <v>0.89882013611927758</v>
      </c>
    </row>
    <row r="196" spans="1:16" x14ac:dyDescent="0.2">
      <c r="A196" s="1">
        <v>185</v>
      </c>
      <c r="B196" s="1">
        <v>1.0008270552813179</v>
      </c>
      <c r="C196" s="1">
        <v>2.1063451812765051</v>
      </c>
      <c r="D196" s="1">
        <v>0.45680932278351249</v>
      </c>
      <c r="E196" s="19">
        <v>6.9832848316422605E-3</v>
      </c>
      <c r="F196" s="19">
        <v>7.0582900000000001E-3</v>
      </c>
      <c r="G196" s="1">
        <v>0.89793376254351664</v>
      </c>
      <c r="H196" s="1">
        <f t="shared" si="2"/>
        <v>-1.6873579669382983E-3</v>
      </c>
      <c r="I196" s="20">
        <f>E196-N196</f>
        <v>-7.9069397567223254E-6</v>
      </c>
      <c r="K196" s="1">
        <v>0.9997103685682005</v>
      </c>
      <c r="L196" s="1">
        <v>2.1027885864989559</v>
      </c>
      <c r="M196" s="1">
        <v>0.45758730788832847</v>
      </c>
      <c r="N196" s="19">
        <v>6.9911917713989828E-3</v>
      </c>
      <c r="O196" s="19">
        <v>7.0606549580000001E-3</v>
      </c>
      <c r="P196" s="1">
        <v>0.89782431229701254</v>
      </c>
    </row>
    <row r="197" spans="1:16" x14ac:dyDescent="0.2">
      <c r="A197" s="1">
        <v>186</v>
      </c>
      <c r="B197" s="1">
        <v>1.0008432237038716</v>
      </c>
      <c r="C197" s="1">
        <v>2.1024106327119716</v>
      </c>
      <c r="D197" s="1">
        <v>0.45757183253301276</v>
      </c>
      <c r="E197" s="19">
        <v>7.0077446333446942E-3</v>
      </c>
      <c r="F197" s="19">
        <v>7.0833700000000003E-3</v>
      </c>
      <c r="G197" s="1">
        <v>0.89707120229633641</v>
      </c>
      <c r="H197" s="1">
        <f t="shared" si="2"/>
        <v>-3.6742939678144904E-3</v>
      </c>
      <c r="I197" s="20">
        <f>E197-N197</f>
        <v>-1.7050651415597036E-5</v>
      </c>
      <c r="K197" s="1">
        <v>0.99971998295002884</v>
      </c>
      <c r="L197" s="1">
        <v>2.1262233513745858</v>
      </c>
      <c r="M197" s="1">
        <v>0.45243853058847722</v>
      </c>
      <c r="N197" s="19">
        <v>7.0247952847602912E-3</v>
      </c>
      <c r="O197" s="19">
        <v>7.0971787539999996E-3</v>
      </c>
      <c r="P197" s="1">
        <v>0.89683415107260644</v>
      </c>
    </row>
    <row r="198" spans="1:16" x14ac:dyDescent="0.2">
      <c r="A198" s="1">
        <v>187</v>
      </c>
      <c r="B198" s="1">
        <v>1.000921272434397</v>
      </c>
      <c r="C198" s="1">
        <v>2.1163245842533103</v>
      </c>
      <c r="D198" s="1">
        <v>0.45446174495318176</v>
      </c>
      <c r="E198" s="19">
        <v>7.0310612318752914E-3</v>
      </c>
      <c r="F198" s="19">
        <v>7.1074500000000004E-3</v>
      </c>
      <c r="G198" s="1">
        <v>0.89622178309284684</v>
      </c>
      <c r="H198" s="1">
        <f t="shared" si="2"/>
        <v>-5.8303998944101154E-3</v>
      </c>
      <c r="I198" s="20">
        <f>E198-N198</f>
        <v>-2.679494033503739E-5</v>
      </c>
      <c r="K198" s="1">
        <v>0.99968038983444407</v>
      </c>
      <c r="L198" s="1">
        <v>2.0706808027753865</v>
      </c>
      <c r="M198" s="1">
        <v>0.46449128211630047</v>
      </c>
      <c r="N198" s="19">
        <v>7.0578561722103288E-3</v>
      </c>
      <c r="O198" s="19">
        <v>7.1331599090000003E-3</v>
      </c>
      <c r="P198" s="1">
        <v>0.89584763978411464</v>
      </c>
    </row>
    <row r="199" spans="1:16" x14ac:dyDescent="0.2">
      <c r="A199" s="1">
        <v>188</v>
      </c>
      <c r="B199" s="1">
        <v>1.000911936179159</v>
      </c>
      <c r="C199" s="1">
        <v>2.1561475155135605</v>
      </c>
      <c r="D199" s="1">
        <v>0.44598892745242547</v>
      </c>
      <c r="E199" s="19">
        <v>7.0536806045546985E-3</v>
      </c>
      <c r="F199" s="19">
        <v>7.1308099999999996E-3</v>
      </c>
      <c r="G199" s="1">
        <v>0.89537946904520327</v>
      </c>
      <c r="H199" s="1">
        <f t="shared" si="2"/>
        <v>-8.0340424345837214E-3</v>
      </c>
      <c r="I199" s="20">
        <f>E199-N199</f>
        <v>-3.6567744980482188E-5</v>
      </c>
      <c r="K199" s="1">
        <v>0.99964819719963927</v>
      </c>
      <c r="L199" s="1">
        <v>2.0623721615118296</v>
      </c>
      <c r="M199" s="1">
        <v>0.466218531518029</v>
      </c>
      <c r="N199" s="19">
        <v>7.0902483495351807E-3</v>
      </c>
      <c r="O199" s="19">
        <v>7.1686064890000003E-3</v>
      </c>
      <c r="P199" s="1">
        <v>0.89486665782597452</v>
      </c>
    </row>
    <row r="200" spans="1:16" x14ac:dyDescent="0.2">
      <c r="A200" s="1">
        <v>189</v>
      </c>
      <c r="B200" s="1">
        <v>1.0009299381703183</v>
      </c>
      <c r="C200" s="1">
        <v>2.1896680970440658</v>
      </c>
      <c r="D200" s="1">
        <v>0.43906340521088338</v>
      </c>
      <c r="E200" s="19">
        <v>7.0757718807171223E-3</v>
      </c>
      <c r="F200" s="19">
        <v>7.1537500000000004E-3</v>
      </c>
      <c r="G200" s="1">
        <v>0.89454201467852945</v>
      </c>
      <c r="H200" s="1">
        <f t="shared" si="2"/>
        <v>-1.0276250321132996E-2</v>
      </c>
      <c r="I200" s="20">
        <f>E200-N200</f>
        <v>-4.6326687307807202E-5</v>
      </c>
      <c r="K200" s="1">
        <v>0.9996849050565193</v>
      </c>
      <c r="L200" s="1">
        <v>2.0942993715851639</v>
      </c>
      <c r="M200" s="1">
        <v>0.45906343276259215</v>
      </c>
      <c r="N200" s="19">
        <v>7.1220985680249295E-3</v>
      </c>
      <c r="O200" s="19">
        <v>7.2035266899999999E-3</v>
      </c>
      <c r="P200" s="1">
        <v>0.89388955434067974</v>
      </c>
    </row>
    <row r="201" spans="1:16" x14ac:dyDescent="0.2">
      <c r="A201" s="1">
        <v>190</v>
      </c>
      <c r="B201" s="1">
        <v>1.0009393068822667</v>
      </c>
      <c r="C201" s="1">
        <v>2.1800455509564749</v>
      </c>
      <c r="D201" s="1">
        <v>0.44090731949530471</v>
      </c>
      <c r="E201" s="19">
        <v>7.0976481843934855E-3</v>
      </c>
      <c r="F201" s="19">
        <v>7.1765700000000002E-3</v>
      </c>
      <c r="G201" s="1">
        <v>0.89370509500587392</v>
      </c>
      <c r="H201" s="1">
        <f t="shared" si="2"/>
        <v>-1.2493370704233694E-2</v>
      </c>
      <c r="I201" s="20">
        <f>E201-N201</f>
        <v>-5.5786931409150704E-5</v>
      </c>
      <c r="K201" s="1">
        <v>0.9996450027191357</v>
      </c>
      <c r="L201" s="1">
        <v>2.1023751002685409</v>
      </c>
      <c r="M201" s="1">
        <v>0.45717660726079506</v>
      </c>
      <c r="N201" s="19">
        <v>7.1534351158026362E-3</v>
      </c>
      <c r="O201" s="19">
        <v>7.2379287370000003E-3</v>
      </c>
      <c r="P201" s="1">
        <v>0.89291604001402758</v>
      </c>
    </row>
    <row r="202" spans="1:16" x14ac:dyDescent="0.2">
      <c r="A202" s="1">
        <v>191</v>
      </c>
      <c r="B202" s="1">
        <v>1.0008973519438078</v>
      </c>
      <c r="C202" s="1">
        <v>2.1961269011543196</v>
      </c>
      <c r="D202" s="1">
        <v>0.43758231326999869</v>
      </c>
      <c r="E202" s="19">
        <v>7.1196470563276255E-3</v>
      </c>
      <c r="F202" s="19">
        <v>7.1995499999999999E-3</v>
      </c>
      <c r="G202" s="1">
        <v>0.89286396103239163</v>
      </c>
      <c r="H202" s="1">
        <f t="shared" si="2"/>
        <v>-1.4628074974406852E-2</v>
      </c>
      <c r="I202" s="20">
        <f>E202-N202</f>
        <v>-6.4702528247951273E-5</v>
      </c>
      <c r="K202" s="1">
        <v>0.99960183414259263</v>
      </c>
      <c r="L202" s="1">
        <v>2.1059356938301845</v>
      </c>
      <c r="M202" s="1">
        <v>0.45633888234617276</v>
      </c>
      <c r="N202" s="19">
        <v>7.1843495845755768E-3</v>
      </c>
      <c r="O202" s="19">
        <v>7.2718208549999996E-3</v>
      </c>
      <c r="P202" s="1">
        <v>0.89194491967274303</v>
      </c>
    </row>
    <row r="203" spans="1:16" x14ac:dyDescent="0.2">
      <c r="A203" s="1">
        <v>192</v>
      </c>
      <c r="B203" s="1">
        <v>1.0008752450086318</v>
      </c>
      <c r="C203" s="1">
        <v>2.1974046287584783</v>
      </c>
      <c r="D203" s="1">
        <v>0.43722860784315526</v>
      </c>
      <c r="E203" s="19">
        <v>7.1421282836774333E-3</v>
      </c>
      <c r="F203" s="19">
        <v>7.2229900000000003E-3</v>
      </c>
      <c r="G203" s="1">
        <v>0.89201346382766389</v>
      </c>
      <c r="H203" s="1">
        <f t="shared" si="2"/>
        <v>-1.6591625740382199E-2</v>
      </c>
      <c r="I203" s="20">
        <f>E203-N203</f>
        <v>-7.2699282817394358E-5</v>
      </c>
      <c r="K203" s="1">
        <v>0.99952483514244961</v>
      </c>
      <c r="L203" s="1">
        <v>2.0804362630932602</v>
      </c>
      <c r="M203" s="1">
        <v>0.46184604625473591</v>
      </c>
      <c r="N203" s="19">
        <v>7.2148275664948277E-3</v>
      </c>
      <c r="O203" s="19">
        <v>7.305211271E-3</v>
      </c>
      <c r="P203" s="1">
        <v>0.89097648721889</v>
      </c>
    </row>
    <row r="204" spans="1:16" x14ac:dyDescent="0.2">
      <c r="A204" s="1">
        <v>193</v>
      </c>
      <c r="B204" s="1">
        <v>1.0009093803636326</v>
      </c>
      <c r="C204" s="1">
        <v>2.2071036306304155</v>
      </c>
      <c r="D204" s="1">
        <v>0.43522784607479587</v>
      </c>
      <c r="E204" s="19">
        <v>7.1651529470360756E-3</v>
      </c>
      <c r="F204" s="19">
        <v>7.2471200000000001E-3</v>
      </c>
      <c r="G204" s="1">
        <v>0.89115264875195355</v>
      </c>
      <c r="H204" s="1">
        <f t="shared" si="2"/>
        <v>-1.8321448517046302E-2</v>
      </c>
      <c r="I204" s="20">
        <f>E204-N204</f>
        <v>-7.9530425300011753E-5</v>
      </c>
      <c r="K204" s="1">
        <v>0.99959688060386054</v>
      </c>
      <c r="L204" s="1">
        <v>2.0847203608184932</v>
      </c>
      <c r="M204" s="1">
        <v>0.46077949337874119</v>
      </c>
      <c r="N204" s="19">
        <v>7.2446833723360873E-3</v>
      </c>
      <c r="O204" s="19">
        <v>7.3381082089999999E-3</v>
      </c>
      <c r="P204" s="1">
        <v>0.89001349133120455</v>
      </c>
    </row>
    <row r="205" spans="1:16" x14ac:dyDescent="0.2">
      <c r="A205" s="1">
        <v>194</v>
      </c>
      <c r="B205" s="1">
        <v>1.0009550456144098</v>
      </c>
      <c r="C205" s="1">
        <v>2.1946431157312136</v>
      </c>
      <c r="D205" s="1">
        <v>0.43761383283683919</v>
      </c>
      <c r="E205" s="19">
        <v>7.1888681835152865E-3</v>
      </c>
      <c r="F205" s="19">
        <v>7.2719200000000003E-3</v>
      </c>
      <c r="G205" s="1">
        <v>0.89027930857250159</v>
      </c>
      <c r="H205" s="1">
        <f t="shared" ref="H205:H268" si="3">(P205-G205)*A205/12</f>
        <v>-1.9785800093746402E-2</v>
      </c>
      <c r="I205" s="20">
        <f>E205-N205</f>
        <v>-8.509127907884665E-5</v>
      </c>
      <c r="K205" s="1">
        <v>0.99946879417588175</v>
      </c>
      <c r="L205" s="1">
        <v>2.0819927500691362</v>
      </c>
      <c r="M205" s="1">
        <v>0.46128490809599343</v>
      </c>
      <c r="N205" s="19">
        <v>7.2739594625941331E-3</v>
      </c>
      <c r="O205" s="19">
        <v>7.3705199179999997E-3</v>
      </c>
      <c r="P205" s="1">
        <v>0.88905544464917707</v>
      </c>
    </row>
    <row r="206" spans="1:16" x14ac:dyDescent="0.2">
      <c r="A206" s="1">
        <v>195</v>
      </c>
      <c r="B206" s="1">
        <v>1.0010144720402083</v>
      </c>
      <c r="C206" s="1">
        <v>2.2327200274392252</v>
      </c>
      <c r="D206" s="1">
        <v>0.43006401885741552</v>
      </c>
      <c r="E206" s="19">
        <v>7.2132576257399718E-3</v>
      </c>
      <c r="F206" s="19">
        <v>7.2973200000000004E-3</v>
      </c>
      <c r="G206" s="1">
        <v>0.88939356475825593</v>
      </c>
      <c r="H206" s="1">
        <f t="shared" si="3"/>
        <v>-2.1026630305125971E-2</v>
      </c>
      <c r="I206" s="20">
        <f>E206-N206</f>
        <v>-8.9595268817083649E-5</v>
      </c>
      <c r="K206" s="1">
        <v>0.99944243725500836</v>
      </c>
      <c r="L206" s="1">
        <v>2.0381799838887029</v>
      </c>
      <c r="M206" s="1">
        <v>0.47111387890939793</v>
      </c>
      <c r="N206" s="19">
        <v>7.3028528945570555E-3</v>
      </c>
      <c r="O206" s="19">
        <v>7.4024547310000003E-3</v>
      </c>
      <c r="P206" s="1">
        <v>0.88809961827794048</v>
      </c>
    </row>
    <row r="207" spans="1:16" x14ac:dyDescent="0.2">
      <c r="A207" s="1">
        <v>196</v>
      </c>
      <c r="B207" s="1">
        <v>1.0010379454372493</v>
      </c>
      <c r="C207" s="1">
        <v>2.2969509080004489</v>
      </c>
      <c r="D207" s="1">
        <v>0.4179316611563253</v>
      </c>
      <c r="E207" s="19">
        <v>7.2381743578896762E-3</v>
      </c>
      <c r="F207" s="19">
        <v>7.32324E-3</v>
      </c>
      <c r="G207" s="1">
        <v>0.8884974383473373</v>
      </c>
      <c r="H207" s="1">
        <f t="shared" si="3"/>
        <v>-2.2051344324170181E-2</v>
      </c>
      <c r="I207" s="20">
        <f>E207-N207</f>
        <v>-9.3102084977924292E-5</v>
      </c>
      <c r="K207" s="1">
        <v>0.99948808284547663</v>
      </c>
      <c r="L207" s="1">
        <v>2.0519432900357097</v>
      </c>
      <c r="M207" s="1">
        <v>0.46784994977139172</v>
      </c>
      <c r="N207" s="19">
        <v>7.3312764428676005E-3</v>
      </c>
      <c r="O207" s="19">
        <v>7.4339210060000004E-3</v>
      </c>
      <c r="P207" s="1">
        <v>0.88714735604177586</v>
      </c>
    </row>
    <row r="208" spans="1:16" x14ac:dyDescent="0.2">
      <c r="A208" s="1">
        <v>197</v>
      </c>
      <c r="B208" s="1">
        <v>1.0010371171029828</v>
      </c>
      <c r="C208" s="1">
        <v>2.2561436065911664</v>
      </c>
      <c r="D208" s="1">
        <v>0.42540728607304679</v>
      </c>
      <c r="E208" s="19">
        <v>7.2636244653081885E-3</v>
      </c>
      <c r="F208" s="19">
        <v>7.3496100000000003E-3</v>
      </c>
      <c r="G208" s="1">
        <v>0.88759075683459521</v>
      </c>
      <c r="H208" s="1">
        <f t="shared" si="3"/>
        <v>-2.2836324831839949E-2</v>
      </c>
      <c r="I208" s="20">
        <f>E208-N208</f>
        <v>-9.5539732180576972E-5</v>
      </c>
      <c r="K208" s="1">
        <v>0.9993792567550428</v>
      </c>
      <c r="L208" s="1">
        <v>2.1072343302913703</v>
      </c>
      <c r="M208" s="1">
        <v>0.45547877102175521</v>
      </c>
      <c r="N208" s="19">
        <v>7.3591641974887654E-3</v>
      </c>
      <c r="O208" s="19">
        <v>7.4649270989999997E-3</v>
      </c>
      <c r="P208" s="1">
        <v>0.88619971166717348</v>
      </c>
    </row>
    <row r="209" spans="1:16" x14ac:dyDescent="0.2">
      <c r="A209" s="1">
        <v>198</v>
      </c>
      <c r="B209" s="1">
        <v>1.0010482740370408</v>
      </c>
      <c r="C209" s="1">
        <v>2.2657632287476099</v>
      </c>
      <c r="D209" s="1">
        <v>0.42351562255036124</v>
      </c>
      <c r="E209" s="19">
        <v>7.2895160316272835E-3</v>
      </c>
      <c r="F209" s="19">
        <v>7.3763500000000003E-3</v>
      </c>
      <c r="G209" s="1">
        <v>0.886674780903146</v>
      </c>
      <c r="H209" s="1">
        <f t="shared" si="3"/>
        <v>-2.3404666851029876E-2</v>
      </c>
      <c r="I209" s="20">
        <f>E209-N209</f>
        <v>-9.7032636890080105E-5</v>
      </c>
      <c r="K209" s="1">
        <v>0.99933238600300889</v>
      </c>
      <c r="L209" s="1">
        <v>2.1131347736426207</v>
      </c>
      <c r="M209" s="1">
        <v>0.45410909919750908</v>
      </c>
      <c r="N209" s="19">
        <v>7.3865486685173636E-3</v>
      </c>
      <c r="O209" s="19">
        <v>7.4954813649999999E-3</v>
      </c>
      <c r="P209" s="1">
        <v>0.88525631624550782</v>
      </c>
    </row>
    <row r="210" spans="1:16" x14ac:dyDescent="0.2">
      <c r="A210" s="1">
        <v>199</v>
      </c>
      <c r="B210" s="1">
        <v>1.0009909262705647</v>
      </c>
      <c r="C210" s="1">
        <v>2.2737747941092499</v>
      </c>
      <c r="D210" s="1">
        <v>0.42194136705054164</v>
      </c>
      <c r="E210" s="19">
        <v>7.3155771183554194E-3</v>
      </c>
      <c r="F210" s="19">
        <v>7.4033900000000001E-3</v>
      </c>
      <c r="G210" s="1">
        <v>0.88575343791877781</v>
      </c>
      <c r="H210" s="1">
        <f t="shared" si="3"/>
        <v>-2.381874643053139E-2</v>
      </c>
      <c r="I210" s="20">
        <f>E210-N210</f>
        <v>-9.7862149370795022E-5</v>
      </c>
      <c r="K210" s="1">
        <v>0.99931321305046095</v>
      </c>
      <c r="L210" s="1">
        <v>2.0825020221513184</v>
      </c>
      <c r="M210" s="1">
        <v>0.46067687596280127</v>
      </c>
      <c r="N210" s="19">
        <v>7.4134392677262144E-3</v>
      </c>
      <c r="O210" s="19">
        <v>7.525592163E-3</v>
      </c>
      <c r="P210" s="1">
        <v>0.88431713160135883</v>
      </c>
    </row>
    <row r="211" spans="1:16" x14ac:dyDescent="0.2">
      <c r="A211" s="1">
        <v>200</v>
      </c>
      <c r="B211" s="1">
        <v>1.0010130808959365</v>
      </c>
      <c r="C211" s="1">
        <v>2.3114506536142128</v>
      </c>
      <c r="D211" s="1">
        <v>0.41497520679114153</v>
      </c>
      <c r="E211" s="19">
        <v>7.3421087850489303E-3</v>
      </c>
      <c r="F211" s="19">
        <v>7.4306600000000004E-3</v>
      </c>
      <c r="G211" s="1">
        <v>0.88482226933652597</v>
      </c>
      <c r="H211" s="1">
        <f t="shared" si="3"/>
        <v>-2.4028838840206568E-2</v>
      </c>
      <c r="I211" s="20">
        <f>E211-N211</f>
        <v>-9.7843797766217905E-5</v>
      </c>
      <c r="K211" s="1">
        <v>0.9994266362441282</v>
      </c>
      <c r="L211" s="1">
        <v>2.0782414203522896</v>
      </c>
      <c r="M211" s="1">
        <v>0.46154751457927651</v>
      </c>
      <c r="N211" s="19">
        <v>7.4399525828151482E-3</v>
      </c>
      <c r="O211" s="19">
        <v>7.5552678700000001E-3</v>
      </c>
      <c r="P211" s="1">
        <v>0.88338053900611357</v>
      </c>
    </row>
    <row r="212" spans="1:16" x14ac:dyDescent="0.2">
      <c r="A212" s="1">
        <v>201</v>
      </c>
      <c r="B212" s="1">
        <v>1.0009803796409926</v>
      </c>
      <c r="C212" s="1">
        <v>2.2613364488802969</v>
      </c>
      <c r="D212" s="1">
        <v>0.42408605343185379</v>
      </c>
      <c r="E212" s="19">
        <v>7.36863390714434E-3</v>
      </c>
      <c r="F212" s="19">
        <v>7.4580699999999998E-3</v>
      </c>
      <c r="G212" s="1">
        <v>0.88388826804714371</v>
      </c>
      <c r="H212" s="1">
        <f t="shared" si="3"/>
        <v>-2.4147500743475686E-2</v>
      </c>
      <c r="I212" s="20">
        <f>E212-N212</f>
        <v>-9.7453986410537402E-5</v>
      </c>
      <c r="K212" s="1">
        <v>0.99947128379554484</v>
      </c>
      <c r="L212" s="1">
        <v>2.1190256378214052</v>
      </c>
      <c r="M212" s="1">
        <v>0.45257516594961805</v>
      </c>
      <c r="N212" s="19">
        <v>7.4660878935548774E-3</v>
      </c>
      <c r="O212" s="19">
        <v>7.584516956E-3</v>
      </c>
      <c r="P212" s="1">
        <v>0.88244662621171233</v>
      </c>
    </row>
    <row r="213" spans="1:16" x14ac:dyDescent="0.2">
      <c r="A213" s="1">
        <v>202</v>
      </c>
      <c r="B213" s="1">
        <v>1.000948701216845</v>
      </c>
      <c r="C213" s="1">
        <v>2.2107495625129516</v>
      </c>
      <c r="D213" s="1">
        <v>0.43368868745736</v>
      </c>
      <c r="E213" s="19">
        <v>7.395261379930157E-3</v>
      </c>
      <c r="F213" s="19">
        <v>7.4855499999999997E-3</v>
      </c>
      <c r="G213" s="1">
        <v>0.88294982802564914</v>
      </c>
      <c r="H213" s="1">
        <f t="shared" si="3"/>
        <v>-2.4139900987124967E-2</v>
      </c>
      <c r="I213" s="20">
        <f>E213-N213</f>
        <v>-9.6563307428991149E-5</v>
      </c>
      <c r="K213" s="1">
        <v>0.99946272497642619</v>
      </c>
      <c r="L213" s="1">
        <v>2.1615079888341668</v>
      </c>
      <c r="M213" s="1">
        <v>0.44357696621223536</v>
      </c>
      <c r="N213" s="19">
        <v>7.4918246873591481E-3</v>
      </c>
      <c r="O213" s="19">
        <v>7.6133479120000002E-3</v>
      </c>
      <c r="P213" s="1">
        <v>0.88151577450166152</v>
      </c>
    </row>
    <row r="214" spans="1:16" x14ac:dyDescent="0.2">
      <c r="A214" s="1">
        <v>203</v>
      </c>
      <c r="B214" s="1">
        <v>1.0010158600426213</v>
      </c>
      <c r="C214" s="1">
        <v>2.1734719441635502</v>
      </c>
      <c r="D214" s="1">
        <v>0.44104207910823812</v>
      </c>
      <c r="E214" s="19">
        <v>7.4219516978921542E-3</v>
      </c>
      <c r="F214" s="19">
        <v>7.5130199999999996E-3</v>
      </c>
      <c r="G214" s="1">
        <v>0.88200753238801866</v>
      </c>
      <c r="H214" s="1">
        <f t="shared" si="3"/>
        <v>-2.4010469411935808E-2</v>
      </c>
      <c r="I214" s="20">
        <f>E214-N214</f>
        <v>-9.5202519869572698E-5</v>
      </c>
      <c r="K214" s="1">
        <v>0.99953685420682137</v>
      </c>
      <c r="L214" s="1">
        <v>2.1957270890676703</v>
      </c>
      <c r="M214" s="1">
        <v>0.43655517456236631</v>
      </c>
      <c r="N214" s="19">
        <v>7.5171542177617269E-3</v>
      </c>
      <c r="O214" s="19">
        <v>7.6417692319999996E-3</v>
      </c>
      <c r="P214" s="1">
        <v>0.88058819429470225</v>
      </c>
    </row>
    <row r="215" spans="1:16" x14ac:dyDescent="0.2">
      <c r="A215" s="1">
        <v>204</v>
      </c>
      <c r="B215" s="1">
        <v>1.0010112863366509</v>
      </c>
      <c r="C215" s="1">
        <v>2.199614667132459</v>
      </c>
      <c r="D215" s="1">
        <v>0.43570795553329433</v>
      </c>
      <c r="E215" s="19">
        <v>7.4485668905258512E-3</v>
      </c>
      <c r="F215" s="19">
        <v>7.54041E-3</v>
      </c>
      <c r="G215" s="1">
        <v>0.88106344829869887</v>
      </c>
      <c r="H215" s="1">
        <f t="shared" si="3"/>
        <v>-2.3781330825812019E-2</v>
      </c>
      <c r="I215" s="20">
        <f>E215-N215</f>
        <v>-9.3470836513060221E-5</v>
      </c>
      <c r="K215" s="1">
        <v>0.99950851627119863</v>
      </c>
      <c r="L215" s="1">
        <v>2.1894118289549875</v>
      </c>
      <c r="M215" s="1">
        <v>0.43773171847201375</v>
      </c>
      <c r="N215" s="19">
        <v>7.5420377270389114E-3</v>
      </c>
      <c r="O215" s="19">
        <v>7.6697894059999999E-3</v>
      </c>
      <c r="P215" s="1">
        <v>0.87966454648541581</v>
      </c>
    </row>
    <row r="216" spans="1:16" x14ac:dyDescent="0.2">
      <c r="A216" s="1">
        <v>205</v>
      </c>
      <c r="B216" s="1">
        <v>1.0011959686836716</v>
      </c>
      <c r="C216" s="1">
        <v>2.2182834192280128</v>
      </c>
      <c r="D216" s="1">
        <v>0.43196144664523317</v>
      </c>
      <c r="E216" s="19">
        <v>7.4750734270273948E-3</v>
      </c>
      <c r="F216" s="19">
        <v>7.5676600000000004E-3</v>
      </c>
      <c r="G216" s="1">
        <v>0.88011810433370452</v>
      </c>
      <c r="H216" s="1">
        <f t="shared" si="3"/>
        <v>-2.3481951704558229E-2</v>
      </c>
      <c r="I216" s="20">
        <f>E216-N216</f>
        <v>-9.1492893705191758E-5</v>
      </c>
      <c r="K216" s="1">
        <v>0.9994772317161984</v>
      </c>
      <c r="L216" s="1">
        <v>2.1947471153625671</v>
      </c>
      <c r="M216" s="1">
        <v>0.43659577416390627</v>
      </c>
      <c r="N216" s="19">
        <v>7.5665663207325866E-3</v>
      </c>
      <c r="O216" s="19">
        <v>7.6974169269999997E-3</v>
      </c>
      <c r="P216" s="1">
        <v>0.8787435510631938</v>
      </c>
    </row>
    <row r="217" spans="1:16" x14ac:dyDescent="0.2">
      <c r="A217" s="1">
        <v>206</v>
      </c>
      <c r="B217" s="1">
        <v>1.0011688143158668</v>
      </c>
      <c r="C217" s="1">
        <v>2.1957348855340646</v>
      </c>
      <c r="D217" s="1">
        <v>0.43630253845642053</v>
      </c>
      <c r="E217" s="19">
        <v>7.5012826125372672E-3</v>
      </c>
      <c r="F217" s="19">
        <v>7.5947599999999999E-3</v>
      </c>
      <c r="G217" s="1">
        <v>0.87917437847270352</v>
      </c>
      <c r="H217" s="1">
        <f t="shared" si="3"/>
        <v>-2.3189187849889659E-2</v>
      </c>
      <c r="I217" s="20">
        <f>E217-N217</f>
        <v>-8.9572030919336104E-5</v>
      </c>
      <c r="K217" s="1">
        <v>0.99957735741250875</v>
      </c>
      <c r="L217" s="1">
        <v>2.2271046235944323</v>
      </c>
      <c r="M217" s="1">
        <v>0.43015097031775285</v>
      </c>
      <c r="N217" s="19">
        <v>7.5908546434566033E-3</v>
      </c>
      <c r="O217" s="19">
        <v>7.7246603069999996E-3</v>
      </c>
      <c r="P217" s="1">
        <v>0.87782355199601092</v>
      </c>
    </row>
    <row r="218" spans="1:16" x14ac:dyDescent="0.2">
      <c r="A218" s="1">
        <v>207</v>
      </c>
      <c r="B218" s="1">
        <v>1.0011684014790638</v>
      </c>
      <c r="C218" s="1">
        <v>2.2737243687680775</v>
      </c>
      <c r="D218" s="1">
        <v>0.42124057578145918</v>
      </c>
      <c r="E218" s="19">
        <v>7.5272601226973566E-3</v>
      </c>
      <c r="F218" s="19">
        <v>7.6217200000000002E-3</v>
      </c>
      <c r="G218" s="1">
        <v>0.87823133801782882</v>
      </c>
      <c r="H218" s="1">
        <f t="shared" si="3"/>
        <v>-2.2877597930111765E-2</v>
      </c>
      <c r="I218" s="20">
        <f>E218-N218</f>
        <v>-8.7609543995292166E-5</v>
      </c>
      <c r="K218" s="1">
        <v>0.99955901289189331</v>
      </c>
      <c r="L218" s="1">
        <v>2.2462353029860522</v>
      </c>
      <c r="M218" s="1">
        <v>0.4263899101783728</v>
      </c>
      <c r="N218" s="19">
        <v>7.6148696666926488E-3</v>
      </c>
      <c r="O218" s="19">
        <v>7.7515281409999996E-3</v>
      </c>
      <c r="P218" s="1">
        <v>0.87690510045666292</v>
      </c>
    </row>
    <row r="219" spans="1:16" x14ac:dyDescent="0.2">
      <c r="A219" s="1">
        <v>208</v>
      </c>
      <c r="B219" s="1">
        <v>1.0011121025406924</v>
      </c>
      <c r="C219" s="1">
        <v>2.2261581088957669</v>
      </c>
      <c r="D219" s="1">
        <v>0.4301478661180731</v>
      </c>
      <c r="E219" s="19">
        <v>7.5530622972921988E-3</v>
      </c>
      <c r="F219" s="19">
        <v>7.6485600000000004E-3</v>
      </c>
      <c r="G219" s="1">
        <v>0.87728817702462403</v>
      </c>
      <c r="H219" s="1">
        <f t="shared" si="3"/>
        <v>-2.2572131139818818E-2</v>
      </c>
      <c r="I219" s="20">
        <f>E219-N219</f>
        <v>-8.5701543019579482E-5</v>
      </c>
      <c r="K219" s="1">
        <v>0.99958658562882596</v>
      </c>
      <c r="L219" s="1">
        <v>2.2609905537342452</v>
      </c>
      <c r="M219" s="1">
        <v>0.42352870351317184</v>
      </c>
      <c r="N219" s="19">
        <v>7.6387638403117783E-3</v>
      </c>
      <c r="O219" s="19">
        <v>7.7780290460000004E-3</v>
      </c>
      <c r="P219" s="1">
        <v>0.87598593868963448</v>
      </c>
    </row>
    <row r="220" spans="1:16" x14ac:dyDescent="0.2">
      <c r="A220" s="1">
        <v>209</v>
      </c>
      <c r="B220" s="1">
        <v>1.0010779882406997</v>
      </c>
      <c r="C220" s="1">
        <v>2.1449982203896583</v>
      </c>
      <c r="D220" s="1">
        <v>0.4463423594843956</v>
      </c>
      <c r="E220" s="19">
        <v>7.5787494020310604E-3</v>
      </c>
      <c r="F220" s="19">
        <v>7.6752799999999996E-3</v>
      </c>
      <c r="G220" s="1">
        <v>0.87634401663351635</v>
      </c>
      <c r="H220" s="1">
        <f t="shared" si="3"/>
        <v>-2.2219577406075903E-2</v>
      </c>
      <c r="I220" s="20">
        <f>E220-N220</f>
        <v>-8.3646427989345074E-5</v>
      </c>
      <c r="K220" s="1">
        <v>0.9995931875729035</v>
      </c>
      <c r="L220" s="1">
        <v>2.2785605757171945</v>
      </c>
      <c r="M220" s="1">
        <v>0.42017561454706459</v>
      </c>
      <c r="N220" s="19">
        <v>7.6623958300204055E-3</v>
      </c>
      <c r="O220" s="19">
        <v>7.8041716360000004E-3</v>
      </c>
      <c r="P220" s="1">
        <v>0.87506825142359812</v>
      </c>
    </row>
    <row r="221" spans="1:16" x14ac:dyDescent="0.2">
      <c r="A221" s="1">
        <v>210</v>
      </c>
      <c r="B221" s="1">
        <v>1.0011367735322152</v>
      </c>
      <c r="C221" s="1">
        <v>2.0971564325623206</v>
      </c>
      <c r="D221" s="1">
        <v>0.45642488893658273</v>
      </c>
      <c r="E221" s="19">
        <v>7.604152764283674E-3</v>
      </c>
      <c r="F221" s="19">
        <v>7.7019000000000002E-3</v>
      </c>
      <c r="G221" s="1">
        <v>0.87540147141765734</v>
      </c>
      <c r="H221" s="1">
        <f t="shared" si="3"/>
        <v>-2.1844778469837789E-2</v>
      </c>
      <c r="I221" s="20">
        <f>E221-N221</f>
        <v>-8.1540636845235138E-5</v>
      </c>
      <c r="K221" s="1">
        <v>0.99966601736435223</v>
      </c>
      <c r="L221" s="1">
        <v>2.2806102121446203</v>
      </c>
      <c r="M221" s="1">
        <v>0.41969961406289746</v>
      </c>
      <c r="N221" s="19">
        <v>7.6856934011289091E-3</v>
      </c>
      <c r="O221" s="19">
        <v>7.8299645279999996E-3</v>
      </c>
      <c r="P221" s="1">
        <v>0.87415319836223804</v>
      </c>
    </row>
    <row r="222" spans="1:16" x14ac:dyDescent="0.2">
      <c r="A222" s="1">
        <v>211</v>
      </c>
      <c r="B222" s="1">
        <v>1.0010788920575642</v>
      </c>
      <c r="C222" s="1">
        <v>2.0962861458121673</v>
      </c>
      <c r="D222" s="1">
        <v>0.45652064085405586</v>
      </c>
      <c r="E222" s="19">
        <v>7.6295447438280116E-3</v>
      </c>
      <c r="F222" s="19">
        <v>7.7284199999999997E-3</v>
      </c>
      <c r="G222" s="1">
        <v>0.87445641260551077</v>
      </c>
      <c r="H222" s="1">
        <f t="shared" si="3"/>
        <v>-2.139562541085412E-2</v>
      </c>
      <c r="I222" s="20">
        <f>E222-N222</f>
        <v>-7.9192989514439635E-5</v>
      </c>
      <c r="K222" s="1">
        <v>0.99973853207105134</v>
      </c>
      <c r="L222" s="1">
        <v>2.2990109699824797</v>
      </c>
      <c r="M222" s="1">
        <v>0.41627464761068161</v>
      </c>
      <c r="N222" s="19">
        <v>7.7087377333424512E-3</v>
      </c>
      <c r="O222" s="19">
        <v>7.855416338E-3</v>
      </c>
      <c r="P222" s="1">
        <v>0.87323959978593613</v>
      </c>
    </row>
    <row r="223" spans="1:16" x14ac:dyDescent="0.2">
      <c r="A223" s="1">
        <v>212</v>
      </c>
      <c r="B223" s="1">
        <v>1.0009378741123991</v>
      </c>
      <c r="C223" s="1">
        <v>2.1356707940332313</v>
      </c>
      <c r="D223" s="1">
        <v>0.44802007151786721</v>
      </c>
      <c r="E223" s="19">
        <v>7.6549021692279484E-3</v>
      </c>
      <c r="F223" s="19">
        <v>7.7548699999999996E-3</v>
      </c>
      <c r="G223" s="1">
        <v>0.87350921059797315</v>
      </c>
      <c r="H223" s="1">
        <f t="shared" si="3"/>
        <v>-2.0821657335024502E-2</v>
      </c>
      <c r="I223" s="20">
        <f>E223-N223</f>
        <v>-7.6424345440628642E-5</v>
      </c>
      <c r="K223" s="1">
        <v>0.99968912425672496</v>
      </c>
      <c r="L223" s="1">
        <v>2.3551235077399637</v>
      </c>
      <c r="M223" s="1">
        <v>0.40625140617575095</v>
      </c>
      <c r="N223" s="19">
        <v>7.731326514668577E-3</v>
      </c>
      <c r="O223" s="19">
        <v>7.8805356999999999E-3</v>
      </c>
      <c r="P223" s="1">
        <v>0.87233062622051893</v>
      </c>
    </row>
    <row r="224" spans="1:16" x14ac:dyDescent="0.2">
      <c r="A224" s="1">
        <v>213</v>
      </c>
      <c r="B224" s="1">
        <v>1.0008500927551134</v>
      </c>
      <c r="C224" s="1">
        <v>2.1719251634383787</v>
      </c>
      <c r="D224" s="1">
        <v>0.44044580907129616</v>
      </c>
      <c r="E224" s="19">
        <v>7.6802999340103775E-3</v>
      </c>
      <c r="F224" s="19">
        <v>7.78124E-3</v>
      </c>
      <c r="G224" s="1">
        <v>0.87255872216557995</v>
      </c>
      <c r="H224" s="1">
        <f t="shared" si="3"/>
        <v>-2.015653404970269E-2</v>
      </c>
      <c r="I224" s="20">
        <f>E224-N224</f>
        <v>-7.3368093556179168E-5</v>
      </c>
      <c r="K224" s="1">
        <v>0.99971155326614225</v>
      </c>
      <c r="L224" s="1">
        <v>2.388577680482749</v>
      </c>
      <c r="M224" s="1">
        <v>0.40050327635445759</v>
      </c>
      <c r="N224" s="19">
        <v>7.7536680275665567E-3</v>
      </c>
      <c r="O224" s="19">
        <v>7.9053313290000007E-3</v>
      </c>
      <c r="P224" s="1">
        <v>0.87142314278249811</v>
      </c>
    </row>
    <row r="225" spans="1:16" x14ac:dyDescent="0.2">
      <c r="A225" s="1">
        <v>214</v>
      </c>
      <c r="B225" s="1">
        <v>1.0008000731256996</v>
      </c>
      <c r="C225" s="1">
        <v>2.1510570382140259</v>
      </c>
      <c r="D225" s="1">
        <v>0.44461060120162232</v>
      </c>
      <c r="E225" s="19">
        <v>7.7056313196374911E-3</v>
      </c>
      <c r="F225" s="19">
        <v>7.8075599999999998E-3</v>
      </c>
      <c r="G225" s="1">
        <v>0.87160661027851716</v>
      </c>
      <c r="H225" s="1">
        <f t="shared" si="3"/>
        <v>-1.9456520684664729E-2</v>
      </c>
      <c r="I225" s="20">
        <f>E225-N225</f>
        <v>-7.023467266956563E-5</v>
      </c>
      <c r="K225" s="1">
        <v>0.99967761938078636</v>
      </c>
      <c r="L225" s="1">
        <v>2.3887168472206546</v>
      </c>
      <c r="M225" s="1">
        <v>0.400363605538886</v>
      </c>
      <c r="N225" s="19">
        <v>7.7758659923070567E-3</v>
      </c>
      <c r="O225" s="19">
        <v>7.9298119570000002E-3</v>
      </c>
      <c r="P225" s="1">
        <v>0.87051559042704063</v>
      </c>
    </row>
    <row r="226" spans="1:16" x14ac:dyDescent="0.2">
      <c r="A226" s="1">
        <v>215</v>
      </c>
      <c r="B226" s="1">
        <v>1.0006854453399707</v>
      </c>
      <c r="C226" s="1">
        <v>2.1680942349807428</v>
      </c>
      <c r="D226" s="1">
        <v>0.44103765036541676</v>
      </c>
      <c r="E226" s="19">
        <v>7.730891453087016E-3</v>
      </c>
      <c r="F226" s="19">
        <v>7.83382E-3</v>
      </c>
      <c r="G226" s="1">
        <v>0.87065297297497657</v>
      </c>
      <c r="H226" s="1">
        <f t="shared" si="3"/>
        <v>-1.8649038816038698E-2</v>
      </c>
      <c r="I226" s="20">
        <f>E226-N226</f>
        <v>-6.6766201606004681E-5</v>
      </c>
      <c r="K226" s="1">
        <v>0.99968572918687737</v>
      </c>
      <c r="L226" s="1">
        <v>2.3512827264266738</v>
      </c>
      <c r="M226" s="1">
        <v>0.40667695831773676</v>
      </c>
      <c r="N226" s="19">
        <v>7.7976576546930207E-3</v>
      </c>
      <c r="O226" s="19">
        <v>7.9539863179999993E-3</v>
      </c>
      <c r="P226" s="1">
        <v>0.86961209638989534</v>
      </c>
    </row>
    <row r="227" spans="1:16" x14ac:dyDescent="0.2">
      <c r="A227" s="1">
        <v>216</v>
      </c>
      <c r="B227" s="1">
        <v>1.0006762691857065</v>
      </c>
      <c r="C227" s="1">
        <v>2.1592318079245945</v>
      </c>
      <c r="D227" s="1">
        <v>0.44275858241311478</v>
      </c>
      <c r="E227" s="19">
        <v>7.7560821575377754E-3</v>
      </c>
      <c r="F227" s="19">
        <v>7.8600500000000004E-3</v>
      </c>
      <c r="G227" s="1">
        <v>0.86969780448924772</v>
      </c>
      <c r="H227" s="1">
        <f t="shared" si="3"/>
        <v>-1.7783419128768685E-2</v>
      </c>
      <c r="I227" s="20">
        <f>E227-N227</f>
        <v>-6.3146411328754079E-5</v>
      </c>
      <c r="K227" s="1">
        <v>0.99976508748961956</v>
      </c>
      <c r="L227" s="1">
        <v>2.4062207700869194</v>
      </c>
      <c r="M227" s="1">
        <v>0.39733298700303099</v>
      </c>
      <c r="N227" s="19">
        <v>7.8192285688665295E-3</v>
      </c>
      <c r="O227" s="19">
        <v>7.9778631449999998E-3</v>
      </c>
      <c r="P227" s="1">
        <v>0.86870983675987168</v>
      </c>
    </row>
    <row r="228" spans="1:16" x14ac:dyDescent="0.2">
      <c r="A228" s="1">
        <v>217</v>
      </c>
      <c r="B228" s="1">
        <v>1.0005119863201835</v>
      </c>
      <c r="C228" s="1">
        <v>2.1317689714118924</v>
      </c>
      <c r="D228" s="1">
        <v>0.4483627520148456</v>
      </c>
      <c r="E228" s="19">
        <v>7.7813117799634462E-3</v>
      </c>
      <c r="F228" s="19">
        <v>7.8862600000000008E-3</v>
      </c>
      <c r="G228" s="1">
        <v>0.86873942513154523</v>
      </c>
      <c r="H228" s="1">
        <f t="shared" si="3"/>
        <v>-1.6799913209247997E-2</v>
      </c>
      <c r="I228" s="20">
        <f>E228-N228</f>
        <v>-5.9168812276663534E-5</v>
      </c>
      <c r="K228" s="1">
        <v>0.99963240587113655</v>
      </c>
      <c r="L228" s="1">
        <v>2.3636686800426854</v>
      </c>
      <c r="M228" s="1">
        <v>0.40439611701819</v>
      </c>
      <c r="N228" s="19">
        <v>7.8404805922401098E-3</v>
      </c>
      <c r="O228" s="19">
        <v>8.0014511710000003E-3</v>
      </c>
      <c r="P228" s="1">
        <v>0.8678103976729693</v>
      </c>
    </row>
    <row r="229" spans="1:16" x14ac:dyDescent="0.2">
      <c r="A229" s="1">
        <v>218</v>
      </c>
      <c r="B229" s="1">
        <v>1.0004437116164695</v>
      </c>
      <c r="C229" s="1">
        <v>2.1305662811304962</v>
      </c>
      <c r="D229" s="1">
        <v>0.44852940012359105</v>
      </c>
      <c r="E229" s="19">
        <v>7.8065615676365021E-3</v>
      </c>
      <c r="F229" s="19">
        <v>7.9124799999999995E-3</v>
      </c>
      <c r="G229" s="1">
        <v>0.86777813501815204</v>
      </c>
      <c r="H229" s="1">
        <f t="shared" si="3"/>
        <v>-1.5756559100163475E-2</v>
      </c>
      <c r="I229" s="20">
        <f>E229-N229</f>
        <v>-5.5045181853750902E-5</v>
      </c>
      <c r="K229" s="1">
        <v>0.99959708987498219</v>
      </c>
      <c r="L229" s="1">
        <v>2.3402798223038612</v>
      </c>
      <c r="M229" s="1">
        <v>0.40835472261789513</v>
      </c>
      <c r="N229" s="19">
        <v>7.861606749490253E-3</v>
      </c>
      <c r="O229" s="19">
        <v>8.0247591480000005E-3</v>
      </c>
      <c r="P229" s="1">
        <v>0.86691080148970268</v>
      </c>
    </row>
    <row r="230" spans="1:16" x14ac:dyDescent="0.2">
      <c r="A230" s="1">
        <v>219</v>
      </c>
      <c r="B230" s="1">
        <v>1.0004214204113067</v>
      </c>
      <c r="C230" s="1">
        <v>2.1134804013019859</v>
      </c>
      <c r="D230" s="1">
        <v>0.45205450722344898</v>
      </c>
      <c r="E230" s="19">
        <v>7.8318324403649879E-3</v>
      </c>
      <c r="F230" s="19">
        <v>7.9387399999999997E-3</v>
      </c>
      <c r="G230" s="1">
        <v>0.8668139272330263</v>
      </c>
      <c r="H230" s="1">
        <f t="shared" si="3"/>
        <v>-1.4607414203372554E-2</v>
      </c>
      <c r="I230" s="20">
        <f>E230-N230</f>
        <v>-5.0620020244704703E-5</v>
      </c>
      <c r="K230" s="1">
        <v>0.99955558221515128</v>
      </c>
      <c r="L230" s="1">
        <v>2.3389111991896709</v>
      </c>
      <c r="M230" s="1">
        <v>0.40850083985408769</v>
      </c>
      <c r="N230" s="19">
        <v>7.8824524606096926E-3</v>
      </c>
      <c r="O230" s="19">
        <v>8.0477959010000003E-3</v>
      </c>
      <c r="P230" s="1">
        <v>0.86601352097530726</v>
      </c>
    </row>
    <row r="231" spans="1:16" x14ac:dyDescent="0.2">
      <c r="A231" s="1">
        <v>220</v>
      </c>
      <c r="B231" s="1">
        <v>1.0004527911035095</v>
      </c>
      <c r="C231" s="1">
        <v>2.1327924842697161</v>
      </c>
      <c r="D231" s="1">
        <v>0.44786931388206619</v>
      </c>
      <c r="E231" s="19">
        <v>7.8570372316662702E-3</v>
      </c>
      <c r="F231" s="19">
        <v>7.9650599999999995E-3</v>
      </c>
      <c r="G231" s="1">
        <v>0.86584819297590454</v>
      </c>
      <c r="H231" s="1">
        <f t="shared" si="3"/>
        <v>-1.3396452363159487E-2</v>
      </c>
      <c r="I231" s="20">
        <f>E231-N231</f>
        <v>-4.6052000559388892E-5</v>
      </c>
      <c r="K231" s="1">
        <v>0.9995066462655342</v>
      </c>
      <c r="L231" s="1">
        <v>2.3357669464304802</v>
      </c>
      <c r="M231" s="1">
        <v>0.40895983911868944</v>
      </c>
      <c r="N231" s="19">
        <v>7.9030892322256591E-3</v>
      </c>
      <c r="O231" s="19">
        <v>8.0705702749999993E-3</v>
      </c>
      <c r="P231" s="1">
        <v>0.86511747739245948</v>
      </c>
    </row>
    <row r="232" spans="1:16" x14ac:dyDescent="0.2">
      <c r="A232" s="1">
        <v>221</v>
      </c>
      <c r="B232" s="1">
        <v>1.0004565106387571</v>
      </c>
      <c r="C232" s="1">
        <v>2.1320054392525054</v>
      </c>
      <c r="D232" s="1">
        <v>0.4479375114110738</v>
      </c>
      <c r="E232" s="19">
        <v>7.8823061269395912E-3</v>
      </c>
      <c r="F232" s="19">
        <v>7.9914900000000004E-3</v>
      </c>
      <c r="G232" s="1">
        <v>0.86487888040764049</v>
      </c>
      <c r="H232" s="1">
        <f t="shared" si="3"/>
        <v>-1.2063735620039076E-2</v>
      </c>
      <c r="I232" s="20">
        <f>E232-N232</f>
        <v>-4.1140444439867127E-5</v>
      </c>
      <c r="K232" s="1">
        <v>0.99945738439208143</v>
      </c>
      <c r="L232" s="1">
        <v>2.3487177900419725</v>
      </c>
      <c r="M232" s="1">
        <v>0.40662192081405168</v>
      </c>
      <c r="N232" s="19">
        <v>7.9234465713794583E-3</v>
      </c>
      <c r="O232" s="19">
        <v>8.0930911119999997E-3</v>
      </c>
      <c r="P232" s="1">
        <v>0.86422383593958407</v>
      </c>
    </row>
    <row r="233" spans="1:16" x14ac:dyDescent="0.2">
      <c r="A233" s="1">
        <v>222</v>
      </c>
      <c r="B233" s="1">
        <v>1.0004272756539745</v>
      </c>
      <c r="C233" s="1">
        <v>2.092728054407679</v>
      </c>
      <c r="D233" s="1">
        <v>0.45624730904548078</v>
      </c>
      <c r="E233" s="19">
        <v>7.9077328497150785E-3</v>
      </c>
      <c r="F233" s="19">
        <v>8.0180600000000005E-3</v>
      </c>
      <c r="G233" s="1">
        <v>0.86390449220318988</v>
      </c>
      <c r="H233" s="1">
        <f t="shared" si="3"/>
        <v>-1.0612406658579765E-2</v>
      </c>
      <c r="I233" s="20">
        <f>E233-N233</f>
        <v>-3.5904503272808641E-5</v>
      </c>
      <c r="K233" s="1">
        <v>0.99940077300560992</v>
      </c>
      <c r="L233" s="1">
        <v>2.3580502666204453</v>
      </c>
      <c r="M233" s="1">
        <v>0.40489378553568572</v>
      </c>
      <c r="N233" s="19">
        <v>7.9436373529878871E-3</v>
      </c>
      <c r="O233" s="19">
        <v>8.1153672579999999E-3</v>
      </c>
      <c r="P233" s="1">
        <v>0.8633308486000234</v>
      </c>
    </row>
    <row r="234" spans="1:16" x14ac:dyDescent="0.2">
      <c r="A234" s="1">
        <v>223</v>
      </c>
      <c r="B234" s="1">
        <v>1.0004790050416255</v>
      </c>
      <c r="C234" s="1">
        <v>2.0797090532497222</v>
      </c>
      <c r="D234" s="1">
        <v>0.45900662922090363</v>
      </c>
      <c r="E234" s="19">
        <v>7.9332253591361673E-3</v>
      </c>
      <c r="F234" s="19">
        <v>8.0447899999999996E-3</v>
      </c>
      <c r="G234" s="1">
        <v>0.8629264898925163</v>
      </c>
      <c r="H234" s="1">
        <f t="shared" si="3"/>
        <v>-9.0339085231698115E-3</v>
      </c>
      <c r="I234" s="20">
        <f>E234-N234</f>
        <v>-3.0323338372856279E-5</v>
      </c>
      <c r="K234" s="1">
        <v>0.99948147351271877</v>
      </c>
      <c r="L234" s="1">
        <v>2.3069262730809248</v>
      </c>
      <c r="M234" s="1">
        <v>0.41380502965093802</v>
      </c>
      <c r="N234" s="19">
        <v>7.9635486975090236E-3</v>
      </c>
      <c r="O234" s="19">
        <v>8.1374075560000005E-3</v>
      </c>
      <c r="P234" s="1">
        <v>0.86244036028588833</v>
      </c>
    </row>
    <row r="235" spans="1:16" x14ac:dyDescent="0.2">
      <c r="A235" s="1">
        <v>224</v>
      </c>
      <c r="B235" s="1">
        <v>1.0004444538242101</v>
      </c>
      <c r="C235" s="1">
        <v>2.0914660802671223</v>
      </c>
      <c r="D235" s="1">
        <v>0.45633983064326272</v>
      </c>
      <c r="E235" s="19">
        <v>7.958940310621266E-3</v>
      </c>
      <c r="F235" s="19">
        <v>8.0717199999999992E-3</v>
      </c>
      <c r="G235" s="1">
        <v>0.86194235354004189</v>
      </c>
      <c r="H235" s="1">
        <f t="shared" si="3"/>
        <v>-7.3163766704412341E-3</v>
      </c>
      <c r="I235" s="20">
        <f>E235-N235</f>
        <v>-2.4365933347399518E-5</v>
      </c>
      <c r="K235" s="1">
        <v>0.9993849304537874</v>
      </c>
      <c r="L235" s="1">
        <v>2.2978887608367211</v>
      </c>
      <c r="M235" s="1">
        <v>0.41535193905059292</v>
      </c>
      <c r="N235" s="19">
        <v>7.9833062439686655E-3</v>
      </c>
      <c r="O235" s="19">
        <v>8.159220868E-3</v>
      </c>
      <c r="P235" s="1">
        <v>0.86155040478983969</v>
      </c>
    </row>
    <row r="236" spans="1:16" x14ac:dyDescent="0.2">
      <c r="A236" s="1">
        <v>225</v>
      </c>
      <c r="B236" s="1">
        <v>1.0005121035697662</v>
      </c>
      <c r="C236" s="1">
        <v>2.061468901958722</v>
      </c>
      <c r="D236" s="1">
        <v>0.46287141236697182</v>
      </c>
      <c r="E236" s="19">
        <v>7.9847452751731045E-3</v>
      </c>
      <c r="F236" s="19">
        <v>8.0988799999999993E-3</v>
      </c>
      <c r="G236" s="1">
        <v>0.86095419657363514</v>
      </c>
      <c r="H236" s="1">
        <f t="shared" si="3"/>
        <v>-5.4867508218189864E-3</v>
      </c>
      <c r="I236" s="20">
        <f>E236-N236</f>
        <v>-1.8130361428754863E-5</v>
      </c>
      <c r="K236" s="1">
        <v>0.99933999813330587</v>
      </c>
      <c r="L236" s="1">
        <v>2.3088322911417825</v>
      </c>
      <c r="M236" s="1">
        <v>0.41329224026832362</v>
      </c>
      <c r="N236" s="19">
        <v>8.0028756366018593E-3</v>
      </c>
      <c r="O236" s="19">
        <v>8.1808161269999995E-3</v>
      </c>
      <c r="P236" s="1">
        <v>0.86066156986313813</v>
      </c>
    </row>
    <row r="237" spans="1:16" x14ac:dyDescent="0.2">
      <c r="A237" s="1">
        <v>226</v>
      </c>
      <c r="B237" s="1">
        <v>1.0004928172025296</v>
      </c>
      <c r="C237" s="1">
        <v>2.0389851143885083</v>
      </c>
      <c r="D237" s="1">
        <v>0.46789119507663463</v>
      </c>
      <c r="E237" s="19">
        <v>8.0106720626725789E-3</v>
      </c>
      <c r="F237" s="19">
        <v>8.1263099999999994E-3</v>
      </c>
      <c r="G237" s="1">
        <v>0.85996150085841561</v>
      </c>
      <c r="H237" s="1">
        <f t="shared" si="3"/>
        <v>-3.5762895148782983E-3</v>
      </c>
      <c r="I237" s="20">
        <f>E237-N237</f>
        <v>-1.1725928123908214E-5</v>
      </c>
      <c r="K237" s="1">
        <v>0.99938789298174213</v>
      </c>
      <c r="L237" s="1">
        <v>2.37178130670577</v>
      </c>
      <c r="M237" s="1">
        <v>0.4022269802435135</v>
      </c>
      <c r="N237" s="19">
        <v>8.0223979907964871E-3</v>
      </c>
      <c r="O237" s="19">
        <v>8.2022022820000002E-3</v>
      </c>
      <c r="P237" s="1">
        <v>0.8597716093797495</v>
      </c>
    </row>
    <row r="238" spans="1:16" x14ac:dyDescent="0.2">
      <c r="A238" s="1">
        <v>227</v>
      </c>
      <c r="B238" s="1">
        <v>1.0005648281692501</v>
      </c>
      <c r="C238" s="1">
        <v>2.0665111071749784</v>
      </c>
      <c r="D238" s="1">
        <v>0.46156038230912805</v>
      </c>
      <c r="E238" s="19">
        <v>8.0368741718806445E-3</v>
      </c>
      <c r="F238" s="19">
        <v>8.1540299999999996E-3</v>
      </c>
      <c r="G238" s="1">
        <v>0.85896176439571248</v>
      </c>
      <c r="H238" s="1">
        <f t="shared" si="3"/>
        <v>-1.5011422156966752E-3</v>
      </c>
      <c r="I238" s="20">
        <f>E238-N238</f>
        <v>-4.8840358830987141E-6</v>
      </c>
      <c r="K238" s="1">
        <v>0.9994748221716141</v>
      </c>
      <c r="L238" s="1">
        <v>2.3365069662760822</v>
      </c>
      <c r="M238" s="1">
        <v>0.40822090285755003</v>
      </c>
      <c r="N238" s="19">
        <v>8.0417582077637433E-3</v>
      </c>
      <c r="O238" s="19">
        <v>8.2233882849999992E-3</v>
      </c>
      <c r="P238" s="1">
        <v>0.85888240886008094</v>
      </c>
    </row>
    <row r="239" spans="1:16" x14ac:dyDescent="0.2">
      <c r="A239" s="1">
        <v>228</v>
      </c>
      <c r="B239" s="1">
        <v>1.0005534505536253</v>
      </c>
      <c r="C239" s="1">
        <v>2.0478559712014706</v>
      </c>
      <c r="D239" s="1">
        <v>0.46566013572574821</v>
      </c>
      <c r="E239" s="19">
        <v>8.0633395995436639E-3</v>
      </c>
      <c r="F239" s="19">
        <v>8.1820899999999995E-3</v>
      </c>
      <c r="G239" s="1">
        <v>0.85795515102644426</v>
      </c>
      <c r="H239" s="1">
        <f t="shared" si="3"/>
        <v>7.4193639465847117E-4</v>
      </c>
      <c r="I239" s="20">
        <f>E239-N239</f>
        <v>2.3954383836823079E-6</v>
      </c>
      <c r="K239" s="1">
        <v>0.99956577804378088</v>
      </c>
      <c r="L239" s="1">
        <v>2.2930393954131887</v>
      </c>
      <c r="M239" s="1">
        <v>0.41586150555310331</v>
      </c>
      <c r="N239" s="19">
        <v>8.0609441611599816E-3</v>
      </c>
      <c r="O239" s="19">
        <v>8.2443830859999997E-3</v>
      </c>
      <c r="P239" s="1">
        <v>0.85799420031037366</v>
      </c>
    </row>
    <row r="240" spans="1:16" x14ac:dyDescent="0.2">
      <c r="A240" s="1">
        <v>229</v>
      </c>
      <c r="B240" s="1">
        <v>1.0005541564030254</v>
      </c>
      <c r="C240" s="1">
        <v>2.0739019594377335</v>
      </c>
      <c r="D240" s="1">
        <v>0.45970802674806338</v>
      </c>
      <c r="E240" s="19">
        <v>8.0900451788505322E-3</v>
      </c>
      <c r="F240" s="19">
        <v>8.2104799999999992E-3</v>
      </c>
      <c r="G240" s="1">
        <v>0.85694201010437987</v>
      </c>
      <c r="H240" s="1">
        <f t="shared" si="3"/>
        <v>3.0982174145703276E-3</v>
      </c>
      <c r="I240" s="20">
        <f>E240-N240</f>
        <v>9.9268360188049104E-6</v>
      </c>
      <c r="K240" s="1">
        <v>0.99947417134027616</v>
      </c>
      <c r="L240" s="1">
        <v>2.2818537553630946</v>
      </c>
      <c r="M240" s="1">
        <v>0.41779864930515009</v>
      </c>
      <c r="N240" s="19">
        <v>8.0801183428317273E-3</v>
      </c>
      <c r="O240" s="19">
        <v>8.265195635E-3</v>
      </c>
      <c r="P240" s="1">
        <v>0.85710436210863683</v>
      </c>
    </row>
    <row r="241" spans="1:16" x14ac:dyDescent="0.2">
      <c r="A241" s="1">
        <v>230</v>
      </c>
      <c r="B241" s="1">
        <v>1.0005890564468993</v>
      </c>
      <c r="C241" s="1">
        <v>2.0742600902505011</v>
      </c>
      <c r="D241" s="1">
        <v>0.45954321355478384</v>
      </c>
      <c r="E241" s="19">
        <v>8.1169307578192601E-3</v>
      </c>
      <c r="F241" s="19">
        <v>8.2390899999999993E-3</v>
      </c>
      <c r="G241" s="1">
        <v>0.85592330296763031</v>
      </c>
      <c r="H241" s="1">
        <f t="shared" si="3"/>
        <v>5.544880206375391E-3</v>
      </c>
      <c r="I241" s="20">
        <f>E241-N241</f>
        <v>1.7631560558228898E-5</v>
      </c>
      <c r="K241" s="1">
        <v>0.99949434205932064</v>
      </c>
      <c r="L241" s="1">
        <v>2.2964373529350728</v>
      </c>
      <c r="M241" s="1">
        <v>0.41506854171979307</v>
      </c>
      <c r="N241" s="19">
        <v>8.0992991972610312E-3</v>
      </c>
      <c r="O241" s="19">
        <v>8.2858349009999992E-3</v>
      </c>
      <c r="P241" s="1">
        <v>0.85621260106535424</v>
      </c>
    </row>
    <row r="242" spans="1:16" x14ac:dyDescent="0.2">
      <c r="A242" s="1">
        <v>231</v>
      </c>
      <c r="B242" s="1">
        <v>1.0005675437413089</v>
      </c>
      <c r="C242" s="1">
        <v>2.1147590239248202</v>
      </c>
      <c r="D242" s="1">
        <v>0.45064714441046844</v>
      </c>
      <c r="E242" s="19">
        <v>8.143806491074922E-3</v>
      </c>
      <c r="F242" s="19">
        <v>8.2677800000000006E-3</v>
      </c>
      <c r="G242" s="1">
        <v>0.85490213810480109</v>
      </c>
      <c r="H242" s="1">
        <f t="shared" si="3"/>
        <v>8.0778081089526443E-3</v>
      </c>
      <c r="I242" s="20">
        <f>E242-N242</f>
        <v>2.5492304469050889E-5</v>
      </c>
      <c r="K242" s="1">
        <v>0.99932375661556294</v>
      </c>
      <c r="L242" s="1">
        <v>2.3035910589546011</v>
      </c>
      <c r="M242" s="1">
        <v>0.41371504629538819</v>
      </c>
      <c r="N242" s="19">
        <v>8.1183141866058711E-3</v>
      </c>
      <c r="O242" s="19">
        <v>8.3063099159999994E-3</v>
      </c>
      <c r="P242" s="1">
        <v>0.85532176450007136</v>
      </c>
    </row>
    <row r="243" spans="1:16" x14ac:dyDescent="0.2">
      <c r="A243" s="1">
        <v>232</v>
      </c>
      <c r="B243" s="1">
        <v>1.0005555015019685</v>
      </c>
      <c r="C243" s="1">
        <v>2.0837262461358823</v>
      </c>
      <c r="D243" s="1">
        <v>0.45725923410497427</v>
      </c>
      <c r="E243" s="19">
        <v>8.1707277149402121E-3</v>
      </c>
      <c r="F243" s="19">
        <v>8.2964200000000005E-3</v>
      </c>
      <c r="G243" s="1">
        <v>0.85387761579992927</v>
      </c>
      <c r="H243" s="1">
        <f t="shared" si="3"/>
        <v>1.0647849881981605E-2</v>
      </c>
      <c r="I243" s="20">
        <f>E243-N243</f>
        <v>3.3351301838291381E-5</v>
      </c>
      <c r="K243" s="1">
        <v>0.99931688574966049</v>
      </c>
      <c r="L243" s="1">
        <v>2.2666749174117418</v>
      </c>
      <c r="M243" s="1">
        <v>0.42032906250273921</v>
      </c>
      <c r="N243" s="19">
        <v>8.1373764131019207E-3</v>
      </c>
      <c r="O243" s="19">
        <v>8.3266297350000004E-3</v>
      </c>
      <c r="P243" s="1">
        <v>0.85442836665589383</v>
      </c>
    </row>
    <row r="244" spans="1:16" x14ac:dyDescent="0.2">
      <c r="A244" s="1">
        <v>233</v>
      </c>
      <c r="B244" s="1">
        <v>1.0004912035273577</v>
      </c>
      <c r="C244" s="1">
        <v>2.0399390296191324</v>
      </c>
      <c r="D244" s="1">
        <v>0.46699210663790885</v>
      </c>
      <c r="E244" s="19">
        <v>8.1973179590288121E-3</v>
      </c>
      <c r="F244" s="19">
        <v>8.3248599999999999E-3</v>
      </c>
      <c r="G244" s="1">
        <v>0.85285597553502301</v>
      </c>
      <c r="H244" s="1">
        <f t="shared" si="3"/>
        <v>1.3209456716639154E-2</v>
      </c>
      <c r="I244" s="20">
        <f>E244-N244</f>
        <v>4.1066411129364253E-5</v>
      </c>
      <c r="K244" s="1">
        <v>0.99928075154100426</v>
      </c>
      <c r="L244" s="1">
        <v>2.2377184772855334</v>
      </c>
      <c r="M244" s="1">
        <v>0.42570979976754414</v>
      </c>
      <c r="N244" s="19">
        <v>8.1562515478994478E-3</v>
      </c>
      <c r="O244" s="19">
        <v>8.3468034100000008E-3</v>
      </c>
      <c r="P244" s="1">
        <v>0.85353629090240357</v>
      </c>
    </row>
    <row r="245" spans="1:16" x14ac:dyDescent="0.2">
      <c r="A245" s="1">
        <v>234</v>
      </c>
      <c r="B245" s="1">
        <v>1.0004694054680423</v>
      </c>
      <c r="C245" s="1">
        <v>2.0132312074130856</v>
      </c>
      <c r="D245" s="1">
        <v>0.47307268873700209</v>
      </c>
      <c r="E245" s="19">
        <v>8.223589304181992E-3</v>
      </c>
      <c r="F245" s="19">
        <v>8.3529599999999996E-3</v>
      </c>
      <c r="G245" s="1">
        <v>0.85183707971339973</v>
      </c>
      <c r="H245" s="1">
        <f t="shared" si="3"/>
        <v>1.578011634437676E-2</v>
      </c>
      <c r="I245" s="20">
        <f>E245-N245</f>
        <v>4.8694311703269266E-5</v>
      </c>
      <c r="K245" s="1">
        <v>0.99934760871105466</v>
      </c>
      <c r="L245" s="1">
        <v>2.1930428763829801</v>
      </c>
      <c r="M245" s="1">
        <v>0.43428240251793915</v>
      </c>
      <c r="N245" s="19">
        <v>8.1748949924787227E-3</v>
      </c>
      <c r="O245" s="19">
        <v>8.366839991E-3</v>
      </c>
      <c r="P245" s="1">
        <v>0.85264631644900879</v>
      </c>
    </row>
    <row r="246" spans="1:16" x14ac:dyDescent="0.2">
      <c r="A246" s="1">
        <v>235</v>
      </c>
      <c r="B246" s="1">
        <v>1.0004931498172049</v>
      </c>
      <c r="C246" s="1">
        <v>1.9915979788138056</v>
      </c>
      <c r="D246" s="1">
        <v>0.47812276340575693</v>
      </c>
      <c r="E246" s="19">
        <v>8.2493954917750942E-3</v>
      </c>
      <c r="F246" s="19">
        <v>8.3805900000000003E-3</v>
      </c>
      <c r="G246" s="1">
        <v>0.85082342620046714</v>
      </c>
      <c r="H246" s="1">
        <f t="shared" si="3"/>
        <v>1.8305540751144867E-2</v>
      </c>
      <c r="I246" s="20">
        <f>E246-N246</f>
        <v>5.6070113208805256E-5</v>
      </c>
      <c r="K246" s="1">
        <v>0.99936495074413956</v>
      </c>
      <c r="L246" s="1">
        <v>2.2351424374384465</v>
      </c>
      <c r="M246" s="1">
        <v>0.42601993504340957</v>
      </c>
      <c r="N246" s="19">
        <v>8.193325378566289E-3</v>
      </c>
      <c r="O246" s="19">
        <v>8.3867485310000003E-3</v>
      </c>
      <c r="P246" s="1">
        <v>0.85175817721754687</v>
      </c>
    </row>
    <row r="247" spans="1:16" x14ac:dyDescent="0.2">
      <c r="A247" s="1">
        <v>236</v>
      </c>
      <c r="B247" s="1">
        <v>1.0004051994105196</v>
      </c>
      <c r="C247" s="1">
        <v>2.0123380692986039</v>
      </c>
      <c r="D247" s="1">
        <v>0.47309392625370011</v>
      </c>
      <c r="E247" s="19">
        <v>8.2746476621749741E-3</v>
      </c>
      <c r="F247" s="19">
        <v>8.4075999999999994E-3</v>
      </c>
      <c r="G247" s="1">
        <v>0.84981658311253172</v>
      </c>
      <c r="H247" s="1">
        <f t="shared" si="3"/>
        <v>2.0754404763745054E-2</v>
      </c>
      <c r="I247" s="20">
        <f>E247-N247</f>
        <v>6.310358768085722E-5</v>
      </c>
      <c r="K247" s="1">
        <v>0.99940606204389604</v>
      </c>
      <c r="L247" s="1">
        <v>2.2141771675833564</v>
      </c>
      <c r="M247" s="1">
        <v>0.42996721029932333</v>
      </c>
      <c r="N247" s="19">
        <v>8.2115440744941169E-3</v>
      </c>
      <c r="O247" s="19">
        <v>8.4065381009999999E-3</v>
      </c>
      <c r="P247" s="1">
        <v>0.85087189182933232</v>
      </c>
    </row>
    <row r="248" spans="1:16" x14ac:dyDescent="0.2">
      <c r="A248" s="1">
        <v>237</v>
      </c>
      <c r="B248" s="1">
        <v>1.0003714170278613</v>
      </c>
      <c r="C248" s="1">
        <v>2.030690485984564</v>
      </c>
      <c r="D248" s="1">
        <v>0.46869209253129701</v>
      </c>
      <c r="E248" s="19">
        <v>8.2990410456860193E-3</v>
      </c>
      <c r="F248" s="19">
        <v>8.4338399999999997E-3</v>
      </c>
      <c r="G248" s="1">
        <v>0.84882175589713083</v>
      </c>
      <c r="H248" s="1">
        <f t="shared" si="3"/>
        <v>2.2991744586158741E-2</v>
      </c>
      <c r="I248" s="20">
        <f>E248-N248</f>
        <v>6.9394265246785006E-5</v>
      </c>
      <c r="K248" s="1">
        <v>0.99937110041047528</v>
      </c>
      <c r="L248" s="1">
        <v>2.1765159291248599</v>
      </c>
      <c r="M248" s="1">
        <v>0.43731990317054409</v>
      </c>
      <c r="N248" s="19">
        <v>8.2296467804392343E-3</v>
      </c>
      <c r="O248" s="19">
        <v>8.4262178429999994E-3</v>
      </c>
      <c r="P248" s="1">
        <v>0.84998589486351861</v>
      </c>
    </row>
    <row r="249" spans="1:16" x14ac:dyDescent="0.2">
      <c r="A249" s="1">
        <v>238</v>
      </c>
      <c r="B249" s="1">
        <v>1.0004746122477377</v>
      </c>
      <c r="C249" s="1">
        <v>2.055036104516085</v>
      </c>
      <c r="D249" s="1">
        <v>0.46306107269375146</v>
      </c>
      <c r="E249" s="19">
        <v>8.3224499326914128E-3</v>
      </c>
      <c r="F249" s="19">
        <v>8.4591800000000002E-3</v>
      </c>
      <c r="G249" s="1">
        <v>0.8478412010277967</v>
      </c>
      <c r="H249" s="1">
        <f t="shared" si="3"/>
        <v>2.4972286165728275E-2</v>
      </c>
      <c r="I249" s="20">
        <f>E249-N249</f>
        <v>7.4822132748370018E-5</v>
      </c>
      <c r="K249" s="1">
        <v>0.99942499484647684</v>
      </c>
      <c r="L249" s="1">
        <v>2.218840184678526</v>
      </c>
      <c r="M249" s="1">
        <v>0.42889101754036441</v>
      </c>
      <c r="N249" s="19">
        <v>8.2476277999430428E-3</v>
      </c>
      <c r="O249" s="19">
        <v>8.445796916E-3</v>
      </c>
      <c r="P249" s="1">
        <v>0.8491003078932956</v>
      </c>
    </row>
    <row r="250" spans="1:16" x14ac:dyDescent="0.2">
      <c r="A250" s="1">
        <v>239</v>
      </c>
      <c r="B250" s="1">
        <v>1.0005769883316946</v>
      </c>
      <c r="C250" s="1">
        <v>2.0915578974224931</v>
      </c>
      <c r="D250" s="1">
        <v>0.45488783608122763</v>
      </c>
      <c r="E250" s="19">
        <v>8.3448848691779383E-3</v>
      </c>
      <c r="F250" s="19">
        <v>8.4834699999999999E-3</v>
      </c>
      <c r="G250" s="1">
        <v>0.8468749022731239</v>
      </c>
      <c r="H250" s="1">
        <f t="shared" si="3"/>
        <v>2.6655135432902866E-2</v>
      </c>
      <c r="I250" s="20">
        <f>E250-N250</f>
        <v>7.9283969340869162E-5</v>
      </c>
      <c r="K250" s="1">
        <v>0.99943872106607157</v>
      </c>
      <c r="L250" s="1">
        <v>2.261280998551547</v>
      </c>
      <c r="M250" s="1">
        <v>0.42075289537000277</v>
      </c>
      <c r="N250" s="19">
        <v>8.2656008998370691E-3</v>
      </c>
      <c r="O250" s="19">
        <v>8.4652844810000002E-3</v>
      </c>
      <c r="P250" s="1">
        <v>0.84821323543293492</v>
      </c>
    </row>
    <row r="251" spans="1:16" x14ac:dyDescent="0.2">
      <c r="A251" s="1">
        <v>240</v>
      </c>
      <c r="B251" s="1">
        <v>1.0006021466847193</v>
      </c>
      <c r="C251" s="1">
        <v>2.1146766383251401</v>
      </c>
      <c r="D251" s="1">
        <v>0.44982752241161111</v>
      </c>
      <c r="E251" s="19">
        <v>8.366064275507408E-3</v>
      </c>
      <c r="F251" s="19">
        <v>8.5065799999999997E-3</v>
      </c>
      <c r="G251" s="1">
        <v>0.84592778333291041</v>
      </c>
      <c r="H251" s="1">
        <f t="shared" si="3"/>
        <v>2.7950395578231202E-2</v>
      </c>
      <c r="I251" s="20">
        <f>E251-N251</f>
        <v>8.2534625652115612E-5</v>
      </c>
      <c r="K251" s="1">
        <v>0.99940389785353656</v>
      </c>
      <c r="L251" s="1">
        <v>2.2374862338215968</v>
      </c>
      <c r="M251" s="1">
        <v>0.42513860256471814</v>
      </c>
      <c r="N251" s="19">
        <v>8.2835296498552924E-3</v>
      </c>
      <c r="O251" s="19">
        <v>8.4846896990000004E-3</v>
      </c>
      <c r="P251" s="1">
        <v>0.84732530311182197</v>
      </c>
    </row>
    <row r="252" spans="1:16" x14ac:dyDescent="0.2">
      <c r="A252" s="1">
        <v>241</v>
      </c>
      <c r="B252" s="1">
        <v>1.0005830488673899</v>
      </c>
      <c r="C252" s="1">
        <v>2.1528482208741195</v>
      </c>
      <c r="D252" s="1">
        <v>0.44175633070399156</v>
      </c>
      <c r="E252" s="19">
        <v>8.3859845216456511E-3</v>
      </c>
      <c r="F252" s="19">
        <v>8.5283900000000003E-3</v>
      </c>
      <c r="G252" s="1">
        <v>0.8450001091305569</v>
      </c>
      <c r="H252" s="1">
        <f t="shared" si="3"/>
        <v>2.8859253037244976E-2</v>
      </c>
      <c r="I252" s="20">
        <f>E252-N252</f>
        <v>8.4603380592846236E-5</v>
      </c>
      <c r="K252" s="1">
        <v>0.99942645474247205</v>
      </c>
      <c r="L252" s="1">
        <v>2.2375551664122715</v>
      </c>
      <c r="M252" s="1">
        <v>0.42504105381291063</v>
      </c>
      <c r="N252" s="19">
        <v>8.3013811410528049E-3</v>
      </c>
      <c r="O252" s="19">
        <v>8.5040217289999998E-3</v>
      </c>
      <c r="P252" s="1">
        <v>0.84643708438552345</v>
      </c>
    </row>
    <row r="253" spans="1:16" x14ac:dyDescent="0.2">
      <c r="A253" s="1">
        <v>242</v>
      </c>
      <c r="B253" s="1">
        <v>1.0005810563866031</v>
      </c>
      <c r="C253" s="1">
        <v>2.2019845613721745</v>
      </c>
      <c r="D253" s="1">
        <v>0.43182553457653333</v>
      </c>
      <c r="E253" s="19">
        <v>8.404782597768147E-3</v>
      </c>
      <c r="F253" s="19">
        <v>8.5490199999999992E-3</v>
      </c>
      <c r="G253" s="1">
        <v>0.84408975179133217</v>
      </c>
      <c r="H253" s="1">
        <f t="shared" si="3"/>
        <v>2.943034228964873E-2</v>
      </c>
      <c r="I253" s="20">
        <f>E253-N253</f>
        <v>8.5657084411133733E-5</v>
      </c>
      <c r="K253" s="1">
        <v>0.99947334955625067</v>
      </c>
      <c r="L253" s="1">
        <v>2.2400512777364758</v>
      </c>
      <c r="M253" s="1">
        <v>0.42447168871647017</v>
      </c>
      <c r="N253" s="19">
        <v>8.3191255133570133E-3</v>
      </c>
      <c r="O253" s="19">
        <v>8.5232884089999992E-3</v>
      </c>
      <c r="P253" s="1">
        <v>0.84554910760734781</v>
      </c>
    </row>
    <row r="254" spans="1:16" x14ac:dyDescent="0.2">
      <c r="A254" s="1">
        <v>243</v>
      </c>
      <c r="B254" s="1">
        <v>1.0006577723409991</v>
      </c>
      <c r="C254" s="1">
        <v>2.1915974897613553</v>
      </c>
      <c r="D254" s="1">
        <v>0.43375304032287554</v>
      </c>
      <c r="E254" s="19">
        <v>8.4225374014517407E-3</v>
      </c>
      <c r="F254" s="19">
        <v>8.5685899999999992E-3</v>
      </c>
      <c r="G254" s="1">
        <v>0.84319554691710763</v>
      </c>
      <c r="H254" s="1">
        <f t="shared" si="3"/>
        <v>2.9683723301165726E-2</v>
      </c>
      <c r="I254" s="20">
        <f>E254-N254</f>
        <v>8.57754067797728E-5</v>
      </c>
      <c r="K254" s="1">
        <v>0.99947267213616231</v>
      </c>
      <c r="L254" s="1">
        <v>2.2394894477753327</v>
      </c>
      <c r="M254" s="1">
        <v>0.42448695605531372</v>
      </c>
      <c r="N254" s="19">
        <v>8.3367619946719679E-3</v>
      </c>
      <c r="O254" s="19">
        <v>8.5424922820000002E-3</v>
      </c>
      <c r="P254" s="1">
        <v>0.84466140979617754</v>
      </c>
    </row>
    <row r="255" spans="1:16" x14ac:dyDescent="0.2">
      <c r="A255" s="1">
        <v>244</v>
      </c>
      <c r="B255" s="1">
        <v>1.0005969820751279</v>
      </c>
      <c r="C255" s="1">
        <v>2.1672084294407052</v>
      </c>
      <c r="D255" s="1">
        <v>0.43854991245601932</v>
      </c>
      <c r="E255" s="19">
        <v>8.4394471489323154E-3</v>
      </c>
      <c r="F255" s="19">
        <v>8.5872499999999994E-3</v>
      </c>
      <c r="G255" s="1">
        <v>0.84231427005795756</v>
      </c>
      <c r="H255" s="1">
        <f t="shared" si="3"/>
        <v>2.9650097539602054E-2</v>
      </c>
      <c r="I255" s="20">
        <f>E255-N255</f>
        <v>8.5066615945492488E-5</v>
      </c>
      <c r="K255" s="1">
        <v>0.99960352857064594</v>
      </c>
      <c r="L255" s="1">
        <v>2.271140780680041</v>
      </c>
      <c r="M255" s="1">
        <v>0.41848336910665418</v>
      </c>
      <c r="N255" s="19">
        <v>8.3543805329868229E-3</v>
      </c>
      <c r="O255" s="19">
        <v>8.5616345700000006E-3</v>
      </c>
      <c r="P255" s="1">
        <v>0.84377247157629864</v>
      </c>
    </row>
    <row r="256" spans="1:16" x14ac:dyDescent="0.2">
      <c r="A256" s="1">
        <v>245</v>
      </c>
      <c r="B256" s="1">
        <v>1.0007080912760369</v>
      </c>
      <c r="C256" s="1">
        <v>2.1939149176418504</v>
      </c>
      <c r="D256" s="1">
        <v>0.43311196104610039</v>
      </c>
      <c r="E256" s="19">
        <v>8.4555946509810125E-3</v>
      </c>
      <c r="F256" s="19">
        <v>8.6051400000000007E-3</v>
      </c>
      <c r="G256" s="1">
        <v>0.8414446377638074</v>
      </c>
      <c r="H256" s="1">
        <f t="shared" si="3"/>
        <v>2.9359476444747363E-2</v>
      </c>
      <c r="I256" s="20">
        <f>E256-N256</f>
        <v>8.3633880090954599E-5</v>
      </c>
      <c r="K256" s="1">
        <v>0.99967703056948864</v>
      </c>
      <c r="L256" s="1">
        <v>2.2974060371115734</v>
      </c>
      <c r="M256" s="1">
        <v>0.41361472913634967</v>
      </c>
      <c r="N256" s="19">
        <v>8.3719607708900579E-3</v>
      </c>
      <c r="O256" s="19">
        <v>8.5807164930000006E-3</v>
      </c>
      <c r="P256" s="1">
        <v>0.84288265293661135</v>
      </c>
    </row>
    <row r="257" spans="1:16" x14ac:dyDescent="0.2">
      <c r="A257" s="1">
        <v>246</v>
      </c>
      <c r="B257" s="1">
        <v>1.0006108264673557</v>
      </c>
      <c r="C257" s="1">
        <v>2.1903210556150778</v>
      </c>
      <c r="D257" s="1">
        <v>0.43372935395094464</v>
      </c>
      <c r="E257" s="19">
        <v>8.471087703746152E-3</v>
      </c>
      <c r="F257" s="19">
        <v>8.6224000000000006E-3</v>
      </c>
      <c r="G257" s="1">
        <v>0.84058491849721617</v>
      </c>
      <c r="H257" s="1">
        <f t="shared" si="3"/>
        <v>2.8909360679050422E-2</v>
      </c>
      <c r="I257" s="20">
        <f>E257-N257</f>
        <v>8.1768329913257595E-5</v>
      </c>
      <c r="K257" s="1">
        <v>0.99974094088803489</v>
      </c>
      <c r="L257" s="1">
        <v>2.3367277929267001</v>
      </c>
      <c r="M257" s="1">
        <v>0.40656276067552327</v>
      </c>
      <c r="N257" s="19">
        <v>8.3893193738328944E-3</v>
      </c>
      <c r="O257" s="19">
        <v>8.5997392710000006E-3</v>
      </c>
      <c r="P257" s="1">
        <v>0.84199513121326741</v>
      </c>
    </row>
    <row r="258" spans="1:16" x14ac:dyDescent="0.2">
      <c r="A258" s="1">
        <v>247</v>
      </c>
      <c r="B258" s="1">
        <v>1.0007088115955347</v>
      </c>
      <c r="C258" s="1">
        <v>2.2387349536605776</v>
      </c>
      <c r="D258" s="1">
        <v>0.42429119559161971</v>
      </c>
      <c r="E258" s="19">
        <v>8.4860710765117843E-3</v>
      </c>
      <c r="F258" s="19">
        <v>8.6391699999999998E-3</v>
      </c>
      <c r="G258" s="1">
        <v>0.83973271882109746</v>
      </c>
      <c r="H258" s="1">
        <f t="shared" si="3"/>
        <v>2.829354574786011E-2</v>
      </c>
      <c r="I258" s="20">
        <f>E258-N258</f>
        <v>7.9462033370883076E-5</v>
      </c>
      <c r="K258" s="1">
        <v>0.99983469074701314</v>
      </c>
      <c r="L258" s="1">
        <v>2.3100742451886385</v>
      </c>
      <c r="M258" s="1">
        <v>0.41118269168652938</v>
      </c>
      <c r="N258" s="19">
        <v>8.4066090431409012E-3</v>
      </c>
      <c r="O258" s="19">
        <v>8.6187041270000004E-3</v>
      </c>
      <c r="P258" s="1">
        <v>0.84110730403961698</v>
      </c>
    </row>
    <row r="259" spans="1:16" x14ac:dyDescent="0.2">
      <c r="A259" s="1">
        <v>248</v>
      </c>
      <c r="B259" s="1">
        <v>1.0008120369178926</v>
      </c>
      <c r="C259" s="1">
        <v>2.2142398299276134</v>
      </c>
      <c r="D259" s="1">
        <v>0.42886559497237414</v>
      </c>
      <c r="E259" s="19">
        <v>8.5007053102021755E-3</v>
      </c>
      <c r="F259" s="19">
        <v>8.6555799999999995E-3</v>
      </c>
      <c r="G259" s="1">
        <v>0.8388853412334123</v>
      </c>
      <c r="H259" s="1">
        <f t="shared" si="3"/>
        <v>2.7543374841699848E-2</v>
      </c>
      <c r="I259" s="20">
        <f>E259-N259</f>
        <v>7.6811973246309478E-5</v>
      </c>
      <c r="K259" s="1">
        <v>0.99974678465700795</v>
      </c>
      <c r="L259" s="1">
        <v>2.3561736702753855</v>
      </c>
      <c r="M259" s="1">
        <v>0.40305144815416899</v>
      </c>
      <c r="N259" s="19">
        <v>8.423893336955866E-3</v>
      </c>
      <c r="O259" s="19">
        <v>8.6376122739999991E-3</v>
      </c>
      <c r="P259" s="1">
        <v>0.84021808517736551</v>
      </c>
    </row>
    <row r="260" spans="1:16" x14ac:dyDescent="0.2">
      <c r="A260" s="1">
        <v>249</v>
      </c>
      <c r="B260" s="1">
        <v>1.0007750614325353</v>
      </c>
      <c r="C260" s="1">
        <v>2.225430902024764</v>
      </c>
      <c r="D260" s="1">
        <v>0.42663800834882398</v>
      </c>
      <c r="E260" s="19">
        <v>8.515085663074861E-3</v>
      </c>
      <c r="F260" s="19">
        <v>8.6717900000000004E-3</v>
      </c>
      <c r="G260" s="1">
        <v>0.83804118954291318</v>
      </c>
      <c r="H260" s="1">
        <f t="shared" si="3"/>
        <v>2.6707968485176758E-2</v>
      </c>
      <c r="I260" s="20">
        <f>E260-N260</f>
        <v>7.3961547514048848E-5</v>
      </c>
      <c r="K260" s="1">
        <v>0.99969008553328953</v>
      </c>
      <c r="L260" s="1">
        <v>2.3361359432906799</v>
      </c>
      <c r="M260" s="1">
        <v>0.40642608017511894</v>
      </c>
      <c r="N260" s="19">
        <v>8.4411241155608122E-3</v>
      </c>
      <c r="O260" s="19">
        <v>8.6564649070000003E-3</v>
      </c>
      <c r="P260" s="1">
        <v>0.839328320554247</v>
      </c>
    </row>
    <row r="261" spans="1:16" x14ac:dyDescent="0.2">
      <c r="A261" s="1">
        <v>250</v>
      </c>
      <c r="B261" s="1">
        <v>1.0006493758434669</v>
      </c>
      <c r="C261" s="1">
        <v>2.1739562871462659</v>
      </c>
      <c r="D261" s="1">
        <v>0.43662115615204178</v>
      </c>
      <c r="E261" s="19">
        <v>8.5292768641086619E-3</v>
      </c>
      <c r="F261" s="19">
        <v>8.68793E-3</v>
      </c>
      <c r="G261" s="1">
        <v>0.83719917988600323</v>
      </c>
      <c r="H261" s="1">
        <f t="shared" si="3"/>
        <v>2.5844720297799977E-2</v>
      </c>
      <c r="I261" s="20">
        <f>E261-N261</f>
        <v>7.1072885953942302E-5</v>
      </c>
      <c r="K261" s="1">
        <v>0.99963833770214328</v>
      </c>
      <c r="L261" s="1">
        <v>2.3101857012854161</v>
      </c>
      <c r="M261" s="1">
        <v>0.41090097868340875</v>
      </c>
      <c r="N261" s="19">
        <v>8.4582039781547196E-3</v>
      </c>
      <c r="O261" s="19">
        <v>8.6752632109999995E-3</v>
      </c>
      <c r="P261" s="1">
        <v>0.83843972646029763</v>
      </c>
    </row>
    <row r="262" spans="1:16" x14ac:dyDescent="0.2">
      <c r="A262" s="1">
        <v>251</v>
      </c>
      <c r="B262" s="1">
        <v>1.0005627180935788</v>
      </c>
      <c r="C262" s="1">
        <v>2.1529311874886572</v>
      </c>
      <c r="D262" s="1">
        <v>0.44082483827234015</v>
      </c>
      <c r="E262" s="19">
        <v>8.5435373291507903E-3</v>
      </c>
      <c r="F262" s="19">
        <v>8.7041500000000008E-3</v>
      </c>
      <c r="G262" s="1">
        <v>0.83635482638574721</v>
      </c>
      <c r="H262" s="1">
        <f t="shared" si="3"/>
        <v>2.5040540940928103E-2</v>
      </c>
      <c r="I262" s="20">
        <f>E262-N262</f>
        <v>6.838448004099773E-5</v>
      </c>
      <c r="K262" s="1">
        <v>0.99960827167197164</v>
      </c>
      <c r="L262" s="1">
        <v>2.3643723316930116</v>
      </c>
      <c r="M262" s="1">
        <v>0.40138682450427865</v>
      </c>
      <c r="N262" s="19">
        <v>8.4751528491097926E-3</v>
      </c>
      <c r="O262" s="19">
        <v>8.6940083749999994E-3</v>
      </c>
      <c r="P262" s="1">
        <v>0.83755198372156847</v>
      </c>
    </row>
    <row r="263" spans="1:16" x14ac:dyDescent="0.2">
      <c r="A263" s="1">
        <v>252</v>
      </c>
      <c r="B263" s="1">
        <v>1.0005367412034538</v>
      </c>
      <c r="C263" s="1">
        <v>2.0774808643029914</v>
      </c>
      <c r="D263" s="1">
        <v>0.45674278817420377</v>
      </c>
      <c r="E263" s="19">
        <v>8.5581077906599339E-3</v>
      </c>
      <c r="F263" s="19">
        <v>8.7205900000000003E-3</v>
      </c>
      <c r="G263" s="1">
        <v>0.83550389957403481</v>
      </c>
      <c r="H263" s="1">
        <f t="shared" si="3"/>
        <v>2.4389303735200762E-2</v>
      </c>
      <c r="I263" s="20">
        <f>E263-N263</f>
        <v>6.6147077329067536E-5</v>
      </c>
      <c r="K263" s="1">
        <v>0.99959499184459744</v>
      </c>
      <c r="L263" s="1">
        <v>2.3692547705482641</v>
      </c>
      <c r="M263" s="1">
        <v>0.40048069503326095</v>
      </c>
      <c r="N263" s="19">
        <v>8.4919607133308664E-3</v>
      </c>
      <c r="O263" s="19">
        <v>8.7127015849999996E-3</v>
      </c>
      <c r="P263" s="1">
        <v>0.83666529498999676</v>
      </c>
    </row>
    <row r="264" spans="1:16" x14ac:dyDescent="0.2">
      <c r="A264" s="1">
        <v>253</v>
      </c>
      <c r="B264" s="1">
        <v>1.0005530269832013</v>
      </c>
      <c r="C264" s="1">
        <v>2.0647138196518213</v>
      </c>
      <c r="D264" s="1">
        <v>0.45946901611939817</v>
      </c>
      <c r="E264" s="19">
        <v>8.572937699810523E-3</v>
      </c>
      <c r="F264" s="19">
        <v>8.7373599999999996E-3</v>
      </c>
      <c r="G264" s="1">
        <v>0.83464724608499341</v>
      </c>
      <c r="H264" s="1">
        <f t="shared" si="3"/>
        <v>2.3857537115496329E-2</v>
      </c>
      <c r="I264" s="20">
        <f>E264-N264</f>
        <v>6.4261352132881366E-5</v>
      </c>
      <c r="K264" s="1">
        <v>0.99954815592653068</v>
      </c>
      <c r="L264" s="1">
        <v>2.3443053479467255</v>
      </c>
      <c r="M264" s="1">
        <v>0.40465439518000823</v>
      </c>
      <c r="N264" s="19">
        <v>8.5086763476776416E-3</v>
      </c>
      <c r="O264" s="19">
        <v>8.7313440290000006E-3</v>
      </c>
      <c r="P264" s="1">
        <v>0.83577882887308019</v>
      </c>
    </row>
    <row r="265" spans="1:16" x14ac:dyDescent="0.2">
      <c r="A265" s="1">
        <v>254</v>
      </c>
      <c r="B265" s="1">
        <v>1.0004734113766809</v>
      </c>
      <c r="C265" s="1">
        <v>2.0559048156203446</v>
      </c>
      <c r="D265" s="1">
        <v>0.46132970458009193</v>
      </c>
      <c r="E265" s="19">
        <v>8.5880975697552632E-3</v>
      </c>
      <c r="F265" s="19">
        <v>8.7544600000000004E-3</v>
      </c>
      <c r="G265" s="1">
        <v>0.8337835867882204</v>
      </c>
      <c r="H265" s="1">
        <f t="shared" si="3"/>
        <v>2.3472067423311333E-2</v>
      </c>
      <c r="I265" s="20">
        <f>E265-N265</f>
        <v>6.279201492714534E-5</v>
      </c>
      <c r="K265" s="1">
        <v>0.99963537169981131</v>
      </c>
      <c r="L265" s="1">
        <v>2.3390621912626988</v>
      </c>
      <c r="M265" s="1">
        <v>0.40549688683984503</v>
      </c>
      <c r="N265" s="19">
        <v>8.5253055548281179E-3</v>
      </c>
      <c r="O265" s="19">
        <v>8.7499369199999996E-3</v>
      </c>
      <c r="P265" s="1">
        <v>0.83489250335940046</v>
      </c>
    </row>
    <row r="266" spans="1:16" x14ac:dyDescent="0.2">
      <c r="A266" s="1">
        <v>255</v>
      </c>
      <c r="B266" s="1">
        <v>1.0005052948718969</v>
      </c>
      <c r="C266" s="1">
        <v>2.0676069833252386</v>
      </c>
      <c r="D266" s="1">
        <v>0.45862540909599547</v>
      </c>
      <c r="E266" s="19">
        <v>8.6035156296474947E-3</v>
      </c>
      <c r="F266" s="19">
        <v>8.7718599999999994E-3</v>
      </c>
      <c r="G266" s="1">
        <v>0.83291414685237397</v>
      </c>
      <c r="H266" s="1">
        <f t="shared" si="3"/>
        <v>2.3198863623157401E-2</v>
      </c>
      <c r="I266" s="20">
        <f>E266-N266</f>
        <v>6.1640214622403142E-5</v>
      </c>
      <c r="K266" s="1">
        <v>0.9996182866208837</v>
      </c>
      <c r="L266" s="1">
        <v>2.281685746012259</v>
      </c>
      <c r="M266" s="1">
        <v>0.41560207871402105</v>
      </c>
      <c r="N266" s="19">
        <v>8.5418754150250915E-3</v>
      </c>
      <c r="O266" s="19">
        <v>8.7684815790000006E-3</v>
      </c>
      <c r="P266" s="1">
        <v>0.83400585808169903</v>
      </c>
    </row>
    <row r="267" spans="1:16" x14ac:dyDescent="0.2">
      <c r="A267" s="1">
        <v>256</v>
      </c>
      <c r="B267" s="1">
        <v>1.0005613469105428</v>
      </c>
      <c r="C267" s="1">
        <v>2.1062410497235162</v>
      </c>
      <c r="D267" s="1">
        <v>0.45013045888116238</v>
      </c>
      <c r="E267" s="19">
        <v>8.6192048244483847E-3</v>
      </c>
      <c r="F267" s="19">
        <v>8.7895100000000004E-3</v>
      </c>
      <c r="G267" s="1">
        <v>0.83203866275077776</v>
      </c>
      <c r="H267" s="1">
        <f t="shared" si="3"/>
        <v>2.3063572657730919E-2</v>
      </c>
      <c r="I267" s="20">
        <f>E267-N267</f>
        <v>6.0867244321919506E-5</v>
      </c>
      <c r="K267" s="1">
        <v>0.99956063388986005</v>
      </c>
      <c r="L267" s="1">
        <v>2.2966343140584846</v>
      </c>
      <c r="M267" s="1">
        <v>0.41280536299325088</v>
      </c>
      <c r="N267" s="19">
        <v>8.5583375801264652E-3</v>
      </c>
      <c r="O267" s="19">
        <v>8.7869793539999998E-3</v>
      </c>
      <c r="P267" s="1">
        <v>0.83311976771910889</v>
      </c>
    </row>
    <row r="268" spans="1:16" x14ac:dyDescent="0.2">
      <c r="A268" s="1">
        <v>257</v>
      </c>
      <c r="B268" s="1">
        <v>1.0007099151942727</v>
      </c>
      <c r="C268" s="1">
        <v>2.1578636088991829</v>
      </c>
      <c r="D268" s="1">
        <v>0.43928659530799957</v>
      </c>
      <c r="E268" s="19">
        <v>8.6350648678880995E-3</v>
      </c>
      <c r="F268" s="19">
        <v>8.8074E-3</v>
      </c>
      <c r="G268" s="1">
        <v>0.83115888427637852</v>
      </c>
      <c r="H268" s="1">
        <f t="shared" si="3"/>
        <v>2.2991066422401323E-2</v>
      </c>
      <c r="I268" s="20">
        <f>E268-N268</f>
        <v>6.0268585222563592E-5</v>
      </c>
      <c r="K268" s="1">
        <v>0.99941403375132487</v>
      </c>
      <c r="L268" s="1">
        <v>2.2807584334098578</v>
      </c>
      <c r="M268" s="1">
        <v>0.41558124031240623</v>
      </c>
      <c r="N268" s="19">
        <v>8.5747962826655359E-3</v>
      </c>
      <c r="O268" s="19">
        <v>8.8054315909999997E-3</v>
      </c>
      <c r="P268" s="1">
        <v>0.83223239710544006</v>
      </c>
    </row>
    <row r="269" spans="1:16" x14ac:dyDescent="0.2">
      <c r="A269" s="1">
        <v>258</v>
      </c>
      <c r="B269" s="1">
        <v>1.0009255962546173</v>
      </c>
      <c r="C269" s="1">
        <v>2.1696347237003493</v>
      </c>
      <c r="D269" s="1">
        <v>0.43680627668621042</v>
      </c>
      <c r="E269" s="19">
        <v>8.650928376517316E-3</v>
      </c>
      <c r="F269" s="19">
        <v>8.8254900000000001E-3</v>
      </c>
      <c r="G269" s="1">
        <v>0.83027777949241865</v>
      </c>
      <c r="H269" s="1">
        <f t="shared" ref="H269:H332" si="4">(P269-G269)*A269/12</f>
        <v>2.2891477218073664E-2</v>
      </c>
      <c r="I269" s="20">
        <f>E269-N269</f>
        <v>5.9606712622343322E-5</v>
      </c>
      <c r="K269" s="1">
        <v>0.99943357073917072</v>
      </c>
      <c r="L269" s="1">
        <v>2.3244206972117754</v>
      </c>
      <c r="M269" s="1">
        <v>0.40771133448617081</v>
      </c>
      <c r="N269" s="19">
        <v>8.5913216638949727E-3</v>
      </c>
      <c r="O269" s="19">
        <v>8.823839638E-3</v>
      </c>
      <c r="P269" s="1">
        <v>0.83134249936302673</v>
      </c>
    </row>
    <row r="270" spans="1:16" x14ac:dyDescent="0.2">
      <c r="A270" s="1">
        <v>259</v>
      </c>
      <c r="B270" s="1">
        <v>1.000927960333464</v>
      </c>
      <c r="C270" s="1">
        <v>2.1739946583846956</v>
      </c>
      <c r="D270" s="1">
        <v>0.43581197010830974</v>
      </c>
      <c r="E270" s="19">
        <v>8.6669938465063837E-3</v>
      </c>
      <c r="F270" s="19">
        <v>8.8437399999999992E-3</v>
      </c>
      <c r="G270" s="1">
        <v>0.82939180057783102</v>
      </c>
      <c r="H270" s="1">
        <f t="shared" si="4"/>
        <v>2.282162393145018E-2</v>
      </c>
      <c r="I270" s="20">
        <f>E270-N270</f>
        <v>5.903004058192482E-5</v>
      </c>
      <c r="K270" s="1">
        <v>0.99947415550213914</v>
      </c>
      <c r="L270" s="1">
        <v>2.2544408461989378</v>
      </c>
      <c r="M270" s="1">
        <v>0.42027620331226134</v>
      </c>
      <c r="N270" s="19">
        <v>8.6079638059244588E-3</v>
      </c>
      <c r="O270" s="19">
        <v>8.8422048430000007E-3</v>
      </c>
      <c r="P270" s="1">
        <v>0.8304491731151955</v>
      </c>
    </row>
    <row r="271" spans="1:16" x14ac:dyDescent="0.2">
      <c r="A271" s="1">
        <v>260</v>
      </c>
      <c r="B271" s="1">
        <v>1.0008198372275849</v>
      </c>
      <c r="C271" s="1">
        <v>2.2180732526106808</v>
      </c>
      <c r="D271" s="1">
        <v>0.42707730163671109</v>
      </c>
      <c r="E271" s="19">
        <v>8.683229354250999E-3</v>
      </c>
      <c r="F271" s="19">
        <v>8.8621299999999993E-3</v>
      </c>
      <c r="G271" s="1">
        <v>0.82850149636079184</v>
      </c>
      <c r="H271" s="1">
        <f t="shared" si="4"/>
        <v>2.2822954109490794E-2</v>
      </c>
      <c r="I271" s="20">
        <f>E271-N271</f>
        <v>5.8643302343225692E-5</v>
      </c>
      <c r="K271" s="1">
        <v>0.99946515533649183</v>
      </c>
      <c r="L271" s="1">
        <v>2.2603582433288367</v>
      </c>
      <c r="M271" s="1">
        <v>0.4190838769293645</v>
      </c>
      <c r="N271" s="19">
        <v>8.6245860519077733E-3</v>
      </c>
      <c r="O271" s="19">
        <v>8.8605284639999993E-3</v>
      </c>
      <c r="P271" s="1">
        <v>0.82955486347353757</v>
      </c>
    </row>
    <row r="272" spans="1:16" x14ac:dyDescent="0.2">
      <c r="A272" s="1">
        <v>261</v>
      </c>
      <c r="B272" s="1">
        <v>1.0008382635534403</v>
      </c>
      <c r="C272" s="1">
        <v>2.2035864539097139</v>
      </c>
      <c r="D272" s="1">
        <v>0.42976861118692589</v>
      </c>
      <c r="E272" s="19">
        <v>8.6994650304407211E-3</v>
      </c>
      <c r="F272" s="19">
        <v>8.8806100000000006E-3</v>
      </c>
      <c r="G272" s="1">
        <v>0.8276099053542908</v>
      </c>
      <c r="H272" s="1">
        <f t="shared" si="4"/>
        <v>2.2819048663624275E-2</v>
      </c>
      <c r="I272" s="20">
        <f>E272-N272</f>
        <v>5.8247622339762176E-5</v>
      </c>
      <c r="K272" s="1">
        <v>0.99945876760238916</v>
      </c>
      <c r="L272" s="1">
        <v>2.2923098364372327</v>
      </c>
      <c r="M272" s="1">
        <v>0.41314596329562436</v>
      </c>
      <c r="N272" s="19">
        <v>8.6412174081009589E-3</v>
      </c>
      <c r="O272" s="19">
        <v>8.8788114139999996E-3</v>
      </c>
      <c r="P272" s="1">
        <v>0.82865905701698617</v>
      </c>
    </row>
    <row r="273" spans="1:16" x14ac:dyDescent="0.2">
      <c r="A273" s="1">
        <v>262</v>
      </c>
      <c r="B273" s="1">
        <v>1.0008265270024148</v>
      </c>
      <c r="C273" s="1">
        <v>2.2893934290086726</v>
      </c>
      <c r="D273" s="1">
        <v>0.41358264015009866</v>
      </c>
      <c r="E273" s="19">
        <v>8.7157261576270746E-3</v>
      </c>
      <c r="F273" s="19">
        <v>8.8991599999999997E-3</v>
      </c>
      <c r="G273" s="1">
        <v>0.82671657738772175</v>
      </c>
      <c r="H273" s="1">
        <f t="shared" si="4"/>
        <v>2.2835116037479841E-2</v>
      </c>
      <c r="I273" s="20">
        <f>E273-N273</f>
        <v>5.790711344192713E-5</v>
      </c>
      <c r="K273" s="1">
        <v>0.99929541652451115</v>
      </c>
      <c r="L273" s="1">
        <v>2.2025839598640782</v>
      </c>
      <c r="M273" s="1">
        <v>0.42989264141527</v>
      </c>
      <c r="N273" s="19">
        <v>8.6578190441851475E-3</v>
      </c>
      <c r="O273" s="19">
        <v>8.8970545150000007E-3</v>
      </c>
      <c r="P273" s="1">
        <v>0.8277624605650109</v>
      </c>
    </row>
    <row r="274" spans="1:16" x14ac:dyDescent="0.2">
      <c r="A274" s="1">
        <v>263</v>
      </c>
      <c r="B274" s="1">
        <v>1.0008678318588657</v>
      </c>
      <c r="C274" s="1">
        <v>2.3124943202734936</v>
      </c>
      <c r="D274" s="1">
        <v>0.40937574397571241</v>
      </c>
      <c r="E274" s="19">
        <v>8.732135546642851E-3</v>
      </c>
      <c r="F274" s="19">
        <v>8.9177500000000003E-3</v>
      </c>
      <c r="G274" s="1">
        <v>0.82581929212415361</v>
      </c>
      <c r="H274" s="1">
        <f t="shared" si="4"/>
        <v>2.2930248272896036E-2</v>
      </c>
      <c r="I274" s="20">
        <f>E274-N274</f>
        <v>5.7769653773569185E-5</v>
      </c>
      <c r="K274" s="1">
        <v>0.99931782586756268</v>
      </c>
      <c r="L274" s="1">
        <v>2.1978634396303622</v>
      </c>
      <c r="M274" s="1">
        <v>0.43073225276398558</v>
      </c>
      <c r="N274" s="19">
        <v>8.6743658928692818E-3</v>
      </c>
      <c r="O274" s="19">
        <v>8.9152585909999995E-3</v>
      </c>
      <c r="P274" s="1">
        <v>0.82686553919363937</v>
      </c>
    </row>
    <row r="275" spans="1:16" x14ac:dyDescent="0.2">
      <c r="A275" s="1">
        <v>264</v>
      </c>
      <c r="B275" s="1">
        <v>1.0009524442486244</v>
      </c>
      <c r="C275" s="1">
        <v>2.2876964701733447</v>
      </c>
      <c r="D275" s="1">
        <v>0.41372923899543512</v>
      </c>
      <c r="E275" s="19">
        <v>8.7486331111861423E-3</v>
      </c>
      <c r="F275" s="19">
        <v>8.9363299999999993E-3</v>
      </c>
      <c r="G275" s="1">
        <v>0.82491912443053805</v>
      </c>
      <c r="H275" s="1">
        <f t="shared" si="4"/>
        <v>2.3136916731099744E-2</v>
      </c>
      <c r="I275" s="20">
        <f>E275-N275</f>
        <v>5.791246606186122E-5</v>
      </c>
      <c r="K275" s="1">
        <v>0.99941051887944654</v>
      </c>
      <c r="L275" s="1">
        <v>2.2157201517449003</v>
      </c>
      <c r="M275" s="1">
        <v>0.42717101962496046</v>
      </c>
      <c r="N275" s="19">
        <v>8.6907206451242811E-3</v>
      </c>
      <c r="O275" s="19">
        <v>8.9334244659999996E-3</v>
      </c>
      <c r="P275" s="1">
        <v>0.82597080246376986</v>
      </c>
    </row>
    <row r="276" spans="1:16" x14ac:dyDescent="0.2">
      <c r="A276" s="1">
        <v>265</v>
      </c>
      <c r="B276" s="1">
        <v>1.000954349389207</v>
      </c>
      <c r="C276" s="1">
        <v>2.2669701680397054</v>
      </c>
      <c r="D276" s="1">
        <v>0.41742855012826652</v>
      </c>
      <c r="E276" s="19">
        <v>8.7650957033728848E-3</v>
      </c>
      <c r="F276" s="19">
        <v>8.9548900000000001E-3</v>
      </c>
      <c r="G276" s="1">
        <v>0.82401830862356618</v>
      </c>
      <c r="H276" s="1">
        <f t="shared" si="4"/>
        <v>2.3342653007353831E-2</v>
      </c>
      <c r="I276" s="20">
        <f>E276-N276</f>
        <v>5.8050464079474964E-5</v>
      </c>
      <c r="K276" s="1">
        <v>0.99954975602133489</v>
      </c>
      <c r="L276" s="1">
        <v>2.2844440579767271</v>
      </c>
      <c r="M276" s="1">
        <v>0.41420909726763283</v>
      </c>
      <c r="N276" s="19">
        <v>8.7070452392934098E-3</v>
      </c>
      <c r="O276" s="19">
        <v>8.9515529620000003E-3</v>
      </c>
      <c r="P276" s="1">
        <v>0.82507533442012559</v>
      </c>
    </row>
    <row r="277" spans="1:16" x14ac:dyDescent="0.2">
      <c r="A277" s="1">
        <v>266</v>
      </c>
      <c r="B277" s="1">
        <v>1.0009630566544541</v>
      </c>
      <c r="C277" s="1">
        <v>2.2694565678777492</v>
      </c>
      <c r="D277" s="1">
        <v>0.4168748565820608</v>
      </c>
      <c r="E277" s="19">
        <v>8.7816446374282386E-3</v>
      </c>
      <c r="F277" s="19">
        <v>8.9733999999999994E-3</v>
      </c>
      <c r="G277" s="1">
        <v>0.8231146427010666</v>
      </c>
      <c r="H277" s="1">
        <f t="shared" si="4"/>
        <v>2.3604818821921336E-2</v>
      </c>
      <c r="I277" s="20">
        <f>E277-N277</f>
        <v>5.8325542426867008E-5</v>
      </c>
      <c r="K277" s="1">
        <v>0.99967007855430512</v>
      </c>
      <c r="L277" s="1">
        <v>2.2977539104338951</v>
      </c>
      <c r="M277" s="1">
        <v>0.41175776072087616</v>
      </c>
      <c r="N277" s="19">
        <v>8.7233190950013716E-3</v>
      </c>
      <c r="O277" s="19">
        <v>8.9696452400000008E-3</v>
      </c>
      <c r="P277" s="1">
        <v>0.82417952174566456</v>
      </c>
    </row>
    <row r="278" spans="1:16" x14ac:dyDescent="0.2">
      <c r="A278" s="1">
        <v>267</v>
      </c>
      <c r="B278" s="1">
        <v>1.0009550032345049</v>
      </c>
      <c r="C278" s="1">
        <v>2.3110217915808349</v>
      </c>
      <c r="D278" s="1">
        <v>0.40929707624105088</v>
      </c>
      <c r="E278" s="19">
        <v>8.7981552951155468E-3</v>
      </c>
      <c r="F278" s="19">
        <v>8.9918499999999991E-3</v>
      </c>
      <c r="G278" s="1">
        <v>0.82221040023969294</v>
      </c>
      <c r="H278" s="1">
        <f t="shared" si="4"/>
        <v>2.3846390705704101E-2</v>
      </c>
      <c r="I278" s="20">
        <f>E278-N278</f>
        <v>5.8545937096773568E-5</v>
      </c>
      <c r="K278" s="1">
        <v>0.999653724727531</v>
      </c>
      <c r="L278" s="1">
        <v>2.2976712004379296</v>
      </c>
      <c r="M278" s="1">
        <v>0.41165742651827003</v>
      </c>
      <c r="N278" s="19">
        <v>8.7396093580187732E-3</v>
      </c>
      <c r="O278" s="19">
        <v>8.9877038090000003E-3</v>
      </c>
      <c r="P278" s="1">
        <v>0.82328214813657852</v>
      </c>
    </row>
    <row r="279" spans="1:16" x14ac:dyDescent="0.2">
      <c r="A279" s="1">
        <v>268</v>
      </c>
      <c r="B279" s="1">
        <v>1.000998940575041</v>
      </c>
      <c r="C279" s="1">
        <v>2.3092917895031913</v>
      </c>
      <c r="D279" s="1">
        <v>0.40950509572509564</v>
      </c>
      <c r="E279" s="19">
        <v>8.8147058436876362E-3</v>
      </c>
      <c r="F279" s="19">
        <v>9.0102499999999992E-3</v>
      </c>
      <c r="G279" s="1">
        <v>0.82130415939702339</v>
      </c>
      <c r="H279" s="1">
        <f t="shared" si="4"/>
        <v>2.4059900640351867E-2</v>
      </c>
      <c r="I279" s="20">
        <f>E279-N279</f>
        <v>5.8694584644351788E-5</v>
      </c>
      <c r="K279" s="1">
        <v>0.9994635557335958</v>
      </c>
      <c r="L279" s="1">
        <v>2.3348359570078485</v>
      </c>
      <c r="M279" s="1">
        <v>0.40506182389500067</v>
      </c>
      <c r="N279" s="19">
        <v>8.7560112590432844E-3</v>
      </c>
      <c r="O279" s="19">
        <v>9.0057315129999996E-3</v>
      </c>
      <c r="P279" s="1">
        <v>0.82238146838091974</v>
      </c>
    </row>
    <row r="280" spans="1:16" x14ac:dyDescent="0.2">
      <c r="A280" s="1">
        <v>269</v>
      </c>
      <c r="B280" s="1">
        <v>1.0010056207979829</v>
      </c>
      <c r="C280" s="1">
        <v>2.3413503528804855</v>
      </c>
      <c r="D280" s="1">
        <v>0.40380675128686022</v>
      </c>
      <c r="E280" s="19">
        <v>8.8312299141600874E-3</v>
      </c>
      <c r="F280" s="19">
        <v>9.0285599999999997E-3</v>
      </c>
      <c r="G280" s="1">
        <v>0.82039714135521846</v>
      </c>
      <c r="H280" s="1">
        <f t="shared" si="4"/>
        <v>2.4309827713560838E-2</v>
      </c>
      <c r="I280" s="20">
        <f>E280-N280</f>
        <v>5.8928962300634768E-5</v>
      </c>
      <c r="K280" s="1">
        <v>0.99955112803886581</v>
      </c>
      <c r="L280" s="1">
        <v>2.3275836896471818</v>
      </c>
      <c r="M280" s="1">
        <v>0.40620063584148702</v>
      </c>
      <c r="N280" s="19">
        <v>8.7723009518594526E-3</v>
      </c>
      <c r="O280" s="19">
        <v>9.0237311959999993E-3</v>
      </c>
      <c r="P280" s="1">
        <v>0.8214815946361208</v>
      </c>
    </row>
    <row r="281" spans="1:16" x14ac:dyDescent="0.2">
      <c r="A281" s="1">
        <v>270</v>
      </c>
      <c r="B281" s="1">
        <v>1.0010525537191004</v>
      </c>
      <c r="C281" s="1">
        <v>2.350421636486316</v>
      </c>
      <c r="D281" s="1">
        <v>0.40219300867572244</v>
      </c>
      <c r="E281" s="19">
        <v>8.8477624948199336E-3</v>
      </c>
      <c r="F281" s="19">
        <v>9.0467900000000007E-3</v>
      </c>
      <c r="G281" s="1">
        <v>0.81948871119056077</v>
      </c>
      <c r="H281" s="1">
        <f t="shared" si="4"/>
        <v>2.4584765953512E-2</v>
      </c>
      <c r="I281" s="20">
        <f>E281-N281</f>
        <v>5.9220040004555677E-5</v>
      </c>
      <c r="K281" s="1">
        <v>0.99951068348131611</v>
      </c>
      <c r="L281" s="1">
        <v>2.3863411153606555</v>
      </c>
      <c r="M281" s="1">
        <v>0.39612414982076527</v>
      </c>
      <c r="N281" s="19">
        <v>8.7885424548153779E-3</v>
      </c>
      <c r="O281" s="19">
        <v>9.0417057049999999E-3</v>
      </c>
      <c r="P281" s="1">
        <v>0.8205813674551613</v>
      </c>
    </row>
    <row r="282" spans="1:16" x14ac:dyDescent="0.2">
      <c r="A282" s="1">
        <v>271</v>
      </c>
      <c r="B282" s="1">
        <v>1.0009602495087109</v>
      </c>
      <c r="C282" s="1">
        <v>2.3451617513823511</v>
      </c>
      <c r="D282" s="1">
        <v>0.40300688011280339</v>
      </c>
      <c r="E282" s="19">
        <v>8.8642024151683301E-3</v>
      </c>
      <c r="F282" s="19">
        <v>9.0649300000000006E-3</v>
      </c>
      <c r="G282" s="1">
        <v>0.81858074433792749</v>
      </c>
      <c r="H282" s="1">
        <f t="shared" si="4"/>
        <v>2.4857623095773124E-2</v>
      </c>
      <c r="I282" s="20">
        <f>E282-N282</f>
        <v>5.9501807769863149E-5</v>
      </c>
      <c r="K282" s="1">
        <v>0.99941239695513229</v>
      </c>
      <c r="L282" s="1">
        <v>2.3225426344570108</v>
      </c>
      <c r="M282" s="1">
        <v>0.40691481729345186</v>
      </c>
      <c r="N282" s="19">
        <v>8.804700607398467E-3</v>
      </c>
      <c r="O282" s="19">
        <v>9.0596578840000004E-3</v>
      </c>
      <c r="P282" s="1">
        <v>0.8196814508956739</v>
      </c>
    </row>
    <row r="283" spans="1:16" x14ac:dyDescent="0.2">
      <c r="A283" s="1">
        <v>272</v>
      </c>
      <c r="B283" s="1">
        <v>1.0009437298838415</v>
      </c>
      <c r="C283" s="1">
        <v>2.3736531956176492</v>
      </c>
      <c r="D283" s="1">
        <v>0.39808270988975558</v>
      </c>
      <c r="E283" s="19">
        <v>8.8804902771959463E-3</v>
      </c>
      <c r="F283" s="19">
        <v>9.0829499999999994E-3</v>
      </c>
      <c r="G283" s="1">
        <v>0.81767436130759941</v>
      </c>
      <c r="H283" s="1">
        <f t="shared" si="4"/>
        <v>2.507950305452707E-2</v>
      </c>
      <c r="I283" s="20">
        <f>E283-N283</f>
        <v>5.9658119512999083E-5</v>
      </c>
      <c r="K283" s="1">
        <v>0.99925831478557736</v>
      </c>
      <c r="L283" s="1">
        <v>2.3556679225845665</v>
      </c>
      <c r="M283" s="1">
        <v>0.40112234961538762</v>
      </c>
      <c r="N283" s="19">
        <v>8.8208321576829472E-3</v>
      </c>
      <c r="O283" s="19">
        <v>9.0775893319999992E-3</v>
      </c>
      <c r="P283" s="1">
        <v>0.81878080997176972</v>
      </c>
    </row>
    <row r="284" spans="1:16" x14ac:dyDescent="0.2">
      <c r="A284" s="1">
        <v>273</v>
      </c>
      <c r="B284" s="1">
        <v>1.0009275296552342</v>
      </c>
      <c r="C284" s="1">
        <v>2.3349566526415995</v>
      </c>
      <c r="D284" s="1">
        <v>0.40459543086147026</v>
      </c>
      <c r="E284" s="19">
        <v>8.8965351097493803E-3</v>
      </c>
      <c r="F284" s="19">
        <v>9.1008600000000005E-3</v>
      </c>
      <c r="G284" s="1">
        <v>0.81677128049768732</v>
      </c>
      <c r="H284" s="1">
        <f t="shared" si="4"/>
        <v>2.5211845163000651E-2</v>
      </c>
      <c r="I284" s="20">
        <f>E284-N284</f>
        <v>5.9600088832760523E-5</v>
      </c>
      <c r="K284" s="1">
        <v>0.99921929869202686</v>
      </c>
      <c r="L284" s="1">
        <v>2.3840869806562419</v>
      </c>
      <c r="M284" s="1">
        <v>0.39624457376792982</v>
      </c>
      <c r="N284" s="19">
        <v>8.8369350209166198E-3</v>
      </c>
      <c r="O284" s="19">
        <v>9.0954966670000002E-3</v>
      </c>
      <c r="P284" s="1">
        <v>0.81787949347188516</v>
      </c>
    </row>
    <row r="285" spans="1:16" x14ac:dyDescent="0.2">
      <c r="A285" s="1">
        <v>274</v>
      </c>
      <c r="B285" s="1">
        <v>1.0009549520814682</v>
      </c>
      <c r="C285" s="1">
        <v>2.3323762079331325</v>
      </c>
      <c r="D285" s="1">
        <v>0.40497410714050053</v>
      </c>
      <c r="E285" s="19">
        <v>8.9125488735207412E-3</v>
      </c>
      <c r="F285" s="19">
        <v>9.1186400000000008E-3</v>
      </c>
      <c r="G285" s="1">
        <v>0.81586759413066312</v>
      </c>
      <c r="H285" s="1">
        <f t="shared" si="4"/>
        <v>2.5375184504853505E-2</v>
      </c>
      <c r="I285" s="20">
        <f>E285-N285</f>
        <v>5.9614962556180096E-5</v>
      </c>
      <c r="K285" s="1">
        <v>0.99921202196751369</v>
      </c>
      <c r="L285" s="1">
        <v>2.4226217223246982</v>
      </c>
      <c r="M285" s="1">
        <v>0.38986898302508444</v>
      </c>
      <c r="N285" s="19">
        <v>8.8529339109645611E-3</v>
      </c>
      <c r="O285" s="19">
        <v>9.1133752630000002E-3</v>
      </c>
      <c r="P285" s="1">
        <v>0.81697891607978079</v>
      </c>
    </row>
    <row r="286" spans="1:16" x14ac:dyDescent="0.2">
      <c r="A286" s="1">
        <v>275</v>
      </c>
      <c r="B286" s="1">
        <v>1.0010746469755307</v>
      </c>
      <c r="C286" s="1">
        <v>2.2928920080692969</v>
      </c>
      <c r="D286" s="1">
        <v>0.41182963509886644</v>
      </c>
      <c r="E286" s="19">
        <v>8.9285751578114317E-3</v>
      </c>
      <c r="F286" s="19">
        <v>9.1362800000000001E-3</v>
      </c>
      <c r="G286" s="1">
        <v>0.81496249867158232</v>
      </c>
      <c r="H286" s="1">
        <f t="shared" si="4"/>
        <v>2.5518532710324532E-2</v>
      </c>
      <c r="I286" s="20">
        <f>E286-N286</f>
        <v>5.9582489547309672E-5</v>
      </c>
      <c r="K286" s="1">
        <v>0.99919707210152386</v>
      </c>
      <c r="L286" s="1">
        <v>2.4491763402229796</v>
      </c>
      <c r="M286" s="1">
        <v>0.38557633705783201</v>
      </c>
      <c r="N286" s="19">
        <v>8.868992668264122E-3</v>
      </c>
      <c r="O286" s="19">
        <v>9.131220491E-3</v>
      </c>
      <c r="P286" s="1">
        <v>0.81607603464439649</v>
      </c>
    </row>
    <row r="287" spans="1:16" x14ac:dyDescent="0.2">
      <c r="A287" s="1">
        <v>276</v>
      </c>
      <c r="B287" s="1">
        <v>1.0009688521305777</v>
      </c>
      <c r="C287" s="1">
        <v>2.3390026228287328</v>
      </c>
      <c r="D287" s="1">
        <v>0.40363936668775008</v>
      </c>
      <c r="E287" s="19">
        <v>8.9444422475618776E-3</v>
      </c>
      <c r="F287" s="19">
        <v>9.1537700000000003E-3</v>
      </c>
      <c r="G287" s="1">
        <v>0.81405921356014743</v>
      </c>
      <c r="H287" s="1">
        <f t="shared" si="4"/>
        <v>2.5639716052761274E-2</v>
      </c>
      <c r="I287" s="20">
        <f>E287-N287</f>
        <v>5.9498271890246271E-5</v>
      </c>
      <c r="K287" s="1">
        <v>0.9991016014475943</v>
      </c>
      <c r="L287" s="1">
        <v>2.4524440247937389</v>
      </c>
      <c r="M287" s="1">
        <v>0.3849580210683759</v>
      </c>
      <c r="N287" s="19">
        <v>8.8849439756716313E-3</v>
      </c>
      <c r="O287" s="19">
        <v>9.1490277249999998E-3</v>
      </c>
      <c r="P287" s="1">
        <v>0.81517398382331097</v>
      </c>
    </row>
    <row r="288" spans="1:16" x14ac:dyDescent="0.2">
      <c r="A288" s="1">
        <v>277</v>
      </c>
      <c r="B288" s="1">
        <v>1.0008646560500332</v>
      </c>
      <c r="C288" s="1">
        <v>2.3572336082467817</v>
      </c>
      <c r="D288" s="1">
        <v>0.40042791739765005</v>
      </c>
      <c r="E288" s="19">
        <v>8.9601406774480127E-3</v>
      </c>
      <c r="F288" s="19">
        <v>9.1711099999999997E-3</v>
      </c>
      <c r="G288" s="1">
        <v>0.81315794503195593</v>
      </c>
      <c r="H288" s="1">
        <f t="shared" si="4"/>
        <v>2.5694211101534831E-2</v>
      </c>
      <c r="I288" s="20">
        <f>E288-N288</f>
        <v>5.9260628821732747E-5</v>
      </c>
      <c r="K288" s="1">
        <v>0.9991310338298014</v>
      </c>
      <c r="L288" s="1">
        <v>2.4762632437324976</v>
      </c>
      <c r="M288" s="1">
        <v>0.38118432044808437</v>
      </c>
      <c r="N288" s="19">
        <v>8.90088004862628E-3</v>
      </c>
      <c r="O288" s="19">
        <v>9.1667923370000008E-3</v>
      </c>
      <c r="P288" s="1">
        <v>0.81427105165007296</v>
      </c>
    </row>
    <row r="289" spans="1:16" x14ac:dyDescent="0.2">
      <c r="A289" s="1">
        <v>278</v>
      </c>
      <c r="B289" s="1">
        <v>1.0008931642330094</v>
      </c>
      <c r="C289" s="1">
        <v>2.3366969955348864</v>
      </c>
      <c r="D289" s="1">
        <v>0.40386632677279</v>
      </c>
      <c r="E289" s="19">
        <v>8.975768065005529E-3</v>
      </c>
      <c r="F289" s="19">
        <v>9.1883699999999995E-3</v>
      </c>
      <c r="G289" s="1">
        <v>0.8122568859546162</v>
      </c>
      <c r="H289" s="1">
        <f t="shared" si="4"/>
        <v>2.5740716366594085E-2</v>
      </c>
      <c r="I289" s="20">
        <f>E289-N289</f>
        <v>5.9006961914577841E-5</v>
      </c>
      <c r="K289" s="1">
        <v>0.99920092192663346</v>
      </c>
      <c r="L289" s="1">
        <v>2.5220644847545133</v>
      </c>
      <c r="M289" s="1">
        <v>0.37419100281691231</v>
      </c>
      <c r="N289" s="19">
        <v>8.9167611030909512E-3</v>
      </c>
      <c r="O289" s="19">
        <v>9.1845143610000003E-3</v>
      </c>
      <c r="P289" s="1">
        <v>0.81336799601360588</v>
      </c>
    </row>
    <row r="290" spans="1:16" x14ac:dyDescent="0.2">
      <c r="A290" s="1">
        <v>279</v>
      </c>
      <c r="B290" s="1">
        <v>1.0008453433389592</v>
      </c>
      <c r="C290" s="1">
        <v>2.2760398436930651</v>
      </c>
      <c r="D290" s="1">
        <v>0.4145374806884895</v>
      </c>
      <c r="E290" s="19">
        <v>8.9913986950250543E-3</v>
      </c>
      <c r="F290" s="19">
        <v>9.2056199999999994E-3</v>
      </c>
      <c r="G290" s="1">
        <v>0.81135465094516535</v>
      </c>
      <c r="H290" s="1">
        <f t="shared" si="4"/>
        <v>2.5776427713956801E-2</v>
      </c>
      <c r="I290" s="20">
        <f>E290-N290</f>
        <v>5.8731289484255378E-5</v>
      </c>
      <c r="K290" s="1">
        <v>0.99920730212839903</v>
      </c>
      <c r="L290" s="1">
        <v>2.5597655592357462</v>
      </c>
      <c r="M290" s="1">
        <v>0.36859703284276712</v>
      </c>
      <c r="N290" s="19">
        <v>8.9326674055407989E-3</v>
      </c>
      <c r="O290" s="19">
        <v>9.2022124689999998E-3</v>
      </c>
      <c r="P290" s="1">
        <v>0.81246331450275489</v>
      </c>
    </row>
    <row r="291" spans="1:16" x14ac:dyDescent="0.2">
      <c r="A291" s="1">
        <v>280</v>
      </c>
      <c r="B291" s="1">
        <v>1.0009118314492835</v>
      </c>
      <c r="C291" s="1">
        <v>2.2889774097023499</v>
      </c>
      <c r="D291" s="1">
        <v>0.41212713192637074</v>
      </c>
      <c r="E291" s="19">
        <v>9.0071522189892738E-3</v>
      </c>
      <c r="F291" s="19">
        <v>9.2229300000000007E-3</v>
      </c>
      <c r="G291" s="1">
        <v>0.81044898281635402</v>
      </c>
      <c r="H291" s="1">
        <f t="shared" si="4"/>
        <v>2.5823150662702687E-2</v>
      </c>
      <c r="I291" s="20">
        <f>E291-N291</f>
        <v>5.848353571830632E-5</v>
      </c>
      <c r="K291" s="1">
        <v>0.99924339725994138</v>
      </c>
      <c r="L291" s="1">
        <v>2.5667195698349086</v>
      </c>
      <c r="M291" s="1">
        <v>0.36754768666058069</v>
      </c>
      <c r="N291" s="19">
        <v>8.9486686832709675E-3</v>
      </c>
      <c r="O291" s="19">
        <v>9.2199099959999996E-3</v>
      </c>
      <c r="P291" s="1">
        <v>0.811555689273327</v>
      </c>
    </row>
    <row r="292" spans="1:16" x14ac:dyDescent="0.2">
      <c r="A292" s="1">
        <v>281</v>
      </c>
      <c r="B292" s="1">
        <v>1.0009583131103783</v>
      </c>
      <c r="C292" s="1">
        <v>2.3092141761964502</v>
      </c>
      <c r="D292" s="1">
        <v>0.40842194821030886</v>
      </c>
      <c r="E292" s="19">
        <v>9.0231926075252551E-3</v>
      </c>
      <c r="F292" s="19">
        <v>9.2403899999999994E-3</v>
      </c>
      <c r="G292" s="1">
        <v>0.80953676209553393</v>
      </c>
      <c r="H292" s="1">
        <f t="shared" si="4"/>
        <v>2.5934761667134525E-2</v>
      </c>
      <c r="I292" s="20">
        <f>E292-N292</f>
        <v>5.8384642645275403E-5</v>
      </c>
      <c r="K292" s="1">
        <v>0.9992352407006343</v>
      </c>
      <c r="L292" s="1">
        <v>2.5853310004463625</v>
      </c>
      <c r="M292" s="1">
        <v>0.36481848148156643</v>
      </c>
      <c r="N292" s="19">
        <v>8.9648079648799797E-3</v>
      </c>
      <c r="O292" s="19">
        <v>9.2376302750000003E-3</v>
      </c>
      <c r="P292" s="1">
        <v>0.81064429640160374</v>
      </c>
    </row>
    <row r="293" spans="1:16" x14ac:dyDescent="0.2">
      <c r="A293" s="1">
        <v>282</v>
      </c>
      <c r="B293" s="1">
        <v>1.0009769343334121</v>
      </c>
      <c r="C293" s="1">
        <v>2.3569254982308658</v>
      </c>
      <c r="D293" s="1">
        <v>0.40006998281225631</v>
      </c>
      <c r="E293" s="19">
        <v>9.0394714250584731E-3</v>
      </c>
      <c r="F293" s="19">
        <v>9.2580700000000002E-3</v>
      </c>
      <c r="G293" s="1">
        <v>0.80861887560184709</v>
      </c>
      <c r="H293" s="1">
        <f t="shared" si="4"/>
        <v>2.6098038332266926E-2</v>
      </c>
      <c r="I293" s="20">
        <f>E293-N293</f>
        <v>5.840233436729507E-5</v>
      </c>
      <c r="K293" s="1">
        <v>0.99910289057917778</v>
      </c>
      <c r="L293" s="1">
        <v>2.608862596168847</v>
      </c>
      <c r="M293" s="1">
        <v>0.36144493298843861</v>
      </c>
      <c r="N293" s="19">
        <v>8.981069090691178E-3</v>
      </c>
      <c r="O293" s="19">
        <v>9.2553966410000004E-3</v>
      </c>
      <c r="P293" s="1">
        <v>0.80972943042449674</v>
      </c>
    </row>
    <row r="294" spans="1:16" x14ac:dyDescent="0.2">
      <c r="A294" s="1">
        <v>283</v>
      </c>
      <c r="B294" s="1">
        <v>1.0010846378065112</v>
      </c>
      <c r="C294" s="1">
        <v>2.3465789295467392</v>
      </c>
      <c r="D294" s="1">
        <v>0.40175337769843128</v>
      </c>
      <c r="E294" s="19">
        <v>9.0560226476735107E-3</v>
      </c>
      <c r="F294" s="19">
        <v>9.2760299999999993E-3</v>
      </c>
      <c r="G294" s="1">
        <v>0.80769464961873882</v>
      </c>
      <c r="H294" s="1">
        <f t="shared" si="4"/>
        <v>2.6335194125844952E-2</v>
      </c>
      <c r="I294" s="20">
        <f>E294-N294</f>
        <v>5.858398267471511E-5</v>
      </c>
      <c r="K294" s="1">
        <v>0.99912716027965032</v>
      </c>
      <c r="L294" s="1">
        <v>2.5627446425049905</v>
      </c>
      <c r="M294" s="1">
        <v>0.36787486204561737</v>
      </c>
      <c r="N294" s="19">
        <v>8.9974386649987956E-3</v>
      </c>
      <c r="O294" s="19">
        <v>9.2732324279999993E-3</v>
      </c>
      <c r="P294" s="1">
        <v>0.8088113362954531</v>
      </c>
    </row>
    <row r="295" spans="1:16" x14ac:dyDescent="0.2">
      <c r="A295" s="1">
        <v>284</v>
      </c>
      <c r="B295" s="1">
        <v>1.0010650632394447</v>
      </c>
      <c r="C295" s="1">
        <v>2.3945807785476174</v>
      </c>
      <c r="D295" s="1">
        <v>0.39360063498592235</v>
      </c>
      <c r="E295" s="19">
        <v>9.0730432401483086E-3</v>
      </c>
      <c r="F295" s="19">
        <v>9.2943799999999997E-3</v>
      </c>
      <c r="G295" s="1">
        <v>0.80676029260895887</v>
      </c>
      <c r="H295" s="1">
        <f t="shared" si="4"/>
        <v>2.6737941146479909E-2</v>
      </c>
      <c r="I295" s="20">
        <f>E295-N295</f>
        <v>5.9129655470559553E-5</v>
      </c>
      <c r="K295" s="1">
        <v>0.99909370636969486</v>
      </c>
      <c r="L295" s="1">
        <v>2.5003438614965425</v>
      </c>
      <c r="M295" s="1">
        <v>0.37696753945850542</v>
      </c>
      <c r="N295" s="19">
        <v>9.0139135846777491E-3</v>
      </c>
      <c r="O295" s="19">
        <v>9.2911435889999998E-3</v>
      </c>
      <c r="P295" s="1">
        <v>0.80789006477007774</v>
      </c>
    </row>
    <row r="296" spans="1:16" x14ac:dyDescent="0.2">
      <c r="A296" s="1">
        <v>285</v>
      </c>
      <c r="B296" s="1">
        <v>1.001043773279936</v>
      </c>
      <c r="C296" s="1">
        <v>2.3333531914369505</v>
      </c>
      <c r="D296" s="1">
        <v>0.40386483557103414</v>
      </c>
      <c r="E296" s="19">
        <v>9.0904294302806554E-3</v>
      </c>
      <c r="F296" s="19">
        <v>9.3131599999999991E-3</v>
      </c>
      <c r="G296" s="1">
        <v>0.80581773364179654</v>
      </c>
      <c r="H296" s="1">
        <f t="shared" si="4"/>
        <v>2.7291490935396207E-2</v>
      </c>
      <c r="I296" s="20">
        <f>E296-N296</f>
        <v>6.0000343940871601E-5</v>
      </c>
      <c r="K296" s="1">
        <v>0.99893062644130026</v>
      </c>
      <c r="L296" s="1">
        <v>2.5257267748020955</v>
      </c>
      <c r="M296" s="1">
        <v>0.37311054570447383</v>
      </c>
      <c r="N296" s="19">
        <v>9.0304290863397838E-3</v>
      </c>
      <c r="O296" s="19">
        <v>9.3090665649999994E-3</v>
      </c>
      <c r="P296" s="1">
        <v>0.8069668490496027</v>
      </c>
    </row>
    <row r="297" spans="1:16" x14ac:dyDescent="0.2">
      <c r="A297" s="1">
        <v>286</v>
      </c>
      <c r="B297" s="1">
        <v>1.0011464153595848</v>
      </c>
      <c r="C297" s="1">
        <v>2.2988037924373601</v>
      </c>
      <c r="D297" s="1">
        <v>0.40984891229893244</v>
      </c>
      <c r="E297" s="19">
        <v>9.1081883179969306E-3</v>
      </c>
      <c r="F297" s="19">
        <v>9.3324800000000006E-3</v>
      </c>
      <c r="G297" s="1">
        <v>0.80486679424316743</v>
      </c>
      <c r="H297" s="1">
        <f t="shared" si="4"/>
        <v>2.8002268838284383E-2</v>
      </c>
      <c r="I297" s="20">
        <f>E297-N297</f>
        <v>6.1204428044456249E-5</v>
      </c>
      <c r="K297" s="1">
        <v>0.99899664685915046</v>
      </c>
      <c r="L297" s="1">
        <v>2.5326995577550413</v>
      </c>
      <c r="M297" s="1">
        <v>0.37197800124194097</v>
      </c>
      <c r="N297" s="19">
        <v>9.0469838899524743E-3</v>
      </c>
      <c r="O297" s="19">
        <v>9.3269204129999995E-3</v>
      </c>
      <c r="P297" s="1">
        <v>0.80604171461400453</v>
      </c>
    </row>
    <row r="298" spans="1:16" x14ac:dyDescent="0.2">
      <c r="A298" s="1">
        <v>287</v>
      </c>
      <c r="B298" s="1">
        <v>1.0011792838654647</v>
      </c>
      <c r="C298" s="1">
        <v>2.3318209897308071</v>
      </c>
      <c r="D298" s="1">
        <v>0.4039672705191526</v>
      </c>
      <c r="E298" s="19">
        <v>9.1264222934017807E-3</v>
      </c>
      <c r="F298" s="19">
        <v>9.3524000000000003E-3</v>
      </c>
      <c r="G298" s="1">
        <v>0.80390546316033107</v>
      </c>
      <c r="H298" s="1">
        <f t="shared" si="4"/>
        <v>2.904287594175976E-2</v>
      </c>
      <c r="I298" s="20">
        <f>E298-N298</f>
        <v>6.3111068589385283E-5</v>
      </c>
      <c r="K298" s="1">
        <v>0.99909143860530947</v>
      </c>
      <c r="L298" s="1">
        <v>2.5291892606243547</v>
      </c>
      <c r="M298" s="1">
        <v>0.37244803526836862</v>
      </c>
      <c r="N298" s="19">
        <v>9.0633112248123954E-3</v>
      </c>
      <c r="O298" s="19">
        <v>9.3446241930000007E-3</v>
      </c>
      <c r="P298" s="1">
        <v>0.80511979943664158</v>
      </c>
    </row>
    <row r="299" spans="1:16" x14ac:dyDescent="0.2">
      <c r="A299" s="1">
        <v>288</v>
      </c>
      <c r="B299" s="1">
        <v>1.0011350865677744</v>
      </c>
      <c r="C299" s="1">
        <v>2.3567324058392543</v>
      </c>
      <c r="D299" s="1">
        <v>0.39960384638170271</v>
      </c>
      <c r="E299" s="19">
        <v>9.1454463375736667E-3</v>
      </c>
      <c r="F299" s="19">
        <v>9.3729999999999994E-3</v>
      </c>
      <c r="G299" s="1">
        <v>0.80292761516837585</v>
      </c>
      <c r="H299" s="1">
        <f t="shared" si="4"/>
        <v>3.0625317272644281E-2</v>
      </c>
      <c r="I299" s="20">
        <f>E299-N299</f>
        <v>6.6166299244236476E-5</v>
      </c>
      <c r="K299" s="1">
        <v>0.99915009042803904</v>
      </c>
      <c r="L299" s="1">
        <v>2.5860580119010397</v>
      </c>
      <c r="M299" s="1">
        <v>0.36417323512568178</v>
      </c>
      <c r="N299" s="19">
        <v>9.0792800383294302E-3</v>
      </c>
      <c r="O299" s="19">
        <v>9.3620969650000004E-3</v>
      </c>
      <c r="P299" s="1">
        <v>0.80420367005473603</v>
      </c>
    </row>
    <row r="300" spans="1:16" x14ac:dyDescent="0.2">
      <c r="A300" s="1">
        <v>289</v>
      </c>
      <c r="B300" s="1">
        <v>1.0011607996327199</v>
      </c>
      <c r="C300" s="1">
        <v>2.3534929731617358</v>
      </c>
      <c r="D300" s="1">
        <v>0.40007548399491355</v>
      </c>
      <c r="E300" s="19">
        <v>9.1651130388706713E-3</v>
      </c>
      <c r="F300" s="19">
        <v>9.3942999999999995E-3</v>
      </c>
      <c r="G300" s="1">
        <v>0.80193600196137738</v>
      </c>
      <c r="H300" s="1">
        <f t="shared" si="4"/>
        <v>3.2702195283566195E-2</v>
      </c>
      <c r="I300" s="20">
        <f>E300-N300</f>
        <v>7.0248422822624321E-5</v>
      </c>
      <c r="K300" s="1">
        <v>0.99921720187924767</v>
      </c>
      <c r="L300" s="1">
        <v>2.5563811525840285</v>
      </c>
      <c r="M300" s="1">
        <v>0.36830780646778372</v>
      </c>
      <c r="N300" s="19">
        <v>9.094864616048047E-3</v>
      </c>
      <c r="O300" s="19">
        <v>9.3792577880000005E-3</v>
      </c>
      <c r="P300" s="1">
        <v>0.80329387858214829</v>
      </c>
    </row>
    <row r="301" spans="1:16" x14ac:dyDescent="0.2">
      <c r="A301" s="1">
        <v>290</v>
      </c>
      <c r="B301" s="1">
        <v>1.0011657975706183</v>
      </c>
      <c r="C301" s="1">
        <v>2.3730872033528225</v>
      </c>
      <c r="D301" s="1">
        <v>0.39667821920115287</v>
      </c>
      <c r="E301" s="19">
        <v>9.1851284242454902E-3</v>
      </c>
      <c r="F301" s="19">
        <v>9.4160600000000004E-3</v>
      </c>
      <c r="G301" s="1">
        <v>0.80093623892848786</v>
      </c>
      <c r="H301" s="1">
        <f t="shared" si="4"/>
        <v>3.4977440532400483E-2</v>
      </c>
      <c r="I301" s="20">
        <f>E301-N301</f>
        <v>7.470754678642888E-5</v>
      </c>
      <c r="K301" s="1">
        <v>0.99929439744093618</v>
      </c>
      <c r="L301" s="1">
        <v>2.5619672375362419</v>
      </c>
      <c r="M301" s="1">
        <v>0.36744049834650805</v>
      </c>
      <c r="N301" s="19">
        <v>9.1104208774590613E-3</v>
      </c>
      <c r="O301" s="19">
        <v>9.396090595E-3</v>
      </c>
      <c r="P301" s="1">
        <v>0.80238358129534582</v>
      </c>
    </row>
    <row r="302" spans="1:16" x14ac:dyDescent="0.2">
      <c r="A302" s="1">
        <v>291</v>
      </c>
      <c r="B302" s="1">
        <v>1.0010703968943448</v>
      </c>
      <c r="C302" s="1">
        <v>2.3532535216714123</v>
      </c>
      <c r="D302" s="1">
        <v>0.39993563770320695</v>
      </c>
      <c r="E302" s="19">
        <v>9.2053353037752934E-3</v>
      </c>
      <c r="F302" s="19">
        <v>9.4379800000000003E-3</v>
      </c>
      <c r="G302" s="1">
        <v>0.79993133910474479</v>
      </c>
      <c r="H302" s="1">
        <f t="shared" si="4"/>
        <v>3.7310542837286936E-2</v>
      </c>
      <c r="I302" s="20">
        <f>E302-N302</f>
        <v>7.9238828474135353E-5</v>
      </c>
      <c r="K302" s="1">
        <v>0.99903787164508995</v>
      </c>
      <c r="L302" s="1">
        <v>2.5469717739088917</v>
      </c>
      <c r="M302" s="1">
        <v>0.36953052612705833</v>
      </c>
      <c r="N302" s="19">
        <v>9.126096475301158E-3</v>
      </c>
      <c r="O302" s="19">
        <v>9.4128388109999996E-3</v>
      </c>
      <c r="P302" s="1">
        <v>0.80146991819081848</v>
      </c>
    </row>
    <row r="303" spans="1:16" x14ac:dyDescent="0.2">
      <c r="A303" s="1">
        <v>292</v>
      </c>
      <c r="B303" s="1">
        <v>1.0010954031508188</v>
      </c>
      <c r="C303" s="1">
        <v>2.3214448202574989</v>
      </c>
      <c r="D303" s="1">
        <v>0.40533639368625501</v>
      </c>
      <c r="E303" s="19">
        <v>9.2254470276062032E-3</v>
      </c>
      <c r="F303" s="19">
        <v>9.4597799999999992E-3</v>
      </c>
      <c r="G303" s="1">
        <v>0.79892685932760765</v>
      </c>
      <c r="H303" s="1">
        <f t="shared" si="4"/>
        <v>3.9417307029197955E-2</v>
      </c>
      <c r="I303" s="20">
        <f>E303-N303</f>
        <v>8.3240907271277254E-5</v>
      </c>
      <c r="K303" s="1">
        <v>0.99890253227373382</v>
      </c>
      <c r="L303" s="1">
        <v>2.5703906111324599</v>
      </c>
      <c r="M303" s="1">
        <v>0.36606690255826085</v>
      </c>
      <c r="N303" s="19">
        <v>9.142206120334926E-3</v>
      </c>
      <c r="O303" s="19">
        <v>9.4298107360000008E-3</v>
      </c>
      <c r="P303" s="1">
        <v>0.80054674865757469</v>
      </c>
    </row>
    <row r="304" spans="1:16" x14ac:dyDescent="0.2">
      <c r="A304" s="1">
        <v>293</v>
      </c>
      <c r="B304" s="1">
        <v>1.0010589035132735</v>
      </c>
      <c r="C304" s="1">
        <v>2.2876964090602416</v>
      </c>
      <c r="D304" s="1">
        <v>0.41123794268950892</v>
      </c>
      <c r="E304" s="19">
        <v>9.2451562346478403E-3</v>
      </c>
      <c r="F304" s="19">
        <v>9.4811600000000006E-3</v>
      </c>
      <c r="G304" s="1">
        <v>0.7979288083845838</v>
      </c>
      <c r="H304" s="1">
        <f t="shared" si="4"/>
        <v>4.0999356881478516E-2</v>
      </c>
      <c r="I304" s="20">
        <f>E304-N304</f>
        <v>8.6096121595220787E-5</v>
      </c>
      <c r="K304" s="1">
        <v>0.99885629992116087</v>
      </c>
      <c r="L304" s="1">
        <v>2.5562978840441217</v>
      </c>
      <c r="M304" s="1">
        <v>0.3680206523965518</v>
      </c>
      <c r="N304" s="19">
        <v>9.1590601130526195E-3</v>
      </c>
      <c r="O304" s="19">
        <v>9.4473146689999996E-3</v>
      </c>
      <c r="P304" s="1">
        <v>0.7996079629326307</v>
      </c>
    </row>
    <row r="305" spans="1:16" x14ac:dyDescent="0.2">
      <c r="A305" s="1">
        <v>294</v>
      </c>
      <c r="B305" s="1">
        <v>1.0011588850270146</v>
      </c>
      <c r="C305" s="1">
        <v>2.3031736034917056</v>
      </c>
      <c r="D305" s="1">
        <v>0.40839682945196848</v>
      </c>
      <c r="E305" s="19">
        <v>9.2641563546014861E-3</v>
      </c>
      <c r="F305" s="19">
        <v>9.5018199999999994E-3</v>
      </c>
      <c r="G305" s="1">
        <v>0.79694323131669065</v>
      </c>
      <c r="H305" s="1">
        <f t="shared" si="4"/>
        <v>4.172296809456566E-2</v>
      </c>
      <c r="I305" s="20">
        <f>E305-N305</f>
        <v>8.7126854255381581E-5</v>
      </c>
      <c r="K305" s="1">
        <v>0.99881077237615989</v>
      </c>
      <c r="L305" s="1">
        <v>2.5394470937890565</v>
      </c>
      <c r="M305" s="1">
        <v>0.37039397225360604</v>
      </c>
      <c r="N305" s="19">
        <v>9.1770295003461046E-3</v>
      </c>
      <c r="O305" s="19">
        <v>9.4656589090000003E-3</v>
      </c>
      <c r="P305" s="1">
        <v>0.79864620960626476</v>
      </c>
    </row>
    <row r="306" spans="1:16" x14ac:dyDescent="0.2">
      <c r="A306" s="1">
        <v>295</v>
      </c>
      <c r="B306" s="1">
        <v>1.0011679154969604</v>
      </c>
      <c r="C306" s="1">
        <v>2.3045399570085534</v>
      </c>
      <c r="D306" s="1">
        <v>0.40806632273707572</v>
      </c>
      <c r="E306" s="19">
        <v>9.2822410213410332E-3</v>
      </c>
      <c r="F306" s="19">
        <v>9.5214600000000007E-3</v>
      </c>
      <c r="G306" s="1">
        <v>0.79597426416775774</v>
      </c>
      <c r="H306" s="1">
        <f t="shared" si="4"/>
        <v>4.1400363485327628E-2</v>
      </c>
      <c r="I306" s="20">
        <f>E306-N306</f>
        <v>8.5973491296405941E-5</v>
      </c>
      <c r="K306" s="1">
        <v>0.9987426981948121</v>
      </c>
      <c r="L306" s="1">
        <v>2.5974411616133586</v>
      </c>
      <c r="M306" s="1">
        <v>0.36205633304712254</v>
      </c>
      <c r="N306" s="19">
        <v>9.1962675300446273E-3</v>
      </c>
      <c r="O306" s="19">
        <v>9.4851517550000007E-3</v>
      </c>
      <c r="P306" s="1">
        <v>0.79765834675021174</v>
      </c>
    </row>
    <row r="307" spans="1:16" x14ac:dyDescent="0.2">
      <c r="A307" s="1">
        <v>296</v>
      </c>
      <c r="B307" s="1">
        <v>1.0010845439914626</v>
      </c>
      <c r="C307" s="1">
        <v>2.295920960566455</v>
      </c>
      <c r="D307" s="1">
        <v>0.40950087101887928</v>
      </c>
      <c r="E307" s="19">
        <v>9.299113095123622E-3</v>
      </c>
      <c r="F307" s="19">
        <v>9.5397899999999994E-3</v>
      </c>
      <c r="G307" s="1">
        <v>0.79502785833332434</v>
      </c>
      <c r="H307" s="1">
        <f t="shared" si="4"/>
        <v>4.0357117328307789E-2</v>
      </c>
      <c r="I307" s="20">
        <f>E307-N307</f>
        <v>8.3343238642593145E-5</v>
      </c>
      <c r="K307" s="1">
        <v>0.998819825535461</v>
      </c>
      <c r="L307" s="1">
        <v>2.6265614981712258</v>
      </c>
      <c r="M307" s="1">
        <v>0.35794900885744174</v>
      </c>
      <c r="N307" s="19">
        <v>9.2157698564810289E-3</v>
      </c>
      <c r="O307" s="19">
        <v>9.5058594120000003E-3</v>
      </c>
      <c r="P307" s="1">
        <v>0.79666395768447196</v>
      </c>
    </row>
    <row r="308" spans="1:16" x14ac:dyDescent="0.2">
      <c r="A308" s="1">
        <v>297</v>
      </c>
      <c r="B308" s="1">
        <v>1.0010984138701176</v>
      </c>
      <c r="C308" s="1">
        <v>2.2809799180119543</v>
      </c>
      <c r="D308" s="1">
        <v>0.41210680016511964</v>
      </c>
      <c r="E308" s="19">
        <v>9.3143211822658348E-3</v>
      </c>
      <c r="F308" s="19">
        <v>9.5565000000000008E-3</v>
      </c>
      <c r="G308" s="1">
        <v>0.79411304861538246</v>
      </c>
      <c r="H308" s="1">
        <f t="shared" si="4"/>
        <v>3.8840009641326639E-2</v>
      </c>
      <c r="I308" s="20">
        <f>E308-N308</f>
        <v>7.9766002129380217E-5</v>
      </c>
      <c r="K308" s="1">
        <v>0.998893773515376</v>
      </c>
      <c r="L308" s="1">
        <v>2.5672526077537876</v>
      </c>
      <c r="M308" s="1">
        <v>0.3661597014392276</v>
      </c>
      <c r="N308" s="19">
        <v>9.2345551801364546E-3</v>
      </c>
      <c r="O308" s="19">
        <v>9.5268796959999992E-3</v>
      </c>
      <c r="P308" s="1">
        <v>0.79568234193422394</v>
      </c>
    </row>
    <row r="309" spans="1:16" x14ac:dyDescent="0.2">
      <c r="A309" s="1">
        <v>298</v>
      </c>
      <c r="B309" s="1">
        <v>1.000848621698804</v>
      </c>
      <c r="C309" s="1">
        <v>2.2780289100262352</v>
      </c>
      <c r="D309" s="1">
        <v>0.41253430701457411</v>
      </c>
      <c r="E309" s="19">
        <v>9.3275751926154282E-3</v>
      </c>
      <c r="F309" s="19">
        <v>9.5712999999999996E-3</v>
      </c>
      <c r="G309" s="1">
        <v>0.79323577284685132</v>
      </c>
      <c r="H309" s="1">
        <f t="shared" si="4"/>
        <v>3.7257760940993256E-2</v>
      </c>
      <c r="I309" s="20">
        <f>E309-N309</f>
        <v>7.609113092337666E-5</v>
      </c>
      <c r="K309" s="1">
        <v>0.9989154870737158</v>
      </c>
      <c r="L309" s="1">
        <v>2.4869974134847941</v>
      </c>
      <c r="M309" s="1">
        <v>0.37788866218959927</v>
      </c>
      <c r="N309" s="19">
        <v>9.2514840616920516E-3</v>
      </c>
      <c r="O309" s="19">
        <v>9.5470683310000005E-3</v>
      </c>
      <c r="P309" s="1">
        <v>0.79473608536796514</v>
      </c>
    </row>
    <row r="310" spans="1:16" x14ac:dyDescent="0.2">
      <c r="A310" s="1">
        <v>299</v>
      </c>
      <c r="B310" s="1">
        <v>1.0008176148342878</v>
      </c>
      <c r="C310" s="1">
        <v>2.2859633578321539</v>
      </c>
      <c r="D310" s="1">
        <v>0.41101435546028597</v>
      </c>
      <c r="E310" s="19">
        <v>9.33882897226543E-3</v>
      </c>
      <c r="F310" s="19">
        <v>9.5838799999999995E-3</v>
      </c>
      <c r="G310" s="1">
        <v>0.79239720726940588</v>
      </c>
      <c r="H310" s="1">
        <f t="shared" si="4"/>
        <v>3.6172286479948725E-2</v>
      </c>
      <c r="I310" s="20">
        <f>E310-N310</f>
        <v>7.346079337806205E-5</v>
      </c>
      <c r="K310" s="1">
        <v>0.99892221201581088</v>
      </c>
      <c r="L310" s="1">
        <v>2.4704963251767147</v>
      </c>
      <c r="M310" s="1">
        <v>0.38034096127443912</v>
      </c>
      <c r="N310" s="19">
        <v>9.265368178887368E-3</v>
      </c>
      <c r="O310" s="19">
        <v>9.5652810380000008E-3</v>
      </c>
      <c r="P310" s="1">
        <v>0.79384893783047406</v>
      </c>
    </row>
    <row r="311" spans="1:16" x14ac:dyDescent="0.2">
      <c r="A311" s="1">
        <v>300</v>
      </c>
      <c r="B311" s="1">
        <v>1.0007625705145142</v>
      </c>
      <c r="C311" s="1">
        <v>2.2705923071984935</v>
      </c>
      <c r="D311" s="1">
        <v>0.41373180810785998</v>
      </c>
      <c r="E311" s="19">
        <v>9.3476735853817144E-3</v>
      </c>
      <c r="F311" s="19">
        <v>9.5939400000000005E-3</v>
      </c>
      <c r="G311" s="1">
        <v>0.79160571982081029</v>
      </c>
      <c r="H311" s="1">
        <f t="shared" si="4"/>
        <v>3.5962460188532219E-2</v>
      </c>
      <c r="I311" s="20">
        <f>E311-N311</f>
        <v>7.2621656966968817E-5</v>
      </c>
      <c r="K311" s="1">
        <v>0.99903137530184161</v>
      </c>
      <c r="L311" s="1">
        <v>2.4801688873975349</v>
      </c>
      <c r="M311" s="1">
        <v>0.37876942074979159</v>
      </c>
      <c r="N311" s="19">
        <v>9.2750519284147456E-3</v>
      </c>
      <c r="O311" s="19">
        <v>9.5803735409999997E-3</v>
      </c>
      <c r="P311" s="1">
        <v>0.79304421822835158</v>
      </c>
    </row>
    <row r="312" spans="1:16" x14ac:dyDescent="0.2">
      <c r="A312" s="1">
        <v>301</v>
      </c>
      <c r="B312" s="1">
        <v>1.0007813165674835</v>
      </c>
      <c r="C312" s="1">
        <v>2.2433432754171307</v>
      </c>
      <c r="D312" s="1">
        <v>0.41867161166322642</v>
      </c>
      <c r="E312" s="19">
        <v>9.3536554576941211E-3</v>
      </c>
      <c r="F312" s="19">
        <v>9.6012900000000002E-3</v>
      </c>
      <c r="G312" s="1">
        <v>0.79087064528388018</v>
      </c>
      <c r="H312" s="1">
        <f t="shared" si="4"/>
        <v>3.6810128309583169E-2</v>
      </c>
      <c r="I312" s="20">
        <f>E312-N312</f>
        <v>7.3907541510289526E-5</v>
      </c>
      <c r="K312" s="1">
        <v>0.99895080181119988</v>
      </c>
      <c r="L312" s="1">
        <v>2.4744136959977165</v>
      </c>
      <c r="M312" s="1">
        <v>0.37957698746401847</v>
      </c>
      <c r="N312" s="19">
        <v>9.2797479161838316E-3</v>
      </c>
      <c r="O312" s="19">
        <v>9.5912015600000001E-3</v>
      </c>
      <c r="P312" s="1">
        <v>0.79233815870486024</v>
      </c>
    </row>
    <row r="313" spans="1:16" x14ac:dyDescent="0.2">
      <c r="A313" s="1">
        <v>302</v>
      </c>
      <c r="B313" s="1">
        <v>1.000805034584124</v>
      </c>
      <c r="C313" s="1">
        <v>2.3103802695394906</v>
      </c>
      <c r="D313" s="1">
        <v>0.40642471566349231</v>
      </c>
      <c r="E313" s="19">
        <v>9.3571116615365733E-3</v>
      </c>
      <c r="F313" s="19">
        <v>9.6061199999999992E-3</v>
      </c>
      <c r="G313" s="1">
        <v>0.79018569028411922</v>
      </c>
      <c r="H313" s="1">
        <f t="shared" si="4"/>
        <v>3.8507952112527465E-2</v>
      </c>
      <c r="I313" s="20">
        <f>E313-N313</f>
        <v>7.6868733047902663E-5</v>
      </c>
      <c r="K313" s="1">
        <v>0.99885045376110337</v>
      </c>
      <c r="L313" s="1">
        <v>2.4551119010792233</v>
      </c>
      <c r="M313" s="1">
        <v>0.38247866457687957</v>
      </c>
      <c r="N313" s="19">
        <v>9.2802429284886707E-3</v>
      </c>
      <c r="O313" s="19">
        <v>9.5970022710000005E-3</v>
      </c>
      <c r="P313" s="1">
        <v>0.79171580758660376</v>
      </c>
    </row>
    <row r="314" spans="1:16" x14ac:dyDescent="0.2">
      <c r="A314" s="1">
        <v>303</v>
      </c>
      <c r="B314" s="1">
        <v>1.000783498944148</v>
      </c>
      <c r="C314" s="1">
        <v>2.3295722230766178</v>
      </c>
      <c r="D314" s="1">
        <v>0.40300647488946911</v>
      </c>
      <c r="E314" s="19">
        <v>9.3584481205233484E-3</v>
      </c>
      <c r="F314" s="19">
        <v>9.6087299999999994E-3</v>
      </c>
      <c r="G314" s="1">
        <v>0.78954313175516511</v>
      </c>
      <c r="H314" s="1">
        <f t="shared" si="4"/>
        <v>4.0697146571182258E-2</v>
      </c>
      <c r="I314" s="20">
        <f>E314-N314</f>
        <v>8.0764857109666757E-5</v>
      </c>
      <c r="K314" s="1">
        <v>0.99877674389172821</v>
      </c>
      <c r="L314" s="1">
        <v>2.4742021878602474</v>
      </c>
      <c r="M314" s="1">
        <v>0.37943786401237983</v>
      </c>
      <c r="N314" s="19">
        <v>9.2776832634136816E-3</v>
      </c>
      <c r="O314" s="19">
        <v>9.5985386599999993E-3</v>
      </c>
      <c r="P314" s="1">
        <v>0.79115489993620203</v>
      </c>
    </row>
    <row r="315" spans="1:16" x14ac:dyDescent="0.2">
      <c r="A315" s="1">
        <v>304</v>
      </c>
      <c r="B315" s="1">
        <v>1.0008488094607875</v>
      </c>
      <c r="C315" s="1">
        <v>2.3123870408070504</v>
      </c>
      <c r="D315" s="1">
        <v>0.40591405605348629</v>
      </c>
      <c r="E315" s="19">
        <v>9.3578995022281751E-3</v>
      </c>
      <c r="F315" s="19">
        <v>9.6094200000000005E-3</v>
      </c>
      <c r="G315" s="1">
        <v>0.78893859510855402</v>
      </c>
      <c r="H315" s="1">
        <f t="shared" si="4"/>
        <v>4.2934511921151053E-2</v>
      </c>
      <c r="I315" s="20">
        <f>E315-N315</f>
        <v>8.4705692627822307E-5</v>
      </c>
      <c r="K315" s="1">
        <v>0.99875180581308654</v>
      </c>
      <c r="L315" s="1">
        <v>2.4708106507556056</v>
      </c>
      <c r="M315" s="1">
        <v>0.37989422454263894</v>
      </c>
      <c r="N315" s="19">
        <v>9.2731938096003528E-3</v>
      </c>
      <c r="O315" s="19">
        <v>9.5969551669999997E-3</v>
      </c>
      <c r="P315" s="1">
        <v>0.79063337847386261</v>
      </c>
    </row>
    <row r="316" spans="1:16" x14ac:dyDescent="0.2">
      <c r="A316" s="1">
        <v>305</v>
      </c>
      <c r="B316" s="1">
        <v>1.0006710279768183</v>
      </c>
      <c r="C316" s="1">
        <v>2.2872152067478773</v>
      </c>
      <c r="D316" s="1">
        <v>0.41031951573627107</v>
      </c>
      <c r="E316" s="19">
        <v>9.3556867973092518E-3</v>
      </c>
      <c r="F316" s="19">
        <v>9.6084800000000008E-3</v>
      </c>
      <c r="G316" s="1">
        <v>0.78836793716400178</v>
      </c>
      <c r="H316" s="1">
        <f t="shared" si="4"/>
        <v>4.4670778505957465E-2</v>
      </c>
      <c r="I316" s="20">
        <f>E316-N316</f>
        <v>8.7614045875841068E-5</v>
      </c>
      <c r="K316" s="1">
        <v>0.99867022842751318</v>
      </c>
      <c r="L316" s="1">
        <v>2.4824715267996709</v>
      </c>
      <c r="M316" s="1">
        <v>0.37801795386219178</v>
      </c>
      <c r="N316" s="19">
        <v>9.2680727514334107E-3</v>
      </c>
      <c r="O316" s="19">
        <v>9.5933962309999992E-3</v>
      </c>
      <c r="P316" s="1">
        <v>0.79012547599046568</v>
      </c>
    </row>
    <row r="317" spans="1:16" x14ac:dyDescent="0.2">
      <c r="A317" s="1">
        <v>306</v>
      </c>
      <c r="B317" s="1">
        <v>1.0007107309888728</v>
      </c>
      <c r="C317" s="1">
        <v>2.2873828093301674</v>
      </c>
      <c r="D317" s="1">
        <v>0.41016834638509575</v>
      </c>
      <c r="E317" s="19">
        <v>9.3522516232536386E-3</v>
      </c>
      <c r="F317" s="19">
        <v>9.6062100000000004E-3</v>
      </c>
      <c r="G317" s="1">
        <v>0.78782254089732129</v>
      </c>
      <c r="H317" s="1">
        <f t="shared" si="4"/>
        <v>4.5535950244779577E-2</v>
      </c>
      <c r="I317" s="20">
        <f>E317-N317</f>
        <v>8.8787924968273743E-5</v>
      </c>
      <c r="K317" s="1">
        <v>0.99864407140844902</v>
      </c>
      <c r="L317" s="1">
        <v>2.46977811246248</v>
      </c>
      <c r="M317" s="1">
        <v>0.37988650164158583</v>
      </c>
      <c r="N317" s="19">
        <v>9.2634636982853649E-3</v>
      </c>
      <c r="O317" s="19">
        <v>9.5890062900000003E-3</v>
      </c>
      <c r="P317" s="1">
        <v>0.78960826443633225</v>
      </c>
    </row>
    <row r="318" spans="1:16" x14ac:dyDescent="0.2">
      <c r="A318" s="1">
        <v>307</v>
      </c>
      <c r="B318" s="1">
        <v>1.0007285942732029</v>
      </c>
      <c r="C318" s="1">
        <v>2.2969078808590351</v>
      </c>
      <c r="D318" s="1">
        <v>0.40839888124173429</v>
      </c>
      <c r="E318" s="19">
        <v>9.3477767080331897E-3</v>
      </c>
      <c r="F318" s="19">
        <v>9.6029099999999992E-3</v>
      </c>
      <c r="G318" s="1">
        <v>0.7872989145852991</v>
      </c>
      <c r="H318" s="1">
        <f t="shared" si="4"/>
        <v>4.5316225808108873E-2</v>
      </c>
      <c r="I318" s="20">
        <f>E318-N318</f>
        <v>8.7843923584790887E-5</v>
      </c>
      <c r="K318" s="1">
        <v>0.99866935570104665</v>
      </c>
      <c r="L318" s="1">
        <v>2.5019033329963261</v>
      </c>
      <c r="M318" s="1">
        <v>0.37493655263310183</v>
      </c>
      <c r="N318" s="19">
        <v>9.2599327844483988E-3</v>
      </c>
      <c r="O318" s="19">
        <v>9.5849297830000006E-3</v>
      </c>
      <c r="P318" s="1">
        <v>0.78907023285792877</v>
      </c>
    </row>
    <row r="319" spans="1:16" x14ac:dyDescent="0.2">
      <c r="A319" s="1">
        <v>308</v>
      </c>
      <c r="B319" s="1">
        <v>1.0006776478040824</v>
      </c>
      <c r="C319" s="1">
        <v>2.3106869765604046</v>
      </c>
      <c r="D319" s="1">
        <v>0.40588426385654419</v>
      </c>
      <c r="E319" s="19">
        <v>9.3424733402896979E-3</v>
      </c>
      <c r="F319" s="19">
        <v>9.5988900000000005E-3</v>
      </c>
      <c r="G319" s="1">
        <v>0.78679295297851937</v>
      </c>
      <c r="H319" s="1">
        <f t="shared" si="4"/>
        <v>4.4090810833274409E-2</v>
      </c>
      <c r="I319" s="20">
        <f>E319-N319</f>
        <v>8.4971837765459093E-5</v>
      </c>
      <c r="K319" s="1">
        <v>0.99867050896811671</v>
      </c>
      <c r="L319" s="1">
        <v>2.5237508241310791</v>
      </c>
      <c r="M319" s="1">
        <v>0.37160463996601434</v>
      </c>
      <c r="N319" s="19">
        <v>9.2575015025242388E-3</v>
      </c>
      <c r="O319" s="19">
        <v>9.5820692879999992E-3</v>
      </c>
      <c r="P319" s="1">
        <v>0.78851077677721837</v>
      </c>
    </row>
    <row r="320" spans="1:16" x14ac:dyDescent="0.2">
      <c r="A320" s="1">
        <v>309</v>
      </c>
      <c r="B320" s="1">
        <v>1.0007334818029918</v>
      </c>
      <c r="C320" s="1">
        <v>2.2900929665471814</v>
      </c>
      <c r="D320" s="1">
        <v>0.40943757366230887</v>
      </c>
      <c r="E320" s="19">
        <v>9.3368215899570697E-3</v>
      </c>
      <c r="F320" s="19">
        <v>9.5944299999999993E-3</v>
      </c>
      <c r="G320" s="1">
        <v>0.78629506523071013</v>
      </c>
      <c r="H320" s="1">
        <f t="shared" si="4"/>
        <v>4.2191298834190955E-2</v>
      </c>
      <c r="I320" s="20">
        <f>E320-N320</f>
        <v>8.0840832084051392E-5</v>
      </c>
      <c r="K320" s="1">
        <v>0.99871210342543559</v>
      </c>
      <c r="L320" s="1">
        <v>2.5242073561179206</v>
      </c>
      <c r="M320" s="1">
        <v>0.37146393532910549</v>
      </c>
      <c r="N320" s="19">
        <v>9.2559807578730183E-3</v>
      </c>
      <c r="O320" s="19">
        <v>9.5803599340000007E-3</v>
      </c>
      <c r="P320" s="1">
        <v>0.78793356227281464</v>
      </c>
    </row>
    <row r="321" spans="1:16" x14ac:dyDescent="0.2">
      <c r="A321" s="1">
        <v>310</v>
      </c>
      <c r="B321" s="1">
        <v>1.0008254015948788</v>
      </c>
      <c r="C321" s="1">
        <v>2.272907558120119</v>
      </c>
      <c r="D321" s="1">
        <v>0.41244388334863602</v>
      </c>
      <c r="E321" s="19">
        <v>9.3311827561156219E-3</v>
      </c>
      <c r="F321" s="19">
        <v>9.5898300000000006E-3</v>
      </c>
      <c r="G321" s="1">
        <v>0.78579797053644129</v>
      </c>
      <c r="H321" s="1">
        <f t="shared" si="4"/>
        <v>4.0010473108046396E-2</v>
      </c>
      <c r="I321" s="20">
        <f>E321-N321</f>
        <v>7.6220930524737232E-5</v>
      </c>
      <c r="K321" s="1">
        <v>0.9987566045046522</v>
      </c>
      <c r="L321" s="1">
        <v>2.4899355722818091</v>
      </c>
      <c r="M321" s="1">
        <v>0.37649338833191265</v>
      </c>
      <c r="N321" s="19">
        <v>9.2549618255908846E-3</v>
      </c>
      <c r="O321" s="19">
        <v>9.5794949880000004E-3</v>
      </c>
      <c r="P321" s="1">
        <v>0.78734676304384954</v>
      </c>
    </row>
    <row r="322" spans="1:16" x14ac:dyDescent="0.2">
      <c r="A322" s="1">
        <v>311</v>
      </c>
      <c r="B322" s="1">
        <v>1.0009130636033208</v>
      </c>
      <c r="C322" s="1">
        <v>2.2335478875208228</v>
      </c>
      <c r="D322" s="1">
        <v>0.41961315004564848</v>
      </c>
      <c r="E322" s="19">
        <v>9.3257643904892558E-3</v>
      </c>
      <c r="F322" s="19">
        <v>9.5854100000000008E-3</v>
      </c>
      <c r="G322" s="1">
        <v>0.78529744108929911</v>
      </c>
      <c r="H322" s="1">
        <f t="shared" si="4"/>
        <v>3.7796310722083747E-2</v>
      </c>
      <c r="I322" s="20">
        <f>E322-N322</f>
        <v>7.1590268164899856E-5</v>
      </c>
      <c r="K322" s="1">
        <v>0.99879992092308278</v>
      </c>
      <c r="L322" s="1">
        <v>2.5336070159244999</v>
      </c>
      <c r="M322" s="1">
        <v>0.36992598091671891</v>
      </c>
      <c r="N322" s="19">
        <v>9.2541741223243559E-3</v>
      </c>
      <c r="O322" s="19">
        <v>9.5791677160000002E-3</v>
      </c>
      <c r="P322" s="1">
        <v>0.78675581963806118</v>
      </c>
    </row>
    <row r="323" spans="1:16" x14ac:dyDescent="0.2">
      <c r="A323" s="1">
        <v>312</v>
      </c>
      <c r="B323" s="1">
        <v>1.000933144651607</v>
      </c>
      <c r="C323" s="1">
        <v>2.2679882057304659</v>
      </c>
      <c r="D323" s="1">
        <v>0.41319784637144735</v>
      </c>
      <c r="E323" s="19">
        <v>9.320703880005065E-3</v>
      </c>
      <c r="F323" s="19">
        <v>9.58145E-3</v>
      </c>
      <c r="G323" s="1">
        <v>0.78479063727479814</v>
      </c>
      <c r="H323" s="1">
        <f t="shared" si="4"/>
        <v>3.5801541397475045E-2</v>
      </c>
      <c r="I323" s="20">
        <f>E323-N323</f>
        <v>6.7424927919789573E-5</v>
      </c>
      <c r="K323" s="1">
        <v>0.99889982492897544</v>
      </c>
      <c r="L323" s="1">
        <v>2.4781046040576418</v>
      </c>
      <c r="M323" s="1">
        <v>0.3781456404429725</v>
      </c>
      <c r="N323" s="19">
        <v>9.2532789520852754E-3</v>
      </c>
      <c r="O323" s="19">
        <v>9.5790713860000008E-3</v>
      </c>
      <c r="P323" s="1">
        <v>0.78616761963623949</v>
      </c>
    </row>
    <row r="324" spans="1:16" x14ac:dyDescent="0.2">
      <c r="A324" s="1">
        <v>313</v>
      </c>
      <c r="B324" s="1">
        <v>1.001003048779</v>
      </c>
      <c r="C324" s="1">
        <v>2.2438531956446854</v>
      </c>
      <c r="D324" s="1">
        <v>0.41754425752346452</v>
      </c>
      <c r="E324" s="19">
        <v>9.3161912383585739E-3</v>
      </c>
      <c r="F324" s="19">
        <v>9.5782000000000003E-3</v>
      </c>
      <c r="G324" s="1">
        <v>0.78427361447135446</v>
      </c>
      <c r="H324" s="1">
        <f t="shared" si="4"/>
        <v>3.4209965860670592E-2</v>
      </c>
      <c r="I324" s="20">
        <f>E324-N324</f>
        <v>6.4061332009998292E-5</v>
      </c>
      <c r="K324" s="1">
        <v>0.99899637319911472</v>
      </c>
      <c r="L324" s="1">
        <v>2.5141087964451514</v>
      </c>
      <c r="M324" s="1">
        <v>0.37264461832067547</v>
      </c>
      <c r="N324" s="19">
        <v>9.2521299063485756E-3</v>
      </c>
      <c r="O324" s="19">
        <v>9.5788992649999995E-3</v>
      </c>
      <c r="P324" s="1">
        <v>0.78558517865770605</v>
      </c>
    </row>
    <row r="325" spans="1:16" x14ac:dyDescent="0.2">
      <c r="A325" s="1">
        <v>314</v>
      </c>
      <c r="B325" s="1">
        <v>1.0009959753898723</v>
      </c>
      <c r="C325" s="1">
        <v>2.3532968282297526</v>
      </c>
      <c r="D325" s="1">
        <v>0.39802606293607912</v>
      </c>
      <c r="E325" s="19">
        <v>9.3124488969569645E-3</v>
      </c>
      <c r="F325" s="19">
        <v>9.5756299999999999E-3</v>
      </c>
      <c r="G325" s="1">
        <v>0.78374172434747269</v>
      </c>
      <c r="H325" s="1">
        <f t="shared" si="4"/>
        <v>3.3119518812022575E-2</v>
      </c>
      <c r="I325" s="20">
        <f>E325-N325</f>
        <v>6.1668558533692353E-5</v>
      </c>
      <c r="K325" s="1">
        <v>0.99896341231377428</v>
      </c>
      <c r="L325" s="1">
        <v>2.5134700836679307</v>
      </c>
      <c r="M325" s="1">
        <v>0.3726402512965844</v>
      </c>
      <c r="N325" s="19">
        <v>9.2507803384232722E-3</v>
      </c>
      <c r="O325" s="19">
        <v>9.5784094279999996E-3</v>
      </c>
      <c r="P325" s="1">
        <v>0.78500743844219967</v>
      </c>
    </row>
    <row r="326" spans="1:16" x14ac:dyDescent="0.2">
      <c r="A326" s="1">
        <v>315</v>
      </c>
      <c r="B326" s="1">
        <v>1.0009487720331349</v>
      </c>
      <c r="C326" s="1">
        <v>2.403773281180984</v>
      </c>
      <c r="D326" s="1">
        <v>0.38960574124113528</v>
      </c>
      <c r="E326" s="19">
        <v>9.3093160362545668E-3</v>
      </c>
      <c r="F326" s="19">
        <v>9.5736599999999995E-3</v>
      </c>
      <c r="G326" s="1">
        <v>0.78319815307102314</v>
      </c>
      <c r="H326" s="1">
        <f t="shared" si="4"/>
        <v>3.2465841261380829E-2</v>
      </c>
      <c r="I326" s="20">
        <f>E326-N326</f>
        <v>6.0110965863349741E-5</v>
      </c>
      <c r="K326" s="1">
        <v>0.99903650686784329</v>
      </c>
      <c r="L326" s="1">
        <v>2.5880994671267938</v>
      </c>
      <c r="M326" s="1">
        <v>0.36183657032414329</v>
      </c>
      <c r="N326" s="19">
        <v>9.2492050703912171E-3</v>
      </c>
      <c r="O326" s="19">
        <v>9.57761918E-3</v>
      </c>
      <c r="P326" s="1">
        <v>0.78443494702383765</v>
      </c>
    </row>
    <row r="327" spans="1:16" x14ac:dyDescent="0.2">
      <c r="A327" s="1">
        <v>316</v>
      </c>
      <c r="B327" s="1">
        <v>1.0009227037242245</v>
      </c>
      <c r="C327" s="1">
        <v>2.4168541400767816</v>
      </c>
      <c r="D327" s="1">
        <v>0.38740741072621132</v>
      </c>
      <c r="E327" s="19">
        <v>9.3066253539108093E-3</v>
      </c>
      <c r="F327" s="19">
        <v>9.5722199999999993E-3</v>
      </c>
      <c r="G327" s="1">
        <v>0.78264625424208811</v>
      </c>
      <c r="H327" s="1">
        <f t="shared" si="4"/>
        <v>3.2006511203606126E-2</v>
      </c>
      <c r="I327" s="20">
        <f>E327-N327</f>
        <v>5.8928331560251235E-5</v>
      </c>
      <c r="K327" s="1">
        <v>0.99914954479907014</v>
      </c>
      <c r="L327" s="1">
        <v>2.6237800480403926</v>
      </c>
      <c r="M327" s="1">
        <v>0.35684333787544698</v>
      </c>
      <c r="N327" s="19">
        <v>9.2476970223505581E-3</v>
      </c>
      <c r="O327" s="19">
        <v>9.5766106339999994E-3</v>
      </c>
      <c r="P327" s="1">
        <v>0.78386169137640227</v>
      </c>
    </row>
    <row r="328" spans="1:16" x14ac:dyDescent="0.2">
      <c r="A328" s="1">
        <v>317</v>
      </c>
      <c r="B328" s="1">
        <v>1.0009232049430956</v>
      </c>
      <c r="C328" s="1">
        <v>2.4333532127522939</v>
      </c>
      <c r="D328" s="1">
        <v>0.38469756647641973</v>
      </c>
      <c r="E328" s="19">
        <v>9.3042759242897618E-3</v>
      </c>
      <c r="F328" s="19">
        <v>9.57123E-3</v>
      </c>
      <c r="G328" s="1">
        <v>0.78208804468233817</v>
      </c>
      <c r="H328" s="1">
        <f t="shared" si="4"/>
        <v>3.1803055581867433E-2</v>
      </c>
      <c r="I328" s="20">
        <f>E328-N328</f>
        <v>5.8226826281324376E-5</v>
      </c>
      <c r="K328" s="1">
        <v>0.99905902834283533</v>
      </c>
      <c r="L328" s="1">
        <v>2.5932326956413401</v>
      </c>
      <c r="M328" s="1">
        <v>0.36098281857988568</v>
      </c>
      <c r="N328" s="19">
        <v>9.2460490980084374E-3</v>
      </c>
      <c r="O328" s="19">
        <v>9.5754659050000003E-3</v>
      </c>
      <c r="P328" s="1">
        <v>0.78329194584001138</v>
      </c>
    </row>
    <row r="329" spans="1:16" x14ac:dyDescent="0.2">
      <c r="A329" s="1">
        <v>318</v>
      </c>
      <c r="B329" s="1">
        <v>1.000840160462243</v>
      </c>
      <c r="C329" s="1">
        <v>2.4422899321040892</v>
      </c>
      <c r="D329" s="1">
        <v>0.38319399658660208</v>
      </c>
      <c r="E329" s="19">
        <v>9.3021756023364717E-3</v>
      </c>
      <c r="F329" s="19">
        <v>9.5706000000000003E-3</v>
      </c>
      <c r="G329" s="1">
        <v>0.78152538013938178</v>
      </c>
      <c r="H329" s="1">
        <f t="shared" si="4"/>
        <v>3.1636752896180065E-2</v>
      </c>
      <c r="I329" s="20">
        <f>E329-N329</f>
        <v>5.7600409384416656E-5</v>
      </c>
      <c r="K329" s="1">
        <v>0.99914373331502371</v>
      </c>
      <c r="L329" s="1">
        <v>2.5912759682458963</v>
      </c>
      <c r="M329" s="1">
        <v>0.36118888366104546</v>
      </c>
      <c r="N329" s="19">
        <v>9.244575192952055E-3</v>
      </c>
      <c r="O329" s="19">
        <v>9.5742671049999992E-3</v>
      </c>
      <c r="P329" s="1">
        <v>0.7827192198713131</v>
      </c>
    </row>
    <row r="330" spans="1:16" x14ac:dyDescent="0.2">
      <c r="A330" s="1">
        <v>319</v>
      </c>
      <c r="B330" s="1">
        <v>1.0008316741343295</v>
      </c>
      <c r="C330" s="1">
        <v>2.4534568019045677</v>
      </c>
      <c r="D330" s="1">
        <v>0.38136674286895805</v>
      </c>
      <c r="E330" s="19">
        <v>9.3003275711627253E-3</v>
      </c>
      <c r="F330" s="19">
        <v>9.5702600000000006E-3</v>
      </c>
      <c r="G330" s="1">
        <v>0.78095815608524499</v>
      </c>
      <c r="H330" s="1">
        <f t="shared" si="4"/>
        <v>3.1485913355745888E-2</v>
      </c>
      <c r="I330" s="20">
        <f>E330-N330</f>
        <v>5.7008620679956101E-5</v>
      </c>
      <c r="K330" s="1">
        <v>0.99917448688564636</v>
      </c>
      <c r="L330" s="1">
        <v>2.6323282671583743</v>
      </c>
      <c r="M330" s="1">
        <v>0.35547830391822294</v>
      </c>
      <c r="N330" s="19">
        <v>9.2433189504827692E-3</v>
      </c>
      <c r="O330" s="19">
        <v>9.573096348E-3</v>
      </c>
      <c r="P330" s="1">
        <v>0.78214257915818841</v>
      </c>
    </row>
    <row r="331" spans="1:16" x14ac:dyDescent="0.2">
      <c r="A331" s="1">
        <v>320</v>
      </c>
      <c r="B331" s="1">
        <v>1.0007488949129857</v>
      </c>
      <c r="C331" s="1">
        <v>2.4037174446033296</v>
      </c>
      <c r="D331" s="1">
        <v>0.38919459534785011</v>
      </c>
      <c r="E331" s="19">
        <v>9.2986004843368213E-3</v>
      </c>
      <c r="F331" s="19">
        <v>9.5701199999999997E-3</v>
      </c>
      <c r="G331" s="1">
        <v>0.78038906718051659</v>
      </c>
      <c r="H331" s="1">
        <f t="shared" si="4"/>
        <v>3.1322319351918537E-2</v>
      </c>
      <c r="I331" s="20">
        <f>E331-N331</f>
        <v>5.6399940010786603E-5</v>
      </c>
      <c r="K331" s="1">
        <v>0.999239717487304</v>
      </c>
      <c r="L331" s="1">
        <v>2.6322788751186317</v>
      </c>
      <c r="M331" s="1">
        <v>0.35538679999237949</v>
      </c>
      <c r="N331" s="19">
        <v>9.2422005443260347E-3</v>
      </c>
      <c r="O331" s="19">
        <v>9.572018384E-3</v>
      </c>
      <c r="P331" s="1">
        <v>0.78156365415621354</v>
      </c>
    </row>
    <row r="332" spans="1:16" x14ac:dyDescent="0.2">
      <c r="A332" s="1">
        <v>321</v>
      </c>
      <c r="B332" s="1">
        <v>1.000752025043578</v>
      </c>
      <c r="C332" s="1">
        <v>2.419598634571364</v>
      </c>
      <c r="D332" s="1">
        <v>0.38655371641139796</v>
      </c>
      <c r="E332" s="19">
        <v>9.2969579265323368E-3</v>
      </c>
      <c r="F332" s="19">
        <v>9.5700999999999998E-3</v>
      </c>
      <c r="G332" s="1">
        <v>0.77981885415348828</v>
      </c>
      <c r="H332" s="1">
        <f t="shared" si="4"/>
        <v>3.1130413755093567E-2</v>
      </c>
      <c r="I332" s="20">
        <f>E332-N332</f>
        <v>5.5746773077822859E-5</v>
      </c>
      <c r="K332" s="1">
        <v>0.99924046246517029</v>
      </c>
      <c r="L332" s="1">
        <v>2.6486323449202298</v>
      </c>
      <c r="M332" s="1">
        <v>0.35313537451344673</v>
      </c>
      <c r="N332" s="19">
        <v>9.2412111534545139E-3</v>
      </c>
      <c r="O332" s="19">
        <v>9.5710285040000002E-3</v>
      </c>
      <c r="P332" s="1">
        <v>0.78098260793872543</v>
      </c>
    </row>
    <row r="333" spans="1:16" x14ac:dyDescent="0.2">
      <c r="A333" s="1">
        <v>322</v>
      </c>
      <c r="B333" s="1">
        <v>1.0007166216730754</v>
      </c>
      <c r="C333" s="1">
        <v>2.4182538113837819</v>
      </c>
      <c r="D333" s="1">
        <v>0.38670226760309589</v>
      </c>
      <c r="E333" s="19">
        <v>9.2952961008888821E-3</v>
      </c>
      <c r="F333" s="19">
        <v>9.5701299999999996E-3</v>
      </c>
      <c r="G333" s="1">
        <v>0.77924967398330192</v>
      </c>
      <c r="H333" s="1">
        <f t="shared" ref="H333:H396" si="5">(P333-G333)*A333/12</f>
        <v>3.0911830010984243E-2</v>
      </c>
      <c r="I333" s="20">
        <f>E333-N333</f>
        <v>5.5052623100043663E-5</v>
      </c>
      <c r="K333" s="1">
        <v>0.99916948753688595</v>
      </c>
      <c r="L333" s="1">
        <v>2.6269180275717168</v>
      </c>
      <c r="M333" s="1">
        <v>0.3559548482579778</v>
      </c>
      <c r="N333" s="19">
        <v>9.2402434777888384E-3</v>
      </c>
      <c r="O333" s="19">
        <v>9.5701046370000008E-3</v>
      </c>
      <c r="P333" s="1">
        <v>0.78040166764830754</v>
      </c>
    </row>
    <row r="334" spans="1:16" x14ac:dyDescent="0.2">
      <c r="A334" s="1">
        <v>323</v>
      </c>
      <c r="B334" s="1">
        <v>1.0006839247215951</v>
      </c>
      <c r="C334" s="1">
        <v>2.4501387326731034</v>
      </c>
      <c r="D334" s="1">
        <v>0.38157452913883122</v>
      </c>
      <c r="E334" s="19">
        <v>9.2934740956940633E-3</v>
      </c>
      <c r="F334" s="19">
        <v>9.5701199999999997E-3</v>
      </c>
      <c r="G334" s="1">
        <v>0.77868448221330921</v>
      </c>
      <c r="H334" s="1">
        <f t="shared" si="5"/>
        <v>3.0658094045672712E-2</v>
      </c>
      <c r="I334" s="20">
        <f>E334-N334</f>
        <v>5.4302977909891081E-5</v>
      </c>
      <c r="K334" s="1">
        <v>0.9991652060251216</v>
      </c>
      <c r="L334" s="1">
        <v>2.5694791073669703</v>
      </c>
      <c r="M334" s="1">
        <v>0.36386778818865018</v>
      </c>
      <c r="N334" s="19">
        <v>9.2391711177841722E-3</v>
      </c>
      <c r="O334" s="19">
        <v>9.5692247090000005E-3</v>
      </c>
      <c r="P334" s="1">
        <v>0.77982348261129086</v>
      </c>
    </row>
    <row r="335" spans="1:16" x14ac:dyDescent="0.2">
      <c r="A335" s="1">
        <v>324</v>
      </c>
      <c r="B335" s="1">
        <v>1.0005945467887289</v>
      </c>
      <c r="C335" s="1">
        <v>2.401207096937255</v>
      </c>
      <c r="D335" s="1">
        <v>0.38926405320560686</v>
      </c>
      <c r="E335" s="19">
        <v>9.2915056024559795E-3</v>
      </c>
      <c r="F335" s="19">
        <v>9.5699900000000004E-3</v>
      </c>
      <c r="G335" s="1">
        <v>0.77812301427636354</v>
      </c>
      <c r="H335" s="1">
        <f t="shared" si="5"/>
        <v>3.0270530288773356E-2</v>
      </c>
      <c r="I335" s="20">
        <f>E335-N335</f>
        <v>5.3325085339374356E-5</v>
      </c>
      <c r="K335" s="1">
        <v>0.99916903410144564</v>
      </c>
      <c r="L335" s="1">
        <v>2.6158684635667893</v>
      </c>
      <c r="M335" s="1">
        <v>0.35734889421870364</v>
      </c>
      <c r="N335" s="19">
        <v>9.2381805171166051E-3</v>
      </c>
      <c r="O335" s="19">
        <v>9.56836665E-3</v>
      </c>
      <c r="P335" s="1">
        <v>0.7792441450277996</v>
      </c>
    </row>
    <row r="336" spans="1:16" x14ac:dyDescent="0.2">
      <c r="A336" s="1">
        <v>325</v>
      </c>
      <c r="B336" s="1">
        <v>1.0006295771536478</v>
      </c>
      <c r="C336" s="1">
        <v>2.4030902148591058</v>
      </c>
      <c r="D336" s="1">
        <v>0.38887897391972442</v>
      </c>
      <c r="E336" s="19">
        <v>9.2893872453257906E-3</v>
      </c>
      <c r="F336" s="19">
        <v>9.5696800000000005E-3</v>
      </c>
      <c r="G336" s="1">
        <v>0.7775653622749219</v>
      </c>
      <c r="H336" s="1">
        <f t="shared" si="5"/>
        <v>2.9726876242790422E-2</v>
      </c>
      <c r="I336" s="20">
        <f>E336-N336</f>
        <v>5.2083695982068495E-5</v>
      </c>
      <c r="K336" s="1">
        <v>0.99910900969299277</v>
      </c>
      <c r="L336" s="1">
        <v>2.576384587446392</v>
      </c>
      <c r="M336" s="1">
        <v>0.36272038891925362</v>
      </c>
      <c r="N336" s="19">
        <v>9.2373035493437221E-3</v>
      </c>
      <c r="O336" s="19">
        <v>9.5675083859999999E-3</v>
      </c>
      <c r="P336" s="1">
        <v>0.77866297001311724</v>
      </c>
    </row>
    <row r="337" spans="1:16" x14ac:dyDescent="0.2">
      <c r="A337" s="1">
        <v>326</v>
      </c>
      <c r="B337" s="1">
        <v>1.0006602097450044</v>
      </c>
      <c r="C337" s="1">
        <v>2.385351753632956</v>
      </c>
      <c r="D337" s="1">
        <v>0.3917041592440309</v>
      </c>
      <c r="E337" s="19">
        <v>9.2872381537877201E-3</v>
      </c>
      <c r="F337" s="19">
        <v>9.56919E-3</v>
      </c>
      <c r="G337" s="1">
        <v>0.77700903301673663</v>
      </c>
      <c r="H337" s="1">
        <f t="shared" si="5"/>
        <v>2.9181554019748996E-2</v>
      </c>
      <c r="I337" s="20">
        <f>E337-N337</f>
        <v>5.0852185214477971E-5</v>
      </c>
      <c r="K337" s="1">
        <v>0.99913308132803447</v>
      </c>
      <c r="L337" s="1">
        <v>2.5037967374995316</v>
      </c>
      <c r="M337" s="1">
        <v>0.37317503801653967</v>
      </c>
      <c r="N337" s="19">
        <v>9.2363859685732422E-3</v>
      </c>
      <c r="O337" s="19">
        <v>9.5666325E-3</v>
      </c>
      <c r="P337" s="1">
        <v>0.77808320064936543</v>
      </c>
    </row>
    <row r="338" spans="1:16" x14ac:dyDescent="0.2">
      <c r="A338" s="1">
        <v>327</v>
      </c>
      <c r="B338" s="1">
        <v>1.0006051974425911</v>
      </c>
      <c r="C338" s="1">
        <v>2.5176278578234137</v>
      </c>
      <c r="D338" s="1">
        <v>0.37105031305440045</v>
      </c>
      <c r="E338" s="19">
        <v>9.2849779281244122E-3</v>
      </c>
      <c r="F338" s="19">
        <v>9.5685500000000003E-3</v>
      </c>
      <c r="G338" s="1">
        <v>0.7764557313290199</v>
      </c>
      <c r="H338" s="1">
        <f t="shared" si="5"/>
        <v>2.8529896843411451E-2</v>
      </c>
      <c r="I338" s="20">
        <f>E338-N338</f>
        <v>4.9449038598778708E-5</v>
      </c>
      <c r="K338" s="1">
        <v>0.99912343340730714</v>
      </c>
      <c r="L338" s="1">
        <v>2.5210456383778355</v>
      </c>
      <c r="M338" s="1">
        <v>0.37053460796503312</v>
      </c>
      <c r="N338" s="19">
        <v>9.2355288895256335E-3</v>
      </c>
      <c r="O338" s="19">
        <v>9.5657401859999998E-3</v>
      </c>
      <c r="P338" s="1">
        <v>0.77750270002052124</v>
      </c>
    </row>
    <row r="339" spans="1:16" x14ac:dyDescent="0.2">
      <c r="A339" s="1">
        <v>328</v>
      </c>
      <c r="B339" s="1">
        <v>1.0007267297415989</v>
      </c>
      <c r="C339" s="1">
        <v>2.5136143362915719</v>
      </c>
      <c r="D339" s="1">
        <v>0.37156616104920909</v>
      </c>
      <c r="E339" s="19">
        <v>9.2825885148126262E-3</v>
      </c>
      <c r="F339" s="19">
        <v>9.5677699999999997E-3</v>
      </c>
      <c r="G339" s="1">
        <v>0.77590585574768978</v>
      </c>
      <c r="H339" s="1">
        <f t="shared" si="5"/>
        <v>2.7821632075356744E-2</v>
      </c>
      <c r="I339" s="20">
        <f>E339-N339</f>
        <v>4.7962705312884837E-5</v>
      </c>
      <c r="K339" s="1">
        <v>0.99923482163344235</v>
      </c>
      <c r="L339" s="1">
        <v>2.5403865426631294</v>
      </c>
      <c r="M339" s="1">
        <v>0.36764187323690278</v>
      </c>
      <c r="N339" s="19">
        <v>9.2346258094997413E-3</v>
      </c>
      <c r="O339" s="19">
        <v>9.5648372960000002E-3</v>
      </c>
      <c r="P339" s="1">
        <v>0.77692372033581258</v>
      </c>
    </row>
    <row r="340" spans="1:16" x14ac:dyDescent="0.2">
      <c r="A340" s="1">
        <v>329</v>
      </c>
      <c r="B340" s="1">
        <v>1.0007776961290418</v>
      </c>
      <c r="C340" s="1">
        <v>2.566573376402951</v>
      </c>
      <c r="D340" s="1">
        <v>0.36381976941821931</v>
      </c>
      <c r="E340" s="19">
        <v>9.2801155181588511E-3</v>
      </c>
      <c r="F340" s="19">
        <v>9.5668799999999998E-3</v>
      </c>
      <c r="G340" s="1">
        <v>0.77535845514671431</v>
      </c>
      <c r="H340" s="1">
        <f t="shared" si="5"/>
        <v>2.7078258398733918E-2</v>
      </c>
      <c r="I340" s="20">
        <f>E340-N340</f>
        <v>4.6431470738503289E-5</v>
      </c>
      <c r="K340" s="1">
        <v>0.99928039420096104</v>
      </c>
      <c r="L340" s="1">
        <v>2.601052258714815</v>
      </c>
      <c r="M340" s="1">
        <v>0.35899008297236917</v>
      </c>
      <c r="N340" s="19">
        <v>9.2336840474203478E-3</v>
      </c>
      <c r="O340" s="19">
        <v>9.563929677E-3</v>
      </c>
      <c r="P340" s="1">
        <v>0.77634611198800552</v>
      </c>
    </row>
    <row r="341" spans="1:16" x14ac:dyDescent="0.2">
      <c r="A341" s="1">
        <v>330</v>
      </c>
      <c r="B341" s="1">
        <v>1.0007438708199103</v>
      </c>
      <c r="C341" s="1">
        <v>2.5251241266395548</v>
      </c>
      <c r="D341" s="1">
        <v>0.36969005842495267</v>
      </c>
      <c r="E341" s="19">
        <v>9.2776606778764252E-3</v>
      </c>
      <c r="F341" s="19">
        <v>9.5659000000000004E-3</v>
      </c>
      <c r="G341" s="1">
        <v>0.77481137322367422</v>
      </c>
      <c r="H341" s="1">
        <f t="shared" si="5"/>
        <v>2.6301603126506201E-2</v>
      </c>
      <c r="I341" s="20">
        <f>E341-N341</f>
        <v>4.4859346056972532E-5</v>
      </c>
      <c r="K341" s="1">
        <v>0.99917339206359634</v>
      </c>
      <c r="L341" s="1">
        <v>2.6175259972253015</v>
      </c>
      <c r="M341" s="1">
        <v>0.35665747406500853</v>
      </c>
      <c r="N341" s="19">
        <v>9.2328013318194527E-3</v>
      </c>
      <c r="O341" s="19">
        <v>9.5630231789999992E-3</v>
      </c>
      <c r="P341" s="1">
        <v>0.77576779515554717</v>
      </c>
    </row>
    <row r="342" spans="1:16" x14ac:dyDescent="0.2">
      <c r="A342" s="1">
        <v>331</v>
      </c>
      <c r="B342" s="1">
        <v>1.0007142826566668</v>
      </c>
      <c r="C342" s="1">
        <v>2.4877344823899485</v>
      </c>
      <c r="D342" s="1">
        <v>0.37519156772274787</v>
      </c>
      <c r="E342" s="19">
        <v>9.2751408766032183E-3</v>
      </c>
      <c r="F342" s="19">
        <v>9.5648499999999997E-3</v>
      </c>
      <c r="G342" s="1">
        <v>0.7742663814573697</v>
      </c>
      <c r="H342" s="1">
        <f t="shared" si="5"/>
        <v>2.5521481072688562E-2</v>
      </c>
      <c r="I342" s="20">
        <f>E342-N342</f>
        <v>4.3297479321968702E-5</v>
      </c>
      <c r="K342" s="1">
        <v>0.99925288313888361</v>
      </c>
      <c r="L342" s="1">
        <v>2.5904075687557797</v>
      </c>
      <c r="M342" s="1">
        <v>0.36031172374931197</v>
      </c>
      <c r="N342" s="19">
        <v>9.2318433972812496E-3</v>
      </c>
      <c r="O342" s="19">
        <v>9.5621236509999992E-3</v>
      </c>
      <c r="P342" s="1">
        <v>0.77519163152647019</v>
      </c>
    </row>
    <row r="343" spans="1:16" x14ac:dyDescent="0.2">
      <c r="A343" s="1">
        <v>332</v>
      </c>
      <c r="B343" s="1">
        <v>1.0007752004583508</v>
      </c>
      <c r="C343" s="1">
        <v>2.4709811725483131</v>
      </c>
      <c r="D343" s="1">
        <v>0.37764077641720617</v>
      </c>
      <c r="E343" s="19">
        <v>9.2726009411745365E-3</v>
      </c>
      <c r="F343" s="19">
        <v>9.5637599999999993E-3</v>
      </c>
      <c r="G343" s="1">
        <v>0.77372252896655813</v>
      </c>
      <c r="H343" s="1">
        <f t="shared" si="5"/>
        <v>2.4823096114295007E-2</v>
      </c>
      <c r="I343" s="20">
        <f>E343-N343</f>
        <v>4.1889516267485175E-5</v>
      </c>
      <c r="K343" s="1">
        <v>0.99919734559823192</v>
      </c>
      <c r="L343" s="1">
        <v>2.5848270772461874</v>
      </c>
      <c r="M343" s="1">
        <v>0.36101793590685011</v>
      </c>
      <c r="N343" s="19">
        <v>9.2307114249070513E-3</v>
      </c>
      <c r="O343" s="19">
        <v>9.5612356970000006E-3</v>
      </c>
      <c r="P343" s="1">
        <v>0.77461974930803867</v>
      </c>
    </row>
    <row r="344" spans="1:16" x14ac:dyDescent="0.2">
      <c r="A344" s="1">
        <v>333</v>
      </c>
      <c r="B344" s="1">
        <v>1.0007523374794041</v>
      </c>
      <c r="C344" s="1">
        <v>2.4771710616663594</v>
      </c>
      <c r="D344" s="1">
        <v>0.37661676782599696</v>
      </c>
      <c r="E344" s="19">
        <v>9.2700415722022644E-3</v>
      </c>
      <c r="F344" s="19">
        <v>9.5626300000000008E-3</v>
      </c>
      <c r="G344" s="1">
        <v>0.7731798027483574</v>
      </c>
      <c r="H344" s="1">
        <f t="shared" si="5"/>
        <v>2.4147658810472178E-2</v>
      </c>
      <c r="I344" s="20">
        <f>E344-N344</f>
        <v>4.0534449429615108E-5</v>
      </c>
      <c r="K344" s="1">
        <v>0.99920434883239884</v>
      </c>
      <c r="L344" s="1">
        <v>2.6045621776267618</v>
      </c>
      <c r="M344" s="1">
        <v>0.35821133363140095</v>
      </c>
      <c r="N344" s="19">
        <v>9.2295071227726493E-3</v>
      </c>
      <c r="O344" s="19">
        <v>9.5603589350000007E-3</v>
      </c>
      <c r="P344" s="1">
        <v>0.77404998865143748</v>
      </c>
    </row>
    <row r="345" spans="1:16" x14ac:dyDescent="0.2">
      <c r="A345" s="1">
        <v>334</v>
      </c>
      <c r="B345" s="1">
        <v>1.0007198867203699</v>
      </c>
      <c r="C345" s="1">
        <v>2.489429012442006</v>
      </c>
      <c r="D345" s="1">
        <v>0.37468303872815001</v>
      </c>
      <c r="E345" s="19">
        <v>9.2676189931494256E-3</v>
      </c>
      <c r="F345" s="19">
        <v>9.5615000000000006E-3</v>
      </c>
      <c r="G345" s="1">
        <v>0.77263484512865133</v>
      </c>
      <c r="H345" s="1">
        <f t="shared" si="5"/>
        <v>2.3530806064770888E-2</v>
      </c>
      <c r="I345" s="20">
        <f>E345-N345</f>
        <v>3.9291135311198336E-5</v>
      </c>
      <c r="K345" s="1">
        <v>0.99913825311604321</v>
      </c>
      <c r="L345" s="1">
        <v>2.5646356742988377</v>
      </c>
      <c r="M345" s="1">
        <v>0.36371162599932777</v>
      </c>
      <c r="N345" s="19">
        <v>9.2283278578382272E-3</v>
      </c>
      <c r="O345" s="19">
        <v>9.5594917379999995E-3</v>
      </c>
      <c r="P345" s="1">
        <v>0.77348026331061914</v>
      </c>
    </row>
    <row r="346" spans="1:16" x14ac:dyDescent="0.2">
      <c r="A346" s="1">
        <v>335</v>
      </c>
      <c r="B346" s="1">
        <v>1.0007569616292853</v>
      </c>
      <c r="C346" s="1">
        <v>2.4380643348704685</v>
      </c>
      <c r="D346" s="1">
        <v>0.3825100134181959</v>
      </c>
      <c r="E346" s="19">
        <v>9.2652465050203723E-3</v>
      </c>
      <c r="F346" s="19">
        <v>9.5603900000000002E-3</v>
      </c>
      <c r="G346" s="1">
        <v>0.77208950368239693</v>
      </c>
      <c r="H346" s="1">
        <f t="shared" si="5"/>
        <v>2.2928836466106956E-2</v>
      </c>
      <c r="I346" s="20">
        <f>E346-N346</f>
        <v>3.8085209807470211E-5</v>
      </c>
      <c r="K346" s="1">
        <v>0.99922093901662523</v>
      </c>
      <c r="L346" s="1">
        <v>2.5885123922005389</v>
      </c>
      <c r="M346" s="1">
        <v>0.36028363818794717</v>
      </c>
      <c r="N346" s="19">
        <v>9.2271612952129021E-3</v>
      </c>
      <c r="O346" s="19">
        <v>9.5586324769999995E-3</v>
      </c>
      <c r="P346" s="1">
        <v>0.77291083513789927</v>
      </c>
    </row>
    <row r="347" spans="1:16" x14ac:dyDescent="0.2">
      <c r="A347" s="1">
        <v>336</v>
      </c>
      <c r="B347" s="1">
        <v>1.0006410619488657</v>
      </c>
      <c r="C347" s="1">
        <v>2.429964966031481</v>
      </c>
      <c r="D347" s="1">
        <v>0.38371138353205075</v>
      </c>
      <c r="E347" s="19">
        <v>9.2629779436921716E-3</v>
      </c>
      <c r="F347" s="19">
        <v>9.5593199999999996E-3</v>
      </c>
      <c r="G347" s="1">
        <v>0.77154260707537148</v>
      </c>
      <c r="H347" s="1">
        <f t="shared" si="5"/>
        <v>2.2395920083012388E-2</v>
      </c>
      <c r="I347" s="20">
        <f>E347-N347</f>
        <v>3.7005639519959235E-5</v>
      </c>
      <c r="K347" s="1">
        <v>0.99914840187883347</v>
      </c>
      <c r="L347" s="1">
        <v>2.6594179423352613</v>
      </c>
      <c r="M347" s="1">
        <v>0.35060432958357263</v>
      </c>
      <c r="N347" s="19">
        <v>9.2259723041722124E-3</v>
      </c>
      <c r="O347" s="19">
        <v>9.5577795259999994E-3</v>
      </c>
      <c r="P347" s="1">
        <v>0.77234246136405049</v>
      </c>
    </row>
    <row r="348" spans="1:16" x14ac:dyDescent="0.2">
      <c r="A348" s="1">
        <v>337</v>
      </c>
      <c r="B348" s="1">
        <v>1.000627983323447</v>
      </c>
      <c r="C348" s="1">
        <v>2.4154439804654642</v>
      </c>
      <c r="D348" s="1">
        <v>0.38593522220443688</v>
      </c>
      <c r="E348" s="19">
        <v>9.260660487270856E-3</v>
      </c>
      <c r="F348" s="19">
        <v>9.5583000000000005E-3</v>
      </c>
      <c r="G348" s="1">
        <v>0.77099744804661363</v>
      </c>
      <c r="H348" s="1">
        <f t="shared" si="5"/>
        <v>2.1858564136739849E-2</v>
      </c>
      <c r="I348" s="20">
        <f>E348-N348</f>
        <v>3.5929589481429464E-5</v>
      </c>
      <c r="K348" s="1">
        <v>0.99897351164960657</v>
      </c>
      <c r="L348" s="1">
        <v>2.6977502298674652</v>
      </c>
      <c r="M348" s="1">
        <v>0.34554999811769732</v>
      </c>
      <c r="N348" s="19">
        <v>9.2247308977894266E-3</v>
      </c>
      <c r="O348" s="19">
        <v>9.5569312560000001E-3</v>
      </c>
      <c r="P348" s="1">
        <v>0.77177579454406431</v>
      </c>
    </row>
    <row r="349" spans="1:16" x14ac:dyDescent="0.2">
      <c r="A349" s="1">
        <v>338</v>
      </c>
      <c r="B349" s="1">
        <v>1.0006386215562189</v>
      </c>
      <c r="C349" s="1">
        <v>2.392105979595613</v>
      </c>
      <c r="D349" s="1">
        <v>0.38961198993114438</v>
      </c>
      <c r="E349" s="19">
        <v>9.2583769227667888E-3</v>
      </c>
      <c r="F349" s="19">
        <v>9.5573299999999993E-3</v>
      </c>
      <c r="G349" s="1">
        <v>0.77045223630859838</v>
      </c>
      <c r="H349" s="1">
        <f t="shared" si="5"/>
        <v>2.1360040247452305E-2</v>
      </c>
      <c r="I349" s="20">
        <f>E349-N349</f>
        <v>3.4927844988671616E-5</v>
      </c>
      <c r="K349" s="1">
        <v>0.99903283369078089</v>
      </c>
      <c r="L349" s="1">
        <v>2.69926373791081</v>
      </c>
      <c r="M349" s="1">
        <v>0.3452786634592257</v>
      </c>
      <c r="N349" s="19">
        <v>9.2234490777781172E-3</v>
      </c>
      <c r="O349" s="19">
        <v>9.5560863739999995E-3</v>
      </c>
      <c r="P349" s="1">
        <v>0.77121058093276829</v>
      </c>
    </row>
    <row r="350" spans="1:16" x14ac:dyDescent="0.2">
      <c r="A350" s="1">
        <v>339</v>
      </c>
      <c r="B350" s="1">
        <v>1.0005566865302991</v>
      </c>
      <c r="C350" s="1">
        <v>2.3617152213475543</v>
      </c>
      <c r="D350" s="1">
        <v>0.39454769751615093</v>
      </c>
      <c r="E350" s="19">
        <v>9.2562590560881456E-3</v>
      </c>
      <c r="F350" s="19">
        <v>9.5564199999999995E-3</v>
      </c>
      <c r="G350" s="1">
        <v>0.76990409923848169</v>
      </c>
      <c r="H350" s="1">
        <f t="shared" si="5"/>
        <v>2.1014095302449853E-2</v>
      </c>
      <c r="I350" s="20">
        <f>E350-N350</f>
        <v>3.4184359217709001E-5</v>
      </c>
      <c r="K350" s="1">
        <v>0.99909485116952679</v>
      </c>
      <c r="L350" s="1">
        <v>2.7108387155630638</v>
      </c>
      <c r="M350" s="1">
        <v>0.34373544046108934</v>
      </c>
      <c r="N350" s="19">
        <v>9.2220746968704366E-3</v>
      </c>
      <c r="O350" s="19">
        <v>9.5552449270000003E-3</v>
      </c>
      <c r="P350" s="1">
        <v>0.77064796101909938</v>
      </c>
    </row>
    <row r="351" spans="1:16" x14ac:dyDescent="0.2">
      <c r="A351" s="1">
        <v>340</v>
      </c>
      <c r="B351" s="1">
        <v>1.0004983698284102</v>
      </c>
      <c r="C351" s="1">
        <v>2.3390266643028061</v>
      </c>
      <c r="D351" s="1">
        <v>0.39830201837348028</v>
      </c>
      <c r="E351" s="19">
        <v>9.2541449810264187E-3</v>
      </c>
      <c r="F351" s="19">
        <v>9.5555499999999995E-3</v>
      </c>
      <c r="G351" s="1">
        <v>0.76935654105407314</v>
      </c>
      <c r="H351" s="1">
        <f t="shared" si="5"/>
        <v>2.0620686628489888E-2</v>
      </c>
      <c r="I351" s="20">
        <f>E351-N351</f>
        <v>3.3371428369000783E-5</v>
      </c>
      <c r="K351" s="1">
        <v>0.99913572541615359</v>
      </c>
      <c r="L351" s="1">
        <v>2.7936431975805687</v>
      </c>
      <c r="M351" s="1">
        <v>0.33347793826770522</v>
      </c>
      <c r="N351" s="19">
        <v>9.2207735526574179E-3</v>
      </c>
      <c r="O351" s="19">
        <v>9.5544072930000001E-3</v>
      </c>
      <c r="P351" s="1">
        <v>0.77008432999390219</v>
      </c>
    </row>
    <row r="352" spans="1:16" x14ac:dyDescent="0.2">
      <c r="A352" s="1">
        <v>341</v>
      </c>
      <c r="B352" s="1">
        <v>1.000367987496781</v>
      </c>
      <c r="C352" s="1">
        <v>2.3412307351636046</v>
      </c>
      <c r="D352" s="1">
        <v>0.3978344131881601</v>
      </c>
      <c r="E352" s="19">
        <v>9.2521431014449575E-3</v>
      </c>
      <c r="F352" s="19">
        <v>9.5547099999999992E-3</v>
      </c>
      <c r="G352" s="1">
        <v>0.76880719205000325</v>
      </c>
      <c r="H352" s="1">
        <f t="shared" si="5"/>
        <v>2.0306684552041553E-2</v>
      </c>
      <c r="I352" s="20">
        <f>E352-N352</f>
        <v>3.2694414126115123E-5</v>
      </c>
      <c r="K352" s="1">
        <v>0.99906494900173415</v>
      </c>
      <c r="L352" s="1">
        <v>2.7195793138993962</v>
      </c>
      <c r="M352" s="1">
        <v>0.34248745297340816</v>
      </c>
      <c r="N352" s="19">
        <v>9.2194486873188423E-3</v>
      </c>
      <c r="O352" s="19">
        <v>9.5535738529999997E-3</v>
      </c>
      <c r="P352" s="1">
        <v>0.76952179678497246</v>
      </c>
    </row>
    <row r="353" spans="1:16" x14ac:dyDescent="0.2">
      <c r="A353" s="1">
        <v>342</v>
      </c>
      <c r="B353" s="1">
        <v>1.0004043151055362</v>
      </c>
      <c r="C353" s="1">
        <v>2.3041010402449875</v>
      </c>
      <c r="D353" s="1">
        <v>0.4041417521575229</v>
      </c>
      <c r="E353" s="19">
        <v>9.2502039900268108E-3</v>
      </c>
      <c r="F353" s="19">
        <v>9.5539000000000006E-3</v>
      </c>
      <c r="G353" s="1">
        <v>0.76825711729747037</v>
      </c>
      <c r="H353" s="1">
        <f t="shared" si="5"/>
        <v>1.9997986721501881E-2</v>
      </c>
      <c r="I353" s="20">
        <f>E353-N353</f>
        <v>3.2032564434703384E-5</v>
      </c>
      <c r="K353" s="1">
        <v>0.99902890682814127</v>
      </c>
      <c r="L353" s="1">
        <v>2.7021693678440082</v>
      </c>
      <c r="M353" s="1">
        <v>0.34462506639052787</v>
      </c>
      <c r="N353" s="19">
        <v>9.2181714255921074E-3</v>
      </c>
      <c r="O353" s="19">
        <v>9.5527449869999993E-3</v>
      </c>
      <c r="P353" s="1">
        <v>0.76895880104208447</v>
      </c>
    </row>
    <row r="354" spans="1:16" x14ac:dyDescent="0.2">
      <c r="A354" s="1">
        <v>343</v>
      </c>
      <c r="B354" s="1">
        <v>1.0002381515739365</v>
      </c>
      <c r="C354" s="1">
        <v>2.3072336851806705</v>
      </c>
      <c r="D354" s="1">
        <v>0.40353033569677621</v>
      </c>
      <c r="E354" s="19">
        <v>9.2482691087039208E-3</v>
      </c>
      <c r="F354" s="19">
        <v>9.55312E-3</v>
      </c>
      <c r="G354" s="1">
        <v>0.76770759140661005</v>
      </c>
      <c r="H354" s="1">
        <f t="shared" si="5"/>
        <v>1.965787860263064E-2</v>
      </c>
      <c r="I354" s="20">
        <f>E354-N354</f>
        <v>3.1327130062219072E-5</v>
      </c>
      <c r="K354" s="1">
        <v>0.99887887439588574</v>
      </c>
      <c r="L354" s="1">
        <v>2.7226228581075422</v>
      </c>
      <c r="M354" s="1">
        <v>0.34196206186934991</v>
      </c>
      <c r="N354" s="19">
        <v>9.2169419786417017E-3</v>
      </c>
      <c r="O354" s="19">
        <v>9.5519210750000007E-3</v>
      </c>
      <c r="P354" s="1">
        <v>0.768395330599705</v>
      </c>
    </row>
    <row r="355" spans="1:16" x14ac:dyDescent="0.2">
      <c r="A355" s="1">
        <v>344</v>
      </c>
      <c r="B355" s="1">
        <v>1.000286469047172</v>
      </c>
      <c r="C355" s="1">
        <v>2.3242472556962821</v>
      </c>
      <c r="D355" s="1">
        <v>0.40048352712498986</v>
      </c>
      <c r="E355" s="19">
        <v>9.2461911471218919E-3</v>
      </c>
      <c r="F355" s="19">
        <v>9.5523599999999993E-3</v>
      </c>
      <c r="G355" s="1">
        <v>0.76716185258981995</v>
      </c>
      <c r="H355" s="1">
        <f t="shared" si="5"/>
        <v>1.9214852733466865E-2</v>
      </c>
      <c r="I355" s="20">
        <f>E355-N355</f>
        <v>3.0465338707789599E-5</v>
      </c>
      <c r="K355" s="1">
        <v>0.99886511745133866</v>
      </c>
      <c r="L355" s="1">
        <v>2.7562786702631885</v>
      </c>
      <c r="M355" s="1">
        <v>0.33771746373705508</v>
      </c>
      <c r="N355" s="19">
        <v>9.2157258084141023E-3</v>
      </c>
      <c r="O355" s="19">
        <v>9.5511024070000002E-3</v>
      </c>
      <c r="P355" s="1">
        <v>0.76783213815028972</v>
      </c>
    </row>
    <row r="356" spans="1:16" x14ac:dyDescent="0.2">
      <c r="A356" s="1">
        <v>345</v>
      </c>
      <c r="B356" s="1">
        <v>1.0003719818318761</v>
      </c>
      <c r="C356" s="1">
        <v>2.3948035567045016</v>
      </c>
      <c r="D356" s="1">
        <v>0.38861350957204549</v>
      </c>
      <c r="E356" s="19">
        <v>9.2441240389391673E-3</v>
      </c>
      <c r="F356" s="19">
        <v>9.5516100000000003E-3</v>
      </c>
      <c r="G356" s="1">
        <v>0.7666165280099152</v>
      </c>
      <c r="H356" s="1">
        <f t="shared" si="5"/>
        <v>1.8665739060313991E-2</v>
      </c>
      <c r="I356" s="20">
        <f>E356-N356</f>
        <v>2.9444723338906131E-5</v>
      </c>
      <c r="K356" s="1">
        <v>0.99892397806083644</v>
      </c>
      <c r="L356" s="1">
        <v>2.7547925729191745</v>
      </c>
      <c r="M356" s="1">
        <v>0.33782978614979803</v>
      </c>
      <c r="N356" s="19">
        <v>9.2146793156002611E-3</v>
      </c>
      <c r="O356" s="19">
        <v>9.5502889200000003E-3</v>
      </c>
      <c r="P356" s="1">
        <v>0.76726577110766525</v>
      </c>
    </row>
    <row r="357" spans="1:16" x14ac:dyDescent="0.2">
      <c r="A357" s="1">
        <v>346</v>
      </c>
      <c r="B357" s="1">
        <v>1.0003422301014184</v>
      </c>
      <c r="C357" s="1">
        <v>2.4107058919804003</v>
      </c>
      <c r="D357" s="1">
        <v>0.38597073178769059</v>
      </c>
      <c r="E357" s="19">
        <v>9.2419989745389126E-3</v>
      </c>
      <c r="F357" s="19">
        <v>9.5508699999999995E-3</v>
      </c>
      <c r="G357" s="1">
        <v>0.76607313515216202</v>
      </c>
      <c r="H357" s="1">
        <f t="shared" si="5"/>
        <v>1.8054160475027208E-2</v>
      </c>
      <c r="I357" s="20">
        <f>E357-N357</f>
        <v>2.8336090679982953E-5</v>
      </c>
      <c r="K357" s="1">
        <v>0.99885075793432321</v>
      </c>
      <c r="L357" s="1">
        <v>2.7312723678092059</v>
      </c>
      <c r="M357" s="1">
        <v>0.34066304767720296</v>
      </c>
      <c r="N357" s="19">
        <v>9.2136628838589297E-3</v>
      </c>
      <c r="O357" s="19">
        <v>9.5494804569999994E-3</v>
      </c>
      <c r="P357" s="1">
        <v>0.76669929100678724</v>
      </c>
    </row>
    <row r="358" spans="1:16" x14ac:dyDescent="0.2">
      <c r="A358" s="1">
        <v>347</v>
      </c>
      <c r="B358" s="1">
        <v>1.0004333913460994</v>
      </c>
      <c r="C358" s="1">
        <v>2.4293885889643483</v>
      </c>
      <c r="D358" s="1">
        <v>0.38292550651044188</v>
      </c>
      <c r="E358" s="19">
        <v>9.2397919188082125E-3</v>
      </c>
      <c r="F358" s="19">
        <v>9.5501300000000004E-3</v>
      </c>
      <c r="G358" s="1">
        <v>0.76553221360586221</v>
      </c>
      <c r="H358" s="1">
        <f t="shared" si="5"/>
        <v>1.7379217862307828E-2</v>
      </c>
      <c r="I358" s="20">
        <f>E358-N358</f>
        <v>2.7139377091960765E-5</v>
      </c>
      <c r="K358" s="1">
        <v>0.99882316028428886</v>
      </c>
      <c r="L358" s="1">
        <v>2.7301073894549637</v>
      </c>
      <c r="M358" s="1">
        <v>0.34074282301052566</v>
      </c>
      <c r="N358" s="19">
        <v>9.2126525417162517E-3</v>
      </c>
      <c r="O358" s="19">
        <v>9.5486768670000003E-3</v>
      </c>
      <c r="P358" s="1">
        <v>0.7661332240218498</v>
      </c>
    </row>
    <row r="359" spans="1:16" x14ac:dyDescent="0.2">
      <c r="A359" s="1">
        <v>348</v>
      </c>
      <c r="B359" s="1">
        <v>1.0003833574758898</v>
      </c>
      <c r="C359" s="1">
        <v>2.4783082502109641</v>
      </c>
      <c r="D359" s="1">
        <v>0.37528568881110769</v>
      </c>
      <c r="E359" s="19">
        <v>9.2376097618149695E-3</v>
      </c>
      <c r="F359" s="19">
        <v>9.5493899999999996E-3</v>
      </c>
      <c r="G359" s="1">
        <v>0.76499140302647606</v>
      </c>
      <c r="H359" s="1">
        <f t="shared" si="5"/>
        <v>1.6822641545446437E-2</v>
      </c>
      <c r="I359" s="20">
        <f>E359-N359</f>
        <v>2.6138281481770387E-5</v>
      </c>
      <c r="K359" s="1">
        <v>0.99883354579484718</v>
      </c>
      <c r="L359" s="1">
        <v>2.7558368790399479</v>
      </c>
      <c r="M359" s="1">
        <v>0.33749542220603679</v>
      </c>
      <c r="N359" s="19">
        <v>9.2114714803331992E-3</v>
      </c>
      <c r="O359" s="19">
        <v>9.5478779929999997E-3</v>
      </c>
      <c r="P359" s="1">
        <v>0.76557149411425007</v>
      </c>
    </row>
    <row r="360" spans="1:16" x14ac:dyDescent="0.2">
      <c r="A360" s="1">
        <v>349</v>
      </c>
      <c r="B360" s="1">
        <v>1.0004272040405116</v>
      </c>
      <c r="C360" s="1">
        <v>2.4304675172484149</v>
      </c>
      <c r="D360" s="1">
        <v>0.38259405573046357</v>
      </c>
      <c r="E360" s="19">
        <v>9.235256224377061E-3</v>
      </c>
      <c r="F360" s="19">
        <v>9.5486400000000006E-3</v>
      </c>
      <c r="G360" s="1">
        <v>0.76445506280339348</v>
      </c>
      <c r="H360" s="1">
        <f t="shared" si="5"/>
        <v>1.6096115122422011E-2</v>
      </c>
      <c r="I360" s="20">
        <f>E360-N360</f>
        <v>2.4884194328370426E-5</v>
      </c>
      <c r="K360" s="1">
        <v>0.99876932362290283</v>
      </c>
      <c r="L360" s="1">
        <v>2.8364639072521936</v>
      </c>
      <c r="M360" s="1">
        <v>0.32783129066472289</v>
      </c>
      <c r="N360" s="19">
        <v>9.2103720300486906E-3</v>
      </c>
      <c r="O360" s="19">
        <v>9.5470836819999995E-3</v>
      </c>
      <c r="P360" s="1">
        <v>0.76500851088783206</v>
      </c>
    </row>
    <row r="361" spans="1:16" x14ac:dyDescent="0.2">
      <c r="A361" s="1">
        <v>350</v>
      </c>
      <c r="B361" s="1">
        <v>1.0003492168615633</v>
      </c>
      <c r="C361" s="1">
        <v>2.3974149567790857</v>
      </c>
      <c r="D361" s="1">
        <v>0.3877794357206007</v>
      </c>
      <c r="E361" s="19">
        <v>9.2329672545209893E-3</v>
      </c>
      <c r="F361" s="19">
        <v>9.54787E-3</v>
      </c>
      <c r="G361" s="1">
        <v>0.76391795963606057</v>
      </c>
      <c r="H361" s="1">
        <f t="shared" si="5"/>
        <v>1.5317539442622855E-2</v>
      </c>
      <c r="I361" s="20">
        <f>E361-N361</f>
        <v>2.3562395978966172E-5</v>
      </c>
      <c r="K361" s="1">
        <v>0.99874082727765123</v>
      </c>
      <c r="L361" s="1">
        <v>2.8945421068624131</v>
      </c>
      <c r="M361" s="1">
        <v>0.32118513764890899</v>
      </c>
      <c r="N361" s="19">
        <v>9.2094048585420231E-3</v>
      </c>
      <c r="O361" s="19">
        <v>9.5462938049999998E-3</v>
      </c>
      <c r="P361" s="1">
        <v>0.7644431324169505</v>
      </c>
    </row>
    <row r="362" spans="1:16" x14ac:dyDescent="0.2">
      <c r="A362" s="1">
        <v>351</v>
      </c>
      <c r="B362" s="1">
        <v>1.0003127880753955</v>
      </c>
      <c r="C362" s="1">
        <v>2.3820077136872397</v>
      </c>
      <c r="D362" s="1">
        <v>0.39021112668276886</v>
      </c>
      <c r="E362" s="19">
        <v>9.2307826848220201E-3</v>
      </c>
      <c r="F362" s="19">
        <v>9.5471099999999993E-3</v>
      </c>
      <c r="G362" s="1">
        <v>0.76337919392338283</v>
      </c>
      <c r="H362" s="1">
        <f t="shared" si="5"/>
        <v>1.465711228880695E-2</v>
      </c>
      <c r="I362" s="20">
        <f>E362-N362</f>
        <v>2.2434368761221207E-5</v>
      </c>
      <c r="K362" s="1">
        <v>0.99883719810060478</v>
      </c>
      <c r="L362" s="1">
        <v>2.9144554707689734</v>
      </c>
      <c r="M362" s="1">
        <v>0.31892447151471381</v>
      </c>
      <c r="N362" s="19">
        <v>9.2083483160607989E-3</v>
      </c>
      <c r="O362" s="19">
        <v>9.5455083300000007E-3</v>
      </c>
      <c r="P362" s="1">
        <v>0.76388029177941041</v>
      </c>
    </row>
    <row r="363" spans="1:16" x14ac:dyDescent="0.2">
      <c r="A363" s="1">
        <v>352</v>
      </c>
      <c r="B363" s="1">
        <v>1.000336572513572</v>
      </c>
      <c r="C363" s="1">
        <v>2.3904168375945618</v>
      </c>
      <c r="D363" s="1">
        <v>0.38876033848041269</v>
      </c>
      <c r="E363" s="19">
        <v>9.2286124914201465E-3</v>
      </c>
      <c r="F363" s="19">
        <v>9.5463300000000004E-3</v>
      </c>
      <c r="G363" s="1">
        <v>0.76284076423701197</v>
      </c>
      <c r="H363" s="1">
        <f t="shared" si="5"/>
        <v>1.3952419367734356E-2</v>
      </c>
      <c r="I363" s="20">
        <f>E363-N363</f>
        <v>2.1249926501421684E-5</v>
      </c>
      <c r="K363" s="1">
        <v>0.99884932098049051</v>
      </c>
      <c r="L363" s="1">
        <v>2.9649408915726854</v>
      </c>
      <c r="M363" s="1">
        <v>0.31343127115153585</v>
      </c>
      <c r="N363" s="19">
        <v>9.2073625649187248E-3</v>
      </c>
      <c r="O363" s="19">
        <v>9.5447272480000001E-3</v>
      </c>
      <c r="P363" s="1">
        <v>0.76331641489727564</v>
      </c>
    </row>
    <row r="364" spans="1:16" x14ac:dyDescent="0.2">
      <c r="A364" s="1">
        <v>353</v>
      </c>
      <c r="B364" s="1">
        <v>1.000263648577133</v>
      </c>
      <c r="C364" s="1">
        <v>2.3608777550874311</v>
      </c>
      <c r="D364" s="1">
        <v>0.39353225524522656</v>
      </c>
      <c r="E364" s="19">
        <v>9.2265309025682252E-3</v>
      </c>
      <c r="F364" s="19">
        <v>9.5455499999999999E-3</v>
      </c>
      <c r="G364" s="1">
        <v>0.76230100313970983</v>
      </c>
      <c r="H364" s="1">
        <f t="shared" si="5"/>
        <v>1.3314182795790516E-2</v>
      </c>
      <c r="I364" s="20">
        <f>E364-N364</f>
        <v>2.0177725460819584E-5</v>
      </c>
      <c r="K364" s="1">
        <v>0.99878992546333245</v>
      </c>
      <c r="L364" s="1">
        <v>2.898928935066952</v>
      </c>
      <c r="M364" s="1">
        <v>0.32049919356677764</v>
      </c>
      <c r="N364" s="19">
        <v>9.2063531771074056E-3</v>
      </c>
      <c r="O364" s="19">
        <v>9.5439505530000007E-3</v>
      </c>
      <c r="P364" s="1">
        <v>0.76275360992030328</v>
      </c>
    </row>
    <row r="365" spans="1:16" x14ac:dyDescent="0.2">
      <c r="A365" s="1">
        <v>354</v>
      </c>
      <c r="B365" s="1">
        <v>1.0002462093912008</v>
      </c>
      <c r="C365" s="1">
        <v>2.3667718308618326</v>
      </c>
      <c r="D365" s="1">
        <v>0.39248200410960266</v>
      </c>
      <c r="E365" s="19">
        <v>9.224423192101032E-3</v>
      </c>
      <c r="F365" s="19">
        <v>9.5447699999999993E-3</v>
      </c>
      <c r="G365" s="1">
        <v>0.76176247524331131</v>
      </c>
      <c r="H365" s="1">
        <f t="shared" si="5"/>
        <v>1.2658373017703339E-2</v>
      </c>
      <c r="I365" s="20">
        <f>E365-N365</f>
        <v>1.908938744779945E-5</v>
      </c>
      <c r="K365" s="1">
        <v>0.99873560226381741</v>
      </c>
      <c r="L365" s="1">
        <v>2.887632376952066</v>
      </c>
      <c r="M365" s="1">
        <v>0.3216794561067769</v>
      </c>
      <c r="N365" s="19">
        <v>9.2053338046532325E-3</v>
      </c>
      <c r="O365" s="19">
        <v>9.5431782360000002E-3</v>
      </c>
      <c r="P365" s="1">
        <v>0.76219157263374193</v>
      </c>
    </row>
    <row r="366" spans="1:16" x14ac:dyDescent="0.2">
      <c r="A366" s="1">
        <v>355</v>
      </c>
      <c r="B366" s="1">
        <v>1.0003673291595971</v>
      </c>
      <c r="C366" s="1">
        <v>2.3951031253728283</v>
      </c>
      <c r="D366" s="1">
        <v>0.38774652722022085</v>
      </c>
      <c r="E366" s="19">
        <v>9.2222825818638783E-3</v>
      </c>
      <c r="F366" s="19">
        <v>9.5439900000000005E-3</v>
      </c>
      <c r="G366" s="1">
        <v>0.76122533608572374</v>
      </c>
      <c r="H366" s="1">
        <f t="shared" si="5"/>
        <v>1.1971577728605807E-2</v>
      </c>
      <c r="I366" s="20">
        <f>E366-N366</f>
        <v>1.7965054104904579E-5</v>
      </c>
      <c r="K366" s="1">
        <v>0.99855788144843372</v>
      </c>
      <c r="L366" s="1">
        <v>2.9229763764440038</v>
      </c>
      <c r="M366" s="1">
        <v>0.31772798846903683</v>
      </c>
      <c r="N366" s="19">
        <v>9.2043175277589737E-3</v>
      </c>
      <c r="O366" s="19">
        <v>9.5424102909999996E-3</v>
      </c>
      <c r="P366" s="1">
        <v>0.76163000913570478</v>
      </c>
    </row>
    <row r="367" spans="1:16" x14ac:dyDescent="0.2">
      <c r="A367" s="1">
        <v>356</v>
      </c>
      <c r="B367" s="1">
        <v>1.0003392868854368</v>
      </c>
      <c r="C367" s="1">
        <v>2.4097984213404477</v>
      </c>
      <c r="D367" s="1">
        <v>0.38530650682503309</v>
      </c>
      <c r="E367" s="19">
        <v>9.2201347598464198E-3</v>
      </c>
      <c r="F367" s="19">
        <v>9.5432099999999999E-3</v>
      </c>
      <c r="G367" s="1">
        <v>0.76068900981804266</v>
      </c>
      <c r="H367" s="1">
        <f t="shared" si="5"/>
        <v>1.1329728586853402E-2</v>
      </c>
      <c r="I367" s="20">
        <f>E367-N367</f>
        <v>1.6918656201701798E-5</v>
      </c>
      <c r="K367" s="1">
        <v>0.99848473189662124</v>
      </c>
      <c r="L367" s="1">
        <v>2.8733622960989691</v>
      </c>
      <c r="M367" s="1">
        <v>0.32314802374485807</v>
      </c>
      <c r="N367" s="19">
        <v>9.203216103644718E-3</v>
      </c>
      <c r="O367" s="19">
        <v>9.5416467039999998E-3</v>
      </c>
      <c r="P367" s="1">
        <v>0.76107091078164446</v>
      </c>
    </row>
    <row r="368" spans="1:16" x14ac:dyDescent="0.2">
      <c r="A368" s="1">
        <v>357</v>
      </c>
      <c r="B368" s="1">
        <v>1.0004758466837698</v>
      </c>
      <c r="C368" s="1">
        <v>2.4043874301663251</v>
      </c>
      <c r="D368" s="1">
        <v>0.38610000014963652</v>
      </c>
      <c r="E368" s="19">
        <v>9.2178848335724133E-3</v>
      </c>
      <c r="F368" s="19">
        <v>9.5424299999999993E-3</v>
      </c>
      <c r="G368" s="1">
        <v>0.7601556425813355</v>
      </c>
      <c r="H368" s="1">
        <f t="shared" si="5"/>
        <v>1.0643013282319563E-2</v>
      </c>
      <c r="I368" s="20">
        <f>E368-N368</f>
        <v>1.5815610670873864E-5</v>
      </c>
      <c r="K368" s="1">
        <v>0.9985293729235587</v>
      </c>
      <c r="L368" s="1">
        <v>2.8313760617346175</v>
      </c>
      <c r="M368" s="1">
        <v>0.32787314880710522</v>
      </c>
      <c r="N368" s="19">
        <v>9.2020692229015395E-3</v>
      </c>
      <c r="O368" s="19">
        <v>9.5408874370000001E-3</v>
      </c>
      <c r="P368" s="1">
        <v>0.76051339092695969</v>
      </c>
    </row>
    <row r="369" spans="1:16" x14ac:dyDescent="0.2">
      <c r="A369" s="1">
        <v>358</v>
      </c>
      <c r="B369" s="1">
        <v>1.0003827398236793</v>
      </c>
      <c r="C369" s="1">
        <v>2.4166748008477041</v>
      </c>
      <c r="D369" s="1">
        <v>0.38405736127061718</v>
      </c>
      <c r="E369" s="19">
        <v>9.2155180822299648E-3</v>
      </c>
      <c r="F369" s="19">
        <v>9.5416600000000004E-3</v>
      </c>
      <c r="G369" s="1">
        <v>0.75962558167553895</v>
      </c>
      <c r="H369" s="1">
        <f t="shared" si="5"/>
        <v>9.9441774981015949E-3</v>
      </c>
      <c r="I369" s="20">
        <f>E369-N369</f>
        <v>1.4705183813808198E-5</v>
      </c>
      <c r="K369" s="1">
        <v>0.99864319761066711</v>
      </c>
      <c r="L369" s="1">
        <v>2.8022898995942356</v>
      </c>
      <c r="M369" s="1">
        <v>0.33120733905172789</v>
      </c>
      <c r="N369" s="19">
        <v>9.2008128984161566E-3</v>
      </c>
      <c r="O369" s="19">
        <v>9.5401324469999993E-3</v>
      </c>
      <c r="P369" s="1">
        <v>0.75995890606095018</v>
      </c>
    </row>
    <row r="370" spans="1:16" x14ac:dyDescent="0.2">
      <c r="A370" s="1">
        <v>359</v>
      </c>
      <c r="B370" s="1">
        <v>1.0004098444606713</v>
      </c>
      <c r="C370" s="1">
        <v>2.45478912286065</v>
      </c>
      <c r="D370" s="1">
        <v>0.3780130519945038</v>
      </c>
      <c r="E370" s="19">
        <v>9.2131476850424998E-3</v>
      </c>
      <c r="F370" s="19">
        <v>9.5408799999999998E-3</v>
      </c>
      <c r="G370" s="1">
        <v>0.75909627261197965</v>
      </c>
      <c r="H370" s="1">
        <f t="shared" si="5"/>
        <v>9.340167898678373E-3</v>
      </c>
      <c r="I370" s="20">
        <f>E370-N370</f>
        <v>1.374491709721197E-5</v>
      </c>
      <c r="K370" s="1">
        <v>0.99876670784810107</v>
      </c>
      <c r="L370" s="1">
        <v>2.8792107909248923</v>
      </c>
      <c r="M370" s="1">
        <v>0.32228813901427644</v>
      </c>
      <c r="N370" s="19">
        <v>9.1994027679452878E-3</v>
      </c>
      <c r="O370" s="19">
        <v>9.5393816899999994E-3</v>
      </c>
      <c r="P370" s="1">
        <v>0.7594084787812948</v>
      </c>
    </row>
    <row r="371" spans="1:16" x14ac:dyDescent="0.2">
      <c r="A371" s="1">
        <v>360</v>
      </c>
      <c r="B371" s="1">
        <v>1.0003788916972296</v>
      </c>
      <c r="C371" s="1">
        <v>2.4904083663137451</v>
      </c>
      <c r="D371" s="1">
        <v>0.37252478712282255</v>
      </c>
      <c r="E371" s="19">
        <v>9.210721616234499E-3</v>
      </c>
      <c r="F371" s="19">
        <v>9.5401199999999992E-3</v>
      </c>
      <c r="G371" s="1">
        <v>0.75856889897845026</v>
      </c>
      <c r="H371" s="1">
        <f t="shared" si="5"/>
        <v>8.741595319129436E-3</v>
      </c>
      <c r="I371" s="20">
        <f>E371-N371</f>
        <v>1.2801762226174324E-5</v>
      </c>
      <c r="K371" s="1">
        <v>0.99877781712271774</v>
      </c>
      <c r="L371" s="1">
        <v>2.9464194591273007</v>
      </c>
      <c r="M371" s="1">
        <v>0.31486798181451259</v>
      </c>
      <c r="N371" s="19">
        <v>9.1979198540083247E-3</v>
      </c>
      <c r="O371" s="19">
        <v>9.5386351220000005E-3</v>
      </c>
      <c r="P371" s="1">
        <v>0.7588602854890879</v>
      </c>
    </row>
    <row r="372" spans="1:16" x14ac:dyDescent="0.2">
      <c r="A372" s="1">
        <v>361</v>
      </c>
      <c r="B372" s="1">
        <v>1.0004077748500497</v>
      </c>
      <c r="C372" s="1">
        <v>2.444482490251747</v>
      </c>
      <c r="D372" s="1">
        <v>0.37944746240445854</v>
      </c>
      <c r="E372" s="19">
        <v>9.2082270164013536E-3</v>
      </c>
      <c r="F372" s="19">
        <v>9.5393600000000002E-3</v>
      </c>
      <c r="G372" s="1">
        <v>0.7580437610552031</v>
      </c>
      <c r="H372" s="1">
        <f t="shared" si="5"/>
        <v>8.1940615075342949E-3</v>
      </c>
      <c r="I372" s="20">
        <f>E372-N372</f>
        <v>1.1941943632767099E-5</v>
      </c>
      <c r="K372" s="1">
        <v>0.99877739593116244</v>
      </c>
      <c r="L372" s="1">
        <v>2.9926828324729855</v>
      </c>
      <c r="M372" s="1">
        <v>0.30994044597000314</v>
      </c>
      <c r="N372" s="19">
        <v>9.1962850727685865E-3</v>
      </c>
      <c r="O372" s="19">
        <v>9.5378927010000003E-3</v>
      </c>
      <c r="P372" s="1">
        <v>0.75831613983107682</v>
      </c>
    </row>
    <row r="373" spans="1:16" x14ac:dyDescent="0.2">
      <c r="A373" s="1">
        <v>362</v>
      </c>
      <c r="B373" s="1">
        <v>1.0003777313703799</v>
      </c>
      <c r="C373" s="1">
        <v>2.4548683721440465</v>
      </c>
      <c r="D373" s="1">
        <v>0.37776409109152936</v>
      </c>
      <c r="E373" s="19">
        <v>9.2058655760434063E-3</v>
      </c>
      <c r="F373" s="19">
        <v>9.5386199999999994E-3</v>
      </c>
      <c r="G373" s="1">
        <v>0.75751625869087003</v>
      </c>
      <c r="H373" s="1">
        <f t="shared" si="5"/>
        <v>7.6040960220925729E-3</v>
      </c>
      <c r="I373" s="20">
        <f>E373-N373</f>
        <v>1.1028812093007156E-5</v>
      </c>
      <c r="K373" s="1">
        <v>0.99859265159299071</v>
      </c>
      <c r="L373" s="1">
        <v>2.9123570877651987</v>
      </c>
      <c r="M373" s="1">
        <v>0.31842263158016032</v>
      </c>
      <c r="N373" s="19">
        <v>9.1948367639503991E-3</v>
      </c>
      <c r="O373" s="19">
        <v>9.5371543830000006E-3</v>
      </c>
      <c r="P373" s="1">
        <v>0.75776832817226536</v>
      </c>
    </row>
    <row r="374" spans="1:16" x14ac:dyDescent="0.2">
      <c r="A374" s="1">
        <v>363</v>
      </c>
      <c r="B374" s="1">
        <v>1.0003922245245214</v>
      </c>
      <c r="C374" s="1">
        <v>2.4473515426601113</v>
      </c>
      <c r="D374" s="1">
        <v>0.37883937182834215</v>
      </c>
      <c r="E374" s="19">
        <v>9.2035735683140205E-3</v>
      </c>
      <c r="F374" s="19">
        <v>9.5378700000000004E-3</v>
      </c>
      <c r="G374" s="1">
        <v>0.75698783140091896</v>
      </c>
      <c r="H374" s="1">
        <f t="shared" si="5"/>
        <v>7.0221085797459171E-3</v>
      </c>
      <c r="I374" s="20">
        <f>E374-N374</f>
        <v>1.0135876329656068E-5</v>
      </c>
      <c r="K374" s="1">
        <v>0.99865190162937856</v>
      </c>
      <c r="L374" s="1">
        <v>2.8316061298020601</v>
      </c>
      <c r="M374" s="1">
        <v>0.32743363261888209</v>
      </c>
      <c r="N374" s="19">
        <v>9.1934376919843644E-3</v>
      </c>
      <c r="O374" s="19">
        <v>9.5364201370000002E-3</v>
      </c>
      <c r="P374" s="1">
        <v>0.75721996722173701</v>
      </c>
    </row>
    <row r="375" spans="1:16" x14ac:dyDescent="0.2">
      <c r="A375" s="1">
        <v>364</v>
      </c>
      <c r="B375" s="1">
        <v>1.0002992254215153</v>
      </c>
      <c r="C375" s="1">
        <v>2.5011503261445118</v>
      </c>
      <c r="D375" s="1">
        <v>0.37062310628899525</v>
      </c>
      <c r="E375" s="19">
        <v>9.2013290814431867E-3</v>
      </c>
      <c r="F375" s="19">
        <v>9.5371399999999995E-3</v>
      </c>
      <c r="G375" s="1">
        <v>0.75645897128860484</v>
      </c>
      <c r="H375" s="1">
        <f t="shared" si="5"/>
        <v>6.4215797519297695E-3</v>
      </c>
      <c r="I375" s="20">
        <f>E375-N375</f>
        <v>9.2247682520786578E-6</v>
      </c>
      <c r="K375" s="1">
        <v>0.99862629738940234</v>
      </c>
      <c r="L375" s="1">
        <v>2.7980991722506627</v>
      </c>
      <c r="M375" s="1">
        <v>0.33128292660321007</v>
      </c>
      <c r="N375" s="19">
        <v>9.192104313191108E-3</v>
      </c>
      <c r="O375" s="19">
        <v>9.5356899319999997E-3</v>
      </c>
      <c r="P375" s="1">
        <v>0.75667067171998714</v>
      </c>
    </row>
    <row r="376" spans="1:16" x14ac:dyDescent="0.2">
      <c r="A376" s="1">
        <v>365</v>
      </c>
      <c r="B376" s="1">
        <v>1.0002747714557871</v>
      </c>
      <c r="C376" s="1">
        <v>2.5434112997742107</v>
      </c>
      <c r="D376" s="1">
        <v>0.36438192679093739</v>
      </c>
      <c r="E376" s="19">
        <v>9.199217645116475E-3</v>
      </c>
      <c r="F376" s="19">
        <v>9.5364100000000004E-3</v>
      </c>
      <c r="G376" s="1">
        <v>0.75592770422633393</v>
      </c>
      <c r="H376" s="1">
        <f t="shared" si="5"/>
        <v>5.8194404898193053E-3</v>
      </c>
      <c r="I376" s="20">
        <f>E376-N376</f>
        <v>8.319989506620426E-6</v>
      </c>
      <c r="K376" s="1">
        <v>0.99849146011971679</v>
      </c>
      <c r="L376" s="1">
        <v>2.8395572946826446</v>
      </c>
      <c r="M376" s="1">
        <v>0.32638114496968129</v>
      </c>
      <c r="N376" s="19">
        <v>9.1908976556098546E-3</v>
      </c>
      <c r="O376" s="19">
        <v>9.5349637350000006E-3</v>
      </c>
      <c r="P376" s="1">
        <v>0.7561190282972321</v>
      </c>
    </row>
    <row r="377" spans="1:16" x14ac:dyDescent="0.2">
      <c r="A377" s="1">
        <v>366</v>
      </c>
      <c r="B377" s="1">
        <v>1.0002964357586994</v>
      </c>
      <c r="C377" s="1">
        <v>2.5517928192023009</v>
      </c>
      <c r="D377" s="1">
        <v>0.36311160288160588</v>
      </c>
      <c r="E377" s="19">
        <v>9.1971194872097692E-3</v>
      </c>
      <c r="F377" s="19">
        <v>9.5356899999999994E-3</v>
      </c>
      <c r="G377" s="1">
        <v>0.75539677017627371</v>
      </c>
      <c r="H377" s="1">
        <f t="shared" si="5"/>
        <v>5.2293156182213751E-3</v>
      </c>
      <c r="I377" s="20">
        <f>E377-N377</f>
        <v>7.4408195254518916E-6</v>
      </c>
      <c r="K377" s="1">
        <v>0.99841880335909083</v>
      </c>
      <c r="L377" s="1">
        <v>2.8109772593016631</v>
      </c>
      <c r="M377" s="1">
        <v>0.32963225345416103</v>
      </c>
      <c r="N377" s="19">
        <v>9.1896786676843173E-3</v>
      </c>
      <c r="O377" s="19">
        <v>9.5342415170000007E-3</v>
      </c>
      <c r="P377" s="1">
        <v>0.75556822314736294</v>
      </c>
    </row>
    <row r="378" spans="1:16" x14ac:dyDescent="0.2">
      <c r="A378" s="1">
        <v>367</v>
      </c>
      <c r="B378" s="1">
        <v>1.00033754376246</v>
      </c>
      <c r="C378" s="1">
        <v>2.5302894365653015</v>
      </c>
      <c r="D378" s="1">
        <v>0.36611540342600624</v>
      </c>
      <c r="E378" s="19">
        <v>9.1949826613046716E-3</v>
      </c>
      <c r="F378" s="19">
        <v>9.5349700000000003E-3</v>
      </c>
      <c r="G378" s="1">
        <v>0.75486736570779944</v>
      </c>
      <c r="H378" s="1">
        <f t="shared" si="5"/>
        <v>4.6999316069309127E-3</v>
      </c>
      <c r="I378" s="20">
        <f>E378-N378</f>
        <v>6.6559039809486326E-6</v>
      </c>
      <c r="K378" s="1">
        <v>0.99829158472604307</v>
      </c>
      <c r="L378" s="1">
        <v>2.8108154622783692</v>
      </c>
      <c r="M378" s="1">
        <v>0.32958142630018655</v>
      </c>
      <c r="N378" s="19">
        <v>9.188326757323723E-3</v>
      </c>
      <c r="O378" s="19">
        <v>9.5335232470000007E-3</v>
      </c>
      <c r="P378" s="1">
        <v>0.75502104194562825</v>
      </c>
    </row>
    <row r="379" spans="1:16" x14ac:dyDescent="0.2">
      <c r="A379" s="1">
        <v>368</v>
      </c>
      <c r="B379" s="1">
        <v>1.0003813132721786</v>
      </c>
      <c r="C379" s="1">
        <v>2.556154097323811</v>
      </c>
      <c r="D379" s="1">
        <v>0.36234521584352747</v>
      </c>
      <c r="E379" s="19">
        <v>9.1930302335094492E-3</v>
      </c>
      <c r="F379" s="19">
        <v>9.5342599999999993E-3</v>
      </c>
      <c r="G379" s="1">
        <v>0.75433433523129945</v>
      </c>
      <c r="H379" s="1">
        <f t="shared" si="5"/>
        <v>4.3074468742341958E-3</v>
      </c>
      <c r="I379" s="20">
        <f>E379-N379</f>
        <v>6.071310970939825E-6</v>
      </c>
      <c r="K379" s="1">
        <v>0.99821636959618476</v>
      </c>
      <c r="L379" s="1">
        <v>2.8027730926012171</v>
      </c>
      <c r="M379" s="1">
        <v>0.33045818025557455</v>
      </c>
      <c r="N379" s="19">
        <v>9.1869589225385094E-3</v>
      </c>
      <c r="O379" s="19">
        <v>9.5328088930000006E-3</v>
      </c>
      <c r="P379" s="1">
        <v>0.75447479545545926</v>
      </c>
    </row>
    <row r="380" spans="1:16" x14ac:dyDescent="0.2">
      <c r="A380" s="1">
        <v>369</v>
      </c>
      <c r="B380" s="1">
        <v>1.0001995826933576</v>
      </c>
      <c r="C380" s="1">
        <v>2.5099691788289458</v>
      </c>
      <c r="D380" s="1">
        <v>0.36893156483191525</v>
      </c>
      <c r="E380" s="19">
        <v>9.191084558819583E-3</v>
      </c>
      <c r="F380" s="19">
        <v>9.53355E-3</v>
      </c>
      <c r="G380" s="1">
        <v>0.7538017698983962</v>
      </c>
      <c r="H380" s="1">
        <f t="shared" si="5"/>
        <v>3.8052903065625698E-3</v>
      </c>
      <c r="I380" s="20">
        <f>E380-N380</f>
        <v>5.3383218715369329E-6</v>
      </c>
      <c r="K380" s="1">
        <v>0.99821487208346604</v>
      </c>
      <c r="L380" s="1">
        <v>2.8243002008878992</v>
      </c>
      <c r="M380" s="1">
        <v>0.32786985449585593</v>
      </c>
      <c r="N380" s="19">
        <v>9.1857462369480461E-3</v>
      </c>
      <c r="O380" s="19">
        <v>9.5320984230000006E-3</v>
      </c>
      <c r="P380" s="1">
        <v>0.7539255191766584</v>
      </c>
    </row>
    <row r="381" spans="1:16" x14ac:dyDescent="0.2">
      <c r="A381" s="1">
        <v>370</v>
      </c>
      <c r="B381" s="1">
        <v>1.0002022510959567</v>
      </c>
      <c r="C381" s="1">
        <v>2.5371902317325277</v>
      </c>
      <c r="D381" s="1">
        <v>0.36489526587198667</v>
      </c>
      <c r="E381" s="19">
        <v>9.1893314680567169E-3</v>
      </c>
      <c r="F381" s="19">
        <v>9.5328500000000007E-3</v>
      </c>
      <c r="G381" s="1">
        <v>0.75326535192372079</v>
      </c>
      <c r="H381" s="1">
        <f t="shared" si="5"/>
        <v>3.4316483474919335E-3</v>
      </c>
      <c r="I381" s="20">
        <f>E381-N381</f>
        <v>4.7916131509610771E-6</v>
      </c>
      <c r="K381" s="1">
        <v>0.99821996849696149</v>
      </c>
      <c r="L381" s="1">
        <v>2.8267769118465229</v>
      </c>
      <c r="M381" s="1">
        <v>0.32751226166408032</v>
      </c>
      <c r="N381" s="19">
        <v>9.1845398549057558E-3</v>
      </c>
      <c r="O381" s="19">
        <v>9.531391807E-3</v>
      </c>
      <c r="P381" s="1">
        <v>0.75337664862688269</v>
      </c>
    </row>
    <row r="382" spans="1:16" x14ac:dyDescent="0.2">
      <c r="A382" s="1">
        <v>371</v>
      </c>
      <c r="B382" s="1">
        <v>1.000169363889011</v>
      </c>
      <c r="C382" s="1">
        <v>2.5079512241770261</v>
      </c>
      <c r="D382" s="1">
        <v>0.36907149250883448</v>
      </c>
      <c r="E382" s="19">
        <v>9.1876898997340396E-3</v>
      </c>
      <c r="F382" s="19">
        <v>9.5321499999999997E-3</v>
      </c>
      <c r="G382" s="1">
        <v>0.7527269402736223</v>
      </c>
      <c r="H382" s="1">
        <f t="shared" si="5"/>
        <v>3.2040182734790756E-3</v>
      </c>
      <c r="I382" s="20">
        <f>E382-N382</f>
        <v>4.4528934431790901E-6</v>
      </c>
      <c r="K382" s="1">
        <v>0.99813449971009016</v>
      </c>
      <c r="L382" s="1">
        <v>2.7775182626222934</v>
      </c>
      <c r="M382" s="1">
        <v>0.33325026652987688</v>
      </c>
      <c r="N382" s="19">
        <v>9.1832370062908605E-3</v>
      </c>
      <c r="O382" s="19">
        <v>9.5306890120000001E-3</v>
      </c>
      <c r="P382" s="1">
        <v>0.75283057428785882</v>
      </c>
    </row>
    <row r="383" spans="1:16" x14ac:dyDescent="0.2">
      <c r="A383" s="1">
        <v>372</v>
      </c>
      <c r="B383" s="1">
        <v>1.0002120838315598</v>
      </c>
      <c r="C383" s="1">
        <v>2.4658309777393166</v>
      </c>
      <c r="D383" s="1">
        <v>0.37529693781459295</v>
      </c>
      <c r="E383" s="19">
        <v>9.1859398791901276E-3</v>
      </c>
      <c r="F383" s="19">
        <v>9.5314500000000003E-3</v>
      </c>
      <c r="G383" s="1">
        <v>0.75219164813734229</v>
      </c>
      <c r="H383" s="1">
        <f t="shared" si="5"/>
        <v>2.7967963163183507E-3</v>
      </c>
      <c r="I383" s="20">
        <f>E383-N383</f>
        <v>3.8688589852862998E-6</v>
      </c>
      <c r="K383" s="1">
        <v>0.99801991777932031</v>
      </c>
      <c r="L383" s="1">
        <v>2.7858861825421699</v>
      </c>
      <c r="M383" s="1">
        <v>0.33218257718066596</v>
      </c>
      <c r="N383" s="19">
        <v>9.1820710202048413E-3</v>
      </c>
      <c r="O383" s="19">
        <v>9.5299900080000003E-3</v>
      </c>
      <c r="P383" s="1">
        <v>0.75228186737335256</v>
      </c>
    </row>
    <row r="384" spans="1:16" x14ac:dyDescent="0.2">
      <c r="A384" s="1">
        <v>373</v>
      </c>
      <c r="B384" s="1">
        <v>1.0003028460889576</v>
      </c>
      <c r="C384" s="1">
        <v>2.4599009773623361</v>
      </c>
      <c r="D384" s="1">
        <v>0.37612453007829727</v>
      </c>
      <c r="E384" s="19">
        <v>9.1842070239358722E-3</v>
      </c>
      <c r="F384" s="19">
        <v>9.5307599999999992E-3</v>
      </c>
      <c r="G384" s="1">
        <v>0.75165655485325489</v>
      </c>
      <c r="H384" s="1">
        <f t="shared" si="5"/>
        <v>2.4614393034600814E-3</v>
      </c>
      <c r="I384" s="20">
        <f>E384-N384</f>
        <v>3.3891565853361866E-6</v>
      </c>
      <c r="K384" s="1">
        <v>0.99800348279534701</v>
      </c>
      <c r="L384" s="1">
        <v>2.7661523132824275</v>
      </c>
      <c r="M384" s="1">
        <v>0.33448781134595584</v>
      </c>
      <c r="N384" s="19">
        <v>9.180817867350536E-3</v>
      </c>
      <c r="O384" s="19">
        <v>9.5292947609999998E-3</v>
      </c>
      <c r="P384" s="1">
        <v>0.75173574324907666</v>
      </c>
    </row>
    <row r="385" spans="1:16" x14ac:dyDescent="0.2">
      <c r="A385" s="1">
        <v>374</v>
      </c>
      <c r="B385" s="1">
        <v>1.0003426529503627</v>
      </c>
      <c r="C385" s="1">
        <v>2.4711876545978235</v>
      </c>
      <c r="D385" s="1">
        <v>0.37434144110062517</v>
      </c>
      <c r="E385" s="19">
        <v>9.1824826788833962E-3</v>
      </c>
      <c r="F385" s="19">
        <v>9.5300699999999999E-3</v>
      </c>
      <c r="G385" s="1">
        <v>0.75112185993063862</v>
      </c>
      <c r="H385" s="1">
        <f t="shared" si="5"/>
        <v>2.1285790425694486E-3</v>
      </c>
      <c r="I385" s="20">
        <f>E385-N385</f>
        <v>2.9172854401644105E-6</v>
      </c>
      <c r="K385" s="1">
        <v>0.99807186120984226</v>
      </c>
      <c r="L385" s="1">
        <v>2.7535510674819474</v>
      </c>
      <c r="M385" s="1">
        <v>0.33594807041620056</v>
      </c>
      <c r="N385" s="19">
        <v>9.1795653934432318E-3</v>
      </c>
      <c r="O385" s="19">
        <v>9.528603242E-3</v>
      </c>
      <c r="P385" s="1">
        <v>0.75119015658441091</v>
      </c>
    </row>
    <row r="386" spans="1:16" x14ac:dyDescent="0.2">
      <c r="A386" s="1">
        <v>375</v>
      </c>
      <c r="B386" s="1">
        <v>1.0003619568909203</v>
      </c>
      <c r="C386" s="1">
        <v>2.4709760397087086</v>
      </c>
      <c r="D386" s="1">
        <v>0.37427668313363127</v>
      </c>
      <c r="E386" s="19">
        <v>9.1806894390139941E-3</v>
      </c>
      <c r="F386" s="19">
        <v>9.5293800000000005E-3</v>
      </c>
      <c r="G386" s="1">
        <v>0.75058937706758089</v>
      </c>
      <c r="H386" s="1">
        <f t="shared" si="5"/>
        <v>1.8085262515968314E-3</v>
      </c>
      <c r="I386" s="20">
        <f>E386-N386</f>
        <v>2.4672071667793116E-6</v>
      </c>
      <c r="K386" s="1">
        <v>0.99816655812460431</v>
      </c>
      <c r="L386" s="1">
        <v>2.7636889956839679</v>
      </c>
      <c r="M386" s="1">
        <v>0.33464168854857851</v>
      </c>
      <c r="N386" s="19">
        <v>9.1782222318472148E-3</v>
      </c>
      <c r="O386" s="19">
        <v>9.5279154199999997E-3</v>
      </c>
      <c r="P386" s="1">
        <v>0.75064724990763199</v>
      </c>
    </row>
    <row r="387" spans="1:16" x14ac:dyDescent="0.2">
      <c r="A387" s="1">
        <v>376</v>
      </c>
      <c r="B387" s="1">
        <v>1.0004617123911741</v>
      </c>
      <c r="C387" s="1">
        <v>2.4946193839057362</v>
      </c>
      <c r="D387" s="1">
        <v>0.37066489405043196</v>
      </c>
      <c r="E387" s="19">
        <v>9.1789600384020575E-3</v>
      </c>
      <c r="F387" s="19">
        <v>9.5286899999999994E-3</v>
      </c>
      <c r="G387" s="1">
        <v>0.75005599552661595</v>
      </c>
      <c r="H387" s="1">
        <f t="shared" si="5"/>
        <v>1.6356203239134743E-3</v>
      </c>
      <c r="I387" s="20">
        <f>E387-N387</f>
        <v>2.221061078286693E-6</v>
      </c>
      <c r="K387" s="1">
        <v>0.99815407886877661</v>
      </c>
      <c r="L387" s="1">
        <v>2.7136680610745954</v>
      </c>
      <c r="M387" s="1">
        <v>0.34073808242236936</v>
      </c>
      <c r="N387" s="19">
        <v>9.1767389773237708E-3</v>
      </c>
      <c r="O387" s="19">
        <v>9.5272312670000008E-3</v>
      </c>
      <c r="P387" s="1">
        <v>0.75010819617525148</v>
      </c>
    </row>
    <row r="388" spans="1:16" x14ac:dyDescent="0.2">
      <c r="A388" s="1">
        <v>377</v>
      </c>
      <c r="B388" s="1">
        <v>1.0005328049353472</v>
      </c>
      <c r="C388" s="1">
        <v>2.5131083345318839</v>
      </c>
      <c r="D388" s="1">
        <v>0.36786073722851037</v>
      </c>
      <c r="E388" s="19">
        <v>9.1772489711221296E-3</v>
      </c>
      <c r="F388" s="19">
        <v>9.52801E-3</v>
      </c>
      <c r="G388" s="1">
        <v>0.74952277734884543</v>
      </c>
      <c r="H388" s="1">
        <f t="shared" si="5"/>
        <v>1.5304528867411589E-3</v>
      </c>
      <c r="I388" s="20">
        <f>E388-N388</f>
        <v>2.0687156903134718E-6</v>
      </c>
      <c r="K388" s="1">
        <v>0.99821501584100547</v>
      </c>
      <c r="L388" s="1">
        <v>2.7050967203225298</v>
      </c>
      <c r="M388" s="1">
        <v>0.34175001617171413</v>
      </c>
      <c r="N388" s="19">
        <v>9.1751802554318161E-3</v>
      </c>
      <c r="O388" s="19">
        <v>9.5265507530000008E-3</v>
      </c>
      <c r="P388" s="1">
        <v>0.7495714920295905</v>
      </c>
    </row>
    <row r="389" spans="1:16" x14ac:dyDescent="0.2">
      <c r="A389" s="1">
        <v>378</v>
      </c>
      <c r="B389" s="1">
        <v>1.000542412752099</v>
      </c>
      <c r="C389" s="1">
        <v>2.5090015379856232</v>
      </c>
      <c r="D389" s="1">
        <v>0.36838277963569688</v>
      </c>
      <c r="E389" s="19">
        <v>9.175416865301116E-3</v>
      </c>
      <c r="F389" s="19">
        <v>9.5273300000000005E-3</v>
      </c>
      <c r="G389" s="1">
        <v>0.74899300752438158</v>
      </c>
      <c r="H389" s="1">
        <f t="shared" si="5"/>
        <v>1.3103111482567487E-3</v>
      </c>
      <c r="I389" s="20">
        <f>E389-N389</f>
        <v>1.7630454398481765E-6</v>
      </c>
      <c r="K389" s="1">
        <v>0.99819830749233829</v>
      </c>
      <c r="L389" s="1">
        <v>2.630832818337796</v>
      </c>
      <c r="M389" s="1">
        <v>0.35132418939459675</v>
      </c>
      <c r="N389" s="19">
        <v>9.1736538198612678E-3</v>
      </c>
      <c r="O389" s="19">
        <v>9.5258738510000003E-3</v>
      </c>
      <c r="P389" s="1">
        <v>0.74903460470369132</v>
      </c>
    </row>
    <row r="390" spans="1:16" x14ac:dyDescent="0.2">
      <c r="A390" s="1">
        <v>379</v>
      </c>
      <c r="B390" s="1">
        <v>1.000436979282304</v>
      </c>
      <c r="C390" s="1">
        <v>2.4897086316898998</v>
      </c>
      <c r="D390" s="1">
        <v>0.37115628106040227</v>
      </c>
      <c r="E390" s="19">
        <v>9.1735830017433979E-3</v>
      </c>
      <c r="F390" s="19">
        <v>9.5266499999999994E-3</v>
      </c>
      <c r="G390" s="1">
        <v>0.74846388224150018</v>
      </c>
      <c r="H390" s="1">
        <f t="shared" si="5"/>
        <v>1.0433063489556638E-3</v>
      </c>
      <c r="I390" s="20">
        <f>E390-N390</f>
        <v>1.3973831137822218E-6</v>
      </c>
      <c r="K390" s="1">
        <v>0.99820865123721036</v>
      </c>
      <c r="L390" s="1">
        <v>2.6181354054088906</v>
      </c>
      <c r="M390" s="1">
        <v>0.35295314240330766</v>
      </c>
      <c r="N390" s="19">
        <v>9.1721856186296156E-3</v>
      </c>
      <c r="O390" s="19">
        <v>9.5252005299999998E-3</v>
      </c>
      <c r="P390" s="1">
        <v>0.74849691568790511</v>
      </c>
    </row>
    <row r="391" spans="1:16" x14ac:dyDescent="0.2">
      <c r="A391" s="1">
        <v>380</v>
      </c>
      <c r="B391" s="1">
        <v>1.0004401562270724</v>
      </c>
      <c r="C391" s="1">
        <v>2.4146958245632106</v>
      </c>
      <c r="D391" s="1">
        <v>0.38261093110977434</v>
      </c>
      <c r="E391" s="19">
        <v>9.1718342046223159E-3</v>
      </c>
      <c r="F391" s="19">
        <v>9.5259799999999999E-3</v>
      </c>
      <c r="G391" s="1">
        <v>0.74793334459696692</v>
      </c>
      <c r="H391" s="1">
        <f t="shared" si="5"/>
        <v>8.1452265375795785E-4</v>
      </c>
      <c r="I391" s="20">
        <f>E391-N391</f>
        <v>1.0859956938689963E-6</v>
      </c>
      <c r="K391" s="1">
        <v>0.99817411472427087</v>
      </c>
      <c r="L391" s="1">
        <v>2.677952679067944</v>
      </c>
      <c r="M391" s="1">
        <v>0.34499530480984236</v>
      </c>
      <c r="N391" s="19">
        <v>9.1707482089284469E-3</v>
      </c>
      <c r="O391" s="19">
        <v>9.5245307619999994E-3</v>
      </c>
      <c r="P391" s="1">
        <v>0.74795906636498033</v>
      </c>
    </row>
    <row r="392" spans="1:16" x14ac:dyDescent="0.2">
      <c r="A392" s="1">
        <v>381</v>
      </c>
      <c r="B392" s="1">
        <v>1.0004545377685758</v>
      </c>
      <c r="C392" s="1">
        <v>2.4560425775509529</v>
      </c>
      <c r="D392" s="1">
        <v>0.37609014358129839</v>
      </c>
      <c r="E392" s="19">
        <v>9.1700937133242649E-3</v>
      </c>
      <c r="F392" s="19">
        <v>9.5253100000000004E-3</v>
      </c>
      <c r="G392" s="1">
        <v>0.74740320376141256</v>
      </c>
      <c r="H392" s="1">
        <f t="shared" si="5"/>
        <v>5.3133413245159966E-4</v>
      </c>
      <c r="I392" s="20">
        <f>E392-N392</f>
        <v>7.0521321032974982E-7</v>
      </c>
      <c r="K392" s="1">
        <v>0.99824967841407819</v>
      </c>
      <c r="L392" s="1">
        <v>2.7075181039330589</v>
      </c>
      <c r="M392" s="1">
        <v>0.34115888523124899</v>
      </c>
      <c r="N392" s="19">
        <v>9.1693885001139352E-3</v>
      </c>
      <c r="O392" s="19">
        <v>9.5238645199999996E-3</v>
      </c>
      <c r="P392" s="1">
        <v>0.74741993869471812</v>
      </c>
    </row>
    <row r="393" spans="1:16" x14ac:dyDescent="0.2">
      <c r="A393" s="1">
        <v>382</v>
      </c>
      <c r="B393" s="1">
        <v>1.0003291818143736</v>
      </c>
      <c r="C393" s="1">
        <v>2.4329260937519308</v>
      </c>
      <c r="D393" s="1">
        <v>0.37959187390473487</v>
      </c>
      <c r="E393" s="19">
        <v>9.1684999201274413E-3</v>
      </c>
      <c r="F393" s="19">
        <v>9.5246399999999991E-3</v>
      </c>
      <c r="G393" s="1">
        <v>0.74687016753885527</v>
      </c>
      <c r="H393" s="1">
        <f t="shared" si="5"/>
        <v>4.248041220800321E-4</v>
      </c>
      <c r="I393" s="20">
        <f>E393-N393</f>
        <v>5.6127473833239572E-7</v>
      </c>
      <c r="K393" s="1">
        <v>0.9983123188038564</v>
      </c>
      <c r="L393" s="1">
        <v>2.7093414695960911</v>
      </c>
      <c r="M393" s="1">
        <v>0.34085396660212824</v>
      </c>
      <c r="N393" s="19">
        <v>9.167938645389109E-3</v>
      </c>
      <c r="O393" s="19">
        <v>9.5232017760000006E-3</v>
      </c>
      <c r="P393" s="1">
        <v>0.74688351217096249</v>
      </c>
    </row>
    <row r="394" spans="1:16" x14ac:dyDescent="0.2">
      <c r="A394" s="1">
        <v>383</v>
      </c>
      <c r="B394" s="1">
        <v>1.0003533884209392</v>
      </c>
      <c r="C394" s="1">
        <v>2.4333505493770997</v>
      </c>
      <c r="D394" s="1">
        <v>0.37946610720377921</v>
      </c>
      <c r="E394" s="19">
        <v>9.1669913187625608E-3</v>
      </c>
      <c r="F394" s="19">
        <v>9.5239799999999996E-3</v>
      </c>
      <c r="G394" s="1">
        <v>0.7463356804018515</v>
      </c>
      <c r="H394" s="1">
        <f t="shared" si="5"/>
        <v>5.6884950217966912E-4</v>
      </c>
      <c r="I394" s="20">
        <f>E394-N394</f>
        <v>7.4820901451583266E-7</v>
      </c>
      <c r="K394" s="1">
        <v>0.99830007538894316</v>
      </c>
      <c r="L394" s="1">
        <v>2.6993587328443107</v>
      </c>
      <c r="M394" s="1">
        <v>0.34204708760585506</v>
      </c>
      <c r="N394" s="19">
        <v>9.166243109748045E-3</v>
      </c>
      <c r="O394" s="19">
        <v>9.5225425029999995E-3</v>
      </c>
      <c r="P394" s="1">
        <v>0.7463535033627553</v>
      </c>
    </row>
    <row r="395" spans="1:16" x14ac:dyDescent="0.2">
      <c r="A395" s="1">
        <v>384</v>
      </c>
      <c r="B395" s="1">
        <v>1.0002933285501894</v>
      </c>
      <c r="C395" s="1">
        <v>2.4331460593148835</v>
      </c>
      <c r="D395" s="1">
        <v>0.37940945668369125</v>
      </c>
      <c r="E395" s="19">
        <v>9.1655483265209239E-3</v>
      </c>
      <c r="F395" s="19">
        <v>9.52332E-3</v>
      </c>
      <c r="G395" s="1">
        <v>0.74580019747947368</v>
      </c>
      <c r="H395" s="1">
        <f t="shared" si="5"/>
        <v>7.039156943449143E-4</v>
      </c>
      <c r="I395" s="20">
        <f>E395-N395</f>
        <v>9.2170468054750265E-7</v>
      </c>
      <c r="K395" s="1">
        <v>0.99831332311779331</v>
      </c>
      <c r="L395" s="1">
        <v>2.705825277657993</v>
      </c>
      <c r="M395" s="1">
        <v>0.34115841933586416</v>
      </c>
      <c r="N395" s="19">
        <v>9.1646266218403764E-3</v>
      </c>
      <c r="O395" s="19">
        <v>9.5218866729999997E-3</v>
      </c>
      <c r="P395" s="1">
        <v>0.74582219484492196</v>
      </c>
    </row>
    <row r="396" spans="1:16" x14ac:dyDescent="0.2">
      <c r="A396" s="1">
        <v>385</v>
      </c>
      <c r="B396" s="1">
        <v>1.0002347590837355</v>
      </c>
      <c r="C396" s="1">
        <v>2.4359121175178609</v>
      </c>
      <c r="D396" s="1">
        <v>0.37888397536982793</v>
      </c>
      <c r="E396" s="19">
        <v>9.1640760336280051E-3</v>
      </c>
      <c r="F396" s="19">
        <v>9.5226700000000004E-3</v>
      </c>
      <c r="G396" s="1">
        <v>0.7452659785884469</v>
      </c>
      <c r="H396" s="1">
        <f t="shared" si="5"/>
        <v>8.2168261198588743E-4</v>
      </c>
      <c r="I396" s="20">
        <f>E396-N396</f>
        <v>1.0710910037028953E-6</v>
      </c>
      <c r="K396" s="1">
        <v>0.99838596440356264</v>
      </c>
      <c r="L396" s="1">
        <v>2.677249793750585</v>
      </c>
      <c r="M396" s="1">
        <v>0.34473278015128772</v>
      </c>
      <c r="N396" s="19">
        <v>9.1630049426243022E-3</v>
      </c>
      <c r="O396" s="19">
        <v>9.5212342590000002E-3</v>
      </c>
      <c r="P396" s="1">
        <v>0.74529158947505425</v>
      </c>
    </row>
    <row r="397" spans="1:16" x14ac:dyDescent="0.2">
      <c r="A397" s="1">
        <v>386</v>
      </c>
      <c r="B397" s="1">
        <v>1.0001268931837544</v>
      </c>
      <c r="C397" s="1">
        <v>2.4002990947855674</v>
      </c>
      <c r="D397" s="1">
        <v>0.38444115638320986</v>
      </c>
      <c r="E397" s="19">
        <v>9.1625607855730772E-3</v>
      </c>
      <c r="F397" s="19">
        <v>9.5220200000000008E-3</v>
      </c>
      <c r="G397" s="1">
        <v>0.74473335411950981</v>
      </c>
      <c r="H397" s="1">
        <f t="shared" ref="H397:H460" si="6">(P397-G397)*A397/12</f>
        <v>9.5669002218662369E-4</v>
      </c>
      <c r="I397" s="20">
        <f>E397-N397</f>
        <v>1.2415083663064319E-6</v>
      </c>
      <c r="K397" s="1">
        <v>0.99825888426842069</v>
      </c>
      <c r="L397" s="1">
        <v>2.7004164643260973</v>
      </c>
      <c r="M397" s="1">
        <v>0.34170140108165714</v>
      </c>
      <c r="N397" s="19">
        <v>9.1613192772067708E-3</v>
      </c>
      <c r="O397" s="19">
        <v>9.5205852350000002E-3</v>
      </c>
      <c r="P397" s="1">
        <v>0.74476309577823063</v>
      </c>
    </row>
    <row r="398" spans="1:16" x14ac:dyDescent="0.2">
      <c r="A398" s="1">
        <v>387</v>
      </c>
      <c r="B398" s="1">
        <v>1.0000829681738439</v>
      </c>
      <c r="C398" s="1">
        <v>2.3850187962399181</v>
      </c>
      <c r="D398" s="1">
        <v>0.38681449382473254</v>
      </c>
      <c r="E398" s="19">
        <v>9.1610343273345139E-3</v>
      </c>
      <c r="F398" s="19">
        <v>9.5213699999999995E-3</v>
      </c>
      <c r="G398" s="1">
        <v>0.74420156729658216</v>
      </c>
      <c r="H398" s="1">
        <f t="shared" si="6"/>
        <v>1.1719501795917353E-3</v>
      </c>
      <c r="I398" s="20">
        <f>E398-N398</f>
        <v>1.5140789742483507E-6</v>
      </c>
      <c r="K398" s="1">
        <v>0.9981565676876426</v>
      </c>
      <c r="L398" s="1">
        <v>2.6469065799885856</v>
      </c>
      <c r="M398" s="1">
        <v>0.34853851364899868</v>
      </c>
      <c r="N398" s="19">
        <v>9.1595202483602655E-3</v>
      </c>
      <c r="O398" s="19">
        <v>9.5199395729999997E-3</v>
      </c>
      <c r="P398" s="1">
        <v>0.74423790683703461</v>
      </c>
    </row>
    <row r="399" spans="1:16" x14ac:dyDescent="0.2">
      <c r="A399" s="1">
        <v>388</v>
      </c>
      <c r="B399" s="1">
        <v>1.0000697110195773</v>
      </c>
      <c r="C399" s="1">
        <v>2.433408192818213</v>
      </c>
      <c r="D399" s="1">
        <v>0.37905124482744185</v>
      </c>
      <c r="E399" s="19">
        <v>9.1594196284672299E-3</v>
      </c>
      <c r="F399" s="19">
        <v>9.5207199999999999E-3</v>
      </c>
      <c r="G399" s="1">
        <v>0.74367247117914759</v>
      </c>
      <c r="H399" s="1">
        <f t="shared" si="6"/>
        <v>1.2798642764476249E-3</v>
      </c>
      <c r="I399" s="20">
        <f>E399-N399</f>
        <v>1.6461510939889956E-6</v>
      </c>
      <c r="K399" s="1">
        <v>0.99820228898006846</v>
      </c>
      <c r="L399" s="1">
        <v>2.6950225347838233</v>
      </c>
      <c r="M399" s="1">
        <v>0.34224274695864704</v>
      </c>
      <c r="N399" s="19">
        <v>9.1577734773732409E-3</v>
      </c>
      <c r="O399" s="19">
        <v>9.5192972480000002E-3</v>
      </c>
      <c r="P399" s="1">
        <v>0.74371205461037793</v>
      </c>
    </row>
    <row r="400" spans="1:16" x14ac:dyDescent="0.2">
      <c r="A400" s="1">
        <v>389</v>
      </c>
      <c r="B400" s="1">
        <v>1.0000655369638809</v>
      </c>
      <c r="C400" s="1">
        <v>2.3852573057182682</v>
      </c>
      <c r="D400" s="1">
        <v>0.38660599941725809</v>
      </c>
      <c r="E400" s="19">
        <v>9.1578793223005515E-3</v>
      </c>
      <c r="F400" s="19">
        <v>9.5200800000000002E-3</v>
      </c>
      <c r="G400" s="1">
        <v>0.74314215908255221</v>
      </c>
      <c r="H400" s="1">
        <f t="shared" si="6"/>
        <v>1.4980398662616707E-3</v>
      </c>
      <c r="I400" s="20">
        <f>E400-N400</f>
        <v>1.9182325571055758E-6</v>
      </c>
      <c r="K400" s="1">
        <v>0.99823307383068749</v>
      </c>
      <c r="L400" s="1">
        <v>2.678366603771801</v>
      </c>
      <c r="M400" s="1">
        <v>0.34429912555661968</v>
      </c>
      <c r="N400" s="19">
        <v>9.155961089743446E-3</v>
      </c>
      <c r="O400" s="19">
        <v>9.5186582360000001E-3</v>
      </c>
      <c r="P400" s="1">
        <v>0.74318837110927494</v>
      </c>
    </row>
    <row r="401" spans="1:16" x14ac:dyDescent="0.2">
      <c r="A401" s="1">
        <v>390</v>
      </c>
      <c r="B401" s="1">
        <v>1.0001253174284439</v>
      </c>
      <c r="C401" s="1">
        <v>2.389918529282141</v>
      </c>
      <c r="D401" s="1">
        <v>0.38578239731995545</v>
      </c>
      <c r="E401" s="19">
        <v>9.1565205364104313E-3</v>
      </c>
      <c r="F401" s="19">
        <v>9.5194400000000005E-3</v>
      </c>
      <c r="G401" s="1">
        <v>0.74260803483126825</v>
      </c>
      <c r="H401" s="1">
        <f t="shared" si="6"/>
        <v>1.9531999766392305E-3</v>
      </c>
      <c r="I401" s="20">
        <f>E401-N401</f>
        <v>2.4900196347737991E-6</v>
      </c>
      <c r="K401" s="1">
        <v>0.99820094590843889</v>
      </c>
      <c r="L401" s="1">
        <v>2.6548586457590493</v>
      </c>
      <c r="M401" s="1">
        <v>0.34727337611744652</v>
      </c>
      <c r="N401" s="19">
        <v>9.1540305167756575E-3</v>
      </c>
      <c r="O401" s="19">
        <v>9.5180225089999994E-3</v>
      </c>
      <c r="P401" s="1">
        <v>0.74266813329208792</v>
      </c>
    </row>
    <row r="402" spans="1:16" x14ac:dyDescent="0.2">
      <c r="A402" s="1">
        <v>391</v>
      </c>
      <c r="B402" s="1">
        <v>1.0000584195383662</v>
      </c>
      <c r="C402" s="1">
        <v>2.4045271335261056</v>
      </c>
      <c r="D402" s="1">
        <v>0.38335481338670468</v>
      </c>
      <c r="E402" s="19">
        <v>9.155063610371373E-3</v>
      </c>
      <c r="F402" s="19">
        <v>9.5188100000000008E-3</v>
      </c>
      <c r="G402" s="1">
        <v>0.74207683548849046</v>
      </c>
      <c r="H402" s="1">
        <f t="shared" si="6"/>
        <v>2.2510291299925691E-3</v>
      </c>
      <c r="I402" s="20">
        <f>E402-N402</f>
        <v>2.8570707990231009E-6</v>
      </c>
      <c r="K402" s="1">
        <v>0.99831602378746609</v>
      </c>
      <c r="L402" s="1">
        <v>2.7042675931057958</v>
      </c>
      <c r="M402" s="1">
        <v>0.34085932605947383</v>
      </c>
      <c r="N402" s="19">
        <v>9.1522065395723499E-3</v>
      </c>
      <c r="O402" s="19">
        <v>9.517390043E-3</v>
      </c>
      <c r="P402" s="1">
        <v>0.74214592078148256</v>
      </c>
    </row>
    <row r="403" spans="1:16" x14ac:dyDescent="0.2">
      <c r="A403" s="1">
        <v>392</v>
      </c>
      <c r="B403" s="1">
        <v>1.0001095245230631</v>
      </c>
      <c r="C403" s="1">
        <v>2.4378779701754083</v>
      </c>
      <c r="D403" s="1">
        <v>0.37802313711379842</v>
      </c>
      <c r="E403" s="19">
        <v>9.1534740181693809E-3</v>
      </c>
      <c r="F403" s="19">
        <v>9.5181799999999993E-3</v>
      </c>
      <c r="G403" s="1">
        <v>0.74154940987521378</v>
      </c>
      <c r="H403" s="1">
        <f t="shared" si="6"/>
        <v>2.4557889989308781E-3</v>
      </c>
      <c r="I403" s="20">
        <f>E403-N403</f>
        <v>3.1032681265183437E-6</v>
      </c>
      <c r="K403" s="1">
        <v>0.99814800985844232</v>
      </c>
      <c r="L403" s="1">
        <v>2.7428009040258439</v>
      </c>
      <c r="M403" s="1">
        <v>0.33599437160814055</v>
      </c>
      <c r="N403" s="19">
        <v>9.1503707500428626E-3</v>
      </c>
      <c r="O403" s="19">
        <v>9.5167608119999993E-3</v>
      </c>
      <c r="P403" s="1">
        <v>0.74162458708946677</v>
      </c>
    </row>
    <row r="404" spans="1:16" x14ac:dyDescent="0.2">
      <c r="A404" s="1">
        <v>393</v>
      </c>
      <c r="B404" s="1">
        <v>1.0002596178906398</v>
      </c>
      <c r="C404" s="1">
        <v>2.4174524090232401</v>
      </c>
      <c r="D404" s="1">
        <v>0.3811470659984792</v>
      </c>
      <c r="E404" s="19">
        <v>9.1517502758600468E-3</v>
      </c>
      <c r="F404" s="19">
        <v>9.5175499999999996E-3</v>
      </c>
      <c r="G404" s="1">
        <v>0.74102581107388554</v>
      </c>
      <c r="H404" s="1">
        <f t="shared" si="6"/>
        <v>2.622734802457477E-3</v>
      </c>
      <c r="I404" s="20">
        <f>E404-N404</f>
        <v>3.2997038905899223E-6</v>
      </c>
      <c r="K404" s="1">
        <v>0.99825659140126011</v>
      </c>
      <c r="L404" s="1">
        <v>2.7227498335578169</v>
      </c>
      <c r="M404" s="1">
        <v>0.33840155009126777</v>
      </c>
      <c r="N404" s="19">
        <v>9.1484505719694569E-3</v>
      </c>
      <c r="O404" s="19">
        <v>9.5161347910000006E-3</v>
      </c>
      <c r="P404" s="1">
        <v>0.74110589457930409</v>
      </c>
    </row>
    <row r="405" spans="1:16" x14ac:dyDescent="0.2">
      <c r="A405" s="1">
        <v>394</v>
      </c>
      <c r="B405" s="1">
        <v>1.0000838365529972</v>
      </c>
      <c r="C405" s="1">
        <v>2.4236976009117339</v>
      </c>
      <c r="D405" s="1">
        <v>0.38008132554041252</v>
      </c>
      <c r="E405" s="19">
        <v>9.1498649130489305E-3</v>
      </c>
      <c r="F405" s="19">
        <v>9.5169299999999998E-3</v>
      </c>
      <c r="G405" s="1">
        <v>0.74050672423643571</v>
      </c>
      <c r="H405" s="1">
        <f t="shared" si="6"/>
        <v>2.6422122352861752E-3</v>
      </c>
      <c r="I405" s="20">
        <f>E405-N405</f>
        <v>3.3096734352641016E-6</v>
      </c>
      <c r="K405" s="1">
        <v>0.99821036407077168</v>
      </c>
      <c r="L405" s="1">
        <v>2.7535562485721528</v>
      </c>
      <c r="M405" s="1">
        <v>0.33454735474235248</v>
      </c>
      <c r="N405" s="19">
        <v>9.1465552396136664E-3</v>
      </c>
      <c r="O405" s="19">
        <v>9.5155119569999991E-3</v>
      </c>
      <c r="P405" s="1">
        <v>0.74058719770553072</v>
      </c>
    </row>
    <row r="406" spans="1:16" x14ac:dyDescent="0.2">
      <c r="A406" s="1">
        <v>395</v>
      </c>
      <c r="B406" s="1">
        <v>0.99998502473547846</v>
      </c>
      <c r="C406" s="1">
        <v>2.4417065567714809</v>
      </c>
      <c r="D406" s="1">
        <v>0.37720355372249054</v>
      </c>
      <c r="E406" s="19">
        <v>9.1480304452369217E-3</v>
      </c>
      <c r="F406" s="19">
        <v>9.51631E-3</v>
      </c>
      <c r="G406" s="1">
        <v>0.73998699384583799</v>
      </c>
      <c r="H406" s="1">
        <f t="shared" si="6"/>
        <v>2.7576570595303864E-3</v>
      </c>
      <c r="I406" s="20">
        <f>E406-N406</f>
        <v>3.4392194479277577E-6</v>
      </c>
      <c r="K406" s="1">
        <v>0.9981589733027818</v>
      </c>
      <c r="L406" s="1">
        <v>2.7865075692049133</v>
      </c>
      <c r="M406" s="1">
        <v>0.33052545935591537</v>
      </c>
      <c r="N406" s="19">
        <v>9.1445912257889939E-3</v>
      </c>
      <c r="O406" s="19">
        <v>9.5148922849999998E-3</v>
      </c>
      <c r="P406" s="1">
        <v>0.7400707707691655</v>
      </c>
    </row>
    <row r="407" spans="1:16" x14ac:dyDescent="0.2">
      <c r="A407" s="1">
        <v>396</v>
      </c>
      <c r="B407" s="1">
        <v>0.99975937234699264</v>
      </c>
      <c r="C407" s="1">
        <v>2.4015288990900414</v>
      </c>
      <c r="D407" s="1">
        <v>0.38343044393363113</v>
      </c>
      <c r="E407" s="19">
        <v>9.1462647671579286E-3</v>
      </c>
      <c r="F407" s="19">
        <v>9.5156900000000003E-3</v>
      </c>
      <c r="G407" s="1">
        <v>0.73946617568497108</v>
      </c>
      <c r="H407" s="1">
        <f t="shared" si="6"/>
        <v>2.8728876373047552E-3</v>
      </c>
      <c r="I407" s="20">
        <f>E407-N407</f>
        <v>3.5673595514835316E-6</v>
      </c>
      <c r="K407" s="1">
        <v>0.99826633302177503</v>
      </c>
      <c r="L407" s="1">
        <v>2.7956479046657465</v>
      </c>
      <c r="M407" s="1">
        <v>0.3293763011311126</v>
      </c>
      <c r="N407" s="19">
        <v>9.1426974076064451E-3</v>
      </c>
      <c r="O407" s="19">
        <v>9.5142757509999992E-3</v>
      </c>
      <c r="P407" s="1">
        <v>0.73955323288610153</v>
      </c>
    </row>
    <row r="408" spans="1:16" x14ac:dyDescent="0.2">
      <c r="A408" s="1">
        <v>397</v>
      </c>
      <c r="B408" s="1">
        <v>0.99982791647486957</v>
      </c>
      <c r="C408" s="1">
        <v>2.3667947171504222</v>
      </c>
      <c r="D408" s="1">
        <v>0.38897544135846496</v>
      </c>
      <c r="E408" s="19">
        <v>9.1446578831927347E-3</v>
      </c>
      <c r="F408" s="19">
        <v>9.5150700000000005E-3</v>
      </c>
      <c r="G408" s="1">
        <v>0.73894205954651337</v>
      </c>
      <c r="H408" s="1">
        <f t="shared" si="6"/>
        <v>3.0382318365440122E-3</v>
      </c>
      <c r="I408" s="20">
        <f>E408-N408</f>
        <v>3.7563410509311446E-6</v>
      </c>
      <c r="K408" s="1">
        <v>0.99836071789280556</v>
      </c>
      <c r="L408" s="1">
        <v>2.7153897746152489</v>
      </c>
      <c r="M408" s="1">
        <v>0.33903739771585595</v>
      </c>
      <c r="N408" s="19">
        <v>9.1409015421418036E-3</v>
      </c>
      <c r="O408" s="19">
        <v>9.5136623319999995E-3</v>
      </c>
      <c r="P408" s="1">
        <v>0.73903389526953234</v>
      </c>
    </row>
    <row r="409" spans="1:16" x14ac:dyDescent="0.2">
      <c r="A409" s="1">
        <v>398</v>
      </c>
      <c r="B409" s="1">
        <v>0.99974320777802528</v>
      </c>
      <c r="C409" s="1">
        <v>2.4239976050254688</v>
      </c>
      <c r="D409" s="1">
        <v>0.37971758701208425</v>
      </c>
      <c r="E409" s="19">
        <v>9.1430368960821601E-3</v>
      </c>
      <c r="F409" s="19">
        <v>9.5144600000000006E-3</v>
      </c>
      <c r="G409" s="1">
        <v>0.73841885804649643</v>
      </c>
      <c r="H409" s="1">
        <f t="shared" si="6"/>
        <v>3.1297393644468632E-3</v>
      </c>
      <c r="I409" s="20">
        <f>E409-N409</f>
        <v>3.8527780649444399E-6</v>
      </c>
      <c r="K409" s="1">
        <v>0.99832763595639573</v>
      </c>
      <c r="L409" s="1">
        <v>2.6610331005300076</v>
      </c>
      <c r="M409" s="1">
        <v>0.34588958271522596</v>
      </c>
      <c r="N409" s="19">
        <v>9.1391841180172156E-3</v>
      </c>
      <c r="O409" s="19">
        <v>9.5130520020000001E-3</v>
      </c>
      <c r="P409" s="1">
        <v>0.73851322204743453</v>
      </c>
    </row>
    <row r="410" spans="1:16" x14ac:dyDescent="0.2">
      <c r="A410" s="1">
        <v>399</v>
      </c>
      <c r="B410" s="1">
        <v>0.99967662414983005</v>
      </c>
      <c r="C410" s="1">
        <v>2.4675928013675303</v>
      </c>
      <c r="D410" s="1">
        <v>0.37293085936944326</v>
      </c>
      <c r="E410" s="19">
        <v>9.1414018521412642E-3</v>
      </c>
      <c r="F410" s="19">
        <v>9.5138500000000008E-3</v>
      </c>
      <c r="G410" s="1">
        <v>0.73789657123321262</v>
      </c>
      <c r="H410" s="1">
        <f t="shared" si="6"/>
        <v>3.2286770628223993E-3</v>
      </c>
      <c r="I410" s="20">
        <f>E410-N410</f>
        <v>3.9574664613128974E-6</v>
      </c>
      <c r="K410" s="1">
        <v>0.99836552510816345</v>
      </c>
      <c r="L410" s="1">
        <v>2.6752524635267667</v>
      </c>
      <c r="M410" s="1">
        <v>0.3439822353234967</v>
      </c>
      <c r="N410" s="19">
        <v>9.1374443856799513E-3</v>
      </c>
      <c r="O410" s="19">
        <v>9.5124447400000006E-3</v>
      </c>
      <c r="P410" s="1">
        <v>0.73799367430277119</v>
      </c>
    </row>
    <row r="411" spans="1:16" x14ac:dyDescent="0.2">
      <c r="A411" s="1">
        <v>400</v>
      </c>
      <c r="B411" s="1">
        <v>0.99971455905670759</v>
      </c>
      <c r="C411" s="1">
        <v>2.509846048940402</v>
      </c>
      <c r="D411" s="1">
        <v>0.36657578732239859</v>
      </c>
      <c r="E411" s="19">
        <v>9.1397653727637515E-3</v>
      </c>
      <c r="F411" s="19">
        <v>9.5132399999999992E-3</v>
      </c>
      <c r="G411" s="1">
        <v>0.73737489005747381</v>
      </c>
      <c r="H411" s="1">
        <f t="shared" si="6"/>
        <v>3.3757194817352065E-3</v>
      </c>
      <c r="I411" s="20">
        <f>E411-N411</f>
        <v>4.1199381250536793E-6</v>
      </c>
      <c r="K411" s="1">
        <v>0.99847229575989371</v>
      </c>
      <c r="L411" s="1">
        <v>2.6911546994155886</v>
      </c>
      <c r="M411" s="1">
        <v>0.34187683766657118</v>
      </c>
      <c r="N411" s="19">
        <v>9.1356454346386978E-3</v>
      </c>
      <c r="O411" s="19">
        <v>9.5118405219999994E-3</v>
      </c>
      <c r="P411" s="1">
        <v>0.73747616164192586</v>
      </c>
    </row>
    <row r="412" spans="1:16" x14ac:dyDescent="0.2">
      <c r="A412" s="1">
        <v>401</v>
      </c>
      <c r="B412" s="1">
        <v>0.99978045415690542</v>
      </c>
      <c r="C412" s="1">
        <v>2.5017277838664063</v>
      </c>
      <c r="D412" s="1">
        <v>0.36768617378250484</v>
      </c>
      <c r="E412" s="19">
        <v>9.1381815342076837E-3</v>
      </c>
      <c r="F412" s="19">
        <v>9.5126399999999993E-3</v>
      </c>
      <c r="G412" s="1">
        <v>0.73685248249218049</v>
      </c>
      <c r="H412" s="1">
        <f t="shared" si="6"/>
        <v>3.7398623891109393E-3</v>
      </c>
      <c r="I412" s="20">
        <f>E412-N412</f>
        <v>4.5448111218940324E-6</v>
      </c>
      <c r="K412" s="1">
        <v>0.99852590187554036</v>
      </c>
      <c r="L412" s="1">
        <v>2.7180608685325183</v>
      </c>
      <c r="M412" s="1">
        <v>0.33842380220636042</v>
      </c>
      <c r="N412" s="19">
        <v>9.1336367230857897E-3</v>
      </c>
      <c r="O412" s="19">
        <v>9.5112393260000008E-3</v>
      </c>
      <c r="P412" s="1">
        <v>0.73696439857365015</v>
      </c>
    </row>
    <row r="413" spans="1:16" x14ac:dyDescent="0.2">
      <c r="A413" s="1">
        <v>402</v>
      </c>
      <c r="B413" s="1">
        <v>0.99982394637518734</v>
      </c>
      <c r="C413" s="1">
        <v>2.587533960555489</v>
      </c>
      <c r="D413" s="1">
        <v>0.35542551659170385</v>
      </c>
      <c r="E413" s="19">
        <v>9.1364919288991694E-3</v>
      </c>
      <c r="F413" s="19">
        <v>9.5120399999999994E-3</v>
      </c>
      <c r="G413" s="1">
        <v>0.73633324836931302</v>
      </c>
      <c r="H413" s="1">
        <f t="shared" si="6"/>
        <v>3.986706624737546E-3</v>
      </c>
      <c r="I413" s="20">
        <f>E413-N413</f>
        <v>4.8240873137157803E-6</v>
      </c>
      <c r="K413" s="1">
        <v>0.99861460660736634</v>
      </c>
      <c r="L413" s="1">
        <v>2.6744627117112949</v>
      </c>
      <c r="M413" s="1">
        <v>0.34386233115637593</v>
      </c>
      <c r="N413" s="19">
        <v>9.1316678415854537E-3</v>
      </c>
      <c r="O413" s="19">
        <v>9.5106411290000002E-3</v>
      </c>
      <c r="P413" s="1">
        <v>0.73645225453721563</v>
      </c>
    </row>
    <row r="414" spans="1:16" x14ac:dyDescent="0.2">
      <c r="A414" s="1">
        <v>403</v>
      </c>
      <c r="B414" s="1">
        <v>0.99989072157481473</v>
      </c>
      <c r="C414" s="1">
        <v>2.5603031854966458</v>
      </c>
      <c r="D414" s="1">
        <v>0.3591295147980893</v>
      </c>
      <c r="E414" s="19">
        <v>9.1347531138315854E-3</v>
      </c>
      <c r="F414" s="19">
        <v>9.5114399999999995E-3</v>
      </c>
      <c r="G414" s="1">
        <v>0.73581580336715091</v>
      </c>
      <c r="H414" s="1">
        <f t="shared" si="6"/>
        <v>4.0879158963567823E-3</v>
      </c>
      <c r="I414" s="20">
        <f>E414-N414</f>
        <v>4.9254886328418956E-6</v>
      </c>
      <c r="K414" s="1">
        <v>0.99839617467763475</v>
      </c>
      <c r="L414" s="1">
        <v>2.6760717856814029</v>
      </c>
      <c r="M414" s="1">
        <v>0.34358645431898843</v>
      </c>
      <c r="N414" s="19">
        <v>9.1298276251987436E-3</v>
      </c>
      <c r="O414" s="19">
        <v>9.5100459079999998E-3</v>
      </c>
      <c r="P414" s="1">
        <v>0.73593752790997047</v>
      </c>
    </row>
    <row r="415" spans="1:16" x14ac:dyDescent="0.2">
      <c r="A415" s="1">
        <v>404</v>
      </c>
      <c r="B415" s="1">
        <v>1.0000085949801347</v>
      </c>
      <c r="C415" s="1">
        <v>2.5521827892042839</v>
      </c>
      <c r="D415" s="1">
        <v>0.36019352005326238</v>
      </c>
      <c r="E415" s="19">
        <v>9.1328329069114127E-3</v>
      </c>
      <c r="F415" s="19">
        <v>9.5108499999999995E-3</v>
      </c>
      <c r="G415" s="1">
        <v>0.7353034254623011</v>
      </c>
      <c r="H415" s="1">
        <f t="shared" si="6"/>
        <v>4.0063636508091598E-3</v>
      </c>
      <c r="I415" s="20">
        <f>E415-N415</f>
        <v>4.8067152919970685E-6</v>
      </c>
      <c r="K415" s="1">
        <v>0.99844166462634254</v>
      </c>
      <c r="L415" s="1">
        <v>2.6632860465771007</v>
      </c>
      <c r="M415" s="1">
        <v>0.34516429571084351</v>
      </c>
      <c r="N415" s="19">
        <v>9.1280261916194157E-3</v>
      </c>
      <c r="O415" s="19">
        <v>9.5094536419999993E-3</v>
      </c>
      <c r="P415" s="1">
        <v>0.73542242636282018</v>
      </c>
    </row>
    <row r="416" spans="1:16" x14ac:dyDescent="0.2">
      <c r="A416" s="1">
        <v>405</v>
      </c>
      <c r="B416" s="1">
        <v>1.0000139228135814</v>
      </c>
      <c r="C416" s="1">
        <v>2.530416956802394</v>
      </c>
      <c r="D416" s="1">
        <v>0.36321858950115804</v>
      </c>
      <c r="E416" s="19">
        <v>9.1310359983946716E-3</v>
      </c>
      <c r="F416" s="19">
        <v>9.5102599999999995E-3</v>
      </c>
      <c r="G416" s="1">
        <v>0.73478858180765605</v>
      </c>
      <c r="H416" s="1">
        <f t="shared" si="6"/>
        <v>3.9522185944877719E-3</v>
      </c>
      <c r="I416" s="20">
        <f>E416-N416</f>
        <v>4.7216783576331522E-6</v>
      </c>
      <c r="K416" s="1">
        <v>0.99851059776433126</v>
      </c>
      <c r="L416" s="1">
        <v>2.6548128529331336</v>
      </c>
      <c r="M416" s="1">
        <v>0.34619951694200018</v>
      </c>
      <c r="N416" s="19">
        <v>9.1263143200370385E-3</v>
      </c>
      <c r="O416" s="19">
        <v>9.5088643070000006E-3</v>
      </c>
      <c r="P416" s="1">
        <v>0.73490568458082606</v>
      </c>
    </row>
    <row r="417" spans="1:16" x14ac:dyDescent="0.2">
      <c r="A417" s="1">
        <v>406</v>
      </c>
      <c r="B417" s="1">
        <v>1.000104179581613</v>
      </c>
      <c r="C417" s="1">
        <v>2.5394561401952438</v>
      </c>
      <c r="D417" s="1">
        <v>0.36185087852567083</v>
      </c>
      <c r="E417" s="19">
        <v>9.1292030496584187E-3</v>
      </c>
      <c r="F417" s="19">
        <v>9.5096699999999996E-3</v>
      </c>
      <c r="G417" s="1">
        <v>0.73427521388523942</v>
      </c>
      <c r="H417" s="1">
        <f t="shared" si="6"/>
        <v>3.9145726384411756E-3</v>
      </c>
      <c r="I417" s="20">
        <f>E417-N417</f>
        <v>4.6569513230416276E-6</v>
      </c>
      <c r="K417" s="1">
        <v>0.99838712473713476</v>
      </c>
      <c r="L417" s="1">
        <v>2.7194048811309228</v>
      </c>
      <c r="M417" s="1">
        <v>0.33790266015318282</v>
      </c>
      <c r="N417" s="19">
        <v>9.124546098335377E-3</v>
      </c>
      <c r="O417" s="19">
        <v>9.5082778830000002E-3</v>
      </c>
      <c r="P417" s="1">
        <v>0.73439091553957758</v>
      </c>
    </row>
    <row r="418" spans="1:16" x14ac:dyDescent="0.2">
      <c r="A418" s="1">
        <v>407</v>
      </c>
      <c r="B418" s="1">
        <v>1.0000587847741187</v>
      </c>
      <c r="C418" s="1">
        <v>2.6338330597183512</v>
      </c>
      <c r="D418" s="1">
        <v>0.34881100767899398</v>
      </c>
      <c r="E418" s="19">
        <v>9.1273250189179006E-3</v>
      </c>
      <c r="F418" s="19">
        <v>9.5090799999999996E-3</v>
      </c>
      <c r="G418" s="1">
        <v>0.73376355073753197</v>
      </c>
      <c r="H418" s="1">
        <f t="shared" si="6"/>
        <v>3.932446353061299E-3</v>
      </c>
      <c r="I418" s="20">
        <f>E418-N418</f>
        <v>4.6584993127762875E-6</v>
      </c>
      <c r="K418" s="1">
        <v>0.99824370935689188</v>
      </c>
      <c r="L418" s="1">
        <v>2.6613810531073345</v>
      </c>
      <c r="M418" s="1">
        <v>0.34519305974305758</v>
      </c>
      <c r="N418" s="19">
        <v>9.1226665196051243E-3</v>
      </c>
      <c r="O418" s="19">
        <v>9.5076943489999996E-3</v>
      </c>
      <c r="P418" s="1">
        <v>0.73387949510174999</v>
      </c>
    </row>
    <row r="419" spans="1:16" x14ac:dyDescent="0.2">
      <c r="A419" s="1">
        <v>408</v>
      </c>
      <c r="B419" s="1">
        <v>1.0000301160168481</v>
      </c>
      <c r="C419" s="1">
        <v>2.6584251372455294</v>
      </c>
      <c r="D419" s="1">
        <v>0.34550827486634117</v>
      </c>
      <c r="E419" s="19">
        <v>9.1254143249232828E-3</v>
      </c>
      <c r="F419" s="19">
        <v>9.5084999999999996E-3</v>
      </c>
      <c r="G419" s="1">
        <v>0.73325328795696765</v>
      </c>
      <c r="H419" s="1">
        <f t="shared" si="6"/>
        <v>3.9267206945194921E-3</v>
      </c>
      <c r="I419" s="20">
        <f>E419-N419</f>
        <v>4.6321643341201701E-6</v>
      </c>
      <c r="K419" s="1">
        <v>0.99835273064359586</v>
      </c>
      <c r="L419" s="1">
        <v>2.6549071787561869</v>
      </c>
      <c r="M419" s="1">
        <v>0.34596479904289779</v>
      </c>
      <c r="N419" s="19">
        <v>9.1207821605891626E-3</v>
      </c>
      <c r="O419" s="19">
        <v>9.5071136829999996E-3</v>
      </c>
      <c r="P419" s="1">
        <v>0.73336877974210057</v>
      </c>
    </row>
    <row r="420" spans="1:16" x14ac:dyDescent="0.2">
      <c r="A420" s="1">
        <v>409</v>
      </c>
      <c r="B420" s="1">
        <v>1.0000265381839903</v>
      </c>
      <c r="C420" s="1">
        <v>2.6857050470977515</v>
      </c>
      <c r="D420" s="1">
        <v>0.34193229962040134</v>
      </c>
      <c r="E420" s="19">
        <v>9.1236103420291974E-3</v>
      </c>
      <c r="F420" s="19">
        <v>9.5079199999999996E-3</v>
      </c>
      <c r="G420" s="1">
        <v>0.73274094832210801</v>
      </c>
      <c r="H420" s="1">
        <f t="shared" si="6"/>
        <v>4.0846987367515004E-3</v>
      </c>
      <c r="I420" s="20">
        <f>E420-N420</f>
        <v>4.7983279970395531E-6</v>
      </c>
      <c r="K420" s="1">
        <v>0.99827350448144847</v>
      </c>
      <c r="L420" s="1">
        <v>2.6727607660490462</v>
      </c>
      <c r="M420" s="1">
        <v>0.34358494582098859</v>
      </c>
      <c r="N420" s="19">
        <v>9.1188120140321578E-3</v>
      </c>
      <c r="O420" s="19">
        <v>9.5065358629999996E-3</v>
      </c>
      <c r="P420" s="1">
        <v>0.73286079278382199</v>
      </c>
    </row>
    <row r="421" spans="1:16" x14ac:dyDescent="0.2">
      <c r="A421" s="1">
        <v>410</v>
      </c>
      <c r="B421" s="1">
        <v>1.0000570081773936</v>
      </c>
      <c r="C421" s="1">
        <v>2.699059532097523</v>
      </c>
      <c r="D421" s="1">
        <v>0.340170542700023</v>
      </c>
      <c r="E421" s="19">
        <v>9.12176159551999E-3</v>
      </c>
      <c r="F421" s="19">
        <v>9.5073399999999995E-3</v>
      </c>
      <c r="G421" s="1">
        <v>0.73223030671400768</v>
      </c>
      <c r="H421" s="1">
        <f t="shared" si="6"/>
        <v>4.3092905044837355E-3</v>
      </c>
      <c r="I421" s="20">
        <f>E421-N421</f>
        <v>5.0409855236379503E-6</v>
      </c>
      <c r="K421" s="1">
        <v>0.99825165587842934</v>
      </c>
      <c r="L421" s="1">
        <v>2.7094447277242262</v>
      </c>
      <c r="M421" s="1">
        <v>0.33886437499530558</v>
      </c>
      <c r="N421" s="19">
        <v>9.1167206099963521E-3</v>
      </c>
      <c r="O421" s="19">
        <v>9.5059608689999995E-3</v>
      </c>
      <c r="P421" s="1">
        <v>0.73235643228974867</v>
      </c>
    </row>
    <row r="422" spans="1:16" x14ac:dyDescent="0.2">
      <c r="A422" s="1">
        <v>411</v>
      </c>
      <c r="B422" s="1">
        <v>1.0000418932000956</v>
      </c>
      <c r="C422" s="1">
        <v>2.7172267589625636</v>
      </c>
      <c r="D422" s="1">
        <v>0.33782226993116027</v>
      </c>
      <c r="E422" s="19">
        <v>9.1198878267609584E-3</v>
      </c>
      <c r="F422" s="19">
        <v>9.5067699999999995E-3</v>
      </c>
      <c r="G422" s="1">
        <v>0.73172087352235249</v>
      </c>
      <c r="H422" s="1">
        <f t="shared" si="6"/>
        <v>4.4080934076572154E-3</v>
      </c>
      <c r="I422" s="20">
        <f>E422-N422</f>
        <v>5.1350656620451074E-6</v>
      </c>
      <c r="K422" s="1">
        <v>0.99838097979975937</v>
      </c>
      <c r="L422" s="1">
        <v>2.7413208690065756</v>
      </c>
      <c r="M422" s="1">
        <v>0.33485042523436792</v>
      </c>
      <c r="N422" s="19">
        <v>9.1147527610989133E-3</v>
      </c>
      <c r="O422" s="19">
        <v>9.5053886800000008E-3</v>
      </c>
      <c r="P422" s="1">
        <v>0.73184957697951036</v>
      </c>
    </row>
    <row r="423" spans="1:16" x14ac:dyDescent="0.2">
      <c r="A423" s="1">
        <v>412</v>
      </c>
      <c r="B423" s="1">
        <v>1.0000862188804251</v>
      </c>
      <c r="C423" s="1">
        <v>2.7534278245888788</v>
      </c>
      <c r="D423" s="1">
        <v>0.33330922993796819</v>
      </c>
      <c r="E423" s="19">
        <v>9.1181022470999528E-3</v>
      </c>
      <c r="F423" s="19">
        <v>9.5061999999999994E-3</v>
      </c>
      <c r="G423" s="1">
        <v>0.73120980913214673</v>
      </c>
      <c r="H423" s="1">
        <f t="shared" si="6"/>
        <v>4.6404303520208856E-3</v>
      </c>
      <c r="I423" s="20">
        <f>E423-N423</f>
        <v>5.3832453654947127E-6</v>
      </c>
      <c r="K423" s="1">
        <v>0.99847129285616443</v>
      </c>
      <c r="L423" s="1">
        <v>2.7539148819673946</v>
      </c>
      <c r="M423" s="1">
        <v>0.33325178772610514</v>
      </c>
      <c r="N423" s="19">
        <v>9.1127190017344581E-3</v>
      </c>
      <c r="O423" s="19">
        <v>9.5048192749999996E-3</v>
      </c>
      <c r="P423" s="1">
        <v>0.73134496729773957</v>
      </c>
    </row>
    <row r="424" spans="1:16" x14ac:dyDescent="0.2">
      <c r="A424" s="1">
        <v>413</v>
      </c>
      <c r="B424" s="1">
        <v>1.0001251023356204</v>
      </c>
      <c r="C424" s="1">
        <v>2.7005115995148672</v>
      </c>
      <c r="D424" s="1">
        <v>0.33977422367700144</v>
      </c>
      <c r="E424" s="19">
        <v>9.1164327722364734E-3</v>
      </c>
      <c r="F424" s="19">
        <v>9.5056299999999993E-3</v>
      </c>
      <c r="G424" s="1">
        <v>0.73069639931935648</v>
      </c>
      <c r="H424" s="1">
        <f t="shared" si="6"/>
        <v>5.0909039494250836E-3</v>
      </c>
      <c r="I424" s="20">
        <f>E424-N424</f>
        <v>5.8813411272159999E-6</v>
      </c>
      <c r="K424" s="1">
        <v>0.9985069291410833</v>
      </c>
      <c r="L424" s="1">
        <v>2.733600526096561</v>
      </c>
      <c r="M424" s="1">
        <v>0.33565689292173406</v>
      </c>
      <c r="N424" s="19">
        <v>9.1105514311092574E-3</v>
      </c>
      <c r="O424" s="19">
        <v>9.5042526360000004E-3</v>
      </c>
      <c r="P424" s="1">
        <v>0.73084431904670055</v>
      </c>
    </row>
    <row r="425" spans="1:16" x14ac:dyDescent="0.2">
      <c r="A425" s="1">
        <v>414</v>
      </c>
      <c r="B425" s="1">
        <v>0.9999791801536092</v>
      </c>
      <c r="C425" s="1">
        <v>2.7120304457824429</v>
      </c>
      <c r="D425" s="1">
        <v>0.33825681871513125</v>
      </c>
      <c r="E425" s="19">
        <v>9.1148177588855905E-3</v>
      </c>
      <c r="F425" s="19">
        <v>9.5050599999999992E-3</v>
      </c>
      <c r="G425" s="1">
        <v>0.73018218120453682</v>
      </c>
      <c r="H425" s="1">
        <f t="shared" si="6"/>
        <v>5.6582582517549773E-3</v>
      </c>
      <c r="I425" s="20">
        <f>E425-N425</f>
        <v>6.5097539754446071E-6</v>
      </c>
      <c r="K425" s="1">
        <v>0.99849150243465845</v>
      </c>
      <c r="L425" s="1">
        <v>2.7206037746151233</v>
      </c>
      <c r="M425" s="1">
        <v>0.33719437317851647</v>
      </c>
      <c r="N425" s="19">
        <v>9.1083080049101459E-3</v>
      </c>
      <c r="O425" s="19">
        <v>9.5036887410000007E-3</v>
      </c>
      <c r="P425" s="1">
        <v>0.73034618869009493</v>
      </c>
    </row>
    <row r="426" spans="1:16" x14ac:dyDescent="0.2">
      <c r="A426" s="1">
        <v>415</v>
      </c>
      <c r="B426" s="1">
        <v>0.9999882155216766</v>
      </c>
      <c r="C426" s="1">
        <v>2.726432612824472</v>
      </c>
      <c r="D426" s="1">
        <v>0.33640020067515924</v>
      </c>
      <c r="E426" s="19">
        <v>9.113297107095528E-3</v>
      </c>
      <c r="F426" s="19">
        <v>9.5045000000000008E-3</v>
      </c>
      <c r="G426" s="1">
        <v>0.7296661402174619</v>
      </c>
      <c r="H426" s="1">
        <f t="shared" si="6"/>
        <v>6.3764789621857665E-3</v>
      </c>
      <c r="I426" s="20">
        <f>E426-N426</f>
        <v>7.3058065931455585E-6</v>
      </c>
      <c r="K426" s="1">
        <v>0.99842330592508954</v>
      </c>
      <c r="L426" s="1">
        <v>2.6814619338249126</v>
      </c>
      <c r="M426" s="1">
        <v>0.34203949547908308</v>
      </c>
      <c r="N426" s="19">
        <v>9.1059913005023824E-3</v>
      </c>
      <c r="O426" s="19">
        <v>9.5031275700000004E-3</v>
      </c>
      <c r="P426" s="1">
        <v>0.72985052033203113</v>
      </c>
    </row>
    <row r="427" spans="1:16" x14ac:dyDescent="0.2">
      <c r="A427" s="1">
        <v>416</v>
      </c>
      <c r="B427" s="1">
        <v>1.0001830511104604</v>
      </c>
      <c r="C427" s="1">
        <v>2.7988555029191953</v>
      </c>
      <c r="D427" s="1">
        <v>0.32762518930978096</v>
      </c>
      <c r="E427" s="19">
        <v>9.1118062613846345E-3</v>
      </c>
      <c r="F427" s="19">
        <v>9.5039400000000007E-3</v>
      </c>
      <c r="G427" s="1">
        <v>0.72914989531440755</v>
      </c>
      <c r="H427" s="1">
        <f t="shared" si="6"/>
        <v>7.0362629126234921E-3</v>
      </c>
      <c r="I427" s="20">
        <f>E427-N427</f>
        <v>8.0286150049620891E-6</v>
      </c>
      <c r="K427" s="1">
        <v>0.9984345312565891</v>
      </c>
      <c r="L427" s="1">
        <v>2.62130579320791</v>
      </c>
      <c r="M427" s="1">
        <v>0.34981744753051208</v>
      </c>
      <c r="N427" s="19">
        <v>9.1037776463796724E-3</v>
      </c>
      <c r="O427" s="19">
        <v>9.5025691040000002E-3</v>
      </c>
      <c r="P427" s="1">
        <v>0.72935286443688707</v>
      </c>
    </row>
    <row r="428" spans="1:16" x14ac:dyDescent="0.2">
      <c r="A428" s="1">
        <v>417</v>
      </c>
      <c r="B428" s="1">
        <v>1.0002943486847546</v>
      </c>
      <c r="C428" s="1">
        <v>2.756840108563809</v>
      </c>
      <c r="D428" s="1">
        <v>0.33255104316934042</v>
      </c>
      <c r="E428" s="19">
        <v>9.1103734174871106E-3</v>
      </c>
      <c r="F428" s="19">
        <v>9.5033800000000005E-3</v>
      </c>
      <c r="G428" s="1">
        <v>0.72863272809912483</v>
      </c>
      <c r="H428" s="1">
        <f t="shared" si="6"/>
        <v>7.7333870139913441E-3</v>
      </c>
      <c r="I428" s="20">
        <f>E428-N428</f>
        <v>8.7879006476620364E-6</v>
      </c>
      <c r="K428" s="1">
        <v>0.99842994628957038</v>
      </c>
      <c r="L428" s="1">
        <v>2.6837171287701702</v>
      </c>
      <c r="M428" s="1">
        <v>0.34160896033249349</v>
      </c>
      <c r="N428" s="19">
        <v>9.1015855168394486E-3</v>
      </c>
      <c r="O428" s="19">
        <v>9.5020133219999997E-3</v>
      </c>
      <c r="P428" s="1">
        <v>0.72885527161031882</v>
      </c>
    </row>
    <row r="429" spans="1:16" x14ac:dyDescent="0.2">
      <c r="A429" s="1">
        <v>418</v>
      </c>
      <c r="B429" s="1">
        <v>1.0002037122460272</v>
      </c>
      <c r="C429" s="1">
        <v>2.7890635563003046</v>
      </c>
      <c r="D429" s="1">
        <v>0.32864504432890657</v>
      </c>
      <c r="E429" s="19">
        <v>9.1089121103142025E-3</v>
      </c>
      <c r="F429" s="19">
        <v>9.5028300000000003E-3</v>
      </c>
      <c r="G429" s="1">
        <v>0.72811682348282292</v>
      </c>
      <c r="H429" s="1">
        <f t="shared" si="6"/>
        <v>8.5455803867489442E-3</v>
      </c>
      <c r="I429" s="20">
        <f>E429-N429</f>
        <v>9.6711311444123288E-6</v>
      </c>
      <c r="K429" s="1">
        <v>0.99842299914771249</v>
      </c>
      <c r="L429" s="1">
        <v>2.70978661535014</v>
      </c>
      <c r="M429" s="1">
        <v>0.33825131865778718</v>
      </c>
      <c r="N429" s="19">
        <v>9.0992409791697901E-3</v>
      </c>
      <c r="O429" s="19">
        <v>9.5014602070000002E-3</v>
      </c>
      <c r="P429" s="1">
        <v>0.72836215114942815</v>
      </c>
    </row>
    <row r="430" spans="1:16" x14ac:dyDescent="0.2">
      <c r="A430" s="1">
        <v>419</v>
      </c>
      <c r="B430" s="1">
        <v>1.0002747439569297</v>
      </c>
      <c r="C430" s="1">
        <v>2.7847550055213151</v>
      </c>
      <c r="D430" s="1">
        <v>0.32908344892356844</v>
      </c>
      <c r="E430" s="19">
        <v>9.1073797197601322E-3</v>
      </c>
      <c r="F430" s="19">
        <v>9.5022800000000001E-3</v>
      </c>
      <c r="G430" s="1">
        <v>0.72760326726351809</v>
      </c>
      <c r="H430" s="1">
        <f t="shared" si="6"/>
        <v>9.3254445877411687E-3</v>
      </c>
      <c r="I430" s="20">
        <f>E430-N430</f>
        <v>1.0510651986966185E-5</v>
      </c>
      <c r="K430" s="1">
        <v>0.9984592876033308</v>
      </c>
      <c r="L430" s="1">
        <v>2.6623868881808543</v>
      </c>
      <c r="M430" s="1">
        <v>0.34420732361076017</v>
      </c>
      <c r="N430" s="19">
        <v>9.096869067773166E-3</v>
      </c>
      <c r="O430" s="19">
        <v>9.5009097390000002E-3</v>
      </c>
      <c r="P430" s="1">
        <v>0.72787034443548204</v>
      </c>
    </row>
    <row r="431" spans="1:16" x14ac:dyDescent="0.2">
      <c r="A431" s="1">
        <v>420</v>
      </c>
      <c r="B431" s="1">
        <v>1.0002289369800104</v>
      </c>
      <c r="C431" s="1">
        <v>2.7283774323063592</v>
      </c>
      <c r="D431" s="1">
        <v>0.3358140474753239</v>
      </c>
      <c r="E431" s="19">
        <v>9.1058657969691689E-3</v>
      </c>
      <c r="F431" s="19">
        <v>9.5017299999999999E-3</v>
      </c>
      <c r="G431" s="1">
        <v>0.72708978899355592</v>
      </c>
      <c r="H431" s="1">
        <f t="shared" si="6"/>
        <v>1.0162599802009398E-2</v>
      </c>
      <c r="I431" s="20">
        <f>E431-N431</f>
        <v>1.1407592184540724E-5</v>
      </c>
      <c r="K431" s="1">
        <v>0.99833914669678447</v>
      </c>
      <c r="L431" s="1">
        <v>2.6598890168781142</v>
      </c>
      <c r="M431" s="1">
        <v>0.34445627728712486</v>
      </c>
      <c r="N431" s="19">
        <v>9.0944582047846282E-3</v>
      </c>
      <c r="O431" s="19">
        <v>9.500361899E-3</v>
      </c>
      <c r="P431" s="1">
        <v>0.72738014898789904</v>
      </c>
    </row>
    <row r="432" spans="1:16" x14ac:dyDescent="0.2">
      <c r="A432" s="1">
        <v>421</v>
      </c>
      <c r="B432" s="1">
        <v>1.0002381425952991</v>
      </c>
      <c r="C432" s="1">
        <v>2.683934871505345</v>
      </c>
      <c r="D432" s="1">
        <v>0.34129875269360233</v>
      </c>
      <c r="E432" s="19">
        <v>9.1042637119462186E-3</v>
      </c>
      <c r="F432" s="19">
        <v>9.5011799999999997E-3</v>
      </c>
      <c r="G432" s="1">
        <v>0.72657910374533308</v>
      </c>
      <c r="H432" s="1">
        <f t="shared" si="6"/>
        <v>1.0927574438400561E-2</v>
      </c>
      <c r="I432" s="20">
        <f>E432-N432</f>
        <v>1.2216480299994878E-5</v>
      </c>
      <c r="K432" s="1">
        <v>0.9983870402589573</v>
      </c>
      <c r="L432" s="1">
        <v>2.682286697207648</v>
      </c>
      <c r="M432" s="1">
        <v>0.34151491564792275</v>
      </c>
      <c r="N432" s="19">
        <v>9.0920472316462237E-3</v>
      </c>
      <c r="O432" s="19">
        <v>9.4998166680000003E-3</v>
      </c>
      <c r="P432" s="1">
        <v>0.72689057855117822</v>
      </c>
    </row>
    <row r="433" spans="1:16" x14ac:dyDescent="0.2">
      <c r="A433" s="1">
        <v>422</v>
      </c>
      <c r="B433" s="1">
        <v>1.0000992012791647</v>
      </c>
      <c r="C433" s="1">
        <v>2.7032981841826866</v>
      </c>
      <c r="D433" s="1">
        <v>0.33878789274906967</v>
      </c>
      <c r="E433" s="19">
        <v>9.1026724972331184E-3</v>
      </c>
      <c r="F433" s="19">
        <v>9.5006299999999995E-3</v>
      </c>
      <c r="G433" s="1">
        <v>0.7260686935010261</v>
      </c>
      <c r="H433" s="1">
        <f t="shared" si="6"/>
        <v>1.1691122304349303E-2</v>
      </c>
      <c r="I433" s="20">
        <f>E433-N433</f>
        <v>1.3017172956021617E-5</v>
      </c>
      <c r="K433" s="1">
        <v>0.9983715953304747</v>
      </c>
      <c r="L433" s="1">
        <v>2.7258659367283706</v>
      </c>
      <c r="M433" s="1">
        <v>0.33597780513799469</v>
      </c>
      <c r="N433" s="19">
        <v>9.0896553242770968E-3</v>
      </c>
      <c r="O433" s="19">
        <v>9.4992740259999993E-3</v>
      </c>
      <c r="P433" s="1">
        <v>0.72640114247650522</v>
      </c>
    </row>
    <row r="434" spans="1:16" x14ac:dyDescent="0.2">
      <c r="A434" s="1">
        <v>423</v>
      </c>
      <c r="B434" s="1">
        <v>1.0001137902730379</v>
      </c>
      <c r="C434" s="1">
        <v>2.7070706559134377</v>
      </c>
      <c r="D434" s="1">
        <v>0.33824153452484168</v>
      </c>
      <c r="E434" s="19">
        <v>9.1010713786869694E-3</v>
      </c>
      <c r="F434" s="19">
        <v>9.5000899999999992E-3</v>
      </c>
      <c r="G434" s="1">
        <v>0.72555908753171239</v>
      </c>
      <c r="H434" s="1">
        <f t="shared" si="6"/>
        <v>1.2369916300264711E-2</v>
      </c>
      <c r="I434" s="20">
        <f>E434-N434</f>
        <v>1.3717366094897349E-5</v>
      </c>
      <c r="K434" s="1">
        <v>0.99843177445250419</v>
      </c>
      <c r="L434" s="1">
        <v>2.6544850919133451</v>
      </c>
      <c r="M434" s="1">
        <v>0.34494220375263651</v>
      </c>
      <c r="N434" s="19">
        <v>9.0873540125920721E-3</v>
      </c>
      <c r="O434" s="19">
        <v>9.4987339570000006E-3</v>
      </c>
      <c r="P434" s="1">
        <v>0.72591000714306742</v>
      </c>
    </row>
    <row r="435" spans="1:16" x14ac:dyDescent="0.2">
      <c r="A435" s="1">
        <v>424</v>
      </c>
      <c r="B435" s="1">
        <v>1.0000793988736809</v>
      </c>
      <c r="C435" s="1">
        <v>2.730724792516432</v>
      </c>
      <c r="D435" s="1">
        <v>0.335245161317413</v>
      </c>
      <c r="E435" s="19">
        <v>9.0993810185431463E-3</v>
      </c>
      <c r="F435" s="19">
        <v>9.4995500000000007E-3</v>
      </c>
      <c r="G435" s="1">
        <v>0.72505231895508027</v>
      </c>
      <c r="H435" s="1">
        <f t="shared" si="6"/>
        <v>1.2962939076087107E-2</v>
      </c>
      <c r="I435" s="20">
        <f>E435-N435</f>
        <v>1.431710004825941E-5</v>
      </c>
      <c r="K435" s="1">
        <v>0.99839911272395798</v>
      </c>
      <c r="L435" s="1">
        <v>2.691205129370291</v>
      </c>
      <c r="M435" s="1">
        <v>0.34016517118019757</v>
      </c>
      <c r="N435" s="19">
        <v>9.0850639184948869E-3</v>
      </c>
      <c r="O435" s="19">
        <v>9.4981964419999995E-3</v>
      </c>
      <c r="P435" s="1">
        <v>0.72541919458930915</v>
      </c>
    </row>
    <row r="436" spans="1:16" x14ac:dyDescent="0.2">
      <c r="A436" s="1">
        <v>425</v>
      </c>
      <c r="B436" s="1">
        <v>0.9998271273169852</v>
      </c>
      <c r="C436" s="1">
        <v>2.745762761575461</v>
      </c>
      <c r="D436" s="1">
        <v>0.33334175872230531</v>
      </c>
      <c r="E436" s="19">
        <v>9.0975389703711069E-3</v>
      </c>
      <c r="F436" s="19">
        <v>9.4990200000000004E-3</v>
      </c>
      <c r="G436" s="1">
        <v>0.72455000093435107</v>
      </c>
      <c r="H436" s="1">
        <f t="shared" si="6"/>
        <v>1.3433641074543645E-2</v>
      </c>
      <c r="I436" s="20">
        <f>E436-N436</f>
        <v>1.4777343174007113E-5</v>
      </c>
      <c r="K436" s="1">
        <v>0.99841965906246044</v>
      </c>
      <c r="L436" s="1">
        <v>2.7104905016429215</v>
      </c>
      <c r="M436" s="1">
        <v>0.33767561673059387</v>
      </c>
      <c r="N436" s="19">
        <v>9.0827616271970998E-3</v>
      </c>
      <c r="O436" s="19">
        <v>9.4976614630000004E-3</v>
      </c>
      <c r="P436" s="1">
        <v>0.72492930374116171</v>
      </c>
    </row>
    <row r="437" spans="1:16" x14ac:dyDescent="0.2">
      <c r="A437" s="1">
        <v>426</v>
      </c>
      <c r="B437" s="1">
        <v>0.99983819623018988</v>
      </c>
      <c r="C437" s="1">
        <v>2.799108400175343</v>
      </c>
      <c r="D437" s="1">
        <v>0.32691500237704552</v>
      </c>
      <c r="E437" s="19">
        <v>9.095615258589422E-3</v>
      </c>
      <c r="F437" s="19">
        <v>9.4984800000000001E-3</v>
      </c>
      <c r="G437" s="1">
        <v>0.72405035227039516</v>
      </c>
      <c r="H437" s="1">
        <f t="shared" si="6"/>
        <v>1.3802340168817595E-2</v>
      </c>
      <c r="I437" s="20">
        <f>E437-N437</f>
        <v>1.5122050165836121E-5</v>
      </c>
      <c r="K437" s="1">
        <v>0.99844774352375476</v>
      </c>
      <c r="L437" s="1">
        <v>2.731189402162681</v>
      </c>
      <c r="M437" s="1">
        <v>0.33504236932666187</v>
      </c>
      <c r="N437" s="19">
        <v>9.0804932084235859E-3</v>
      </c>
      <c r="O437" s="19">
        <v>9.4971290020000008E-3</v>
      </c>
      <c r="P437" s="1">
        <v>0.72443915058500974</v>
      </c>
    </row>
    <row r="438" spans="1:16" x14ac:dyDescent="0.2">
      <c r="A438" s="1">
        <v>427</v>
      </c>
      <c r="B438" s="1">
        <v>0.99985700012053658</v>
      </c>
      <c r="C438" s="1">
        <v>2.8030064221538695</v>
      </c>
      <c r="D438" s="1">
        <v>0.32639542102544084</v>
      </c>
      <c r="E438" s="19">
        <v>9.0937391030344854E-3</v>
      </c>
      <c r="F438" s="19">
        <v>9.4979499999999998E-3</v>
      </c>
      <c r="G438" s="1">
        <v>0.72355005574843823</v>
      </c>
      <c r="H438" s="1">
        <f t="shared" si="6"/>
        <v>1.4259471508312712E-2</v>
      </c>
      <c r="I438" s="20">
        <f>E438-N438</f>
        <v>1.5560421334218782E-5</v>
      </c>
      <c r="K438" s="1">
        <v>0.99852876596520013</v>
      </c>
      <c r="L438" s="1">
        <v>2.7400724515429591</v>
      </c>
      <c r="M438" s="1">
        <v>0.33389196313327552</v>
      </c>
      <c r="N438" s="19">
        <v>9.0781786817002667E-3</v>
      </c>
      <c r="O438" s="19">
        <v>9.4965990399999995E-3</v>
      </c>
      <c r="P438" s="1">
        <v>0.72395079031073273</v>
      </c>
    </row>
    <row r="439" spans="1:16" x14ac:dyDescent="0.2">
      <c r="A439" s="1">
        <v>428</v>
      </c>
      <c r="B439" s="1">
        <v>0.99990261669185743</v>
      </c>
      <c r="C439" s="1">
        <v>2.8271889450058079</v>
      </c>
      <c r="D439" s="1">
        <v>0.32353476186589664</v>
      </c>
      <c r="E439" s="19">
        <v>9.0918311613897677E-3</v>
      </c>
      <c r="F439" s="19">
        <v>9.4974199999999995E-3</v>
      </c>
      <c r="G439" s="1">
        <v>0.72305115073385851</v>
      </c>
      <c r="H439" s="1">
        <f t="shared" si="6"/>
        <v>1.4648236145042848E-2</v>
      </c>
      <c r="I439" s="20">
        <f>E439-N439</f>
        <v>1.5920912410682594E-5</v>
      </c>
      <c r="K439" s="1">
        <v>0.99859828835183617</v>
      </c>
      <c r="L439" s="1">
        <v>2.7363795061552603</v>
      </c>
      <c r="M439" s="1">
        <v>0.3342660230917916</v>
      </c>
      <c r="N439" s="19">
        <v>9.0759102489790851E-3</v>
      </c>
      <c r="O439" s="19">
        <v>9.496071561E-3</v>
      </c>
      <c r="P439" s="1">
        <v>0.7234618489435326</v>
      </c>
    </row>
    <row r="440" spans="1:16" x14ac:dyDescent="0.2">
      <c r="A440" s="1">
        <v>429</v>
      </c>
      <c r="B440" s="1">
        <v>0.99999002882346499</v>
      </c>
      <c r="C440" s="1">
        <v>2.7881570828482269</v>
      </c>
      <c r="D440" s="1">
        <v>0.32799481280918308</v>
      </c>
      <c r="E440" s="19">
        <v>9.0897402046312172E-3</v>
      </c>
      <c r="F440" s="19">
        <v>9.4968899999999992E-3</v>
      </c>
      <c r="G440" s="1">
        <v>0.72255754701797237</v>
      </c>
      <c r="H440" s="1">
        <f t="shared" si="6"/>
        <v>1.4945680704581105E-2</v>
      </c>
      <c r="I440" s="20">
        <f>E440-N440</f>
        <v>1.6179517205516109E-5</v>
      </c>
      <c r="K440" s="1">
        <v>0.99863738713939676</v>
      </c>
      <c r="L440" s="1">
        <v>2.7459819652504982</v>
      </c>
      <c r="M440" s="1">
        <v>0.33303130631501171</v>
      </c>
      <c r="N440" s="19">
        <v>9.073560687425701E-3</v>
      </c>
      <c r="O440" s="19">
        <v>9.4955465469999997E-3</v>
      </c>
      <c r="P440" s="1">
        <v>0.72297560801670191</v>
      </c>
    </row>
    <row r="441" spans="1:16" x14ac:dyDescent="0.2">
      <c r="A441" s="1">
        <v>430</v>
      </c>
      <c r="B441" s="1">
        <v>0.99978963065149162</v>
      </c>
      <c r="C441" s="1">
        <v>2.7552600080304122</v>
      </c>
      <c r="D441" s="1">
        <v>0.33183937917306738</v>
      </c>
      <c r="E441" s="19">
        <v>9.08762004813507E-3</v>
      </c>
      <c r="F441" s="19">
        <v>9.4963700000000005E-3</v>
      </c>
      <c r="G441" s="1">
        <v>0.72206528741746967</v>
      </c>
      <c r="H441" s="1">
        <f t="shared" si="6"/>
        <v>1.512608103716534E-2</v>
      </c>
      <c r="I441" s="20">
        <f>E441-N441</f>
        <v>1.6309799492015067E-5</v>
      </c>
      <c r="K441" s="1">
        <v>0.99859713471039702</v>
      </c>
      <c r="L441" s="1">
        <v>2.7526022375870762</v>
      </c>
      <c r="M441" s="1">
        <v>0.33216255338975326</v>
      </c>
      <c r="N441" s="19">
        <v>9.0713102486430549E-3</v>
      </c>
      <c r="O441" s="19">
        <v>9.495023981E-3</v>
      </c>
      <c r="P441" s="1">
        <v>0.72248741060920452</v>
      </c>
    </row>
    <row r="442" spans="1:16" x14ac:dyDescent="0.2">
      <c r="A442" s="1">
        <v>431</v>
      </c>
      <c r="B442" s="1">
        <v>0.99987121139539226</v>
      </c>
      <c r="C442" s="1">
        <v>2.7535387856985807</v>
      </c>
      <c r="D442" s="1">
        <v>0.33198099614856375</v>
      </c>
      <c r="E442" s="19">
        <v>9.0855682482980388E-3</v>
      </c>
      <c r="F442" s="19">
        <v>9.4958500000000001E-3</v>
      </c>
      <c r="G442" s="1">
        <v>0.72157184659088569</v>
      </c>
      <c r="H442" s="1">
        <f t="shared" si="6"/>
        <v>1.5239045255679012E-2</v>
      </c>
      <c r="I442" s="20">
        <f>E442-N442</f>
        <v>1.636660035296382E-5</v>
      </c>
      <c r="K442" s="1">
        <v>0.99875807003032402</v>
      </c>
      <c r="L442" s="1">
        <v>2.7898053972473495</v>
      </c>
      <c r="M442" s="1">
        <v>0.32766515883565006</v>
      </c>
      <c r="N442" s="19">
        <v>9.069201647945075E-3</v>
      </c>
      <c r="O442" s="19">
        <v>9.4945038460000006E-3</v>
      </c>
      <c r="P442" s="1">
        <v>0.72199613555392084</v>
      </c>
    </row>
    <row r="443" spans="1:16" x14ac:dyDescent="0.2">
      <c r="A443" s="1">
        <v>432</v>
      </c>
      <c r="B443" s="1">
        <v>0.99989788611408825</v>
      </c>
      <c r="C443" s="1">
        <v>2.706702610068104</v>
      </c>
      <c r="D443" s="1">
        <v>0.33765679562415207</v>
      </c>
      <c r="E443" s="19">
        <v>9.08355257896158E-3</v>
      </c>
      <c r="F443" s="19">
        <v>9.4953299999999997E-3</v>
      </c>
      <c r="G443" s="1">
        <v>0.72107805164857031</v>
      </c>
      <c r="H443" s="1">
        <f t="shared" si="6"/>
        <v>1.5389751176539068E-2</v>
      </c>
      <c r="I443" s="20">
        <f>E443-N443</f>
        <v>1.6463251604889248E-5</v>
      </c>
      <c r="K443" s="1">
        <v>0.99891949630288668</v>
      </c>
      <c r="L443" s="1">
        <v>2.7543048865119699</v>
      </c>
      <c r="M443" s="1">
        <v>0.33181521616415632</v>
      </c>
      <c r="N443" s="19">
        <v>9.0670893273566908E-3</v>
      </c>
      <c r="O443" s="19">
        <v>9.4939861259999998E-3</v>
      </c>
      <c r="P443" s="1">
        <v>0.7215055447368075</v>
      </c>
    </row>
    <row r="444" spans="1:16" x14ac:dyDescent="0.2">
      <c r="A444" s="1">
        <v>433</v>
      </c>
      <c r="B444" s="1">
        <v>0.99983971709016661</v>
      </c>
      <c r="C444" s="1">
        <v>2.6981218505541884</v>
      </c>
      <c r="D444" s="1">
        <v>0.33865678616411432</v>
      </c>
      <c r="E444" s="19">
        <v>9.0815318769964619E-3</v>
      </c>
      <c r="F444" s="19">
        <v>9.4948099999999994E-3</v>
      </c>
      <c r="G444" s="1">
        <v>0.72058496755675783</v>
      </c>
      <c r="H444" s="1">
        <f t="shared" si="6"/>
        <v>1.5539445411778874E-2</v>
      </c>
      <c r="I444" s="20">
        <f>E444-N444</f>
        <v>1.655797688294991E-5</v>
      </c>
      <c r="K444" s="1">
        <v>0.99908817153497109</v>
      </c>
      <c r="L444" s="1">
        <v>2.7969370735091559</v>
      </c>
      <c r="M444" s="1">
        <v>0.32669504128239751</v>
      </c>
      <c r="N444" s="19">
        <v>9.064973900113512E-3</v>
      </c>
      <c r="O444" s="19">
        <v>9.4934708019999998E-3</v>
      </c>
      <c r="P444" s="1">
        <v>0.72101562193306579</v>
      </c>
    </row>
    <row r="445" spans="1:16" x14ac:dyDescent="0.2">
      <c r="A445" s="1">
        <v>434</v>
      </c>
      <c r="B445" s="1">
        <v>0.99983444432680058</v>
      </c>
      <c r="C445" s="1">
        <v>2.6822350038449709</v>
      </c>
      <c r="D445" s="1">
        <v>0.34059277193579512</v>
      </c>
      <c r="E445" s="19">
        <v>9.0795567924866292E-3</v>
      </c>
      <c r="F445" s="19">
        <v>9.4942900000000007E-3</v>
      </c>
      <c r="G445" s="1">
        <v>0.72009127512854543</v>
      </c>
      <c r="H445" s="1">
        <f t="shared" si="6"/>
        <v>1.5744695881495369E-2</v>
      </c>
      <c r="I445" s="20">
        <f>E445-N445</f>
        <v>1.6710849019831511E-5</v>
      </c>
      <c r="K445" s="1">
        <v>0.99926172211323805</v>
      </c>
      <c r="L445" s="1">
        <v>2.8224337187295427</v>
      </c>
      <c r="M445" s="1">
        <v>0.32367146268835556</v>
      </c>
      <c r="N445" s="19">
        <v>9.0628459434667977E-3</v>
      </c>
      <c r="O445" s="19">
        <v>9.4929578580000007E-3</v>
      </c>
      <c r="P445" s="1">
        <v>0.72052661234185866</v>
      </c>
    </row>
    <row r="446" spans="1:16" x14ac:dyDescent="0.2">
      <c r="A446" s="1">
        <v>435</v>
      </c>
      <c r="B446" s="1">
        <v>0.99993758192552229</v>
      </c>
      <c r="C446" s="1">
        <v>2.6700486609185274</v>
      </c>
      <c r="D446" s="1">
        <v>0.3420774871333267</v>
      </c>
      <c r="E446" s="19">
        <v>9.0774456972578486E-3</v>
      </c>
      <c r="F446" s="19">
        <v>9.4937800000000003E-3</v>
      </c>
      <c r="G446" s="1">
        <v>0.71960170572758619</v>
      </c>
      <c r="H446" s="1">
        <f t="shared" si="6"/>
        <v>1.5883109147041136E-2</v>
      </c>
      <c r="I446" s="20">
        <f>E446-N446</f>
        <v>1.6791717927549382E-5</v>
      </c>
      <c r="K446" s="1">
        <v>0.99920362051918565</v>
      </c>
      <c r="L446" s="1">
        <v>2.7859476284364746</v>
      </c>
      <c r="M446" s="1">
        <v>0.32784762059570366</v>
      </c>
      <c r="N446" s="19">
        <v>9.0606539793302993E-3</v>
      </c>
      <c r="O446" s="19">
        <v>9.4924472780000008E-3</v>
      </c>
      <c r="P446" s="1">
        <v>0.72003986046267698</v>
      </c>
    </row>
    <row r="447" spans="1:16" x14ac:dyDescent="0.2">
      <c r="A447" s="1">
        <v>436</v>
      </c>
      <c r="B447" s="1">
        <v>1.0000003950253495</v>
      </c>
      <c r="C447" s="1">
        <v>2.716318508275382</v>
      </c>
      <c r="D447" s="1">
        <v>0.33618388572817881</v>
      </c>
      <c r="E447" s="19">
        <v>9.075379924141121E-3</v>
      </c>
      <c r="F447" s="19">
        <v>9.4932699999999998E-3</v>
      </c>
      <c r="G447" s="1">
        <v>0.71911153802562056</v>
      </c>
      <c r="H447" s="1">
        <f t="shared" si="6"/>
        <v>1.6030312292612276E-2</v>
      </c>
      <c r="I447" s="20">
        <f>E447-N447</f>
        <v>1.6881150662433758E-5</v>
      </c>
      <c r="K447" s="1">
        <v>0.99926569151814548</v>
      </c>
      <c r="L447" s="1">
        <v>2.7593809603871033</v>
      </c>
      <c r="M447" s="1">
        <v>0.33093121490807864</v>
      </c>
      <c r="N447" s="19">
        <v>9.0584987734786872E-3</v>
      </c>
      <c r="O447" s="19">
        <v>9.4919390460000003E-3</v>
      </c>
      <c r="P447" s="1">
        <v>0.71955273928138053</v>
      </c>
    </row>
    <row r="448" spans="1:16" x14ac:dyDescent="0.2">
      <c r="A448" s="1">
        <v>437</v>
      </c>
      <c r="B448" s="1">
        <v>1.0000408756361849</v>
      </c>
      <c r="C448" s="1">
        <v>2.6675385905439701</v>
      </c>
      <c r="D448" s="1">
        <v>0.34225186359365273</v>
      </c>
      <c r="E448" s="19">
        <v>9.0733716689678778E-3</v>
      </c>
      <c r="F448" s="19">
        <v>9.4927599999999994E-3</v>
      </c>
      <c r="G448" s="1">
        <v>0.71862044639472822</v>
      </c>
      <c r="H448" s="1">
        <f t="shared" si="6"/>
        <v>1.6200425859542067E-2</v>
      </c>
      <c r="I448" s="20">
        <f>E448-N448</f>
        <v>1.6993862061167112E-5</v>
      </c>
      <c r="K448" s="1">
        <v>0.99911784771927736</v>
      </c>
      <c r="L448" s="1">
        <v>2.741841083625383</v>
      </c>
      <c r="M448" s="1">
        <v>0.33297654475468946</v>
      </c>
      <c r="N448" s="19">
        <v>9.0563778069067107E-3</v>
      </c>
      <c r="O448" s="19">
        <v>9.4914331460000008E-3</v>
      </c>
      <c r="P448" s="1">
        <v>0.71906530934739299</v>
      </c>
    </row>
    <row r="449" spans="1:16" x14ac:dyDescent="0.2">
      <c r="A449" s="1">
        <v>438</v>
      </c>
      <c r="B449" s="1">
        <v>1.0000068845043177</v>
      </c>
      <c r="C449" s="1">
        <v>2.6547035109688575</v>
      </c>
      <c r="D449" s="1">
        <v>0.3438403163733742</v>
      </c>
      <c r="E449" s="19">
        <v>9.0714374818698425E-3</v>
      </c>
      <c r="F449" s="19">
        <v>9.4922600000000006E-3</v>
      </c>
      <c r="G449" s="1">
        <v>0.71812798905135</v>
      </c>
      <c r="H449" s="1">
        <f t="shared" si="6"/>
        <v>1.6432749789922207E-2</v>
      </c>
      <c r="I449" s="20">
        <f>E449-N449</f>
        <v>1.7170643069594482E-5</v>
      </c>
      <c r="K449" s="1">
        <v>0.99910110892253812</v>
      </c>
      <c r="L449" s="1">
        <v>2.7837859406049006</v>
      </c>
      <c r="M449" s="1">
        <v>0.32789470390269826</v>
      </c>
      <c r="N449" s="19">
        <v>9.0542668388002481E-3</v>
      </c>
      <c r="O449" s="19">
        <v>9.4909295620000007E-3</v>
      </c>
      <c r="P449" s="1">
        <v>0.71857820137436157</v>
      </c>
    </row>
    <row r="450" spans="1:16" x14ac:dyDescent="0.2">
      <c r="A450" s="1">
        <v>439</v>
      </c>
      <c r="B450" s="1">
        <v>1.0000655499552351</v>
      </c>
      <c r="C450" s="1">
        <v>2.6307859032142291</v>
      </c>
      <c r="D450" s="1">
        <v>0.34688884373205081</v>
      </c>
      <c r="E450" s="19">
        <v>9.0696003778301029E-3</v>
      </c>
      <c r="F450" s="19">
        <v>9.4917600000000001E-3</v>
      </c>
      <c r="G450" s="1">
        <v>0.71763355175273513</v>
      </c>
      <c r="H450" s="1">
        <f t="shared" si="6"/>
        <v>1.6740910954248716E-2</v>
      </c>
      <c r="I450" s="20">
        <f>E450-N450</f>
        <v>1.7424943243308372E-5</v>
      </c>
      <c r="K450" s="1">
        <v>0.99919754883577994</v>
      </c>
      <c r="L450" s="1">
        <v>2.7658926129957471</v>
      </c>
      <c r="M450" s="1">
        <v>0.32994892574679374</v>
      </c>
      <c r="N450" s="19">
        <v>9.0521754345867945E-3</v>
      </c>
      <c r="O450" s="19">
        <v>9.4904282769999997E-3</v>
      </c>
      <c r="P450" s="1">
        <v>0.71809116207494694</v>
      </c>
    </row>
    <row r="451" spans="1:16" x14ac:dyDescent="0.2">
      <c r="A451" s="1">
        <v>440</v>
      </c>
      <c r="B451" s="1">
        <v>0.99990068959916256</v>
      </c>
      <c r="C451" s="1">
        <v>2.6517292570284536</v>
      </c>
      <c r="D451" s="1">
        <v>0.34407920146455201</v>
      </c>
      <c r="E451" s="19">
        <v>9.0676473671142815E-3</v>
      </c>
      <c r="F451" s="19">
        <v>9.4912599999999996E-3</v>
      </c>
      <c r="G451" s="1">
        <v>0.71714272224171394</v>
      </c>
      <c r="H451" s="1">
        <f t="shared" si="6"/>
        <v>1.6860870748064416E-2</v>
      </c>
      <c r="I451" s="20">
        <f>E451-N451</f>
        <v>1.7482049364168223E-5</v>
      </c>
      <c r="K451" s="1">
        <v>0.99936314574827578</v>
      </c>
      <c r="L451" s="1">
        <v>2.8303760002519334</v>
      </c>
      <c r="M451" s="1">
        <v>0.32236376093611063</v>
      </c>
      <c r="N451" s="19">
        <v>9.0501653177501133E-3</v>
      </c>
      <c r="O451" s="19">
        <v>9.489929276E-3</v>
      </c>
      <c r="P451" s="1">
        <v>0.7176025641712066</v>
      </c>
    </row>
    <row r="452" spans="1:16" x14ac:dyDescent="0.2">
      <c r="A452" s="1">
        <v>441</v>
      </c>
      <c r="B452" s="1">
        <v>0.99989632157563679</v>
      </c>
      <c r="C452" s="1">
        <v>2.7063727694226101</v>
      </c>
      <c r="D452" s="1">
        <v>0.33706422426498878</v>
      </c>
      <c r="E452" s="19">
        <v>9.0656468991133984E-3</v>
      </c>
      <c r="F452" s="19">
        <v>9.4907600000000009E-3</v>
      </c>
      <c r="G452" s="1">
        <v>0.71665371159048152</v>
      </c>
      <c r="H452" s="1">
        <f t="shared" si="6"/>
        <v>1.7089187793911415E-2</v>
      </c>
      <c r="I452" s="20">
        <f>E452-N452</f>
        <v>1.765047997180462E-5</v>
      </c>
      <c r="K452" s="1">
        <v>0.99940710862079818</v>
      </c>
      <c r="L452" s="1">
        <v>2.8333874869406377</v>
      </c>
      <c r="M452" s="1">
        <v>0.32195442481296654</v>
      </c>
      <c r="N452" s="19">
        <v>9.0479964191415938E-3</v>
      </c>
      <c r="O452" s="19">
        <v>9.4894325440000003E-3</v>
      </c>
      <c r="P452" s="1">
        <v>0.71711872350324102</v>
      </c>
    </row>
    <row r="453" spans="1:16" x14ac:dyDescent="0.2">
      <c r="A453" s="1">
        <v>442</v>
      </c>
      <c r="B453" s="1">
        <v>0.9998754029322301</v>
      </c>
      <c r="C453" s="1">
        <v>2.796920245929587</v>
      </c>
      <c r="D453" s="1">
        <v>0.32608497179120211</v>
      </c>
      <c r="E453" s="19">
        <v>9.0637684625073048E-3</v>
      </c>
      <c r="F453" s="19">
        <v>9.4902600000000004E-3</v>
      </c>
      <c r="G453" s="1">
        <v>0.71616205413813705</v>
      </c>
      <c r="H453" s="1">
        <f t="shared" si="6"/>
        <v>1.73985675714813E-2</v>
      </c>
      <c r="I453" s="20">
        <f>E453-N453</f>
        <v>1.7900986162075125E-5</v>
      </c>
      <c r="K453" s="1">
        <v>0.99939716838541082</v>
      </c>
      <c r="L453" s="1">
        <v>2.8451221090090115</v>
      </c>
      <c r="M453" s="1">
        <v>0.32055552870123877</v>
      </c>
      <c r="N453" s="19">
        <v>9.0458674763452297E-3</v>
      </c>
      <c r="O453" s="19">
        <v>9.4889380640000003E-3</v>
      </c>
      <c r="P453" s="1">
        <v>0.71663441343872025</v>
      </c>
    </row>
    <row r="454" spans="1:16" x14ac:dyDescent="0.2">
      <c r="A454" s="1">
        <v>443</v>
      </c>
      <c r="B454" s="1">
        <v>0.99985459260854037</v>
      </c>
      <c r="C454" s="1">
        <v>2.8198171289335918</v>
      </c>
      <c r="D454" s="1">
        <v>0.32336440819351581</v>
      </c>
      <c r="E454" s="19">
        <v>9.0618286046916068E-3</v>
      </c>
      <c r="F454" s="19">
        <v>9.4897699999999998E-3</v>
      </c>
      <c r="G454" s="1">
        <v>0.71567258080413532</v>
      </c>
      <c r="H454" s="1">
        <f t="shared" si="6"/>
        <v>1.7600818953917158E-2</v>
      </c>
      <c r="I454" s="20">
        <f>E454-N454</f>
        <v>1.8039683604347684E-5</v>
      </c>
      <c r="K454" s="1">
        <v>0.99945426728652786</v>
      </c>
      <c r="L454" s="1">
        <v>2.8585977194227166</v>
      </c>
      <c r="M454" s="1">
        <v>0.31897916538191706</v>
      </c>
      <c r="N454" s="19">
        <v>9.0437889210872591E-3</v>
      </c>
      <c r="O454" s="19">
        <v>9.4884458229999996E-3</v>
      </c>
      <c r="P454" s="1">
        <v>0.71614935242365452</v>
      </c>
    </row>
    <row r="455" spans="1:16" x14ac:dyDescent="0.2">
      <c r="A455" s="1">
        <v>444</v>
      </c>
      <c r="B455" s="1">
        <v>1.0000425104403623</v>
      </c>
      <c r="C455" s="1">
        <v>2.8348511225185602</v>
      </c>
      <c r="D455" s="1">
        <v>0.32158387230075325</v>
      </c>
      <c r="E455" s="19">
        <v>9.059863220301112E-3</v>
      </c>
      <c r="F455" s="19">
        <v>9.4892699999999993E-3</v>
      </c>
      <c r="G455" s="1">
        <v>0.71518434871421099</v>
      </c>
      <c r="H455" s="1">
        <f t="shared" si="6"/>
        <v>1.7859751806577062E-2</v>
      </c>
      <c r="I455" s="20">
        <f>E455-N455</f>
        <v>1.8235070743761669E-5</v>
      </c>
      <c r="K455" s="1">
        <v>0.99917701164122541</v>
      </c>
      <c r="L455" s="1">
        <v>2.86646645423862</v>
      </c>
      <c r="M455" s="1">
        <v>0.31804244337483106</v>
      </c>
      <c r="N455" s="19">
        <v>9.0416281495573503E-3</v>
      </c>
      <c r="O455" s="19">
        <v>9.4879558039999996E-3</v>
      </c>
      <c r="P455" s="1">
        <v>0.71566704470898335</v>
      </c>
    </row>
    <row r="456" spans="1:16" x14ac:dyDescent="0.2">
      <c r="A456" s="1">
        <v>445</v>
      </c>
      <c r="B456" s="1">
        <v>1.0001579691968814</v>
      </c>
      <c r="C456" s="1">
        <v>2.8848225556374572</v>
      </c>
      <c r="D456" s="1">
        <v>0.31594323880466263</v>
      </c>
      <c r="E456" s="19">
        <v>9.0578887158320361E-3</v>
      </c>
      <c r="F456" s="19">
        <v>9.4887800000000005E-3</v>
      </c>
      <c r="G456" s="1">
        <v>0.71469692551784725</v>
      </c>
      <c r="H456" s="1">
        <f t="shared" si="6"/>
        <v>1.8147752068266253E-2</v>
      </c>
      <c r="I456" s="20">
        <f>E456-N456</f>
        <v>1.8458429530226333E-5</v>
      </c>
      <c r="K456" s="1">
        <v>0.99910311761756987</v>
      </c>
      <c r="L456" s="1">
        <v>2.9015485414910223</v>
      </c>
      <c r="M456" s="1">
        <v>0.31412878915721765</v>
      </c>
      <c r="N456" s="19">
        <v>9.0394302863018097E-3</v>
      </c>
      <c r="O456" s="19">
        <v>9.4874679920000007E-3</v>
      </c>
      <c r="P456" s="1">
        <v>0.71518630310171061</v>
      </c>
    </row>
    <row r="457" spans="1:16" x14ac:dyDescent="0.2">
      <c r="A457" s="1">
        <v>446</v>
      </c>
      <c r="B457" s="1">
        <v>1.0000776363175958</v>
      </c>
      <c r="C457" s="1">
        <v>2.8753944481671172</v>
      </c>
      <c r="D457" s="1">
        <v>0.3169191955954328</v>
      </c>
      <c r="E457" s="19">
        <v>9.0558986274646008E-3</v>
      </c>
      <c r="F457" s="19">
        <v>9.4882999999999999E-3</v>
      </c>
      <c r="G457" s="1">
        <v>0.71421048322429981</v>
      </c>
      <c r="H457" s="1">
        <f t="shared" si="6"/>
        <v>1.8400719639153851E-2</v>
      </c>
      <c r="I457" s="20">
        <f>E457-N457</f>
        <v>1.8644505991189872E-5</v>
      </c>
      <c r="K457" s="1">
        <v>0.99922215572536333</v>
      </c>
      <c r="L457" s="1">
        <v>2.9525030492668916</v>
      </c>
      <c r="M457" s="1">
        <v>0.30864206665405325</v>
      </c>
      <c r="N457" s="19">
        <v>9.037254121473411E-3</v>
      </c>
      <c r="O457" s="19">
        <v>9.4869823730000004E-3</v>
      </c>
      <c r="P457" s="1">
        <v>0.71470556985136224</v>
      </c>
    </row>
    <row r="458" spans="1:16" x14ac:dyDescent="0.2">
      <c r="A458" s="1">
        <v>447</v>
      </c>
      <c r="B458" s="1">
        <v>1.0000529242785885</v>
      </c>
      <c r="C458" s="1">
        <v>2.8081945318213686</v>
      </c>
      <c r="D458" s="1">
        <v>0.32443609636557391</v>
      </c>
      <c r="E458" s="19">
        <v>9.05386159795828E-3</v>
      </c>
      <c r="F458" s="19">
        <v>9.4878099999999993E-3</v>
      </c>
      <c r="G458" s="1">
        <v>0.71372585673538291</v>
      </c>
      <c r="H458" s="1">
        <f t="shared" si="6"/>
        <v>1.8696714170195999E-2</v>
      </c>
      <c r="I458" s="20">
        <f>E458-N458</f>
        <v>1.8872465522963566E-5</v>
      </c>
      <c r="K458" s="1">
        <v>0.99920117774506712</v>
      </c>
      <c r="L458" s="1">
        <v>2.8778230992903424</v>
      </c>
      <c r="M458" s="1">
        <v>0.31658504828115741</v>
      </c>
      <c r="N458" s="19">
        <v>9.0349891324353164E-3</v>
      </c>
      <c r="O458" s="19">
        <v>9.4864989319999992E-3</v>
      </c>
      <c r="P458" s="1">
        <v>0.71422778194800562</v>
      </c>
    </row>
    <row r="459" spans="1:16" x14ac:dyDescent="0.2">
      <c r="A459" s="1">
        <v>448</v>
      </c>
      <c r="B459" s="1">
        <v>0.99991694446806612</v>
      </c>
      <c r="C459" s="1">
        <v>2.786444539949795</v>
      </c>
      <c r="D459" s="1">
        <v>0.32689994952132317</v>
      </c>
      <c r="E459" s="19">
        <v>9.0518934068772264E-3</v>
      </c>
      <c r="F459" s="19">
        <v>9.4873300000000004E-3</v>
      </c>
      <c r="G459" s="1">
        <v>0.71323996823196401</v>
      </c>
      <c r="H459" s="1">
        <f t="shared" si="6"/>
        <v>1.9127973657499336E-2</v>
      </c>
      <c r="I459" s="20">
        <f>E459-N459</f>
        <v>1.9234629084891736E-5</v>
      </c>
      <c r="K459" s="1">
        <v>0.99915604119162094</v>
      </c>
      <c r="L459" s="1">
        <v>2.8827505670971929</v>
      </c>
      <c r="M459" s="1">
        <v>0.31597949317173335</v>
      </c>
      <c r="N459" s="19">
        <v>9.0326587777923347E-3</v>
      </c>
      <c r="O459" s="19">
        <v>9.4860176539999994E-3</v>
      </c>
      <c r="P459" s="1">
        <v>0.71375232466921845</v>
      </c>
    </row>
    <row r="460" spans="1:16" x14ac:dyDescent="0.2">
      <c r="A460" s="1">
        <v>449</v>
      </c>
      <c r="B460" s="1">
        <v>0.99985542037393715</v>
      </c>
      <c r="C460" s="1">
        <v>2.7965147470429144</v>
      </c>
      <c r="D460" s="1">
        <v>0.32565725939205126</v>
      </c>
      <c r="E460" s="19">
        <v>9.0500038812272397E-3</v>
      </c>
      <c r="F460" s="19">
        <v>9.4868499999999998E-3</v>
      </c>
      <c r="G460" s="1">
        <v>0.71275254639903052</v>
      </c>
      <c r="H460" s="1">
        <f t="shared" si="6"/>
        <v>1.946129390176235E-2</v>
      </c>
      <c r="I460" s="20">
        <f>E460-N460</f>
        <v>1.949594680206862E-5</v>
      </c>
      <c r="K460" s="1">
        <v>0.99911370774456587</v>
      </c>
      <c r="L460" s="1">
        <v>2.9254459081078159</v>
      </c>
      <c r="M460" s="1">
        <v>0.3113028887059604</v>
      </c>
      <c r="N460" s="19">
        <v>9.030507934425171E-3</v>
      </c>
      <c r="O460" s="19">
        <v>9.485538525E-3</v>
      </c>
      <c r="P460" s="1">
        <v>0.71327267006678363</v>
      </c>
    </row>
    <row r="461" spans="1:16" x14ac:dyDescent="0.2">
      <c r="A461" s="1">
        <v>450</v>
      </c>
      <c r="B461" s="1">
        <v>0.99967897735691769</v>
      </c>
      <c r="C461" s="1">
        <v>2.7886772065896017</v>
      </c>
      <c r="D461" s="1">
        <v>0.32649726834193499</v>
      </c>
      <c r="E461" s="19">
        <v>9.0481858958036659E-3</v>
      </c>
      <c r="F461" s="19">
        <v>9.4863699999999992E-3</v>
      </c>
      <c r="G461" s="1">
        <v>0.71226377113893169</v>
      </c>
      <c r="H461" s="1">
        <f t="shared" ref="H461:H524" si="7">(P461-G461)*A461/12</f>
        <v>1.9789723107387081E-2</v>
      </c>
      <c r="I461" s="20">
        <f>E461-N461</f>
        <v>1.9750381538919184E-5</v>
      </c>
      <c r="K461" s="1">
        <v>0.9992046711048741</v>
      </c>
      <c r="L461" s="1">
        <v>2.9415171772981448</v>
      </c>
      <c r="M461" s="1">
        <v>0.30953834873154412</v>
      </c>
      <c r="N461" s="19">
        <v>9.0284355142647467E-3</v>
      </c>
      <c r="O461" s="19">
        <v>9.4850615310000004E-3</v>
      </c>
      <c r="P461" s="1">
        <v>0.71279149708846201</v>
      </c>
    </row>
    <row r="462" spans="1:16" x14ac:dyDescent="0.2">
      <c r="A462" s="1">
        <v>451</v>
      </c>
      <c r="B462" s="1">
        <v>0.99969765366051033</v>
      </c>
      <c r="C462" s="1">
        <v>2.8839913093633553</v>
      </c>
      <c r="D462" s="1">
        <v>0.3156430076216119</v>
      </c>
      <c r="E462" s="19">
        <v>9.0461602739073336E-3</v>
      </c>
      <c r="F462" s="19">
        <v>9.4858900000000003E-3</v>
      </c>
      <c r="G462" s="1">
        <v>0.71178110120996307</v>
      </c>
      <c r="H462" s="1">
        <f t="shared" si="7"/>
        <v>1.9988727590635098E-2</v>
      </c>
      <c r="I462" s="20">
        <f>E462-N462</f>
        <v>1.9874028152299522E-5</v>
      </c>
      <c r="K462" s="1">
        <v>0.99921158526278775</v>
      </c>
      <c r="L462" s="1">
        <v>3.0219646560337909</v>
      </c>
      <c r="M462" s="1">
        <v>0.30123160757373535</v>
      </c>
      <c r="N462" s="19">
        <v>9.0262862457550341E-3</v>
      </c>
      <c r="O462" s="19">
        <v>9.4845866560000006E-3</v>
      </c>
      <c r="P462" s="1">
        <v>0.71231295205494671</v>
      </c>
    </row>
    <row r="463" spans="1:16" x14ac:dyDescent="0.2">
      <c r="A463" s="1">
        <v>452</v>
      </c>
      <c r="B463" s="1">
        <v>0.99971685506053676</v>
      </c>
      <c r="C463" s="1">
        <v>2.9007400886196737</v>
      </c>
      <c r="D463" s="1">
        <v>0.31376019405946443</v>
      </c>
      <c r="E463" s="19">
        <v>9.0439911128994948E-3</v>
      </c>
      <c r="F463" s="19">
        <v>9.4854199999999996E-3</v>
      </c>
      <c r="G463" s="1">
        <v>0.71130284425025891</v>
      </c>
      <c r="H463" s="1">
        <f t="shared" si="7"/>
        <v>2.0119171430420562E-2</v>
      </c>
      <c r="I463" s="20">
        <f>E463-N463</f>
        <v>1.9928662734326405E-5</v>
      </c>
      <c r="K463" s="1">
        <v>0.99924511548555051</v>
      </c>
      <c r="L463" s="1">
        <v>3.0121332084078007</v>
      </c>
      <c r="M463" s="1">
        <v>0.3021575190157722</v>
      </c>
      <c r="N463" s="19">
        <v>9.0240624501651684E-3</v>
      </c>
      <c r="O463" s="19">
        <v>9.4841138880000005E-3</v>
      </c>
      <c r="P463" s="1">
        <v>0.71183698154487185</v>
      </c>
    </row>
    <row r="464" spans="1:16" x14ac:dyDescent="0.2">
      <c r="A464" s="1">
        <v>453</v>
      </c>
      <c r="B464" s="1">
        <v>0.99980565878566974</v>
      </c>
      <c r="C464" s="1">
        <v>2.9332292633542645</v>
      </c>
      <c r="D464" s="1">
        <v>0.31021717030133561</v>
      </c>
      <c r="E464" s="19">
        <v>9.0418296234947067E-3</v>
      </c>
      <c r="F464" s="19">
        <v>9.4849400000000007E-3</v>
      </c>
      <c r="G464" s="1">
        <v>0.71082495976420101</v>
      </c>
      <c r="H464" s="1">
        <f t="shared" si="7"/>
        <v>2.0460683295994236E-2</v>
      </c>
      <c r="I464" s="20">
        <f>E464-N464</f>
        <v>2.0191009337219498E-5</v>
      </c>
      <c r="K464" s="1">
        <v>0.99926909790514395</v>
      </c>
      <c r="L464" s="1">
        <v>3.0305828670632611</v>
      </c>
      <c r="M464" s="1">
        <v>0.30025360301090087</v>
      </c>
      <c r="N464" s="19">
        <v>9.0216386141574872E-3</v>
      </c>
      <c r="O464" s="19">
        <v>9.4836432120000008E-3</v>
      </c>
      <c r="P464" s="1">
        <v>0.71136696461972404</v>
      </c>
    </row>
    <row r="465" spans="1:16" x14ac:dyDescent="0.2">
      <c r="A465" s="1">
        <v>454</v>
      </c>
      <c r="B465" s="1">
        <v>0.99986974334239853</v>
      </c>
      <c r="C465" s="1">
        <v>2.9409384131810619</v>
      </c>
      <c r="D465" s="1">
        <v>0.30934218204612945</v>
      </c>
      <c r="E465" s="19">
        <v>9.0395409973762202E-3</v>
      </c>
      <c r="F465" s="19">
        <v>9.4844700000000001E-3</v>
      </c>
      <c r="G465" s="1">
        <v>0.71035106902781853</v>
      </c>
      <c r="H465" s="1">
        <f t="shared" si="7"/>
        <v>2.0738838524016128E-2</v>
      </c>
      <c r="I465" s="20">
        <f>E465-N465</f>
        <v>2.0388940757483723E-5</v>
      </c>
      <c r="K465" s="1">
        <v>0.99924331744132322</v>
      </c>
      <c r="L465" s="1">
        <v>2.9852451841097172</v>
      </c>
      <c r="M465" s="1">
        <v>0.30474468296527113</v>
      </c>
      <c r="N465" s="19">
        <v>9.0191520566187365E-3</v>
      </c>
      <c r="O465" s="19">
        <v>9.4831746140000006E-3</v>
      </c>
      <c r="P465" s="1">
        <v>0.7108992321606119</v>
      </c>
    </row>
    <row r="466" spans="1:16" x14ac:dyDescent="0.2">
      <c r="A466" s="1">
        <v>455</v>
      </c>
      <c r="B466" s="1">
        <v>0.99962580917078636</v>
      </c>
      <c r="C466" s="1">
        <v>2.8625377688245974</v>
      </c>
      <c r="D466" s="1">
        <v>0.31774671718895359</v>
      </c>
      <c r="E466" s="19">
        <v>9.0371986871001612E-3</v>
      </c>
      <c r="F466" s="19">
        <v>9.4840099999999993E-3</v>
      </c>
      <c r="G466" s="1">
        <v>0.7098792099725445</v>
      </c>
      <c r="H466" s="1">
        <f t="shared" si="7"/>
        <v>2.0979520557821336E-2</v>
      </c>
      <c r="I466" s="20">
        <f>E466-N466</f>
        <v>2.0548569941639463E-5</v>
      </c>
      <c r="K466" s="1">
        <v>0.99938767068842493</v>
      </c>
      <c r="L466" s="1">
        <v>3.002058371816497</v>
      </c>
      <c r="M466" s="1">
        <v>0.30298179050365043</v>
      </c>
      <c r="N466" s="19">
        <v>9.0166501171585218E-3</v>
      </c>
      <c r="O466" s="19">
        <v>9.4827080800000008E-3</v>
      </c>
      <c r="P466" s="1">
        <v>0.71043251600923429</v>
      </c>
    </row>
    <row r="467" spans="1:16" x14ac:dyDescent="0.2">
      <c r="A467" s="1">
        <v>456</v>
      </c>
      <c r="B467" s="1">
        <v>0.99957495334127766</v>
      </c>
      <c r="C467" s="1">
        <v>2.8867183122753852</v>
      </c>
      <c r="D467" s="1">
        <v>0.31502128205396623</v>
      </c>
      <c r="E467" s="19">
        <v>9.0348933178307413E-3</v>
      </c>
      <c r="F467" s="19">
        <v>9.4835400000000004E-3</v>
      </c>
      <c r="G467" s="1">
        <v>0.7094069454608446</v>
      </c>
      <c r="H467" s="1">
        <f t="shared" si="7"/>
        <v>2.1185815534502828E-2</v>
      </c>
      <c r="I467" s="20">
        <f>E467-N467</f>
        <v>2.0673402370535027E-5</v>
      </c>
      <c r="K467" s="1">
        <v>0.99937003110512745</v>
      </c>
      <c r="L467" s="1">
        <v>2.986664153660632</v>
      </c>
      <c r="M467" s="1">
        <v>0.30447863442318368</v>
      </c>
      <c r="N467" s="19">
        <v>9.0142199154602063E-3</v>
      </c>
      <c r="O467" s="19">
        <v>9.4822435979999998E-3</v>
      </c>
      <c r="P467" s="1">
        <v>0.70996446692227888</v>
      </c>
    </row>
    <row r="468" spans="1:16" x14ac:dyDescent="0.2">
      <c r="A468" s="1">
        <v>457</v>
      </c>
      <c r="B468" s="1">
        <v>0.99948812048982183</v>
      </c>
      <c r="C468" s="1">
        <v>2.8197266274434476</v>
      </c>
      <c r="D468" s="1">
        <v>0.32243674610105161</v>
      </c>
      <c r="E468" s="19">
        <v>9.0327305846807215E-3</v>
      </c>
      <c r="F468" s="19">
        <v>9.4830799999999996E-3</v>
      </c>
      <c r="G468" s="1">
        <v>0.70893141655988634</v>
      </c>
      <c r="H468" s="1">
        <f t="shared" si="7"/>
        <v>2.1665722322168224E-2</v>
      </c>
      <c r="I468" s="20">
        <f>E468-N468</f>
        <v>2.1063223885739793E-5</v>
      </c>
      <c r="K468" s="1">
        <v>0.99938334486587843</v>
      </c>
      <c r="L468" s="1">
        <v>2.9530420887237132</v>
      </c>
      <c r="M468" s="1">
        <v>0.30788138568914314</v>
      </c>
      <c r="N468" s="19">
        <v>9.0116673607949817E-3</v>
      </c>
      <c r="O468" s="19">
        <v>9.4817811529999997E-3</v>
      </c>
      <c r="P468" s="1">
        <v>0.70950031955302861</v>
      </c>
    </row>
    <row r="469" spans="1:16" x14ac:dyDescent="0.2">
      <c r="A469" s="1">
        <v>458</v>
      </c>
      <c r="B469" s="1">
        <v>0.99950939157491847</v>
      </c>
      <c r="C469" s="1">
        <v>2.8908671809772613</v>
      </c>
      <c r="D469" s="1">
        <v>0.31443273094352397</v>
      </c>
      <c r="E469" s="19">
        <v>9.0305739591017599E-3</v>
      </c>
      <c r="F469" s="19">
        <v>9.4826100000000007E-3</v>
      </c>
      <c r="G469" s="1">
        <v>0.70845629663677989</v>
      </c>
      <c r="H469" s="1">
        <f t="shared" si="7"/>
        <v>2.2055282687574469E-2</v>
      </c>
      <c r="I469" s="20">
        <f>E469-N469</f>
        <v>2.1362596593101774E-5</v>
      </c>
      <c r="K469" s="1">
        <v>0.99923589725304884</v>
      </c>
      <c r="L469" s="1">
        <v>2.9732858752434153</v>
      </c>
      <c r="M469" s="1">
        <v>0.30571996069212271</v>
      </c>
      <c r="N469" s="19">
        <v>9.0092113625086581E-3</v>
      </c>
      <c r="O469" s="19">
        <v>9.4813207320000002E-3</v>
      </c>
      <c r="P469" s="1">
        <v>0.70903416430544997</v>
      </c>
    </row>
    <row r="470" spans="1:16" x14ac:dyDescent="0.2">
      <c r="A470" s="1">
        <v>459</v>
      </c>
      <c r="B470" s="1">
        <v>0.9995272338367609</v>
      </c>
      <c r="C470" s="1">
        <v>2.8734602259337994</v>
      </c>
      <c r="D470" s="1">
        <v>0.31627641268604978</v>
      </c>
      <c r="E470" s="19">
        <v>9.0283722268795046E-3</v>
      </c>
      <c r="F470" s="19">
        <v>9.48215E-3</v>
      </c>
      <c r="G470" s="1">
        <v>0.70798297111286912</v>
      </c>
      <c r="H470" s="1">
        <f t="shared" si="7"/>
        <v>2.228448601501129E-2</v>
      </c>
      <c r="I470" s="20">
        <f>E470-N470</f>
        <v>2.1504943261536902E-5</v>
      </c>
      <c r="K470" s="1">
        <v>0.99904460465588873</v>
      </c>
      <c r="L470" s="1">
        <v>2.9547104307317698</v>
      </c>
      <c r="M470" s="1">
        <v>0.30757796543974658</v>
      </c>
      <c r="N470" s="19">
        <v>9.0068672836179677E-3</v>
      </c>
      <c r="O470" s="19">
        <v>9.4808623219999992E-3</v>
      </c>
      <c r="P470" s="1">
        <v>0.70856557205443804</v>
      </c>
    </row>
    <row r="471" spans="1:16" x14ac:dyDescent="0.2">
      <c r="A471" s="1">
        <v>460</v>
      </c>
      <c r="B471" s="1">
        <v>0.99961571814965833</v>
      </c>
      <c r="C471" s="1">
        <v>2.9224596689677411</v>
      </c>
      <c r="D471" s="1">
        <v>0.31090741443638248</v>
      </c>
      <c r="E471" s="19">
        <v>9.0262684453633717E-3</v>
      </c>
      <c r="F471" s="19">
        <v>9.4816899999999992E-3</v>
      </c>
      <c r="G471" s="1">
        <v>0.70750756490812428</v>
      </c>
      <c r="H471" s="1">
        <f t="shared" si="7"/>
        <v>2.2482840292654682E-2</v>
      </c>
      <c r="I471" s="20">
        <f>E471-N471</f>
        <v>2.1616579179321166E-5</v>
      </c>
      <c r="K471" s="1">
        <v>0.99888150077815041</v>
      </c>
      <c r="L471" s="1">
        <v>2.9743130676078775</v>
      </c>
      <c r="M471" s="1">
        <v>0.30548456193881635</v>
      </c>
      <c r="N471" s="19">
        <v>9.0046518661840505E-3</v>
      </c>
      <c r="O471" s="19">
        <v>9.4804059089999993E-3</v>
      </c>
      <c r="P471" s="1">
        <v>0.70809407378532396</v>
      </c>
    </row>
    <row r="472" spans="1:16" x14ac:dyDescent="0.2">
      <c r="A472" s="1">
        <v>461</v>
      </c>
      <c r="B472" s="1">
        <v>0.99949223336722393</v>
      </c>
      <c r="C472" s="1">
        <v>2.882380903801478</v>
      </c>
      <c r="D472" s="1">
        <v>0.31515980422337825</v>
      </c>
      <c r="E472" s="19">
        <v>9.0241642852209054E-3</v>
      </c>
      <c r="F472" s="19">
        <v>9.4812400000000002E-3</v>
      </c>
      <c r="G472" s="1">
        <v>0.70703273612692596</v>
      </c>
      <c r="H472" s="1">
        <f t="shared" si="7"/>
        <v>2.2471380359913095E-2</v>
      </c>
      <c r="I472" s="20">
        <f>E472-N472</f>
        <v>2.1526393884568201E-5</v>
      </c>
      <c r="K472" s="1">
        <v>0.99878835941843613</v>
      </c>
      <c r="L472" s="1">
        <v>3.0294665197278099</v>
      </c>
      <c r="M472" s="1">
        <v>0.29985833507553999</v>
      </c>
      <c r="N472" s="19">
        <v>9.0026378913363372E-3</v>
      </c>
      <c r="O472" s="19">
        <v>9.4799514810000006E-3</v>
      </c>
      <c r="P472" s="1">
        <v>0.70761767444432067</v>
      </c>
    </row>
    <row r="473" spans="1:16" x14ac:dyDescent="0.2">
      <c r="A473" s="1">
        <v>462</v>
      </c>
      <c r="B473" s="1">
        <v>0.9995210227271778</v>
      </c>
      <c r="C473" s="1">
        <v>2.8557508132087683</v>
      </c>
      <c r="D473" s="1">
        <v>0.31803438012717372</v>
      </c>
      <c r="E473" s="19">
        <v>9.0220930722885485E-3</v>
      </c>
      <c r="F473" s="19">
        <v>9.4807799999999994E-3</v>
      </c>
      <c r="G473" s="1">
        <v>0.70655757755641457</v>
      </c>
      <c r="H473" s="1">
        <f t="shared" si="7"/>
        <v>2.2545539856464125E-2</v>
      </c>
      <c r="I473" s="20">
        <f>E473-N473</f>
        <v>2.1518485954425889E-5</v>
      </c>
      <c r="K473" s="1">
        <v>0.99879983926506921</v>
      </c>
      <c r="L473" s="1">
        <v>3.0249234615387564</v>
      </c>
      <c r="M473" s="1">
        <v>0.30024855573360321</v>
      </c>
      <c r="N473" s="19">
        <v>9.0005745863341226E-3</v>
      </c>
      <c r="O473" s="19">
        <v>9.4794990249999992E-3</v>
      </c>
      <c r="P473" s="1">
        <v>0.70714317599424481</v>
      </c>
    </row>
    <row r="474" spans="1:16" x14ac:dyDescent="0.2">
      <c r="A474" s="1">
        <v>463</v>
      </c>
      <c r="B474" s="1">
        <v>0.99961702547216214</v>
      </c>
      <c r="C474" s="1">
        <v>2.8102037352617151</v>
      </c>
      <c r="D474" s="1">
        <v>0.32312238435042262</v>
      </c>
      <c r="E474" s="19">
        <v>9.0200792251234965E-3</v>
      </c>
      <c r="F474" s="19">
        <v>9.4803300000000004E-3</v>
      </c>
      <c r="G474" s="1">
        <v>0.70608141923979717</v>
      </c>
      <c r="H474" s="1">
        <f t="shared" si="7"/>
        <v>2.2549710608023892E-2</v>
      </c>
      <c r="I474" s="20">
        <f>E474-N474</f>
        <v>2.1444060476143861E-5</v>
      </c>
      <c r="K474" s="1">
        <v>0.99888046947108666</v>
      </c>
      <c r="L474" s="1">
        <v>3.0418097620332434</v>
      </c>
      <c r="M474" s="1">
        <v>0.29852125498985443</v>
      </c>
      <c r="N474" s="19">
        <v>8.9986351646473527E-3</v>
      </c>
      <c r="O474" s="19">
        <v>9.479048528E-3</v>
      </c>
      <c r="P474" s="1">
        <v>0.70666586098341766</v>
      </c>
    </row>
    <row r="475" spans="1:16" x14ac:dyDescent="0.2">
      <c r="A475" s="1">
        <v>464</v>
      </c>
      <c r="B475" s="1">
        <v>0.9997379014983393</v>
      </c>
      <c r="C475" s="1">
        <v>2.7655076533330618</v>
      </c>
      <c r="D475" s="1">
        <v>0.32827851727565233</v>
      </c>
      <c r="E475" s="19">
        <v>9.0181068625760866E-3</v>
      </c>
      <c r="F475" s="19">
        <v>9.4798799999999996E-3</v>
      </c>
      <c r="G475" s="1">
        <v>0.70560468680124</v>
      </c>
      <c r="H475" s="1">
        <f t="shared" si="7"/>
        <v>2.2576642147010457E-2</v>
      </c>
      <c r="I475" s="20">
        <f>E475-N475</f>
        <v>2.1391675343885794E-5</v>
      </c>
      <c r="K475" s="1">
        <v>0.99901805444216152</v>
      </c>
      <c r="L475" s="1">
        <v>3.0563946238877318</v>
      </c>
      <c r="M475" s="1">
        <v>0.29703230396372493</v>
      </c>
      <c r="N475" s="19">
        <v>8.9967151872322008E-3</v>
      </c>
      <c r="O475" s="19">
        <v>9.4785999760000003E-3</v>
      </c>
      <c r="P475" s="1">
        <v>0.70618856547745579</v>
      </c>
    </row>
    <row r="476" spans="1:16" x14ac:dyDescent="0.2">
      <c r="A476" s="1">
        <v>465</v>
      </c>
      <c r="B476" s="1">
        <v>0.99979987155549244</v>
      </c>
      <c r="C476" s="1">
        <v>2.767934175495713</v>
      </c>
      <c r="D476" s="1">
        <v>0.32791771336530917</v>
      </c>
      <c r="E476" s="19">
        <v>9.0160248368856208E-3</v>
      </c>
      <c r="F476" s="19">
        <v>9.4794300000000005E-3</v>
      </c>
      <c r="G476" s="1">
        <v>0.7051315044504004</v>
      </c>
      <c r="H476" s="1">
        <f t="shared" si="7"/>
        <v>2.239090772164179E-2</v>
      </c>
      <c r="I476" s="20">
        <f>E476-N476</f>
        <v>2.1138797768183518E-5</v>
      </c>
      <c r="K476" s="1">
        <v>0.99913964537219113</v>
      </c>
      <c r="L476" s="1">
        <v>3.0299303150300672</v>
      </c>
      <c r="M476" s="1">
        <v>0.29956681535616442</v>
      </c>
      <c r="N476" s="19">
        <v>8.9948860391174373E-3</v>
      </c>
      <c r="O476" s="19">
        <v>9.4781533580000007E-3</v>
      </c>
      <c r="P476" s="1">
        <v>0.70570933432708793</v>
      </c>
    </row>
    <row r="477" spans="1:16" x14ac:dyDescent="0.2">
      <c r="A477" s="1">
        <v>466</v>
      </c>
      <c r="B477" s="1">
        <v>0.99979617149422562</v>
      </c>
      <c r="C477" s="1">
        <v>2.7778921680878996</v>
      </c>
      <c r="D477" s="1">
        <v>0.3266784693719898</v>
      </c>
      <c r="E477" s="19">
        <v>9.0138439485719524E-3</v>
      </c>
      <c r="F477" s="19">
        <v>9.4789899999999996E-3</v>
      </c>
      <c r="G477" s="1">
        <v>0.70466158924489208</v>
      </c>
      <c r="H477" s="1">
        <f t="shared" si="7"/>
        <v>2.2031350047947613E-2</v>
      </c>
      <c r="I477" s="20">
        <f>E477-N477</f>
        <v>2.0724134470425856E-5</v>
      </c>
      <c r="K477" s="1">
        <v>0.99922435633540718</v>
      </c>
      <c r="L477" s="1">
        <v>3.1216482002847692</v>
      </c>
      <c r="M477" s="1">
        <v>0.29070698681795865</v>
      </c>
      <c r="N477" s="19">
        <v>8.9931198141015266E-3</v>
      </c>
      <c r="O477" s="19">
        <v>9.4777086619999996E-3</v>
      </c>
      <c r="P477" s="1">
        <v>0.70522892014741434</v>
      </c>
    </row>
    <row r="478" spans="1:16" x14ac:dyDescent="0.2">
      <c r="A478" s="1">
        <v>467</v>
      </c>
      <c r="B478" s="1">
        <v>0.99980931752409741</v>
      </c>
      <c r="C478" s="1">
        <v>2.7375566753853069</v>
      </c>
      <c r="D478" s="1">
        <v>0.33142208304076504</v>
      </c>
      <c r="E478" s="19">
        <v>9.0115049840689895E-3</v>
      </c>
      <c r="F478" s="19">
        <v>9.4785400000000006E-3</v>
      </c>
      <c r="G478" s="1">
        <v>0.70419657522399559</v>
      </c>
      <c r="H478" s="1">
        <f t="shared" si="7"/>
        <v>2.1545086233788303E-2</v>
      </c>
      <c r="I478" s="20">
        <f>E478-N478</f>
        <v>2.0193537229769298E-5</v>
      </c>
      <c r="K478" s="1">
        <v>0.99915901018133246</v>
      </c>
      <c r="L478" s="1">
        <v>3.1733451655720284</v>
      </c>
      <c r="M478" s="1">
        <v>0.2859076263759075</v>
      </c>
      <c r="N478" s="19">
        <v>8.9913114468392202E-3</v>
      </c>
      <c r="O478" s="19">
        <v>9.4772658739999995E-3</v>
      </c>
      <c r="P478" s="1">
        <v>0.70475019628353619</v>
      </c>
    </row>
    <row r="479" spans="1:16" x14ac:dyDescent="0.2">
      <c r="A479" s="1">
        <v>468</v>
      </c>
      <c r="B479" s="1">
        <v>0.99981505932114834</v>
      </c>
      <c r="C479" s="1">
        <v>2.7573046378194643</v>
      </c>
      <c r="D479" s="1">
        <v>0.3289787632282799</v>
      </c>
      <c r="E479" s="19">
        <v>9.0093013786362586E-3</v>
      </c>
      <c r="F479" s="19">
        <v>9.4780999999999997E-3</v>
      </c>
      <c r="G479" s="1">
        <v>0.70372842741024866</v>
      </c>
      <c r="H479" s="1">
        <f t="shared" si="7"/>
        <v>2.1175689313230994E-2</v>
      </c>
      <c r="I479" s="20">
        <f>E479-N479</f>
        <v>1.9775877349480914E-5</v>
      </c>
      <c r="K479" s="1">
        <v>0.99898918513948798</v>
      </c>
      <c r="L479" s="1">
        <v>3.2417577209695745</v>
      </c>
      <c r="M479" s="1">
        <v>0.27981685205860735</v>
      </c>
      <c r="N479" s="19">
        <v>8.9895255012867777E-3</v>
      </c>
      <c r="O479" s="19">
        <v>9.4768249830000009E-3</v>
      </c>
      <c r="P479" s="1">
        <v>0.70427139380289561</v>
      </c>
    </row>
    <row r="480" spans="1:16" x14ac:dyDescent="0.2">
      <c r="A480" s="1">
        <v>469</v>
      </c>
      <c r="B480" s="1">
        <v>0.99985486238658761</v>
      </c>
      <c r="C480" s="1">
        <v>2.7746722252982963</v>
      </c>
      <c r="D480" s="1">
        <v>0.32685319749486075</v>
      </c>
      <c r="E480" s="19">
        <v>9.0071297184405943E-3</v>
      </c>
      <c r="F480" s="19">
        <v>9.4776600000000006E-3</v>
      </c>
      <c r="G480" s="1">
        <v>0.70325997106549776</v>
      </c>
      <c r="H480" s="1">
        <f t="shared" si="7"/>
        <v>2.0829221804989657E-2</v>
      </c>
      <c r="I480" s="20">
        <f>E480-N480</f>
        <v>1.9382484551981952E-5</v>
      </c>
      <c r="K480" s="1">
        <v>0.99897494557113753</v>
      </c>
      <c r="L480" s="1">
        <v>3.1704338938552956</v>
      </c>
      <c r="M480" s="1">
        <v>0.28605309217241753</v>
      </c>
      <c r="N480" s="19">
        <v>8.9877472338886124E-3</v>
      </c>
      <c r="O480" s="19">
        <v>9.4763859759999999E-3</v>
      </c>
      <c r="P480" s="1">
        <v>0.70379291490699003</v>
      </c>
    </row>
    <row r="481" spans="1:16" x14ac:dyDescent="0.2">
      <c r="A481" s="1">
        <v>470</v>
      </c>
      <c r="B481" s="1">
        <v>0.99975153657142035</v>
      </c>
      <c r="C481" s="1">
        <v>2.738272165114922</v>
      </c>
      <c r="D481" s="1">
        <v>0.33112922245542542</v>
      </c>
      <c r="E481" s="19">
        <v>9.0049381637368024E-3</v>
      </c>
      <c r="F481" s="19">
        <v>9.4772199999999997E-3</v>
      </c>
      <c r="G481" s="1">
        <v>0.70279262854949509</v>
      </c>
      <c r="H481" s="1">
        <f t="shared" si="7"/>
        <v>2.0424204755564262E-2</v>
      </c>
      <c r="I481" s="20">
        <f>E481-N481</f>
        <v>1.8937544299787654E-5</v>
      </c>
      <c r="K481" s="1">
        <v>0.9990825933126094</v>
      </c>
      <c r="L481" s="1">
        <v>3.2172248049924446</v>
      </c>
      <c r="M481" s="1">
        <v>0.28183080328719312</v>
      </c>
      <c r="N481" s="19">
        <v>8.9860006194370148E-3</v>
      </c>
      <c r="O481" s="19">
        <v>9.4759488420000006E-3</v>
      </c>
      <c r="P481" s="1">
        <v>0.70331409760708397</v>
      </c>
    </row>
    <row r="482" spans="1:16" x14ac:dyDescent="0.2">
      <c r="A482" s="1">
        <v>471</v>
      </c>
      <c r="B482" s="1">
        <v>0.99969386638363067</v>
      </c>
      <c r="C482" s="1">
        <v>2.6779978034201344</v>
      </c>
      <c r="D482" s="1">
        <v>0.33851040885223121</v>
      </c>
      <c r="E482" s="19">
        <v>9.0028906589256896E-3</v>
      </c>
      <c r="F482" s="19">
        <v>9.4767800000000006E-3</v>
      </c>
      <c r="G482" s="1">
        <v>0.70232188222107061</v>
      </c>
      <c r="H482" s="1">
        <f t="shared" si="7"/>
        <v>2.0153224749525328E-2</v>
      </c>
      <c r="I482" s="20">
        <f>E482-N482</f>
        <v>1.8619598891206693E-5</v>
      </c>
      <c r="K482" s="1">
        <v>0.99899299383772122</v>
      </c>
      <c r="L482" s="1">
        <v>3.2524779564263824</v>
      </c>
      <c r="M482" s="1">
        <v>0.27872089975892994</v>
      </c>
      <c r="N482" s="19">
        <v>8.9842710600344829E-3</v>
      </c>
      <c r="O482" s="19">
        <v>9.4755135670000004E-3</v>
      </c>
      <c r="P482" s="1">
        <v>0.70283534017647253</v>
      </c>
    </row>
    <row r="483" spans="1:16" x14ac:dyDescent="0.2">
      <c r="A483" s="1">
        <v>472</v>
      </c>
      <c r="B483" s="1">
        <v>0.99969458708642855</v>
      </c>
      <c r="C483" s="1">
        <v>2.6378343815758818</v>
      </c>
      <c r="D483" s="1">
        <v>0.34359791287100155</v>
      </c>
      <c r="E483" s="19">
        <v>9.0009507215473468E-3</v>
      </c>
      <c r="F483" s="19">
        <v>9.4763499999999997E-3</v>
      </c>
      <c r="G483" s="1">
        <v>0.70184872119837161</v>
      </c>
      <c r="H483" s="1">
        <f t="shared" si="7"/>
        <v>2.0088750505516062E-2</v>
      </c>
      <c r="I483" s="20">
        <f>E483-N483</f>
        <v>1.8493961027810785E-5</v>
      </c>
      <c r="K483" s="1">
        <v>0.99884467822669321</v>
      </c>
      <c r="L483" s="1">
        <v>3.2705950471149516</v>
      </c>
      <c r="M483" s="1">
        <v>0.27712146445774205</v>
      </c>
      <c r="N483" s="19">
        <v>8.982456760519536E-3</v>
      </c>
      <c r="O483" s="19">
        <v>9.4750801410000002E-3</v>
      </c>
      <c r="P483" s="1">
        <v>0.7023594521434271</v>
      </c>
    </row>
    <row r="484" spans="1:16" x14ac:dyDescent="0.2">
      <c r="A484" s="1">
        <v>473</v>
      </c>
      <c r="B484" s="1">
        <v>0.99971940783273805</v>
      </c>
      <c r="C484" s="1">
        <v>2.6262460657655873</v>
      </c>
      <c r="D484" s="1">
        <v>0.34503990137913898</v>
      </c>
      <c r="E484" s="19">
        <v>8.9990419374605616E-3</v>
      </c>
      <c r="F484" s="19">
        <v>9.4759100000000006E-3</v>
      </c>
      <c r="G484" s="1">
        <v>0.70137524445922361</v>
      </c>
      <c r="H484" s="1">
        <f t="shared" si="7"/>
        <v>2.006423312512573E-2</v>
      </c>
      <c r="I484" s="20">
        <f>E484-N484</f>
        <v>1.8405804038468601E-5</v>
      </c>
      <c r="K484" s="1">
        <v>0.99884375686472027</v>
      </c>
      <c r="L484" s="1">
        <v>3.2709768720027124</v>
      </c>
      <c r="M484" s="1">
        <v>0.27702858040449485</v>
      </c>
      <c r="N484" s="19">
        <v>8.980636133422093E-3</v>
      </c>
      <c r="O484" s="19">
        <v>9.474648552E-3</v>
      </c>
      <c r="P484" s="1">
        <v>0.70188427362941708</v>
      </c>
    </row>
    <row r="485" spans="1:16" x14ac:dyDescent="0.2">
      <c r="A485" s="1">
        <v>474</v>
      </c>
      <c r="B485" s="1">
        <v>0.99952454675387492</v>
      </c>
      <c r="C485" s="1">
        <v>2.7201905228727803</v>
      </c>
      <c r="D485" s="1">
        <v>0.33304891074033732</v>
      </c>
      <c r="E485" s="19">
        <v>8.9970420180832365E-3</v>
      </c>
      <c r="F485" s="19">
        <v>9.4754799999999997E-3</v>
      </c>
      <c r="G485" s="1">
        <v>0.70090483325594899</v>
      </c>
      <c r="H485" s="1">
        <f t="shared" si="7"/>
        <v>2.0065213761887968E-2</v>
      </c>
      <c r="I485" s="20">
        <f>E485-N485</f>
        <v>1.8341430943638257E-5</v>
      </c>
      <c r="K485" s="1">
        <v>0.998827623543323</v>
      </c>
      <c r="L485" s="1">
        <v>3.3755140389168017</v>
      </c>
      <c r="M485" s="1">
        <v>0.2683931904698646</v>
      </c>
      <c r="N485" s="19">
        <v>8.9787005871395983E-3</v>
      </c>
      <c r="O485" s="19">
        <v>9.4742187890000003E-3</v>
      </c>
      <c r="P485" s="1">
        <v>0.70141281335118666</v>
      </c>
    </row>
    <row r="486" spans="1:16" x14ac:dyDescent="0.2">
      <c r="A486" s="1">
        <v>475</v>
      </c>
      <c r="B486" s="1">
        <v>0.99958655302817223</v>
      </c>
      <c r="C486" s="1">
        <v>2.7190072804232583</v>
      </c>
      <c r="D486" s="1">
        <v>0.3331281887550363</v>
      </c>
      <c r="E486" s="19">
        <v>8.9950786283609363E-3</v>
      </c>
      <c r="F486" s="19">
        <v>9.4750500000000005E-3</v>
      </c>
      <c r="G486" s="1">
        <v>0.70043395822147569</v>
      </c>
      <c r="H486" s="1">
        <f t="shared" si="7"/>
        <v>2.0039924343627502E-2</v>
      </c>
      <c r="I486" s="20">
        <f>E486-N486</f>
        <v>1.8253546269357199E-5</v>
      </c>
      <c r="K486" s="1">
        <v>0.99890412048535893</v>
      </c>
      <c r="L486" s="1">
        <v>3.3507768315633686</v>
      </c>
      <c r="M486" s="1">
        <v>0.27031762178662966</v>
      </c>
      <c r="N486" s="19">
        <v>8.9768250820915791E-3</v>
      </c>
      <c r="O486" s="19">
        <v>9.4737908380000003E-3</v>
      </c>
      <c r="P486" s="1">
        <v>0.70094022999436734</v>
      </c>
    </row>
    <row r="487" spans="1:16" x14ac:dyDescent="0.2">
      <c r="A487" s="1">
        <v>476</v>
      </c>
      <c r="B487" s="1">
        <v>0.99966736761152497</v>
      </c>
      <c r="C487" s="1">
        <v>2.7212112164444293</v>
      </c>
      <c r="D487" s="1">
        <v>0.33279266292687465</v>
      </c>
      <c r="E487" s="19">
        <v>8.9931005088977889E-3</v>
      </c>
      <c r="F487" s="19">
        <v>9.4746199999999996E-3</v>
      </c>
      <c r="G487" s="1">
        <v>0.69996403755053316</v>
      </c>
      <c r="H487" s="1">
        <f t="shared" si="7"/>
        <v>1.9958014548345743E-2</v>
      </c>
      <c r="I487" s="20">
        <f>E487-N487</f>
        <v>1.8114825398702142E-5</v>
      </c>
      <c r="K487" s="1">
        <v>0.99901369632544557</v>
      </c>
      <c r="L487" s="1">
        <v>3.4321291305963939</v>
      </c>
      <c r="M487" s="1">
        <v>0.26385745077749667</v>
      </c>
      <c r="N487" s="19">
        <v>8.9749856834990867E-3</v>
      </c>
      <c r="O487" s="19">
        <v>9.4733646899999996E-3</v>
      </c>
      <c r="P487" s="1">
        <v>0.70046718077444103</v>
      </c>
    </row>
    <row r="488" spans="1:16" x14ac:dyDescent="0.2">
      <c r="A488" s="1">
        <v>477</v>
      </c>
      <c r="B488" s="1">
        <v>0.9996240835707827</v>
      </c>
      <c r="C488" s="1">
        <v>2.7619140943131484</v>
      </c>
      <c r="D488" s="1">
        <v>0.32782020604635548</v>
      </c>
      <c r="E488" s="19">
        <v>8.9912146688232858E-3</v>
      </c>
      <c r="F488" s="19">
        <v>9.4742000000000003E-3</v>
      </c>
      <c r="G488" s="1">
        <v>0.6994920969473627</v>
      </c>
      <c r="H488" s="1">
        <f t="shared" si="7"/>
        <v>1.9932814305051338E-2</v>
      </c>
      <c r="I488" s="20">
        <f>E488-N488</f>
        <v>1.8028347474587092E-5</v>
      </c>
      <c r="K488" s="1">
        <v>0.99890854062159762</v>
      </c>
      <c r="L488" s="1">
        <v>3.4070421032743252</v>
      </c>
      <c r="M488" s="1">
        <v>0.26574675974305828</v>
      </c>
      <c r="N488" s="19">
        <v>8.9731863213486987E-3</v>
      </c>
      <c r="O488" s="19">
        <v>9.4729403319999995E-3</v>
      </c>
      <c r="P488" s="1">
        <v>0.69999355139528852</v>
      </c>
    </row>
    <row r="489" spans="1:16" x14ac:dyDescent="0.2">
      <c r="A489" s="1">
        <v>478</v>
      </c>
      <c r="B489" s="1">
        <v>0.99960092901986586</v>
      </c>
      <c r="C489" s="1">
        <v>2.7275276052522606</v>
      </c>
      <c r="D489" s="1">
        <v>0.33188106016010066</v>
      </c>
      <c r="E489" s="19">
        <v>8.9893576905810783E-3</v>
      </c>
      <c r="F489" s="19">
        <v>9.4737699999999994E-3</v>
      </c>
      <c r="G489" s="1">
        <v>0.69901989061238257</v>
      </c>
      <c r="H489" s="1">
        <f t="shared" si="7"/>
        <v>1.986727463018273E-2</v>
      </c>
      <c r="I489" s="20">
        <f>E489-N489</f>
        <v>1.7906081994738948E-5</v>
      </c>
      <c r="K489" s="1">
        <v>0.99888930979499069</v>
      </c>
      <c r="L489" s="1">
        <v>3.5183860522346357</v>
      </c>
      <c r="M489" s="1">
        <v>0.25727759306362868</v>
      </c>
      <c r="N489" s="19">
        <v>8.9714516085863394E-3</v>
      </c>
      <c r="O489" s="19">
        <v>9.4725177539999993E-3</v>
      </c>
      <c r="P489" s="1">
        <v>0.69951865064493945</v>
      </c>
    </row>
    <row r="490" spans="1:16" x14ac:dyDescent="0.2">
      <c r="A490" s="1">
        <v>479</v>
      </c>
      <c r="B490" s="1">
        <v>0.99967820538158592</v>
      </c>
      <c r="C490" s="1">
        <v>2.6721349629795541</v>
      </c>
      <c r="D490" s="1">
        <v>0.33868755964221842</v>
      </c>
      <c r="E490" s="19">
        <v>8.9874717467854897E-3</v>
      </c>
      <c r="F490" s="19">
        <v>9.4733500000000002E-3</v>
      </c>
      <c r="G490" s="1">
        <v>0.69854902691572196</v>
      </c>
      <c r="H490" s="1">
        <f t="shared" si="7"/>
        <v>1.9851321132499839E-2</v>
      </c>
      <c r="I490" s="20">
        <f>E490-N490</f>
        <v>1.7829100788476979E-5</v>
      </c>
      <c r="K490" s="1">
        <v>0.998896188777331</v>
      </c>
      <c r="L490" s="1">
        <v>3.4829642345507503</v>
      </c>
      <c r="M490" s="1">
        <v>0.25984137823609438</v>
      </c>
      <c r="N490" s="19">
        <v>8.9696426459970127E-3</v>
      </c>
      <c r="O490" s="19">
        <v>9.4720969440000007E-3</v>
      </c>
      <c r="P490" s="1">
        <v>0.69904634602551319</v>
      </c>
    </row>
    <row r="491" spans="1:16" x14ac:dyDescent="0.2">
      <c r="A491" s="1">
        <v>480</v>
      </c>
      <c r="B491" s="1">
        <v>0.99969826039990672</v>
      </c>
      <c r="C491" s="1">
        <v>2.6729431202229343</v>
      </c>
      <c r="D491" s="1">
        <v>0.33851426187444944</v>
      </c>
      <c r="E491" s="19">
        <v>8.9856180423844474E-3</v>
      </c>
      <c r="F491" s="19">
        <v>9.4729299999999992E-3</v>
      </c>
      <c r="G491" s="1">
        <v>0.69807779959349969</v>
      </c>
      <c r="H491" s="1">
        <f t="shared" si="7"/>
        <v>1.9899759623061009E-2</v>
      </c>
      <c r="I491" s="20">
        <f>E491-N491</f>
        <v>1.781022123702701E-5</v>
      </c>
      <c r="K491" s="1">
        <v>0.99893253332757526</v>
      </c>
      <c r="L491" s="1">
        <v>3.4591299325751184</v>
      </c>
      <c r="M491" s="1">
        <v>0.26158102617315249</v>
      </c>
      <c r="N491" s="19">
        <v>8.9678078211474204E-3</v>
      </c>
      <c r="O491" s="19">
        <v>9.4716778919999994E-3</v>
      </c>
      <c r="P491" s="1">
        <v>0.69857529358407622</v>
      </c>
    </row>
    <row r="492" spans="1:16" x14ac:dyDescent="0.2">
      <c r="A492" s="1">
        <v>481</v>
      </c>
      <c r="B492" s="1">
        <v>0.9996644323760826</v>
      </c>
      <c r="C492" s="1">
        <v>2.6685854364657131</v>
      </c>
      <c r="D492" s="1">
        <v>0.33899910603659017</v>
      </c>
      <c r="E492" s="19">
        <v>8.9837061752676278E-3</v>
      </c>
      <c r="F492" s="19">
        <v>9.47251E-3</v>
      </c>
      <c r="G492" s="1">
        <v>0.69760873205015417</v>
      </c>
      <c r="H492" s="1">
        <f t="shared" si="7"/>
        <v>1.9842093615174861E-2</v>
      </c>
      <c r="I492" s="20">
        <f>E492-N492</f>
        <v>1.7696765011350479E-5</v>
      </c>
      <c r="K492" s="1">
        <v>0.99903774792935074</v>
      </c>
      <c r="L492" s="1">
        <v>3.4711349435818279</v>
      </c>
      <c r="M492" s="1">
        <v>0.26062184665505661</v>
      </c>
      <c r="N492" s="19">
        <v>8.9660094102562773E-3</v>
      </c>
      <c r="O492" s="19">
        <v>9.4712605850000003E-3</v>
      </c>
      <c r="P492" s="1">
        <v>0.6981037530966866</v>
      </c>
    </row>
    <row r="493" spans="1:16" x14ac:dyDescent="0.2">
      <c r="A493" s="1">
        <v>482</v>
      </c>
      <c r="B493" s="1">
        <v>0.99970525759049056</v>
      </c>
      <c r="C493" s="1">
        <v>2.7094965951605663</v>
      </c>
      <c r="D493" s="1">
        <v>0.33380581404443205</v>
      </c>
      <c r="E493" s="19">
        <v>8.9818391876526783E-3</v>
      </c>
      <c r="F493" s="19">
        <v>9.4720900000000007E-3</v>
      </c>
      <c r="G493" s="1">
        <v>0.69713894512707564</v>
      </c>
      <c r="H493" s="1">
        <f t="shared" si="7"/>
        <v>1.9923345882030357E-2</v>
      </c>
      <c r="I493" s="20">
        <f>E493-N493</f>
        <v>1.7707485304984186E-5</v>
      </c>
      <c r="K493" s="1">
        <v>0.99907852646112549</v>
      </c>
      <c r="L493" s="1">
        <v>3.4743097041501385</v>
      </c>
      <c r="M493" s="1">
        <v>0.26032727711224668</v>
      </c>
      <c r="N493" s="19">
        <v>8.9641317023476941E-3</v>
      </c>
      <c r="O493" s="19">
        <v>9.4708450139999994E-3</v>
      </c>
      <c r="P493" s="1">
        <v>0.6976349620370017</v>
      </c>
    </row>
    <row r="494" spans="1:16" x14ac:dyDescent="0.2">
      <c r="A494" s="1">
        <v>483</v>
      </c>
      <c r="B494" s="1">
        <v>0.99987344988473381</v>
      </c>
      <c r="C494" s="1">
        <v>2.7752243008654673</v>
      </c>
      <c r="D494" s="1">
        <v>0.3258385695121741</v>
      </c>
      <c r="E494" s="19">
        <v>8.9799858998067632E-3</v>
      </c>
      <c r="F494" s="19">
        <v>9.4716799999999997E-3</v>
      </c>
      <c r="G494" s="1">
        <v>0.6966693071945077</v>
      </c>
      <c r="H494" s="1">
        <f t="shared" si="7"/>
        <v>2.009910956300992E-2</v>
      </c>
      <c r="I494" s="20">
        <f>E494-N494</f>
        <v>1.7801753003386656E-5</v>
      </c>
      <c r="K494" s="1">
        <v>0.99913804393495265</v>
      </c>
      <c r="L494" s="1">
        <v>3.5163989133109141</v>
      </c>
      <c r="M494" s="1">
        <v>0.25715606376739741</v>
      </c>
      <c r="N494" s="19">
        <v>8.9621841468033765E-3</v>
      </c>
      <c r="O494" s="19">
        <v>9.4704311670000003E-3</v>
      </c>
      <c r="P494" s="1">
        <v>0.69716866395383714</v>
      </c>
    </row>
    <row r="495" spans="1:16" x14ac:dyDescent="0.2">
      <c r="A495" s="1">
        <v>484</v>
      </c>
      <c r="B495" s="1">
        <v>0.99977762234991419</v>
      </c>
      <c r="C495" s="1">
        <v>2.8292471203219143</v>
      </c>
      <c r="D495" s="1">
        <v>0.31954508899495615</v>
      </c>
      <c r="E495" s="19">
        <v>8.9781558234438077E-3</v>
      </c>
      <c r="F495" s="19">
        <v>9.4712700000000004E-3</v>
      </c>
      <c r="G495" s="1">
        <v>0.69619954890378322</v>
      </c>
      <c r="H495" s="1">
        <f t="shared" si="7"/>
        <v>2.0311960936237994E-2</v>
      </c>
      <c r="I495" s="20">
        <f>E495-N495</f>
        <v>1.7928041785861618E-5</v>
      </c>
      <c r="K495" s="1">
        <v>0.99921184556148634</v>
      </c>
      <c r="L495" s="1">
        <v>3.5225508804806243</v>
      </c>
      <c r="M495" s="1">
        <v>0.25665709562610634</v>
      </c>
      <c r="N495" s="19">
        <v>8.9602277816579461E-3</v>
      </c>
      <c r="O495" s="19">
        <v>9.4700190340000004E-3</v>
      </c>
      <c r="P495" s="1">
        <v>0.69670315124104532</v>
      </c>
    </row>
    <row r="496" spans="1:16" x14ac:dyDescent="0.2">
      <c r="A496" s="1">
        <v>485</v>
      </c>
      <c r="B496" s="1">
        <v>0.99982222458347647</v>
      </c>
      <c r="C496" s="1">
        <v>2.86691167029718</v>
      </c>
      <c r="D496" s="1">
        <v>0.3152854170271604</v>
      </c>
      <c r="E496" s="19">
        <v>8.9763421799392701E-3</v>
      </c>
      <c r="F496" s="19">
        <v>9.4708499999999994E-3</v>
      </c>
      <c r="G496" s="1">
        <v>0.69572985749667493</v>
      </c>
      <c r="H496" s="1">
        <f t="shared" si="7"/>
        <v>2.0586913485395781E-2</v>
      </c>
      <c r="I496" s="20">
        <f>E496-N496</f>
        <v>1.8108008114713081E-5</v>
      </c>
      <c r="K496" s="1">
        <v>0.99925096184538342</v>
      </c>
      <c r="L496" s="1">
        <v>3.51904096064544</v>
      </c>
      <c r="M496" s="1">
        <v>0.25685595702114006</v>
      </c>
      <c r="N496" s="19">
        <v>8.958234171824557E-3</v>
      </c>
      <c r="O496" s="19">
        <v>9.4696086050000006E-3</v>
      </c>
      <c r="P496" s="1">
        <v>0.69623922442827235</v>
      </c>
    </row>
    <row r="497" spans="1:16" x14ac:dyDescent="0.2">
      <c r="A497" s="1">
        <v>486</v>
      </c>
      <c r="B497" s="1">
        <v>0.99988644230889445</v>
      </c>
      <c r="C497" s="1">
        <v>2.9669311857809135</v>
      </c>
      <c r="D497" s="1">
        <v>0.30459102629583101</v>
      </c>
      <c r="E497" s="19">
        <v>8.9744972506466559E-3</v>
      </c>
      <c r="F497" s="19">
        <v>9.4704400000000001E-3</v>
      </c>
      <c r="G497" s="1">
        <v>0.6952615740738689</v>
      </c>
      <c r="H497" s="1">
        <f t="shared" si="7"/>
        <v>2.0827396909026297E-2</v>
      </c>
      <c r="I497" s="20">
        <f>E497-N497</f>
        <v>1.8256442524426306E-5</v>
      </c>
      <c r="K497" s="1">
        <v>0.99943602823948496</v>
      </c>
      <c r="L497" s="1">
        <v>3.5504583856493803</v>
      </c>
      <c r="M497" s="1">
        <v>0.25453124292384754</v>
      </c>
      <c r="N497" s="19">
        <v>8.9562408081222296E-3</v>
      </c>
      <c r="O497" s="19">
        <v>9.4691998679999993E-3</v>
      </c>
      <c r="P497" s="1">
        <v>0.69577583078767202</v>
      </c>
    </row>
    <row r="498" spans="1:16" x14ac:dyDescent="0.2">
      <c r="A498" s="1">
        <v>487</v>
      </c>
      <c r="B498" s="1">
        <v>0.9998180302002414</v>
      </c>
      <c r="C498" s="1">
        <v>2.9940564598891286</v>
      </c>
      <c r="D498" s="1">
        <v>0.30177080797173089</v>
      </c>
      <c r="E498" s="19">
        <v>8.9726627119989816E-3</v>
      </c>
      <c r="F498" s="19">
        <v>9.4700300000000008E-3</v>
      </c>
      <c r="G498" s="1">
        <v>0.69479352649974035</v>
      </c>
      <c r="H498" s="1">
        <f t="shared" si="7"/>
        <v>2.124808112995798E-2</v>
      </c>
      <c r="I498" s="20">
        <f>E498-N498</f>
        <v>1.8561152573301487E-5</v>
      </c>
      <c r="K498" s="1">
        <v>0.99954334650126619</v>
      </c>
      <c r="L498" s="1">
        <v>3.5337812602190528</v>
      </c>
      <c r="M498" s="1">
        <v>0.25567953003115962</v>
      </c>
      <c r="N498" s="19">
        <v>8.9541015594256802E-3</v>
      </c>
      <c r="O498" s="19">
        <v>9.4687928139999995E-3</v>
      </c>
      <c r="P498" s="1">
        <v>0.69531709318056067</v>
      </c>
    </row>
    <row r="499" spans="1:16" x14ac:dyDescent="0.2">
      <c r="A499" s="1">
        <v>488</v>
      </c>
      <c r="B499" s="1">
        <v>0.99993229234690462</v>
      </c>
      <c r="C499" s="1">
        <v>2.9059763166435157</v>
      </c>
      <c r="D499" s="1">
        <v>0.31084728731157341</v>
      </c>
      <c r="E499" s="19">
        <v>8.9706914025900718E-3</v>
      </c>
      <c r="F499" s="19">
        <v>9.4696299999999997E-3</v>
      </c>
      <c r="G499" s="1">
        <v>0.69432986816775488</v>
      </c>
      <c r="H499" s="1">
        <f t="shared" si="7"/>
        <v>2.1372425794930667E-2</v>
      </c>
      <c r="I499" s="20">
        <f>E499-N499</f>
        <v>1.8605721122054095E-5</v>
      </c>
      <c r="K499" s="1">
        <v>0.99940639256446662</v>
      </c>
      <c r="L499" s="1">
        <v>3.5634465684712007</v>
      </c>
      <c r="M499" s="1">
        <v>0.25349983289188638</v>
      </c>
      <c r="N499" s="19">
        <v>8.9520856814680177E-3</v>
      </c>
      <c r="O499" s="19">
        <v>9.4683874309999996E-3</v>
      </c>
      <c r="P499" s="1">
        <v>0.69485541962172859</v>
      </c>
    </row>
    <row r="500" spans="1:16" x14ac:dyDescent="0.2">
      <c r="A500" s="1">
        <v>489</v>
      </c>
      <c r="B500" s="1">
        <v>0.99987522993763556</v>
      </c>
      <c r="C500" s="1">
        <v>2.9332210731295452</v>
      </c>
      <c r="D500" s="1">
        <v>0.30789967651835043</v>
      </c>
      <c r="E500" s="19">
        <v>8.968713173125557E-3</v>
      </c>
      <c r="F500" s="19">
        <v>9.4692200000000004E-3</v>
      </c>
      <c r="G500" s="1">
        <v>0.69386694288611817</v>
      </c>
      <c r="H500" s="1">
        <f t="shared" si="7"/>
        <v>2.1281005559065286E-2</v>
      </c>
      <c r="I500" s="20">
        <f>E500-N500</f>
        <v>1.8462790374746893E-5</v>
      </c>
      <c r="K500" s="1">
        <v>0.99947990018499255</v>
      </c>
      <c r="L500" s="1">
        <v>3.6335075002939528</v>
      </c>
      <c r="M500" s="1">
        <v>0.24856198335548776</v>
      </c>
      <c r="N500" s="19">
        <v>8.9502503827508101E-3</v>
      </c>
      <c r="O500" s="19">
        <v>9.4679837090000003E-3</v>
      </c>
      <c r="P500" s="1">
        <v>0.6943891761513713</v>
      </c>
    </row>
    <row r="501" spans="1:16" x14ac:dyDescent="0.2">
      <c r="A501" s="1">
        <v>490</v>
      </c>
      <c r="B501" s="1">
        <v>0.99969429788124908</v>
      </c>
      <c r="C501" s="1">
        <v>2.8768907528197558</v>
      </c>
      <c r="D501" s="1">
        <v>0.31386417729577032</v>
      </c>
      <c r="E501" s="19">
        <v>8.9669108564096444E-3</v>
      </c>
      <c r="F501" s="19">
        <v>9.4688199999999993E-3</v>
      </c>
      <c r="G501" s="1">
        <v>0.69339957408691466</v>
      </c>
      <c r="H501" s="1">
        <f t="shared" si="7"/>
        <v>2.1357365495176344E-2</v>
      </c>
      <c r="I501" s="20">
        <f>E501-N501</f>
        <v>1.8465909243699924E-5</v>
      </c>
      <c r="K501" s="1">
        <v>0.99946654782005151</v>
      </c>
      <c r="L501" s="1">
        <v>3.6939927218446891</v>
      </c>
      <c r="M501" s="1">
        <v>0.24444050379322971</v>
      </c>
      <c r="N501" s="19">
        <v>8.9484449471659445E-3</v>
      </c>
      <c r="O501" s="19">
        <v>9.4675816389999997E-3</v>
      </c>
      <c r="P501" s="1">
        <v>0.69392261160924551</v>
      </c>
    </row>
    <row r="502" spans="1:16" x14ac:dyDescent="0.2">
      <c r="A502" s="1">
        <v>491</v>
      </c>
      <c r="B502" s="1">
        <v>0.99969218009844329</v>
      </c>
      <c r="C502" s="1">
        <v>2.8931393867828876</v>
      </c>
      <c r="D502" s="1">
        <v>0.31203530287287384</v>
      </c>
      <c r="E502" s="19">
        <v>8.9652593791376082E-3</v>
      </c>
      <c r="F502" s="19">
        <v>9.46842E-3</v>
      </c>
      <c r="G502" s="1">
        <v>0.69292845157947014</v>
      </c>
      <c r="H502" s="1">
        <f t="shared" si="7"/>
        <v>2.1610218345545152E-2</v>
      </c>
      <c r="I502" s="20">
        <f>E502-N502</f>
        <v>1.8621077658004942E-5</v>
      </c>
      <c r="K502" s="1">
        <v>0.99945961469828892</v>
      </c>
      <c r="L502" s="1">
        <v>3.7024296158074148</v>
      </c>
      <c r="M502" s="1">
        <v>0.24383289596202889</v>
      </c>
      <c r="N502" s="19">
        <v>8.9466383014796032E-3</v>
      </c>
      <c r="O502" s="19">
        <v>9.4671812110000003E-3</v>
      </c>
      <c r="P502" s="1">
        <v>0.69345660355532868</v>
      </c>
    </row>
    <row r="503" spans="1:16" x14ac:dyDescent="0.2">
      <c r="A503" s="1">
        <v>492</v>
      </c>
      <c r="B503" s="1">
        <v>0.99963371422503622</v>
      </c>
      <c r="C503" s="1">
        <v>2.8484824534271693</v>
      </c>
      <c r="D503" s="1">
        <v>0.31686176280765049</v>
      </c>
      <c r="E503" s="19">
        <v>8.9637844881044395E-3</v>
      </c>
      <c r="F503" s="19">
        <v>9.4680200000000006E-3</v>
      </c>
      <c r="G503" s="1">
        <v>0.69245282636586547</v>
      </c>
      <c r="H503" s="1">
        <f t="shared" si="7"/>
        <v>2.2090823936858905E-2</v>
      </c>
      <c r="I503" s="20">
        <f>E503-N503</f>
        <v>1.8970776179964149E-5</v>
      </c>
      <c r="K503" s="1">
        <v>0.99959910711815714</v>
      </c>
      <c r="L503" s="1">
        <v>3.7039256645316376</v>
      </c>
      <c r="M503" s="1">
        <v>0.24368169097976661</v>
      </c>
      <c r="N503" s="19">
        <v>8.9448137119244753E-3</v>
      </c>
      <c r="O503" s="19">
        <v>9.4667824130000005E-3</v>
      </c>
      <c r="P503" s="1">
        <v>0.6929916269496913</v>
      </c>
    </row>
    <row r="504" spans="1:16" x14ac:dyDescent="0.2">
      <c r="A504" s="1">
        <v>493</v>
      </c>
      <c r="B504" s="1">
        <v>0.99964311301872766</v>
      </c>
      <c r="C504" s="1">
        <v>2.8822051994924043</v>
      </c>
      <c r="D504" s="1">
        <v>0.31308486799914326</v>
      </c>
      <c r="E504" s="19">
        <v>8.9622949931624629E-3</v>
      </c>
      <c r="F504" s="19">
        <v>9.4676199999999995E-3</v>
      </c>
      <c r="G504" s="1">
        <v>0.69197811289040556</v>
      </c>
      <c r="H504" s="1">
        <f t="shared" si="7"/>
        <v>2.2467706920552027E-2</v>
      </c>
      <c r="I504" s="20">
        <f>E504-N504</f>
        <v>1.9229300538808197E-5</v>
      </c>
      <c r="K504" s="1">
        <v>0.99955393533977677</v>
      </c>
      <c r="L504" s="1">
        <v>3.7584611559148748</v>
      </c>
      <c r="M504" s="1">
        <v>0.24009259228061863</v>
      </c>
      <c r="N504" s="19">
        <v>8.9430656926236547E-3</v>
      </c>
      <c r="O504" s="19">
        <v>9.4663852370000003E-3</v>
      </c>
      <c r="P504" s="1">
        <v>0.69252499419475977</v>
      </c>
    </row>
    <row r="505" spans="1:16" x14ac:dyDescent="0.2">
      <c r="A505" s="1">
        <v>494</v>
      </c>
      <c r="B505" s="1">
        <v>0.999775359341468</v>
      </c>
      <c r="C505" s="1">
        <v>2.8030902804690272</v>
      </c>
      <c r="D505" s="1">
        <v>0.3218578590325395</v>
      </c>
      <c r="E505" s="19">
        <v>8.9607792002850649E-3</v>
      </c>
      <c r="F505" s="19">
        <v>9.4672200000000001E-3</v>
      </c>
      <c r="G505" s="1">
        <v>0.69150464514305654</v>
      </c>
      <c r="H505" s="1">
        <f t="shared" si="7"/>
        <v>2.2764941766410491E-2</v>
      </c>
      <c r="I505" s="20">
        <f>E505-N505</f>
        <v>1.9418086969841264E-5</v>
      </c>
      <c r="K505" s="1">
        <v>0.99956230634068999</v>
      </c>
      <c r="L505" s="1">
        <v>3.7230240148408713</v>
      </c>
      <c r="M505" s="1">
        <v>0.24233124282943733</v>
      </c>
      <c r="N505" s="19">
        <v>8.9413611133152236E-3</v>
      </c>
      <c r="O505" s="19">
        <v>9.4659896720000001E-3</v>
      </c>
      <c r="P505" s="1">
        <v>0.69205763967989242</v>
      </c>
    </row>
    <row r="506" spans="1:16" x14ac:dyDescent="0.2">
      <c r="A506" s="1">
        <v>495</v>
      </c>
      <c r="B506" s="1">
        <v>0.99970083900690965</v>
      </c>
      <c r="C506" s="1">
        <v>2.7959610938972599</v>
      </c>
      <c r="D506" s="1">
        <v>0.32261179601289497</v>
      </c>
      <c r="E506" s="19">
        <v>8.9592330209168625E-3</v>
      </c>
      <c r="F506" s="19">
        <v>9.4668200000000008E-3</v>
      </c>
      <c r="G506" s="1">
        <v>0.69103254209948595</v>
      </c>
      <c r="H506" s="1">
        <f t="shared" si="7"/>
        <v>2.2831481799358566E-2</v>
      </c>
      <c r="I506" s="20">
        <f>E506-N506</f>
        <v>1.9409476624574623E-5</v>
      </c>
      <c r="K506" s="1">
        <v>0.99965334844229892</v>
      </c>
      <c r="L506" s="1">
        <v>3.7530213853383008</v>
      </c>
      <c r="M506" s="1">
        <v>0.24034155068335339</v>
      </c>
      <c r="N506" s="19">
        <v>8.9398235442922878E-3</v>
      </c>
      <c r="O506" s="19">
        <v>9.4655957089999996E-3</v>
      </c>
      <c r="P506" s="1">
        <v>0.69158603256734918</v>
      </c>
    </row>
    <row r="507" spans="1:16" x14ac:dyDescent="0.2">
      <c r="A507" s="1">
        <v>496</v>
      </c>
      <c r="B507" s="1">
        <v>0.99986076499937915</v>
      </c>
      <c r="C507" s="1">
        <v>2.8252394072598417</v>
      </c>
      <c r="D507" s="1">
        <v>0.31919771032991195</v>
      </c>
      <c r="E507" s="19">
        <v>8.9577483139950294E-3</v>
      </c>
      <c r="F507" s="19">
        <v>9.4664299999999996E-3</v>
      </c>
      <c r="G507" s="1">
        <v>0.69055918470736355</v>
      </c>
      <c r="H507" s="1">
        <f t="shared" si="7"/>
        <v>2.2925987299478628E-2</v>
      </c>
      <c r="I507" s="20">
        <f>E507-N507</f>
        <v>1.9424592877660685E-5</v>
      </c>
      <c r="K507" s="1">
        <v>0.99973016400702985</v>
      </c>
      <c r="L507" s="1">
        <v>3.8254009453802715</v>
      </c>
      <c r="M507" s="1">
        <v>0.23574573454091655</v>
      </c>
      <c r="N507" s="19">
        <v>8.9383237211173687E-3</v>
      </c>
      <c r="O507" s="19">
        <v>9.4652033379999997E-3</v>
      </c>
      <c r="P507" s="1">
        <v>0.69111384569041545</v>
      </c>
    </row>
    <row r="508" spans="1:16" x14ac:dyDescent="0.2">
      <c r="A508" s="1">
        <v>497</v>
      </c>
      <c r="B508" s="1">
        <v>0.99976875584255687</v>
      </c>
      <c r="C508" s="1">
        <v>2.8513628799833994</v>
      </c>
      <c r="D508" s="1">
        <v>0.31621293053400834</v>
      </c>
      <c r="E508" s="19">
        <v>8.9564082573098704E-3</v>
      </c>
      <c r="F508" s="19">
        <v>9.4660400000000002E-3</v>
      </c>
      <c r="G508" s="1">
        <v>0.69008218808085364</v>
      </c>
      <c r="H508" s="1">
        <f t="shared" si="7"/>
        <v>2.3181970225484499E-2</v>
      </c>
      <c r="I508" s="20">
        <f>E508-N508</f>
        <v>1.957596463877595E-5</v>
      </c>
      <c r="K508" s="1">
        <v>0.99975176861287707</v>
      </c>
      <c r="L508" s="1">
        <v>3.7931417693819509</v>
      </c>
      <c r="M508" s="1">
        <v>0.23770335822360453</v>
      </c>
      <c r="N508" s="19">
        <v>8.9368322926710944E-3</v>
      </c>
      <c r="O508" s="19">
        <v>9.4648125489999995E-3</v>
      </c>
      <c r="P508" s="1">
        <v>0.69064191372010075</v>
      </c>
    </row>
    <row r="509" spans="1:16" x14ac:dyDescent="0.2">
      <c r="A509" s="1">
        <v>498</v>
      </c>
      <c r="B509" s="1">
        <v>0.99961617133843261</v>
      </c>
      <c r="C509" s="1">
        <v>2.818496018211722</v>
      </c>
      <c r="D509" s="1">
        <v>0.31983131435937534</v>
      </c>
      <c r="E509" s="19">
        <v>8.9549767408736176E-3</v>
      </c>
      <c r="F509" s="19">
        <v>9.4656500000000008E-3</v>
      </c>
      <c r="G509" s="1">
        <v>0.689608292411518</v>
      </c>
      <c r="H509" s="1">
        <f t="shared" si="7"/>
        <v>2.3206039510708543E-2</v>
      </c>
      <c r="I509" s="20">
        <f>E509-N509</f>
        <v>1.953108366261648E-5</v>
      </c>
      <c r="K509" s="1">
        <v>0.99989629569283334</v>
      </c>
      <c r="L509" s="1">
        <v>3.8057011389505981</v>
      </c>
      <c r="M509" s="1">
        <v>0.23686615850920142</v>
      </c>
      <c r="N509" s="19">
        <v>8.9354456572110011E-3</v>
      </c>
      <c r="O509" s="19">
        <v>9.4644233330000004E-3</v>
      </c>
      <c r="P509" s="1">
        <v>0.69016747408647483</v>
      </c>
    </row>
    <row r="510" spans="1:16" x14ac:dyDescent="0.2">
      <c r="A510" s="1">
        <v>499</v>
      </c>
      <c r="B510" s="1">
        <v>0.99948602174805001</v>
      </c>
      <c r="C510" s="1">
        <v>2.823427776062482</v>
      </c>
      <c r="D510" s="1">
        <v>0.31920754086999364</v>
      </c>
      <c r="E510" s="19">
        <v>8.9533964177383359E-3</v>
      </c>
      <c r="F510" s="19">
        <v>9.4652599999999996E-3</v>
      </c>
      <c r="G510" s="1">
        <v>0.6891391508916398</v>
      </c>
      <c r="H510" s="1">
        <f t="shared" si="7"/>
        <v>2.3001214693810168E-2</v>
      </c>
      <c r="I510" s="20">
        <f>E510-N510</f>
        <v>1.9294388315100122E-5</v>
      </c>
      <c r="K510" s="1">
        <v>0.99980934672869248</v>
      </c>
      <c r="L510" s="1">
        <v>3.6649741231149378</v>
      </c>
      <c r="M510" s="1">
        <v>0.24591403860992966</v>
      </c>
      <c r="N510" s="19">
        <v>8.9341020294232357E-3</v>
      </c>
      <c r="O510" s="19">
        <v>9.4640356799999999E-3</v>
      </c>
      <c r="P510" s="1">
        <v>0.68969228631513824</v>
      </c>
    </row>
    <row r="511" spans="1:16" x14ac:dyDescent="0.2">
      <c r="A511" s="1">
        <v>500</v>
      </c>
      <c r="B511" s="1">
        <v>0.99950935581197486</v>
      </c>
      <c r="C511" s="1">
        <v>2.8330124468093167</v>
      </c>
      <c r="D511" s="1">
        <v>0.3180614141832584</v>
      </c>
      <c r="E511" s="19">
        <v>8.9518957750625953E-3</v>
      </c>
      <c r="F511" s="19">
        <v>9.4648700000000002E-3</v>
      </c>
      <c r="G511" s="1">
        <v>0.68866822352089907</v>
      </c>
      <c r="H511" s="1">
        <f t="shared" si="7"/>
        <v>2.2935926253755956E-2</v>
      </c>
      <c r="I511" s="20">
        <f>E511-N511</f>
        <v>1.9175875953372085E-5</v>
      </c>
      <c r="K511" s="1">
        <v>0.99963632909677602</v>
      </c>
      <c r="L511" s="1">
        <v>3.6473631257045258</v>
      </c>
      <c r="M511" s="1">
        <v>0.24704585751655841</v>
      </c>
      <c r="N511" s="19">
        <v>8.9327198991092233E-3</v>
      </c>
      <c r="O511" s="19">
        <v>9.4636495809999992E-3</v>
      </c>
      <c r="P511" s="1">
        <v>0.68921868575098921</v>
      </c>
    </row>
    <row r="512" spans="1:16" x14ac:dyDescent="0.2">
      <c r="A512" s="1">
        <v>501</v>
      </c>
      <c r="B512" s="1">
        <v>0.99949343573318661</v>
      </c>
      <c r="C512" s="1">
        <v>2.8204544837969365</v>
      </c>
      <c r="D512" s="1">
        <v>0.31941208433462592</v>
      </c>
      <c r="E512" s="19">
        <v>8.9505958670015907E-3</v>
      </c>
      <c r="F512" s="19">
        <v>9.4644800000000008E-3</v>
      </c>
      <c r="G512" s="1">
        <v>0.68819202254982215</v>
      </c>
      <c r="H512" s="1">
        <f t="shared" si="7"/>
        <v>2.3204889937893547E-2</v>
      </c>
      <c r="I512" s="20">
        <f>E512-N512</f>
        <v>1.9336666330364155E-5</v>
      </c>
      <c r="K512" s="1">
        <v>0.99977181028405682</v>
      </c>
      <c r="L512" s="1">
        <v>3.7464117462556512</v>
      </c>
      <c r="M512" s="1">
        <v>0.24046467899234114</v>
      </c>
      <c r="N512" s="19">
        <v>8.9312592006712266E-3</v>
      </c>
      <c r="O512" s="19">
        <v>9.4632650269999997E-3</v>
      </c>
      <c r="P512" s="1">
        <v>0.68874782829683756</v>
      </c>
    </row>
    <row r="513" spans="1:16" x14ac:dyDescent="0.2">
      <c r="A513" s="1">
        <v>502</v>
      </c>
      <c r="B513" s="1">
        <v>0.99965017087070285</v>
      </c>
      <c r="C513" s="1">
        <v>2.8607331788394008</v>
      </c>
      <c r="D513" s="1">
        <v>0.31484950302315851</v>
      </c>
      <c r="E513" s="19">
        <v>8.949329292870763E-3</v>
      </c>
      <c r="F513" s="19">
        <v>9.4640999999999996E-3</v>
      </c>
      <c r="G513" s="1">
        <v>0.68771534085862285</v>
      </c>
      <c r="H513" s="1">
        <f t="shared" si="7"/>
        <v>2.368887845277336E-2</v>
      </c>
      <c r="I513" s="20">
        <f>E513-N513</f>
        <v>1.9674880642946493E-5</v>
      </c>
      <c r="K513" s="1">
        <v>0.99978411700603798</v>
      </c>
      <c r="L513" s="1">
        <v>3.7087783536713839</v>
      </c>
      <c r="M513" s="1">
        <v>0.24285547544247191</v>
      </c>
      <c r="N513" s="19">
        <v>8.9296544122278165E-3</v>
      </c>
      <c r="O513" s="19">
        <v>9.4628820070000001E-3</v>
      </c>
      <c r="P513" s="1">
        <v>0.68828160886944612</v>
      </c>
    </row>
    <row r="514" spans="1:16" x14ac:dyDescent="0.2">
      <c r="A514" s="1">
        <v>503</v>
      </c>
      <c r="B514" s="1">
        <v>0.99958973053926348</v>
      </c>
      <c r="C514" s="1">
        <v>2.8778708783853455</v>
      </c>
      <c r="D514" s="1">
        <v>0.31291014885447876</v>
      </c>
      <c r="E514" s="19">
        <v>8.948039261017126E-3</v>
      </c>
      <c r="F514" s="19">
        <v>9.4637100000000002E-3</v>
      </c>
      <c r="G514" s="1">
        <v>0.68723981015964541</v>
      </c>
      <c r="H514" s="1">
        <f t="shared" si="7"/>
        <v>2.4055707129591691E-2</v>
      </c>
      <c r="I514" s="20">
        <f>E514-N514</f>
        <v>1.9913842610713717E-5</v>
      </c>
      <c r="K514" s="1">
        <v>0.99983837540672615</v>
      </c>
      <c r="L514" s="1">
        <v>3.751832255608794</v>
      </c>
      <c r="M514" s="1">
        <v>0.24002135331124547</v>
      </c>
      <c r="N514" s="19">
        <v>8.9281254184064122E-3</v>
      </c>
      <c r="O514" s="19">
        <v>9.4625005139999992E-3</v>
      </c>
      <c r="P514" s="1">
        <v>0.68781370376909889</v>
      </c>
    </row>
    <row r="515" spans="1:16" x14ac:dyDescent="0.2">
      <c r="A515" s="1">
        <v>504</v>
      </c>
      <c r="B515" s="1">
        <v>0.99969531812525625</v>
      </c>
      <c r="C515" s="1">
        <v>2.8790569252116924</v>
      </c>
      <c r="D515" s="1">
        <v>0.31272641225212938</v>
      </c>
      <c r="E515" s="19">
        <v>8.9466458120909843E-3</v>
      </c>
      <c r="F515" s="19">
        <v>9.4633300000000007E-3</v>
      </c>
      <c r="G515" s="1">
        <v>0.68676773891218801</v>
      </c>
      <c r="H515" s="1">
        <f t="shared" si="7"/>
        <v>2.4282532232580145E-2</v>
      </c>
      <c r="I515" s="20">
        <f>E515-N515</f>
        <v>2.0035619063475674E-5</v>
      </c>
      <c r="K515" s="1">
        <v>0.99983388114725336</v>
      </c>
      <c r="L515" s="1">
        <v>3.7195180062494662</v>
      </c>
      <c r="M515" s="1">
        <v>0.24205416447897962</v>
      </c>
      <c r="N515" s="19">
        <v>8.9266101930275087E-3</v>
      </c>
      <c r="O515" s="19">
        <v>9.4621205390000001E-3</v>
      </c>
      <c r="P515" s="1">
        <v>0.68734589444153515</v>
      </c>
    </row>
    <row r="516" spans="1:16" x14ac:dyDescent="0.2">
      <c r="A516" s="1">
        <v>505</v>
      </c>
      <c r="B516" s="1">
        <v>0.99952865921971079</v>
      </c>
      <c r="C516" s="1">
        <v>2.8898860752569053</v>
      </c>
      <c r="D516" s="1">
        <v>0.31146463663351859</v>
      </c>
      <c r="E516" s="19">
        <v>8.945261809181964E-3</v>
      </c>
      <c r="F516" s="19">
        <v>9.4629499999999995E-3</v>
      </c>
      <c r="G516" s="1">
        <v>0.68629587850485063</v>
      </c>
      <c r="H516" s="1">
        <f t="shared" si="7"/>
        <v>2.4523077796975341E-2</v>
      </c>
      <c r="I516" s="20">
        <f>E516-N516</f>
        <v>2.0167822422969758E-5</v>
      </c>
      <c r="K516" s="1">
        <v>0.99991987543721295</v>
      </c>
      <c r="L516" s="1">
        <v>3.6828026588266374</v>
      </c>
      <c r="M516" s="1">
        <v>0.2444177124548004</v>
      </c>
      <c r="N516" s="19">
        <v>8.9250939867589942E-3</v>
      </c>
      <c r="O516" s="19">
        <v>9.4617420709999997E-3</v>
      </c>
      <c r="P516" s="1">
        <v>0.68687860510596688</v>
      </c>
    </row>
    <row r="517" spans="1:16" x14ac:dyDescent="0.2">
      <c r="A517" s="1">
        <v>506</v>
      </c>
      <c r="B517" s="1">
        <v>0.99952735459289965</v>
      </c>
      <c r="C517" s="1">
        <v>2.8975632093680943</v>
      </c>
      <c r="D517" s="1">
        <v>0.31059350852188172</v>
      </c>
      <c r="E517" s="19">
        <v>8.9439081107018752E-3</v>
      </c>
      <c r="F517" s="19">
        <v>9.46257E-3</v>
      </c>
      <c r="G517" s="1">
        <v>0.68582362412660636</v>
      </c>
      <c r="H517" s="1">
        <f t="shared" si="7"/>
        <v>2.5053775187027377E-2</v>
      </c>
      <c r="I517" s="20">
        <f>E517-N517</f>
        <v>2.0536864457607745E-5</v>
      </c>
      <c r="K517" s="1">
        <v>0.99976625070408176</v>
      </c>
      <c r="L517" s="1">
        <v>3.7301746525246395</v>
      </c>
      <c r="M517" s="1">
        <v>0.24126296912408096</v>
      </c>
      <c r="N517" s="19">
        <v>8.9233712462442674E-3</v>
      </c>
      <c r="O517" s="19">
        <v>9.4613651009999994E-3</v>
      </c>
      <c r="P517" s="1">
        <v>0.68641778480297855</v>
      </c>
    </row>
    <row r="518" spans="1:16" x14ac:dyDescent="0.2">
      <c r="A518" s="1">
        <v>507</v>
      </c>
      <c r="B518" s="1">
        <v>0.99962659517211505</v>
      </c>
      <c r="C518" s="1">
        <v>3.002923389157405</v>
      </c>
      <c r="D518" s="1">
        <v>0.29962262600599066</v>
      </c>
      <c r="E518" s="19">
        <v>8.9425038864834067E-3</v>
      </c>
      <c r="F518" s="19">
        <v>9.4622000000000005E-3</v>
      </c>
      <c r="G518" s="1">
        <v>0.68535331237365349</v>
      </c>
      <c r="H518" s="1">
        <f t="shared" si="7"/>
        <v>2.5590613151916353E-2</v>
      </c>
      <c r="I518" s="20">
        <f>E518-N518</f>
        <v>2.0908405360743273E-5</v>
      </c>
      <c r="K518" s="1">
        <v>0.99988609410587892</v>
      </c>
      <c r="L518" s="1">
        <v>3.6796403880047195</v>
      </c>
      <c r="M518" s="1">
        <v>0.24451613552946086</v>
      </c>
      <c r="N518" s="19">
        <v>8.9215954811226635E-3</v>
      </c>
      <c r="O518" s="19">
        <v>9.4609896219999996E-3</v>
      </c>
      <c r="P518" s="1">
        <v>0.68595900735949766</v>
      </c>
    </row>
    <row r="519" spans="1:16" x14ac:dyDescent="0.2">
      <c r="A519" s="1">
        <v>508</v>
      </c>
      <c r="B519" s="1">
        <v>0.99963176157835676</v>
      </c>
      <c r="C519" s="1">
        <v>2.9492647245278083</v>
      </c>
      <c r="D519" s="1">
        <v>0.30502361816475859</v>
      </c>
      <c r="E519" s="19">
        <v>8.9409832588288555E-3</v>
      </c>
      <c r="F519" s="19">
        <v>9.4618199999999993E-3</v>
      </c>
      <c r="G519" s="1">
        <v>0.68488685837071273</v>
      </c>
      <c r="H519" s="1">
        <f t="shared" si="7"/>
        <v>2.6054606330393176E-2</v>
      </c>
      <c r="I519" s="20">
        <f>E519-N519</f>
        <v>2.1218060679804862E-5</v>
      </c>
      <c r="K519" s="1">
        <v>0.99991527912641553</v>
      </c>
      <c r="L519" s="1">
        <v>3.6354270762399334</v>
      </c>
      <c r="M519" s="1">
        <v>0.24744481504636875</v>
      </c>
      <c r="N519" s="19">
        <v>8.9197651981490506E-3</v>
      </c>
      <c r="O519" s="19">
        <v>9.460615625E-3</v>
      </c>
      <c r="P519" s="1">
        <v>0.68550232151237556</v>
      </c>
    </row>
    <row r="520" spans="1:16" x14ac:dyDescent="0.2">
      <c r="A520" s="1">
        <v>509</v>
      </c>
      <c r="B520" s="1">
        <v>0.99959469900383624</v>
      </c>
      <c r="C520" s="1">
        <v>2.9120738635034589</v>
      </c>
      <c r="D520" s="1">
        <v>0.30885191820520569</v>
      </c>
      <c r="E520" s="19">
        <v>8.9392727809018604E-3</v>
      </c>
      <c r="F520" s="19">
        <v>9.4614499999999997E-3</v>
      </c>
      <c r="G520" s="1">
        <v>0.68442640683383393</v>
      </c>
      <c r="H520" s="1">
        <f t="shared" si="7"/>
        <v>2.616830949503085E-2</v>
      </c>
      <c r="I520" s="20">
        <f>E520-N520</f>
        <v>2.124125521122712E-5</v>
      </c>
      <c r="K520" s="1">
        <v>1.0000060625385732</v>
      </c>
      <c r="L520" s="1">
        <v>3.7037684714344583</v>
      </c>
      <c r="M520" s="1">
        <v>0.24282726519955472</v>
      </c>
      <c r="N520" s="19">
        <v>8.9180315256906333E-3</v>
      </c>
      <c r="O520" s="19">
        <v>9.4602430999999997E-3</v>
      </c>
      <c r="P520" s="1">
        <v>0.68504334143882484</v>
      </c>
    </row>
    <row r="521" spans="1:16" x14ac:dyDescent="0.2">
      <c r="A521" s="1">
        <v>510</v>
      </c>
      <c r="B521" s="1">
        <v>0.9996829394858916</v>
      </c>
      <c r="C521" s="1">
        <v>2.9185438010498292</v>
      </c>
      <c r="D521" s="1">
        <v>0.30810781866580433</v>
      </c>
      <c r="E521" s="19">
        <v>8.9374799916419282E-3</v>
      </c>
      <c r="F521" s="19">
        <v>9.4610700000000002E-3</v>
      </c>
      <c r="G521" s="1">
        <v>0.68396885252213313</v>
      </c>
      <c r="H521" s="1">
        <f t="shared" si="7"/>
        <v>2.6229193388982996E-2</v>
      </c>
      <c r="I521" s="20">
        <f>E521-N521</f>
        <v>2.1221441862780827E-5</v>
      </c>
      <c r="K521" s="1">
        <v>0.99980879661072597</v>
      </c>
      <c r="L521" s="1">
        <v>3.7386491082505682</v>
      </c>
      <c r="M521" s="1">
        <v>0.24051598239169023</v>
      </c>
      <c r="N521" s="19">
        <v>8.9162585497791474E-3</v>
      </c>
      <c r="O521" s="19">
        <v>9.4598720390000005E-3</v>
      </c>
      <c r="P521" s="1">
        <v>0.68458601001363861</v>
      </c>
    </row>
    <row r="522" spans="1:16" x14ac:dyDescent="0.2">
      <c r="A522" s="1">
        <v>511</v>
      </c>
      <c r="B522" s="1">
        <v>0.99973545649603335</v>
      </c>
      <c r="C522" s="1">
        <v>2.9783883282391339</v>
      </c>
      <c r="D522" s="1">
        <v>0.3018543353074617</v>
      </c>
      <c r="E522" s="19">
        <v>8.9357371528451541E-3</v>
      </c>
      <c r="F522" s="19">
        <v>9.4607000000000007E-3</v>
      </c>
      <c r="G522" s="1">
        <v>0.68351035446058228</v>
      </c>
      <c r="H522" s="1">
        <f t="shared" si="7"/>
        <v>2.6285755629369179E-2</v>
      </c>
      <c r="I522" s="20">
        <f>E522-N522</f>
        <v>2.1198250893996601E-5</v>
      </c>
      <c r="K522" s="1">
        <v>0.99986080459360982</v>
      </c>
      <c r="L522" s="1">
        <v>3.7301141526207262</v>
      </c>
      <c r="M522" s="1">
        <v>0.24100190903428986</v>
      </c>
      <c r="N522" s="19">
        <v>8.9145389019511575E-3</v>
      </c>
      <c r="O522" s="19">
        <v>9.4595024330000003E-3</v>
      </c>
      <c r="P522" s="1">
        <v>0.68412763247927588</v>
      </c>
    </row>
    <row r="523" spans="1:16" x14ac:dyDescent="0.2">
      <c r="A523" s="1">
        <v>512</v>
      </c>
      <c r="B523" s="1">
        <v>0.99970813556528138</v>
      </c>
      <c r="C523" s="1">
        <v>2.9216109271618191</v>
      </c>
      <c r="D523" s="1">
        <v>0.30765502064940847</v>
      </c>
      <c r="E523" s="19">
        <v>8.9341625802252522E-3</v>
      </c>
      <c r="F523" s="19">
        <v>9.4603299999999994E-3</v>
      </c>
      <c r="G523" s="1">
        <v>0.68304745830215785</v>
      </c>
      <c r="H523" s="1">
        <f t="shared" si="7"/>
        <v>2.6511828497575607E-2</v>
      </c>
      <c r="I523" s="20">
        <f>E523-N523</f>
        <v>2.1311494549565782E-5</v>
      </c>
      <c r="K523" s="1">
        <v>0.99974428866458132</v>
      </c>
      <c r="L523" s="1">
        <v>3.6459044015612898</v>
      </c>
      <c r="M523" s="1">
        <v>0.24652236515731474</v>
      </c>
      <c r="N523" s="19">
        <v>8.9128510856756864E-3</v>
      </c>
      <c r="O523" s="19">
        <v>9.4591342740000008E-3</v>
      </c>
      <c r="P523" s="1">
        <v>0.68366882928256978</v>
      </c>
    </row>
    <row r="524" spans="1:16" x14ac:dyDescent="0.2">
      <c r="A524" s="1">
        <v>513</v>
      </c>
      <c r="B524" s="1">
        <v>0.99978116216080948</v>
      </c>
      <c r="C524" s="1">
        <v>2.9343337529308378</v>
      </c>
      <c r="D524" s="1">
        <v>0.30623240035932925</v>
      </c>
      <c r="E524" s="19">
        <v>8.9324129141150465E-3</v>
      </c>
      <c r="F524" s="19">
        <v>9.4599699999999998E-3</v>
      </c>
      <c r="G524" s="1">
        <v>0.68259016409914286</v>
      </c>
      <c r="H524" s="1">
        <f t="shared" si="7"/>
        <v>2.6396944219868157E-2</v>
      </c>
      <c r="I524" s="20">
        <f>E524-N524</f>
        <v>2.1150714002870011E-5</v>
      </c>
      <c r="K524" s="1">
        <v>0.99981391989764146</v>
      </c>
      <c r="L524" s="1">
        <v>3.5671118859688766</v>
      </c>
      <c r="M524" s="1">
        <v>0.25193127983214453</v>
      </c>
      <c r="N524" s="19">
        <v>8.9112622001121765E-3</v>
      </c>
      <c r="O524" s="19">
        <v>9.4587675529999998E-3</v>
      </c>
      <c r="P524" s="1">
        <v>0.68320763647855498</v>
      </c>
    </row>
    <row r="525" spans="1:16" x14ac:dyDescent="0.2">
      <c r="A525" s="1">
        <v>514</v>
      </c>
      <c r="B525" s="1">
        <v>0.9996570264291067</v>
      </c>
      <c r="C525" s="1">
        <v>2.9806982290856783</v>
      </c>
      <c r="D525" s="1">
        <v>0.30141772533069155</v>
      </c>
      <c r="E525" s="19">
        <v>8.9306104700523064E-3</v>
      </c>
      <c r="F525" s="19">
        <v>9.4596000000000003E-3</v>
      </c>
      <c r="G525" s="1">
        <v>0.68213491703851192</v>
      </c>
      <c r="H525" s="1">
        <f t="shared" ref="H525:H588" si="8">(P525-G525)*A525/12</f>
        <v>2.6093236922847873E-2</v>
      </c>
      <c r="I525" s="20">
        <f>E525-N525</f>
        <v>2.0840113493954954E-5</v>
      </c>
      <c r="K525" s="1">
        <v>0.99996445232067344</v>
      </c>
      <c r="L525" s="1">
        <v>3.5963729921597487</v>
      </c>
      <c r="M525" s="1">
        <v>0.24981787684857495</v>
      </c>
      <c r="N525" s="19">
        <v>8.9097703565583514E-3</v>
      </c>
      <c r="O525" s="19">
        <v>9.4584022619999993E-3</v>
      </c>
      <c r="P525" s="1">
        <v>0.6827440976670609</v>
      </c>
    </row>
    <row r="526" spans="1:16" x14ac:dyDescent="0.2">
      <c r="A526" s="1">
        <v>515</v>
      </c>
      <c r="B526" s="1">
        <v>0.99968434369598946</v>
      </c>
      <c r="C526" s="1">
        <v>2.9957836228712797</v>
      </c>
      <c r="D526" s="1">
        <v>0.29983877750897575</v>
      </c>
      <c r="E526" s="19">
        <v>8.9287454399226678E-3</v>
      </c>
      <c r="F526" s="19">
        <v>9.4592300000000008E-3</v>
      </c>
      <c r="G526" s="1">
        <v>0.68168200936775358</v>
      </c>
      <c r="H526" s="1">
        <f t="shared" si="8"/>
        <v>2.5496888341228069E-2</v>
      </c>
      <c r="I526" s="20">
        <f>E526-N526</f>
        <v>2.0298512024065699E-5</v>
      </c>
      <c r="K526" s="1">
        <v>0.99987051438702979</v>
      </c>
      <c r="L526" s="1">
        <v>3.6566482114825658</v>
      </c>
      <c r="M526" s="1">
        <v>0.24565314352677942</v>
      </c>
      <c r="N526" s="19">
        <v>8.9084469278986021E-3</v>
      </c>
      <c r="O526" s="19">
        <v>9.4580383920000004E-3</v>
      </c>
      <c r="P526" s="1">
        <v>0.68227611162036472</v>
      </c>
    </row>
    <row r="527" spans="1:16" x14ac:dyDescent="0.2">
      <c r="A527" s="1">
        <v>516</v>
      </c>
      <c r="B527" s="1">
        <v>0.99956049376423639</v>
      </c>
      <c r="C527" s="1">
        <v>3.064687980919607</v>
      </c>
      <c r="D527" s="1">
        <v>0.29304012649182659</v>
      </c>
      <c r="E527" s="19">
        <v>8.926992015570864E-3</v>
      </c>
      <c r="F527" s="19">
        <v>9.4588699999999994E-3</v>
      </c>
      <c r="G527" s="1">
        <v>0.68122634491400946</v>
      </c>
      <c r="H527" s="1">
        <f t="shared" si="8"/>
        <v>2.5091508254860284E-2</v>
      </c>
      <c r="I527" s="20">
        <f>E527-N527</f>
        <v>1.9911889993970075E-5</v>
      </c>
      <c r="K527" s="1">
        <v>0.99989569987691862</v>
      </c>
      <c r="L527" s="1">
        <v>3.6002591980013747</v>
      </c>
      <c r="M527" s="1">
        <v>0.2494548103473658</v>
      </c>
      <c r="N527" s="19">
        <v>8.9070801255768939E-3</v>
      </c>
      <c r="O527" s="19">
        <v>9.4576759360000002E-3</v>
      </c>
      <c r="P527" s="1">
        <v>0.68180986836179691</v>
      </c>
    </row>
    <row r="528" spans="1:16" x14ac:dyDescent="0.2">
      <c r="A528" s="1">
        <v>517</v>
      </c>
      <c r="B528" s="1">
        <v>0.99954512717025901</v>
      </c>
      <c r="C528" s="1">
        <v>3.1109750446480038</v>
      </c>
      <c r="D528" s="1">
        <v>0.28861153569453385</v>
      </c>
      <c r="E528" s="19">
        <v>8.9251951868543657E-3</v>
      </c>
      <c r="F528" s="19">
        <v>9.4585099999999998E-3</v>
      </c>
      <c r="G528" s="1">
        <v>0.68077245703851397</v>
      </c>
      <c r="H528" s="1">
        <f t="shared" si="8"/>
        <v>2.4529448822613042E-2</v>
      </c>
      <c r="I528" s="20">
        <f>E528-N528</f>
        <v>1.9403750247191931E-5</v>
      </c>
      <c r="K528" s="1">
        <v>0.99978541112714647</v>
      </c>
      <c r="L528" s="1">
        <v>3.5631029715835676</v>
      </c>
      <c r="M528" s="1">
        <v>0.25198777923070237</v>
      </c>
      <c r="N528" s="19">
        <v>8.9057914366071737E-3</v>
      </c>
      <c r="O528" s="19">
        <v>9.457314885E-3</v>
      </c>
      <c r="P528" s="1">
        <v>0.68134180594735605</v>
      </c>
    </row>
    <row r="529" spans="1:16" x14ac:dyDescent="0.2">
      <c r="A529" s="1">
        <v>518</v>
      </c>
      <c r="B529" s="1">
        <v>0.99961427907939138</v>
      </c>
      <c r="C529" s="1">
        <v>3.1083932465490971</v>
      </c>
      <c r="D529" s="1">
        <v>0.28879659358687126</v>
      </c>
      <c r="E529" s="19">
        <v>8.9233119165634533E-3</v>
      </c>
      <c r="F529" s="19">
        <v>9.4581400000000003E-3</v>
      </c>
      <c r="G529" s="1">
        <v>0.68032161385948065</v>
      </c>
      <c r="H529" s="1">
        <f t="shared" si="8"/>
        <v>2.3825738816010966E-2</v>
      </c>
      <c r="I529" s="20">
        <f>E529-N529</f>
        <v>1.8787066282100612E-5</v>
      </c>
      <c r="K529" s="1">
        <v>0.99989822612636958</v>
      </c>
      <c r="L529" s="1">
        <v>3.5233219846946224</v>
      </c>
      <c r="M529" s="1">
        <v>0.25478531082529959</v>
      </c>
      <c r="N529" s="19">
        <v>8.9045248502813527E-3</v>
      </c>
      <c r="O529" s="19">
        <v>9.4569552309999999E-3</v>
      </c>
      <c r="P529" s="1">
        <v>0.68087356147683997</v>
      </c>
    </row>
    <row r="530" spans="1:16" x14ac:dyDescent="0.2">
      <c r="A530" s="1">
        <v>519</v>
      </c>
      <c r="B530" s="1">
        <v>0.99949659243454914</v>
      </c>
      <c r="C530" s="1">
        <v>3.0657255398267926</v>
      </c>
      <c r="D530" s="1">
        <v>0.29274930268460558</v>
      </c>
      <c r="E530" s="19">
        <v>8.9213041600004414E-3</v>
      </c>
      <c r="F530" s="19">
        <v>9.4577900000000006E-3</v>
      </c>
      <c r="G530" s="1">
        <v>0.67987494310737784</v>
      </c>
      <c r="H530" s="1">
        <f t="shared" si="8"/>
        <v>2.2845821969698421E-2</v>
      </c>
      <c r="I530" s="20">
        <f>E530-N530</f>
        <v>1.7957127723637958E-5</v>
      </c>
      <c r="K530" s="1">
        <v>1.0000044116978759</v>
      </c>
      <c r="L530" s="1">
        <v>3.5664306830130528</v>
      </c>
      <c r="M530" s="1">
        <v>0.25165163440279509</v>
      </c>
      <c r="N530" s="19">
        <v>8.9033470322768034E-3</v>
      </c>
      <c r="O530" s="19">
        <v>9.4565969649999995E-3</v>
      </c>
      <c r="P530" s="1">
        <v>0.68040317020494312</v>
      </c>
    </row>
    <row r="531" spans="1:16" x14ac:dyDescent="0.2">
      <c r="A531" s="1">
        <v>520</v>
      </c>
      <c r="B531" s="1">
        <v>0.99961525201187962</v>
      </c>
      <c r="C531" s="1">
        <v>3.073319713734084</v>
      </c>
      <c r="D531" s="1">
        <v>0.29196580152325163</v>
      </c>
      <c r="E531" s="19">
        <v>8.9192099541937457E-3</v>
      </c>
      <c r="F531" s="19">
        <v>9.4574299999999993E-3</v>
      </c>
      <c r="G531" s="1">
        <v>0.67943133821119339</v>
      </c>
      <c r="H531" s="1">
        <f t="shared" si="8"/>
        <v>2.1662240448340937E-2</v>
      </c>
      <c r="I531" s="20">
        <f>E531-N531</f>
        <v>1.6972815228380109E-5</v>
      </c>
      <c r="K531" s="1">
        <v>1.0000541672550192</v>
      </c>
      <c r="L531" s="1">
        <v>3.5891424830893599</v>
      </c>
      <c r="M531" s="1">
        <v>0.25000779756829272</v>
      </c>
      <c r="N531" s="19">
        <v>8.9022371389653656E-3</v>
      </c>
      <c r="O531" s="19">
        <v>9.4562400800000009E-3</v>
      </c>
      <c r="P531" s="1">
        <v>0.67993123606769357</v>
      </c>
    </row>
    <row r="532" spans="1:16" x14ac:dyDescent="0.2">
      <c r="A532" s="1">
        <v>521</v>
      </c>
      <c r="B532" s="1">
        <v>0.99953037625630292</v>
      </c>
      <c r="C532" s="1">
        <v>3.1479790620901245</v>
      </c>
      <c r="D532" s="1">
        <v>0.28498505709383154</v>
      </c>
      <c r="E532" s="19">
        <v>8.9171003956679783E-3</v>
      </c>
      <c r="F532" s="19">
        <v>9.4570699999999997E-3</v>
      </c>
      <c r="G532" s="1">
        <v>0.67898871233774782</v>
      </c>
      <c r="H532" s="1">
        <f t="shared" si="8"/>
        <v>2.0316114477941256E-2</v>
      </c>
      <c r="I532" s="20">
        <f>E532-N532</f>
        <v>1.5867756798914473E-5</v>
      </c>
      <c r="K532" s="1">
        <v>1.0000838425347649</v>
      </c>
      <c r="L532" s="1">
        <v>3.534634203435008</v>
      </c>
      <c r="M532" s="1">
        <v>0.25382303182636329</v>
      </c>
      <c r="N532" s="19">
        <v>8.9012326388690638E-3</v>
      </c>
      <c r="O532" s="19">
        <v>9.4558845680000007E-3</v>
      </c>
      <c r="P532" s="1">
        <v>0.67945664587658716</v>
      </c>
    </row>
    <row r="533" spans="1:16" x14ac:dyDescent="0.2">
      <c r="A533" s="1">
        <v>522</v>
      </c>
      <c r="B533" s="1">
        <v>0.99952988658400332</v>
      </c>
      <c r="C533" s="1">
        <v>3.1506112031561204</v>
      </c>
      <c r="D533" s="1">
        <v>0.28469260797675999</v>
      </c>
      <c r="E533" s="19">
        <v>8.9149588191688514E-3</v>
      </c>
      <c r="F533" s="19">
        <v>9.4567100000000001E-3</v>
      </c>
      <c r="G533" s="1">
        <v>0.67854755845997261</v>
      </c>
      <c r="H533" s="1">
        <f t="shared" si="8"/>
        <v>1.9128643413342916E-2</v>
      </c>
      <c r="I533" s="20">
        <f>E533-N533</f>
        <v>1.4893085370941417E-5</v>
      </c>
      <c r="K533" s="1">
        <v>1.0000028887560408</v>
      </c>
      <c r="L533" s="1">
        <v>3.5250775723108219</v>
      </c>
      <c r="M533" s="1">
        <v>0.25445513688948584</v>
      </c>
      <c r="N533" s="19">
        <v>8.90006573379791E-3</v>
      </c>
      <c r="O533" s="19">
        <v>9.4555304200000002E-3</v>
      </c>
      <c r="P533" s="1">
        <v>0.67898729738901498</v>
      </c>
    </row>
    <row r="534" spans="1:16" x14ac:dyDescent="0.2">
      <c r="A534" s="1">
        <v>523</v>
      </c>
      <c r="B534" s="1">
        <v>0.99960453632305812</v>
      </c>
      <c r="C534" s="1">
        <v>3.1522471017060449</v>
      </c>
      <c r="D534" s="1">
        <v>0.28448721948790107</v>
      </c>
      <c r="E534" s="19">
        <v>8.9129237802908646E-3</v>
      </c>
      <c r="F534" s="19">
        <v>9.4563600000000005E-3</v>
      </c>
      <c r="G534" s="1">
        <v>0.67810378462318355</v>
      </c>
      <c r="H534" s="1">
        <f t="shared" si="8"/>
        <v>1.8032295344349757E-2</v>
      </c>
      <c r="I534" s="20">
        <f>E534-N534</f>
        <v>1.3995277043593948E-5</v>
      </c>
      <c r="K534" s="1">
        <v>0.99990463738089042</v>
      </c>
      <c r="L534" s="1">
        <v>3.5317475333831156</v>
      </c>
      <c r="M534" s="1">
        <v>0.25391954329344729</v>
      </c>
      <c r="N534" s="19">
        <v>8.8989285032472706E-3</v>
      </c>
      <c r="O534" s="19">
        <v>9.4551776300000005E-3</v>
      </c>
      <c r="P534" s="1">
        <v>0.67851752753739425</v>
      </c>
    </row>
    <row r="535" spans="1:16" x14ac:dyDescent="0.2">
      <c r="A535" s="1">
        <v>524</v>
      </c>
      <c r="B535" s="1">
        <v>0.99953228734618138</v>
      </c>
      <c r="C535" s="1">
        <v>3.1410136308216985</v>
      </c>
      <c r="D535" s="1">
        <v>0.28544795794516992</v>
      </c>
      <c r="E535" s="19">
        <v>8.9110417718964718E-3</v>
      </c>
      <c r="F535" s="19">
        <v>9.4560100000000008E-3</v>
      </c>
      <c r="G535" s="1">
        <v>0.67765600252421876</v>
      </c>
      <c r="H535" s="1">
        <f t="shared" si="8"/>
        <v>1.7028922212517172E-2</v>
      </c>
      <c r="I535" s="20">
        <f>E535-N535</f>
        <v>1.3175067744050639E-5</v>
      </c>
      <c r="K535" s="1">
        <v>0.99981471166783742</v>
      </c>
      <c r="L535" s="1">
        <v>3.5882991833529805</v>
      </c>
      <c r="M535" s="1">
        <v>0.2498706051988383</v>
      </c>
      <c r="N535" s="19">
        <v>8.8978667041524212E-3</v>
      </c>
      <c r="O535" s="19">
        <v>9.4548261889999992E-3</v>
      </c>
      <c r="P535" s="1">
        <v>0.67804597784206266</v>
      </c>
    </row>
    <row r="536" spans="1:16" x14ac:dyDescent="0.2">
      <c r="A536" s="1">
        <v>525</v>
      </c>
      <c r="B536" s="1">
        <v>0.99960346031448133</v>
      </c>
      <c r="C536" s="1">
        <v>3.1671646855017412</v>
      </c>
      <c r="D536" s="1">
        <v>0.28303080451132945</v>
      </c>
      <c r="E536" s="19">
        <v>8.9092636491655934E-3</v>
      </c>
      <c r="F536" s="19">
        <v>9.4556499999999995E-3</v>
      </c>
      <c r="G536" s="1">
        <v>0.67720565062924276</v>
      </c>
      <c r="H536" s="1">
        <f t="shared" si="8"/>
        <v>1.5833697312084977E-2</v>
      </c>
      <c r="I536" s="20">
        <f>E536-N536</f>
        <v>1.221207965006188E-5</v>
      </c>
      <c r="K536" s="1">
        <v>0.99992228489694845</v>
      </c>
      <c r="L536" s="1">
        <v>3.5983840539147263</v>
      </c>
      <c r="M536" s="1">
        <v>0.24911561468802834</v>
      </c>
      <c r="N536" s="19">
        <v>8.8970515695155315E-3</v>
      </c>
      <c r="O536" s="19">
        <v>9.4544760889999999E-3</v>
      </c>
      <c r="P536" s="1">
        <v>0.67756756371066185</v>
      </c>
    </row>
    <row r="537" spans="1:16" x14ac:dyDescent="0.2">
      <c r="A537" s="1">
        <v>526</v>
      </c>
      <c r="B537" s="1">
        <v>0.99953884666308546</v>
      </c>
      <c r="C537" s="1">
        <v>3.2726445739248193</v>
      </c>
      <c r="D537" s="1">
        <v>0.27383840449343755</v>
      </c>
      <c r="E537" s="19">
        <v>8.9076075279818784E-3</v>
      </c>
      <c r="F537" s="19">
        <v>9.4552999999999998E-3</v>
      </c>
      <c r="G537" s="1">
        <v>0.67675217948445565</v>
      </c>
      <c r="H537" s="1">
        <f t="shared" si="8"/>
        <v>1.4446035141727154E-2</v>
      </c>
      <c r="I537" s="20">
        <f>E537-N537</f>
        <v>1.1107192070834715E-5</v>
      </c>
      <c r="K537" s="1">
        <v>0.99990438234776624</v>
      </c>
      <c r="L537" s="1">
        <v>3.5921233854969583</v>
      </c>
      <c r="M537" s="1">
        <v>0.24948475569145781</v>
      </c>
      <c r="N537" s="19">
        <v>8.8965003359110437E-3</v>
      </c>
      <c r="O537" s="19">
        <v>9.4541273229999997E-3</v>
      </c>
      <c r="P537" s="1">
        <v>0.67708174682609201</v>
      </c>
    </row>
    <row r="538" spans="1:16" x14ac:dyDescent="0.2">
      <c r="A538" s="1">
        <v>527</v>
      </c>
      <c r="B538" s="1">
        <v>0.99965225169105287</v>
      </c>
      <c r="C538" s="1">
        <v>3.2620680260140125</v>
      </c>
      <c r="D538" s="1">
        <v>0.2746877989267158</v>
      </c>
      <c r="E538" s="19">
        <v>8.9061199868303801E-3</v>
      </c>
      <c r="F538" s="19">
        <v>9.4549600000000001E-3</v>
      </c>
      <c r="G538" s="1">
        <v>0.67629419172131777</v>
      </c>
      <c r="H538" s="1">
        <f t="shared" si="8"/>
        <v>1.3258846425745263E-2</v>
      </c>
      <c r="I538" s="20">
        <f>E538-N538</f>
        <v>1.0162824461208697E-5</v>
      </c>
      <c r="K538" s="1">
        <v>0.9998584800035949</v>
      </c>
      <c r="L538" s="1">
        <v>3.5940646927304005</v>
      </c>
      <c r="M538" s="1">
        <v>0.24930390569757185</v>
      </c>
      <c r="N538" s="19">
        <v>8.8959571623691714E-3</v>
      </c>
      <c r="O538" s="19">
        <v>9.4537798840000006E-3</v>
      </c>
      <c r="P538" s="1">
        <v>0.67659610093784328</v>
      </c>
    </row>
    <row r="539" spans="1:16" x14ac:dyDescent="0.2">
      <c r="A539" s="1">
        <v>528</v>
      </c>
      <c r="B539" s="1">
        <v>0.9997141604742128</v>
      </c>
      <c r="C539" s="1">
        <v>3.1744986849629959</v>
      </c>
      <c r="D539" s="1">
        <v>0.28220423376066267</v>
      </c>
      <c r="E539" s="19">
        <v>8.9047361198923789E-3</v>
      </c>
      <c r="F539" s="19">
        <v>9.4546100000000004E-3</v>
      </c>
      <c r="G539" s="1">
        <v>0.67583359852052771</v>
      </c>
      <c r="H539" s="1">
        <f t="shared" si="8"/>
        <v>1.2190035804747978E-2</v>
      </c>
      <c r="I539" s="20">
        <f>E539-N539</f>
        <v>9.3147424041969962E-6</v>
      </c>
      <c r="K539" s="1">
        <v>0.99974730039488879</v>
      </c>
      <c r="L539" s="1">
        <v>3.5582229703850294</v>
      </c>
      <c r="M539" s="1">
        <v>0.25175604279967295</v>
      </c>
      <c r="N539" s="19">
        <v>8.8954213774881819E-3</v>
      </c>
      <c r="O539" s="19">
        <v>9.4534337630000007E-3</v>
      </c>
      <c r="P539" s="1">
        <v>0.67611064478881744</v>
      </c>
    </row>
    <row r="540" spans="1:16" x14ac:dyDescent="0.2">
      <c r="A540" s="1">
        <v>529</v>
      </c>
      <c r="B540" s="1">
        <v>0.9997889477287647</v>
      </c>
      <c r="C540" s="1">
        <v>3.1347211263393109</v>
      </c>
      <c r="D540" s="1">
        <v>0.28570813415648627</v>
      </c>
      <c r="E540" s="19">
        <v>8.9034569908774362E-3</v>
      </c>
      <c r="F540" s="19">
        <v>9.4542600000000008E-3</v>
      </c>
      <c r="G540" s="1">
        <v>0.67537035645493038</v>
      </c>
      <c r="H540" s="1">
        <f t="shared" si="8"/>
        <v>1.1224667641312247E-2</v>
      </c>
      <c r="I540" s="20">
        <f>E540-N540</f>
        <v>8.5506826714050466E-6</v>
      </c>
      <c r="K540" s="1">
        <v>0.99975024883616714</v>
      </c>
      <c r="L540" s="1">
        <v>3.5559655708141884</v>
      </c>
      <c r="M540" s="1">
        <v>0.25187131721687922</v>
      </c>
      <c r="N540" s="19">
        <v>8.8949063082060312E-3</v>
      </c>
      <c r="O540" s="19">
        <v>9.4530889530000002E-3</v>
      </c>
      <c r="P540" s="1">
        <v>0.67562498029556506</v>
      </c>
    </row>
    <row r="541" spans="1:16" x14ac:dyDescent="0.2">
      <c r="A541" s="1">
        <v>530</v>
      </c>
      <c r="B541" s="1">
        <v>0.99982037712096827</v>
      </c>
      <c r="C541" s="1">
        <v>3.2342053877791344</v>
      </c>
      <c r="D541" s="1">
        <v>0.27687325760009568</v>
      </c>
      <c r="E541" s="19">
        <v>8.9021789580413964E-3</v>
      </c>
      <c r="F541" s="19">
        <v>9.4539199999999993E-3</v>
      </c>
      <c r="G541" s="1">
        <v>0.67490754312000933</v>
      </c>
      <c r="H541" s="1">
        <f t="shared" si="8"/>
        <v>1.0366258659932071E-2</v>
      </c>
      <c r="I541" s="20">
        <f>E541-N541</f>
        <v>7.8725061254756451E-6</v>
      </c>
      <c r="K541" s="1">
        <v>0.99990876787872818</v>
      </c>
      <c r="L541" s="1">
        <v>3.5572987383281562</v>
      </c>
      <c r="M541" s="1">
        <v>0.25171572007912452</v>
      </c>
      <c r="N541" s="19">
        <v>8.8943064519159207E-3</v>
      </c>
      <c r="O541" s="19">
        <v>9.4527454469999998E-3</v>
      </c>
      <c r="P541" s="1">
        <v>0.67514225086325308</v>
      </c>
    </row>
    <row r="542" spans="1:16" x14ac:dyDescent="0.2">
      <c r="A542" s="1">
        <v>531</v>
      </c>
      <c r="B542" s="1">
        <v>0.99965573703765453</v>
      </c>
      <c r="C542" s="1">
        <v>3.258566856400412</v>
      </c>
      <c r="D542" s="1">
        <v>0.2747386714314759</v>
      </c>
      <c r="E542" s="19">
        <v>8.9008585844675761E-3</v>
      </c>
      <c r="F542" s="19">
        <v>9.4535699999999997E-3</v>
      </c>
      <c r="G542" s="1">
        <v>0.67444645422587024</v>
      </c>
      <c r="H542" s="1">
        <f t="shared" si="8"/>
        <v>9.3838458586519569E-3</v>
      </c>
      <c r="I542" s="20">
        <f>E542-N542</f>
        <v>7.1045826583043814E-6</v>
      </c>
      <c r="K542" s="1">
        <v>0.99995983504104313</v>
      </c>
      <c r="L542" s="1">
        <v>3.5531948608922788</v>
      </c>
      <c r="M542" s="1">
        <v>0.25197084285668703</v>
      </c>
      <c r="N542" s="19">
        <v>8.8937540018092717E-3</v>
      </c>
      <c r="O542" s="19">
        <v>9.4524032379999998E-3</v>
      </c>
      <c r="P542" s="1">
        <v>0.67465851853906011</v>
      </c>
    </row>
    <row r="543" spans="1:16" x14ac:dyDescent="0.2">
      <c r="A543" s="1">
        <v>532</v>
      </c>
      <c r="B543" s="1">
        <v>0.99967561339461608</v>
      </c>
      <c r="C543" s="1">
        <v>3.1907571605520215</v>
      </c>
      <c r="D543" s="1">
        <v>0.28051876848063195</v>
      </c>
      <c r="E543" s="19">
        <v>8.8995634995898583E-3</v>
      </c>
      <c r="F543" s="19">
        <v>9.45323E-3</v>
      </c>
      <c r="G543" s="1">
        <v>0.67398507303428234</v>
      </c>
      <c r="H543" s="1">
        <f t="shared" si="8"/>
        <v>8.2175020977182465E-3</v>
      </c>
      <c r="I543" s="20">
        <f>E543-N543</f>
        <v>6.2025326726562746E-6</v>
      </c>
      <c r="K543" s="1">
        <v>0.99998668570334781</v>
      </c>
      <c r="L543" s="1">
        <v>3.5389197059319253</v>
      </c>
      <c r="M543" s="1">
        <v>0.25292223398093416</v>
      </c>
      <c r="N543" s="19">
        <v>8.893360966917202E-3</v>
      </c>
      <c r="O543" s="19">
        <v>9.4520623169999998E-3</v>
      </c>
      <c r="P543" s="1">
        <v>0.67417043022445644</v>
      </c>
    </row>
    <row r="544" spans="1:16" x14ac:dyDescent="0.2">
      <c r="A544" s="1">
        <v>533</v>
      </c>
      <c r="B544" s="1">
        <v>0.99964302470287347</v>
      </c>
      <c r="C544" s="1">
        <v>3.1672411345841063</v>
      </c>
      <c r="D544" s="1">
        <v>0.28254733807979721</v>
      </c>
      <c r="E544" s="19">
        <v>8.8982938030345762E-3</v>
      </c>
      <c r="F544" s="19">
        <v>9.4528900000000003E-3</v>
      </c>
      <c r="G544" s="1">
        <v>0.67352339333787159</v>
      </c>
      <c r="H544" s="1">
        <f t="shared" si="8"/>
        <v>6.9909412826081501E-3</v>
      </c>
      <c r="I544" s="20">
        <f>E544-N544</f>
        <v>5.2606608497377666E-6</v>
      </c>
      <c r="K544" s="1">
        <v>0.99991128861550971</v>
      </c>
      <c r="L544" s="1">
        <v>3.4757920204852919</v>
      </c>
      <c r="M544" s="1">
        <v>0.25747754668542711</v>
      </c>
      <c r="N544" s="19">
        <v>8.8930331421848384E-3</v>
      </c>
      <c r="O544" s="19">
        <v>9.4517226780000008E-3</v>
      </c>
      <c r="P544" s="1">
        <v>0.67368078788832431</v>
      </c>
    </row>
    <row r="545" spans="1:16" x14ac:dyDescent="0.2">
      <c r="A545" s="1">
        <v>534</v>
      </c>
      <c r="B545" s="1">
        <v>0.99955939195377908</v>
      </c>
      <c r="C545" s="1">
        <v>3.1454547801039641</v>
      </c>
      <c r="D545" s="1">
        <v>0.28443822890097553</v>
      </c>
      <c r="E545" s="19">
        <v>8.8971618222051067E-3</v>
      </c>
      <c r="F545" s="19">
        <v>9.4525500000000005E-3</v>
      </c>
      <c r="G545" s="1">
        <v>0.67305804757498167</v>
      </c>
      <c r="H545" s="1">
        <f t="shared" si="8"/>
        <v>5.7616495342067142E-3</v>
      </c>
      <c r="I545" s="20">
        <f>E545-N545</f>
        <v>4.3224753519151282E-6</v>
      </c>
      <c r="K545" s="1">
        <v>1.0001594095664172</v>
      </c>
      <c r="L545" s="1">
        <v>3.5059481341979866</v>
      </c>
      <c r="M545" s="1">
        <v>0.25520121930772699</v>
      </c>
      <c r="N545" s="19">
        <v>8.8928393468531916E-3</v>
      </c>
      <c r="O545" s="19">
        <v>9.4513843139999998E-3</v>
      </c>
      <c r="P545" s="1">
        <v>0.67318752284541328</v>
      </c>
    </row>
    <row r="546" spans="1:16" x14ac:dyDescent="0.2">
      <c r="A546" s="1">
        <v>535</v>
      </c>
      <c r="B546" s="1">
        <v>0.99954852470838884</v>
      </c>
      <c r="C546" s="1">
        <v>3.2223370482243654</v>
      </c>
      <c r="D546" s="1">
        <v>0.27760513524450325</v>
      </c>
      <c r="E546" s="19">
        <v>8.8959335245969232E-3</v>
      </c>
      <c r="F546" s="19">
        <v>9.4522100000000008E-3</v>
      </c>
      <c r="G546" s="1">
        <v>0.67259603842301596</v>
      </c>
      <c r="H546" s="1">
        <f t="shared" si="8"/>
        <v>4.591870553812087E-3</v>
      </c>
      <c r="I546" s="20">
        <f>E546-N546</f>
        <v>3.4344485113704804E-6</v>
      </c>
      <c r="K546" s="1">
        <v>1.0001061666020246</v>
      </c>
      <c r="L546" s="1">
        <v>3.4816785054804318</v>
      </c>
      <c r="M546" s="1">
        <v>0.25692442666119025</v>
      </c>
      <c r="N546" s="19">
        <v>8.8924990760855527E-3</v>
      </c>
      <c r="O546" s="19">
        <v>9.4510472170000002E-3</v>
      </c>
      <c r="P546" s="1">
        <v>0.67269903365039119</v>
      </c>
    </row>
    <row r="547" spans="1:16" x14ac:dyDescent="0.2">
      <c r="A547" s="1">
        <v>536</v>
      </c>
      <c r="B547" s="1">
        <v>0.99965362842163397</v>
      </c>
      <c r="C547" s="1">
        <v>3.2772629006921736</v>
      </c>
      <c r="D547" s="1">
        <v>0.27288647175550046</v>
      </c>
      <c r="E547" s="19">
        <v>8.8946304698842502E-3</v>
      </c>
      <c r="F547" s="19">
        <v>9.4518699999999994E-3</v>
      </c>
      <c r="G547" s="1">
        <v>0.67213672836821481</v>
      </c>
      <c r="H547" s="1">
        <f t="shared" si="8"/>
        <v>3.5331783410833908E-3</v>
      </c>
      <c r="I547" s="20">
        <f>E547-N547</f>
        <v>2.6346036584665861E-6</v>
      </c>
      <c r="K547" s="1">
        <v>1.000119999677594</v>
      </c>
      <c r="L547" s="1">
        <v>3.4540318774524676</v>
      </c>
      <c r="M547" s="1">
        <v>0.2589214663091895</v>
      </c>
      <c r="N547" s="19">
        <v>8.8919958662257836E-3</v>
      </c>
      <c r="O547" s="19">
        <v>9.4507113809999994E-3</v>
      </c>
      <c r="P547" s="1">
        <v>0.672215829375851</v>
      </c>
    </row>
    <row r="548" spans="1:16" x14ac:dyDescent="0.2">
      <c r="A548" s="1">
        <v>537</v>
      </c>
      <c r="B548" s="1">
        <v>0.99950457333017151</v>
      </c>
      <c r="C548" s="1">
        <v>3.2003884683709325</v>
      </c>
      <c r="D548" s="1">
        <v>0.27939615561760545</v>
      </c>
      <c r="E548" s="19">
        <v>8.8932737885471704E-3</v>
      </c>
      <c r="F548" s="19">
        <v>9.4515399999999996E-3</v>
      </c>
      <c r="G548" s="1">
        <v>0.67167948973321523</v>
      </c>
      <c r="H548" s="1">
        <f t="shared" si="8"/>
        <v>2.3170730086723434E-3</v>
      </c>
      <c r="I548" s="20">
        <f>E548-N548</f>
        <v>1.7225618045100394E-6</v>
      </c>
      <c r="K548" s="1">
        <v>1.0002747634022231</v>
      </c>
      <c r="L548" s="1">
        <v>3.3997370641310578</v>
      </c>
      <c r="M548" s="1">
        <v>0.26301571484113495</v>
      </c>
      <c r="N548" s="19">
        <v>8.8915512267426604E-3</v>
      </c>
      <c r="O548" s="19">
        <v>9.4503767970000006E-3</v>
      </c>
      <c r="P548" s="1">
        <v>0.67173126790100679</v>
      </c>
    </row>
    <row r="549" spans="1:16" x14ac:dyDescent="0.2">
      <c r="A549" s="1">
        <v>538</v>
      </c>
      <c r="B549" s="1">
        <v>0.99950418740078273</v>
      </c>
      <c r="C549" s="1">
        <v>3.1902575938787399</v>
      </c>
      <c r="D549" s="1">
        <v>0.28022137115647122</v>
      </c>
      <c r="E549" s="19">
        <v>8.8918373377232709E-3</v>
      </c>
      <c r="F549" s="19">
        <v>9.4511999999999999E-3</v>
      </c>
      <c r="G549" s="1">
        <v>0.67122511443888333</v>
      </c>
      <c r="H549" s="1">
        <f t="shared" si="8"/>
        <v>9.6102374038388916E-4</v>
      </c>
      <c r="I549" s="20">
        <f>E549-N549</f>
        <v>7.1229012747753284E-7</v>
      </c>
      <c r="K549" s="1">
        <v>1.0002234602542814</v>
      </c>
      <c r="L549" s="1">
        <v>3.3643688634539481</v>
      </c>
      <c r="M549" s="1">
        <v>0.26570507196148646</v>
      </c>
      <c r="N549" s="19">
        <v>8.8911250475957933E-3</v>
      </c>
      <c r="O549" s="19">
        <v>9.4500434599999999E-3</v>
      </c>
      <c r="P549" s="1">
        <v>0.67124654991264654</v>
      </c>
    </row>
    <row r="550" spans="1:16" x14ac:dyDescent="0.2">
      <c r="A550" s="1">
        <v>539</v>
      </c>
      <c r="B550" s="1">
        <v>0.99950333121680901</v>
      </c>
      <c r="C550" s="1">
        <v>3.1905747646669935</v>
      </c>
      <c r="D550" s="1">
        <v>0.28012504611994227</v>
      </c>
      <c r="E550" s="19">
        <v>8.8904175997143384E-3</v>
      </c>
      <c r="F550" s="19">
        <v>9.4508700000000001E-3</v>
      </c>
      <c r="G550" s="1">
        <v>0.67077070357000212</v>
      </c>
      <c r="H550" s="1">
        <f t="shared" si="8"/>
        <v>-2.3761190913288802E-4</v>
      </c>
      <c r="I550" s="20">
        <f>E550-N550</f>
        <v>-1.7558232350348146E-7</v>
      </c>
      <c r="K550" s="1">
        <v>1.0003663468355115</v>
      </c>
      <c r="L550" s="1">
        <v>3.3799450032659282</v>
      </c>
      <c r="M550" s="1">
        <v>0.264434216548669</v>
      </c>
      <c r="N550" s="19">
        <v>8.8905931820378419E-3</v>
      </c>
      <c r="O550" s="19">
        <v>9.4497113629999994E-3</v>
      </c>
      <c r="P550" s="1">
        <v>0.67076541350894536</v>
      </c>
    </row>
    <row r="551" spans="1:16" x14ac:dyDescent="0.2">
      <c r="A551" s="1">
        <v>540</v>
      </c>
      <c r="B551" s="1">
        <v>0.99949156601971223</v>
      </c>
      <c r="C551" s="1">
        <v>3.2074154404291146</v>
      </c>
      <c r="D551" s="1">
        <v>0.27860857336905198</v>
      </c>
      <c r="E551" s="19">
        <v>8.8888586230086285E-3</v>
      </c>
      <c r="F551" s="19">
        <v>9.4505400000000003E-3</v>
      </c>
      <c r="G551" s="1">
        <v>0.67032095898844224</v>
      </c>
      <c r="H551" s="1">
        <f t="shared" si="8"/>
        <v>-1.5594119424156005E-3</v>
      </c>
      <c r="I551" s="20">
        <f>E551-N551</f>
        <v>-1.1488524524622123E-6</v>
      </c>
      <c r="K551" s="1">
        <v>1.0002865288219971</v>
      </c>
      <c r="L551" s="1">
        <v>3.3792247505749038</v>
      </c>
      <c r="M551" s="1">
        <v>0.26443717217740753</v>
      </c>
      <c r="N551" s="19">
        <v>8.8900074754610908E-3</v>
      </c>
      <c r="O551" s="19">
        <v>9.4493804970000005E-3</v>
      </c>
      <c r="P551" s="1">
        <v>0.67028630538972189</v>
      </c>
    </row>
    <row r="552" spans="1:16" x14ac:dyDescent="0.2">
      <c r="A552" s="1">
        <v>541</v>
      </c>
      <c r="B552" s="1">
        <v>0.99964470786500648</v>
      </c>
      <c r="C552" s="1">
        <v>3.1417810018276398</v>
      </c>
      <c r="D552" s="1">
        <v>0.284369534848121</v>
      </c>
      <c r="E552" s="19">
        <v>8.8872187196681312E-3</v>
      </c>
      <c r="F552" s="19">
        <v>9.4502000000000006E-3</v>
      </c>
      <c r="G552" s="1">
        <v>0.66987413400095364</v>
      </c>
      <c r="H552" s="1">
        <f t="shared" si="8"/>
        <v>-2.8273446074154329E-3</v>
      </c>
      <c r="I552" s="20">
        <f>E552-N552</f>
        <v>-2.0767003141471119E-6</v>
      </c>
      <c r="K552" s="1">
        <v>1.000278820973538</v>
      </c>
      <c r="L552" s="1">
        <v>3.3129852302083158</v>
      </c>
      <c r="M552" s="1">
        <v>0.26967562602327938</v>
      </c>
      <c r="N552" s="19">
        <v>8.8892954199822783E-3</v>
      </c>
      <c r="O552" s="19">
        <v>9.4490508569999992E-3</v>
      </c>
      <c r="P552" s="1">
        <v>0.66981142025735108</v>
      </c>
    </row>
    <row r="553" spans="1:16" x14ac:dyDescent="0.2">
      <c r="A553" s="1">
        <v>542</v>
      </c>
      <c r="B553" s="1">
        <v>0.99956634282959167</v>
      </c>
      <c r="C553" s="1">
        <v>3.129587927613354</v>
      </c>
      <c r="D553" s="1">
        <v>0.28542148779717541</v>
      </c>
      <c r="E553" s="19">
        <v>8.8854520735675482E-3</v>
      </c>
      <c r="F553" s="19">
        <v>9.4498700000000008E-3</v>
      </c>
      <c r="G553" s="1">
        <v>0.66943162200829542</v>
      </c>
      <c r="H553" s="1">
        <f t="shared" si="8"/>
        <v>-4.4349199766527221E-3</v>
      </c>
      <c r="I553" s="20">
        <f>E553-N553</f>
        <v>-3.2476957424910219E-6</v>
      </c>
      <c r="K553" s="1">
        <v>1.0002561917333419</v>
      </c>
      <c r="L553" s="1">
        <v>3.2853186604619502</v>
      </c>
      <c r="M553" s="1">
        <v>0.2718947451527633</v>
      </c>
      <c r="N553" s="19">
        <v>8.8886997693100392E-3</v>
      </c>
      <c r="O553" s="19">
        <v>9.4487224359999997E-3</v>
      </c>
      <c r="P553" s="1">
        <v>0.66933343189811123</v>
      </c>
    </row>
    <row r="554" spans="1:16" x14ac:dyDescent="0.2">
      <c r="A554" s="1">
        <v>543</v>
      </c>
      <c r="B554" s="1">
        <v>0.99948262155243173</v>
      </c>
      <c r="C554" s="1">
        <v>3.1534757996969693</v>
      </c>
      <c r="D554" s="1">
        <v>0.28318896118848508</v>
      </c>
      <c r="E554" s="19">
        <v>8.8836988558844872E-3</v>
      </c>
      <c r="F554" s="19">
        <v>9.4495499999999993E-3</v>
      </c>
      <c r="G554" s="1">
        <v>0.66898919281050762</v>
      </c>
      <c r="H554" s="1">
        <f t="shared" si="8"/>
        <v>-6.1649201945122023E-3</v>
      </c>
      <c r="I554" s="20">
        <f>E554-N554</f>
        <v>-4.5010663637275183E-6</v>
      </c>
      <c r="K554" s="1">
        <v>1.0001491619197413</v>
      </c>
      <c r="L554" s="1">
        <v>3.285825667702102</v>
      </c>
      <c r="M554" s="1">
        <v>0.27179542155623965</v>
      </c>
      <c r="N554" s="19">
        <v>8.8881999222482147E-3</v>
      </c>
      <c r="O554" s="19">
        <v>9.4483952270000005E-3</v>
      </c>
      <c r="P554" s="1">
        <v>0.66885295148024215</v>
      </c>
    </row>
    <row r="555" spans="1:16" x14ac:dyDescent="0.2">
      <c r="A555" s="1">
        <v>544</v>
      </c>
      <c r="B555" s="1">
        <v>0.99943849738131152</v>
      </c>
      <c r="C555" s="1">
        <v>3.2211833147196143</v>
      </c>
      <c r="D555" s="1">
        <v>0.27718281554035912</v>
      </c>
      <c r="E555" s="19">
        <v>8.8820403459995579E-3</v>
      </c>
      <c r="F555" s="19">
        <v>9.4492199999999995E-3</v>
      </c>
      <c r="G555" s="1">
        <v>0.6685443810187407</v>
      </c>
      <c r="H555" s="1">
        <f t="shared" si="8"/>
        <v>-7.7017930524153995E-3</v>
      </c>
      <c r="I555" s="20">
        <f>E555-N555</f>
        <v>-5.6063664674432107E-6</v>
      </c>
      <c r="K555" s="1">
        <v>0.99999989674797563</v>
      </c>
      <c r="L555" s="1">
        <v>3.3159907687075956</v>
      </c>
      <c r="M555" s="1">
        <v>0.26925308386438634</v>
      </c>
      <c r="N555" s="19">
        <v>8.8876467124670011E-3</v>
      </c>
      <c r="O555" s="19">
        <v>9.4480692230000003E-3</v>
      </c>
      <c r="P555" s="1">
        <v>0.66837448852493742</v>
      </c>
    </row>
    <row r="556" spans="1:16" x14ac:dyDescent="0.2">
      <c r="A556" s="1">
        <v>545</v>
      </c>
      <c r="B556" s="1">
        <v>0.99946952205550277</v>
      </c>
      <c r="C556" s="1">
        <v>3.2051735999702915</v>
      </c>
      <c r="D556" s="1">
        <v>0.27850557672103299</v>
      </c>
      <c r="E556" s="19">
        <v>8.8805232000322368E-3</v>
      </c>
      <c r="F556" s="19">
        <v>9.4488899999999997E-3</v>
      </c>
      <c r="G556" s="1">
        <v>0.66809576028375062</v>
      </c>
      <c r="H556" s="1">
        <f t="shared" si="8"/>
        <v>-8.9615965873598071E-3</v>
      </c>
      <c r="I556" s="20">
        <f>E556-N556</f>
        <v>-6.5039965655034476E-6</v>
      </c>
      <c r="K556" s="1">
        <v>1.0000995554607879</v>
      </c>
      <c r="L556" s="1">
        <v>3.2951473035621719</v>
      </c>
      <c r="M556" s="1">
        <v>0.27089996828207941</v>
      </c>
      <c r="N556" s="19">
        <v>8.8870271965977403E-3</v>
      </c>
      <c r="O556" s="19">
        <v>9.4477444180000002E-3</v>
      </c>
      <c r="P556" s="1">
        <v>0.6678984407258638</v>
      </c>
    </row>
    <row r="557" spans="1:16" x14ac:dyDescent="0.2">
      <c r="A557" s="1">
        <v>546</v>
      </c>
      <c r="B557" s="1">
        <v>0.99936970640844136</v>
      </c>
      <c r="C557" s="1">
        <v>3.1605147436726302</v>
      </c>
      <c r="D557" s="1">
        <v>0.28237986777008295</v>
      </c>
      <c r="E557" s="19">
        <v>8.8791381879759004E-3</v>
      </c>
      <c r="F557" s="19">
        <v>9.4485699999999999E-3</v>
      </c>
      <c r="G557" s="1">
        <v>0.66764359546406971</v>
      </c>
      <c r="H557" s="1">
        <f t="shared" si="8"/>
        <v>-1.0189030429453849E-2</v>
      </c>
      <c r="I557" s="20">
        <f>E557-N557</f>
        <v>-7.3728979424706603E-6</v>
      </c>
      <c r="K557" s="1">
        <v>0.99987360040668938</v>
      </c>
      <c r="L557" s="1">
        <v>3.218426098364144</v>
      </c>
      <c r="M557" s="1">
        <v>0.27729389477526967</v>
      </c>
      <c r="N557" s="19">
        <v>8.8865110859183711E-3</v>
      </c>
      <c r="O557" s="19">
        <v>9.4474208050000005E-3</v>
      </c>
      <c r="P557" s="1">
        <v>0.66741966072935643</v>
      </c>
    </row>
    <row r="558" spans="1:16" x14ac:dyDescent="0.2">
      <c r="A558" s="1">
        <v>547</v>
      </c>
      <c r="B558" s="1">
        <v>0.99921899680136816</v>
      </c>
      <c r="C558" s="1">
        <v>3.1620552875773078</v>
      </c>
      <c r="D558" s="1">
        <v>0.28219319781476748</v>
      </c>
      <c r="E558" s="19">
        <v>8.8778370386420474E-3</v>
      </c>
      <c r="F558" s="19">
        <v>9.4482400000000001E-3</v>
      </c>
      <c r="G558" s="1">
        <v>0.66718934018149501</v>
      </c>
      <c r="H558" s="1">
        <f t="shared" si="8"/>
        <v>-1.1401699058902212E-2</v>
      </c>
      <c r="I558" s="20">
        <f>E558-N558</f>
        <v>-8.2260195145913984E-6</v>
      </c>
      <c r="K558" s="1">
        <v>0.99980982688358622</v>
      </c>
      <c r="L558" s="1">
        <v>3.1872782481306743</v>
      </c>
      <c r="M558" s="1">
        <v>0.27994752328121975</v>
      </c>
      <c r="N558" s="19">
        <v>8.8860630581566388E-3</v>
      </c>
      <c r="O558" s="19">
        <v>9.4470983769999999E-3</v>
      </c>
      <c r="P558" s="1">
        <v>0.66693921150012969</v>
      </c>
    </row>
    <row r="559" spans="1:16" x14ac:dyDescent="0.2">
      <c r="A559" s="1">
        <v>548</v>
      </c>
      <c r="B559" s="1">
        <v>0.99914095328970776</v>
      </c>
      <c r="C559" s="1">
        <v>3.1339901176304767</v>
      </c>
      <c r="D559" s="1">
        <v>0.28465840099885625</v>
      </c>
      <c r="E559" s="19">
        <v>8.8766878864908645E-3</v>
      </c>
      <c r="F559" s="19">
        <v>9.4479200000000003E-3</v>
      </c>
      <c r="G559" s="1">
        <v>0.66673091062309775</v>
      </c>
      <c r="H559" s="1">
        <f t="shared" si="8"/>
        <v>-1.2463270133977669E-2</v>
      </c>
      <c r="I559" s="20">
        <f>E559-N559</f>
        <v>-8.9654417867474773E-6</v>
      </c>
      <c r="K559" s="1">
        <v>0.99980138050420841</v>
      </c>
      <c r="L559" s="1">
        <v>3.1922746906341071</v>
      </c>
      <c r="M559" s="1">
        <v>0.27946016345315056</v>
      </c>
      <c r="N559" s="19">
        <v>8.885653328277612E-3</v>
      </c>
      <c r="O559" s="19">
        <v>9.4467771279999994E-3</v>
      </c>
      <c r="P559" s="1">
        <v>0.66645799229899605</v>
      </c>
    </row>
    <row r="560" spans="1:16" x14ac:dyDescent="0.2">
      <c r="A560" s="1">
        <v>549</v>
      </c>
      <c r="B560" s="1">
        <v>0.99916785892980786</v>
      </c>
      <c r="C560" s="1">
        <v>3.1986876201202752</v>
      </c>
      <c r="D560" s="1">
        <v>0.27884441192125492</v>
      </c>
      <c r="E560" s="19">
        <v>8.8756907589667804E-3</v>
      </c>
      <c r="F560" s="19">
        <v>9.4476000000000004E-3</v>
      </c>
      <c r="G560" s="1">
        <v>0.6662682896659049</v>
      </c>
      <c r="H560" s="1">
        <f t="shared" si="8"/>
        <v>-1.356294467423444E-2</v>
      </c>
      <c r="I560" s="20">
        <f>E560-N560</f>
        <v>-9.7279042565057844E-6</v>
      </c>
      <c r="K560" s="1">
        <v>0.99979396214055427</v>
      </c>
      <c r="L560" s="1">
        <v>3.1559932454532555</v>
      </c>
      <c r="M560" s="1">
        <v>0.28262403086148669</v>
      </c>
      <c r="N560" s="19">
        <v>8.8854186632232861E-3</v>
      </c>
      <c r="O560" s="19">
        <v>9.4464570519999999E-3</v>
      </c>
      <c r="P560" s="1">
        <v>0.66597183185881781</v>
      </c>
    </row>
    <row r="561" spans="1:16" x14ac:dyDescent="0.2">
      <c r="A561" s="1">
        <v>550</v>
      </c>
      <c r="B561" s="1">
        <v>0.99926806018643854</v>
      </c>
      <c r="C561" s="1">
        <v>3.1871370582631102</v>
      </c>
      <c r="D561" s="1">
        <v>0.2797914024933858</v>
      </c>
      <c r="E561" s="19">
        <v>8.8746320915872728E-3</v>
      </c>
      <c r="F561" s="19">
        <v>9.4472800000000006E-3</v>
      </c>
      <c r="G561" s="1">
        <v>0.66580797831375249</v>
      </c>
      <c r="H561" s="1">
        <f t="shared" si="8"/>
        <v>-1.4736861762322528E-2</v>
      </c>
      <c r="I561" s="20">
        <f>E561-N561</f>
        <v>-1.0538966245178527E-5</v>
      </c>
      <c r="K561" s="1">
        <v>0.99979411574322297</v>
      </c>
      <c r="L561" s="1">
        <v>3.1643042311212488</v>
      </c>
      <c r="M561" s="1">
        <v>0.28181977001764275</v>
      </c>
      <c r="N561" s="19">
        <v>8.8851710578324514E-3</v>
      </c>
      <c r="O561" s="19">
        <v>9.4461381420000001E-3</v>
      </c>
      <c r="P561" s="1">
        <v>0.66548644678439273</v>
      </c>
    </row>
    <row r="562" spans="1:16" x14ac:dyDescent="0.2">
      <c r="A562" s="1">
        <v>551</v>
      </c>
      <c r="B562" s="1">
        <v>0.99918544329345527</v>
      </c>
      <c r="C562" s="1">
        <v>3.1751128032323415</v>
      </c>
      <c r="D562" s="1">
        <v>0.28079724577603088</v>
      </c>
      <c r="E562" s="19">
        <v>8.8735115979599669E-3</v>
      </c>
      <c r="F562" s="19">
        <v>9.4469600000000008E-3</v>
      </c>
      <c r="G562" s="1">
        <v>0.66534999120810312</v>
      </c>
      <c r="H562" s="1">
        <f t="shared" si="8"/>
        <v>-1.5804647242504938E-2</v>
      </c>
      <c r="I562" s="20">
        <f>E562-N562</f>
        <v>-1.126954302466468E-5</v>
      </c>
      <c r="K562" s="1">
        <v>0.99973160763925573</v>
      </c>
      <c r="L562" s="1">
        <v>3.1792353564024243</v>
      </c>
      <c r="M562" s="1">
        <v>0.28043348214159264</v>
      </c>
      <c r="N562" s="19">
        <v>8.8847811409846315E-3</v>
      </c>
      <c r="O562" s="19">
        <v>9.4458203920000008E-3</v>
      </c>
      <c r="P562" s="1">
        <v>0.66500578836434621</v>
      </c>
    </row>
    <row r="563" spans="1:16" x14ac:dyDescent="0.2">
      <c r="A563" s="1">
        <v>552</v>
      </c>
      <c r="B563" s="1">
        <v>0.99913272300842959</v>
      </c>
      <c r="C563" s="1">
        <v>3.1287767041484886</v>
      </c>
      <c r="D563" s="1">
        <v>0.28489561456680756</v>
      </c>
      <c r="E563" s="19">
        <v>8.8724070412996604E-3</v>
      </c>
      <c r="F563" s="19">
        <v>9.4466399999999992E-3</v>
      </c>
      <c r="G563" s="1">
        <v>0.66489195587166527</v>
      </c>
      <c r="H563" s="1">
        <f t="shared" si="8"/>
        <v>-1.6844677723538926E-2</v>
      </c>
      <c r="I563" s="20">
        <f>E563-N563</f>
        <v>-1.1976104734755938E-5</v>
      </c>
      <c r="K563" s="1">
        <v>0.99971683045406479</v>
      </c>
      <c r="L563" s="1">
        <v>3.2078808662701364</v>
      </c>
      <c r="M563" s="1">
        <v>0.27786805821134947</v>
      </c>
      <c r="N563" s="19">
        <v>8.8843831460344164E-3</v>
      </c>
      <c r="O563" s="19">
        <v>9.4455037950000008E-3</v>
      </c>
      <c r="P563" s="1">
        <v>0.66452576722550138</v>
      </c>
    </row>
    <row r="564" spans="1:16" x14ac:dyDescent="0.2">
      <c r="A564" s="1">
        <v>553</v>
      </c>
      <c r="B564" s="1">
        <v>0.99922464958599388</v>
      </c>
      <c r="C564" s="1">
        <v>3.1579382584256921</v>
      </c>
      <c r="D564" s="1">
        <v>0.28219776879801722</v>
      </c>
      <c r="E564" s="19">
        <v>8.8715376314834008E-3</v>
      </c>
      <c r="F564" s="19">
        <v>9.4463199999999994E-3</v>
      </c>
      <c r="G564" s="1">
        <v>0.66442715816558251</v>
      </c>
      <c r="H564" s="1">
        <f t="shared" si="8"/>
        <v>-1.7717390742083155E-2</v>
      </c>
      <c r="I564" s="20">
        <f>E564-N564</f>
        <v>-1.2560019030343275E-5</v>
      </c>
      <c r="K564" s="1">
        <v>0.99967611762251452</v>
      </c>
      <c r="L564" s="1">
        <v>3.1643815409266964</v>
      </c>
      <c r="M564" s="1">
        <v>0.281622107475198</v>
      </c>
      <c r="N564" s="19">
        <v>8.8840976505137441E-3</v>
      </c>
      <c r="O564" s="19">
        <v>9.4451883459999997E-3</v>
      </c>
      <c r="P564" s="1">
        <v>0.66404269399034743</v>
      </c>
    </row>
    <row r="565" spans="1:16" x14ac:dyDescent="0.2">
      <c r="A565" s="1">
        <v>554</v>
      </c>
      <c r="B565" s="1">
        <v>0.99916305433616492</v>
      </c>
      <c r="C565" s="1">
        <v>3.2431397049062269</v>
      </c>
      <c r="D565" s="1">
        <v>0.27473777856480891</v>
      </c>
      <c r="E565" s="19">
        <v>8.8707716597053905E-3</v>
      </c>
      <c r="F565" s="19">
        <v>9.4460099999999995E-3</v>
      </c>
      <c r="G565" s="1">
        <v>0.66395961091582667</v>
      </c>
      <c r="H565" s="1">
        <f t="shared" si="8"/>
        <v>-1.8433874901869967E-2</v>
      </c>
      <c r="I565" s="20">
        <f>E565-N565</f>
        <v>-1.3030124243161578E-5</v>
      </c>
      <c r="K565" s="1">
        <v>0.9995326985489793</v>
      </c>
      <c r="L565" s="1">
        <v>3.2320270974623426</v>
      </c>
      <c r="M565" s="1">
        <v>0.27567863223098038</v>
      </c>
      <c r="N565" s="19">
        <v>8.8838017839485521E-3</v>
      </c>
      <c r="O565" s="19">
        <v>9.4448740369999992E-3</v>
      </c>
      <c r="P565" s="1">
        <v>0.66356032120676089</v>
      </c>
    </row>
    <row r="566" spans="1:16" x14ac:dyDescent="0.2">
      <c r="A566" s="1">
        <v>555</v>
      </c>
      <c r="B566" s="1">
        <v>0.99924644798184525</v>
      </c>
      <c r="C566" s="1">
        <v>3.1299969034131125</v>
      </c>
      <c r="D566" s="1">
        <v>0.28460575421067147</v>
      </c>
      <c r="E566" s="19">
        <v>8.8699717161495016E-3</v>
      </c>
      <c r="F566" s="19">
        <v>9.4456899999999996E-3</v>
      </c>
      <c r="G566" s="1">
        <v>0.6634935198513815</v>
      </c>
      <c r="H566" s="1">
        <f t="shared" si="8"/>
        <v>-1.9444599504710863E-2</v>
      </c>
      <c r="I566" s="20">
        <f>E566-N566</f>
        <v>-1.3704919055477355E-5</v>
      </c>
      <c r="K566" s="1">
        <v>0.99964697248699796</v>
      </c>
      <c r="L566" s="1">
        <v>3.2412633009173377</v>
      </c>
      <c r="M566" s="1">
        <v>0.27482835624702234</v>
      </c>
      <c r="N566" s="19">
        <v>8.883676635204979E-3</v>
      </c>
      <c r="O566" s="19">
        <v>9.4445608630000007E-3</v>
      </c>
      <c r="P566" s="1">
        <v>0.66307309607830667</v>
      </c>
    </row>
    <row r="567" spans="1:16" x14ac:dyDescent="0.2">
      <c r="A567" s="1">
        <v>556</v>
      </c>
      <c r="B567" s="1">
        <v>0.99938110617912213</v>
      </c>
      <c r="C567" s="1">
        <v>3.1800899152532875</v>
      </c>
      <c r="D567" s="1">
        <v>0.28006782986229112</v>
      </c>
      <c r="E567" s="19">
        <v>8.8690870468425276E-3</v>
      </c>
      <c r="F567" s="19">
        <v>9.4453799999999997E-3</v>
      </c>
      <c r="G567" s="1">
        <v>0.66303044717907123</v>
      </c>
      <c r="H567" s="1">
        <f t="shared" si="8"/>
        <v>-2.048136148476391E-2</v>
      </c>
      <c r="I567" s="20">
        <f>E567-N567</f>
        <v>-1.4394052161942339E-5</v>
      </c>
      <c r="K567" s="1">
        <v>0.99968146031938099</v>
      </c>
      <c r="L567" s="1">
        <v>3.2550594858593707</v>
      </c>
      <c r="M567" s="1">
        <v>0.27360728448473703</v>
      </c>
      <c r="N567" s="19">
        <v>8.8834810990044699E-3</v>
      </c>
      <c r="O567" s="19">
        <v>9.4442488179999999E-3</v>
      </c>
      <c r="P567" s="1">
        <v>0.66258840340601877</v>
      </c>
    </row>
    <row r="568" spans="1:16" x14ac:dyDescent="0.2">
      <c r="A568" s="1">
        <v>557</v>
      </c>
      <c r="B568" s="1">
        <v>0.99942100442271276</v>
      </c>
      <c r="C568" s="1">
        <v>3.1910678141363653</v>
      </c>
      <c r="D568" s="1">
        <v>0.27903824450615139</v>
      </c>
      <c r="E568" s="19">
        <v>8.8684043550559099E-3</v>
      </c>
      <c r="F568" s="19">
        <v>9.4450699999999999E-3</v>
      </c>
      <c r="G568" s="1">
        <v>0.66256158376612573</v>
      </c>
      <c r="H568" s="1">
        <f t="shared" si="8"/>
        <v>-2.1165107327586852E-2</v>
      </c>
      <c r="I568" s="20">
        <f>E568-N568</f>
        <v>-1.4831866613515196E-5</v>
      </c>
      <c r="K568" s="1">
        <v>0.99982238096691234</v>
      </c>
      <c r="L568" s="1">
        <v>3.2895235517049493</v>
      </c>
      <c r="M568" s="1">
        <v>0.27068632572412593</v>
      </c>
      <c r="N568" s="19">
        <v>8.8832362216694251E-3</v>
      </c>
      <c r="O568" s="19">
        <v>9.4439378959999994E-3</v>
      </c>
      <c r="P568" s="1">
        <v>0.66210560299784738</v>
      </c>
    </row>
    <row r="569" spans="1:16" x14ac:dyDescent="0.2">
      <c r="A569" s="1">
        <v>558</v>
      </c>
      <c r="B569" s="1">
        <v>0.99947139962045206</v>
      </c>
      <c r="C569" s="1">
        <v>3.1892943418086421</v>
      </c>
      <c r="D569" s="1">
        <v>0.27913348412111488</v>
      </c>
      <c r="E569" s="19">
        <v>8.8676672683514132E-3</v>
      </c>
      <c r="F569" s="19">
        <v>9.44476E-3</v>
      </c>
      <c r="G569" s="1">
        <v>0.6620948019216355</v>
      </c>
      <c r="H569" s="1">
        <f t="shared" si="8"/>
        <v>-2.1972478950166352E-2</v>
      </c>
      <c r="I569" s="20">
        <f>E569-N569</f>
        <v>-1.5353521222866151E-5</v>
      </c>
      <c r="K569" s="1">
        <v>1.000055666330621</v>
      </c>
      <c r="L569" s="1">
        <v>3.2958910527123368</v>
      </c>
      <c r="M569" s="1">
        <v>0.27011427793072679</v>
      </c>
      <c r="N569" s="19">
        <v>8.8830207895742794E-3</v>
      </c>
      <c r="O569" s="19">
        <v>9.4436280899999996E-3</v>
      </c>
      <c r="P569" s="1">
        <v>0.66162227549259967</v>
      </c>
    </row>
    <row r="570" spans="1:16" x14ac:dyDescent="0.2">
      <c r="A570" s="1">
        <v>559</v>
      </c>
      <c r="B570" s="1">
        <v>0.99942906944824628</v>
      </c>
      <c r="C570" s="1">
        <v>3.1249145715117934</v>
      </c>
      <c r="D570" s="1">
        <v>0.28483837363331466</v>
      </c>
      <c r="E570" s="19">
        <v>8.8669759144843364E-3</v>
      </c>
      <c r="F570" s="19">
        <v>9.4444500000000001E-3</v>
      </c>
      <c r="G570" s="1">
        <v>0.66162702068584167</v>
      </c>
      <c r="H570" s="1">
        <f t="shared" si="8"/>
        <v>-2.2954269674736627E-2</v>
      </c>
      <c r="I570" s="20">
        <f>E570-N570</f>
        <v>-1.5993771849938734E-5</v>
      </c>
      <c r="K570" s="1">
        <v>0.99993546678300804</v>
      </c>
      <c r="L570" s="1">
        <v>3.2696521680462176</v>
      </c>
      <c r="M570" s="1">
        <v>0.27220606524296542</v>
      </c>
      <c r="N570" s="19">
        <v>8.8829696863342751E-3</v>
      </c>
      <c r="O570" s="19">
        <v>9.4433193939999997E-3</v>
      </c>
      <c r="P570" s="1">
        <v>0.66113426355507809</v>
      </c>
    </row>
    <row r="571" spans="1:16" x14ac:dyDescent="0.2">
      <c r="A571" s="1">
        <v>560</v>
      </c>
      <c r="B571" s="1">
        <v>0.99937385143636459</v>
      </c>
      <c r="C571" s="1">
        <v>3.1295083551589049</v>
      </c>
      <c r="D571" s="1">
        <v>0.28435372879603998</v>
      </c>
      <c r="E571" s="19">
        <v>8.8660400708763867E-3</v>
      </c>
      <c r="F571" s="19">
        <v>9.4441400000000002E-3</v>
      </c>
      <c r="G571" s="1">
        <v>0.66116718968604715</v>
      </c>
      <c r="H571" s="1">
        <f t="shared" si="8"/>
        <v>-2.4258266139229139E-2</v>
      </c>
      <c r="I571" s="20">
        <f>E571-N571</f>
        <v>-1.6854104462641836E-5</v>
      </c>
      <c r="K571" s="1">
        <v>0.99997982044439615</v>
      </c>
      <c r="L571" s="1">
        <v>3.2648707421176293</v>
      </c>
      <c r="M571" s="1">
        <v>0.27256437932977906</v>
      </c>
      <c r="N571" s="19">
        <v>8.8828941753390286E-3</v>
      </c>
      <c r="O571" s="19">
        <v>9.4430118029999992E-3</v>
      </c>
      <c r="P571" s="1">
        <v>0.66064736969734938</v>
      </c>
    </row>
    <row r="572" spans="1:16" x14ac:dyDescent="0.2">
      <c r="A572" s="1">
        <v>561</v>
      </c>
      <c r="B572" s="1">
        <v>0.99949265693401179</v>
      </c>
      <c r="C572" s="1">
        <v>3.1309919118702361</v>
      </c>
      <c r="D572" s="1">
        <v>0.28416533085676693</v>
      </c>
      <c r="E572" s="19">
        <v>8.8649258636801283E-3</v>
      </c>
      <c r="F572" s="19">
        <v>9.4438300000000003E-3</v>
      </c>
      <c r="G572" s="1">
        <v>0.66071329065545492</v>
      </c>
      <c r="H572" s="1">
        <f t="shared" si="8"/>
        <v>-2.594625509256851E-2</v>
      </c>
      <c r="I572" s="20">
        <f>E572-N572</f>
        <v>-1.7975495803982874E-5</v>
      </c>
      <c r="K572" s="1">
        <v>0.99996322634686008</v>
      </c>
      <c r="L572" s="1">
        <v>3.3105469441918007</v>
      </c>
      <c r="M572" s="1">
        <v>0.26874886413007509</v>
      </c>
      <c r="N572" s="19">
        <v>8.8829013594841112E-3</v>
      </c>
      <c r="O572" s="19">
        <v>9.4427053100000005E-3</v>
      </c>
      <c r="P572" s="1">
        <v>0.66015829054652297</v>
      </c>
    </row>
    <row r="573" spans="1:16" x14ac:dyDescent="0.2">
      <c r="A573" s="1">
        <v>562</v>
      </c>
      <c r="B573" s="1">
        <v>0.99942341069881646</v>
      </c>
      <c r="C573" s="1">
        <v>3.1068483759719725</v>
      </c>
      <c r="D573" s="1">
        <v>0.28630069266657021</v>
      </c>
      <c r="E573" s="19">
        <v>8.8638116063439552E-3</v>
      </c>
      <c r="F573" s="19">
        <v>9.4435200000000004E-3</v>
      </c>
      <c r="G573" s="1">
        <v>0.66025982739333611</v>
      </c>
      <c r="H573" s="1">
        <f t="shared" si="8"/>
        <v>-2.7686177731566935E-2</v>
      </c>
      <c r="I573" s="20">
        <f>E573-N573</f>
        <v>-1.9126367003291858E-5</v>
      </c>
      <c r="K573" s="1">
        <v>1.00005162711276</v>
      </c>
      <c r="L573" s="1">
        <v>3.3995359896647437</v>
      </c>
      <c r="M573" s="1">
        <v>0.26165010679745399</v>
      </c>
      <c r="N573" s="19">
        <v>8.882937973347247E-3</v>
      </c>
      <c r="O573" s="19">
        <v>9.442399911E-3</v>
      </c>
      <c r="P573" s="1">
        <v>0.65966866345600728</v>
      </c>
    </row>
    <row r="574" spans="1:16" x14ac:dyDescent="0.2">
      <c r="A574" s="1">
        <v>563</v>
      </c>
      <c r="B574" s="1">
        <v>0.99928712131904252</v>
      </c>
      <c r="C574" s="1">
        <v>3.2373746390753499</v>
      </c>
      <c r="D574" s="1">
        <v>0.27470651876289853</v>
      </c>
      <c r="E574" s="19">
        <v>8.8626730353730948E-3</v>
      </c>
      <c r="F574" s="19">
        <v>9.4432200000000004E-3</v>
      </c>
      <c r="G574" s="1">
        <v>0.65980755053800544</v>
      </c>
      <c r="H574" s="1">
        <f t="shared" si="8"/>
        <v>-2.9380368571662541E-2</v>
      </c>
      <c r="I574" s="20">
        <f>E574-N574</f>
        <v>-2.0239129876292034E-5</v>
      </c>
      <c r="K574" s="1">
        <v>1.0001300906726431</v>
      </c>
      <c r="L574" s="1">
        <v>3.4249646631924402</v>
      </c>
      <c r="M574" s="1">
        <v>0.25964760466389863</v>
      </c>
      <c r="N574" s="19">
        <v>8.8829121652493868E-3</v>
      </c>
      <c r="O574" s="19">
        <v>9.4420955979999995E-3</v>
      </c>
      <c r="P574" s="1">
        <v>0.65918132598585633</v>
      </c>
    </row>
    <row r="575" spans="1:16" x14ac:dyDescent="0.2">
      <c r="A575" s="1">
        <v>564</v>
      </c>
      <c r="B575" s="1">
        <v>0.99924218971700962</v>
      </c>
      <c r="C575" s="1">
        <v>3.2430880610000137</v>
      </c>
      <c r="D575" s="1">
        <v>0.27416894974422396</v>
      </c>
      <c r="E575" s="19">
        <v>8.8615987258454081E-3</v>
      </c>
      <c r="F575" s="19">
        <v>9.4429100000000005E-3</v>
      </c>
      <c r="G575" s="1">
        <v>0.65935371717106761</v>
      </c>
      <c r="H575" s="1">
        <f t="shared" si="8"/>
        <v>-3.1051272886558956E-2</v>
      </c>
      <c r="I575" s="20">
        <f>E575-N575</f>
        <v>-2.1329609438822811E-5</v>
      </c>
      <c r="K575" s="1">
        <v>1.0003098251564844</v>
      </c>
      <c r="L575" s="1">
        <v>3.4668485538221567</v>
      </c>
      <c r="M575" s="1">
        <v>0.2564615212172725</v>
      </c>
      <c r="N575" s="19">
        <v>8.8829283352842309E-3</v>
      </c>
      <c r="O575" s="19">
        <v>9.4417923670000008E-3</v>
      </c>
      <c r="P575" s="1">
        <v>0.65869305179050253</v>
      </c>
    </row>
    <row r="576" spans="1:16" x14ac:dyDescent="0.2">
      <c r="A576" s="1">
        <v>565</v>
      </c>
      <c r="B576" s="1">
        <v>0.99915730542098935</v>
      </c>
      <c r="C576" s="1">
        <v>3.318113649573657</v>
      </c>
      <c r="D576" s="1">
        <v>0.26791074295866779</v>
      </c>
      <c r="E576" s="19">
        <v>8.8605514992039867E-3</v>
      </c>
      <c r="F576" s="19">
        <v>9.4426100000000006E-3</v>
      </c>
      <c r="G576" s="1">
        <v>0.65889947374216673</v>
      </c>
      <c r="H576" s="1">
        <f t="shared" si="8"/>
        <v>-3.2679187518609244E-2</v>
      </c>
      <c r="I576" s="20">
        <f>E576-N576</f>
        <v>-2.2384455007400106E-5</v>
      </c>
      <c r="K576" s="1">
        <v>1.0001840753948881</v>
      </c>
      <c r="L576" s="1">
        <v>3.4891198183217584</v>
      </c>
      <c r="M576" s="1">
        <v>0.25477369175383452</v>
      </c>
      <c r="N576" s="19">
        <v>8.8829359542113868E-3</v>
      </c>
      <c r="O576" s="19">
        <v>9.4414902100000003E-3</v>
      </c>
      <c r="P576" s="1">
        <v>0.65820540250283344</v>
      </c>
    </row>
    <row r="577" spans="1:16" x14ac:dyDescent="0.2">
      <c r="A577" s="1">
        <v>566</v>
      </c>
      <c r="B577" s="1">
        <v>0.99930185241792224</v>
      </c>
      <c r="C577" s="1">
        <v>3.3441948004348636</v>
      </c>
      <c r="D577" s="1">
        <v>0.26576121030572969</v>
      </c>
      <c r="E577" s="19">
        <v>8.8596086564177289E-3</v>
      </c>
      <c r="F577" s="19">
        <v>9.4423100000000006E-3</v>
      </c>
      <c r="G577" s="1">
        <v>0.65844241636656364</v>
      </c>
      <c r="H577" s="1">
        <f t="shared" si="8"/>
        <v>-3.4173645716028378E-2</v>
      </c>
      <c r="I577" s="20">
        <f>E577-N577</f>
        <v>-2.3342221942890262E-5</v>
      </c>
      <c r="K577" s="1">
        <v>1.0002884952052862</v>
      </c>
      <c r="L577" s="1">
        <v>3.4395901589825182</v>
      </c>
      <c r="M577" s="1">
        <v>0.25838602124544141</v>
      </c>
      <c r="N577" s="19">
        <v>8.8829508783606192E-3</v>
      </c>
      <c r="O577" s="19">
        <v>9.4411891240000004E-3</v>
      </c>
      <c r="P577" s="1">
        <v>0.6577178867754111</v>
      </c>
    </row>
    <row r="578" spans="1:16" x14ac:dyDescent="0.2">
      <c r="A578" s="1">
        <v>567</v>
      </c>
      <c r="B578" s="1">
        <v>0.99924640338861648</v>
      </c>
      <c r="C578" s="1">
        <v>3.3085137582225621</v>
      </c>
      <c r="D578" s="1">
        <v>0.26857853035658069</v>
      </c>
      <c r="E578" s="19">
        <v>8.8586033663313121E-3</v>
      </c>
      <c r="F578" s="19">
        <v>9.4420000000000007E-3</v>
      </c>
      <c r="G578" s="1">
        <v>0.65798772091183666</v>
      </c>
      <c r="H578" s="1">
        <f t="shared" si="8"/>
        <v>-3.6050071527919697E-2</v>
      </c>
      <c r="I578" s="20">
        <f>E578-N578</f>
        <v>-2.4554812889097596E-5</v>
      </c>
      <c r="K578" s="1">
        <v>1.0002443018976412</v>
      </c>
      <c r="L578" s="1">
        <v>3.4498121195483544</v>
      </c>
      <c r="M578" s="1">
        <v>0.25757036077350792</v>
      </c>
      <c r="N578" s="19">
        <v>8.8831581792204097E-3</v>
      </c>
      <c r="O578" s="19">
        <v>9.4408891009999992E-3</v>
      </c>
      <c r="P578" s="1">
        <v>0.65722475643505529</v>
      </c>
    </row>
    <row r="579" spans="1:16" x14ac:dyDescent="0.2">
      <c r="A579" s="1">
        <v>568</v>
      </c>
      <c r="B579" s="1">
        <v>0.99922352267110781</v>
      </c>
      <c r="C579" s="1">
        <v>3.3320604521730965</v>
      </c>
      <c r="D579" s="1">
        <v>0.26661618946013571</v>
      </c>
      <c r="E579" s="19">
        <v>8.8576791333057209E-3</v>
      </c>
      <c r="F579" s="19">
        <v>9.4417000000000008E-3</v>
      </c>
      <c r="G579" s="1">
        <v>0.65753092686692005</v>
      </c>
      <c r="H579" s="1">
        <f t="shared" si="8"/>
        <v>-3.7958811550401039E-2</v>
      </c>
      <c r="I579" s="20">
        <f>E579-N579</f>
        <v>-2.5782630074262097E-5</v>
      </c>
      <c r="K579" s="1">
        <v>1.0003579838514629</v>
      </c>
      <c r="L579" s="1">
        <v>3.5056609121720799</v>
      </c>
      <c r="M579" s="1">
        <v>0.25340921986379894</v>
      </c>
      <c r="N579" s="19">
        <v>8.883461763379983E-3</v>
      </c>
      <c r="O579" s="19">
        <v>9.4405901370000003E-3</v>
      </c>
      <c r="P579" s="1">
        <v>0.65672898014402425</v>
      </c>
    </row>
    <row r="580" spans="1:16" x14ac:dyDescent="0.2">
      <c r="A580" s="1">
        <v>569</v>
      </c>
      <c r="B580" s="1">
        <v>0.99917979473979868</v>
      </c>
      <c r="C580" s="1">
        <v>3.3491330702356827</v>
      </c>
      <c r="D580" s="1">
        <v>0.26520596350213965</v>
      </c>
      <c r="E580" s="19">
        <v>8.8567394714951647E-3</v>
      </c>
      <c r="F580" s="19">
        <v>9.4414000000000008E-3</v>
      </c>
      <c r="G580" s="1">
        <v>0.65707503186038752</v>
      </c>
      <c r="H580" s="1">
        <f t="shared" si="8"/>
        <v>-4.006751961047475E-2</v>
      </c>
      <c r="I580" s="20">
        <f>E580-N580</f>
        <v>-2.7139063508633057E-5</v>
      </c>
      <c r="K580" s="1">
        <v>1.0002508513290198</v>
      </c>
      <c r="L580" s="1">
        <v>3.5088745277896534</v>
      </c>
      <c r="M580" s="1">
        <v>0.25312415099737462</v>
      </c>
      <c r="N580" s="19">
        <v>8.8838785350037978E-3</v>
      </c>
      <c r="O580" s="19">
        <v>9.4402922259999994E-3</v>
      </c>
      <c r="P580" s="1">
        <v>0.65623002265946362</v>
      </c>
    </row>
    <row r="581" spans="1:16" x14ac:dyDescent="0.2">
      <c r="A581" s="1">
        <v>570</v>
      </c>
      <c r="B581" s="1">
        <v>0.9992142131899171</v>
      </c>
      <c r="C581" s="1">
        <v>3.3554441191145776</v>
      </c>
      <c r="D581" s="1">
        <v>0.26466043744226453</v>
      </c>
      <c r="E581" s="19">
        <v>8.8559768540122045E-3</v>
      </c>
      <c r="F581" s="19">
        <v>9.4411100000000008E-3</v>
      </c>
      <c r="G581" s="1">
        <v>0.65661403389097117</v>
      </c>
      <c r="H581" s="1">
        <f t="shared" si="8"/>
        <v>-4.2060928175876033E-2</v>
      </c>
      <c r="I581" s="20">
        <f>E581-N581</f>
        <v>-2.8410212115241584E-5</v>
      </c>
      <c r="K581" s="1">
        <v>1.0002197832556057</v>
      </c>
      <c r="L581" s="1">
        <v>3.5633118495083371</v>
      </c>
      <c r="M581" s="1">
        <v>0.24921087001741632</v>
      </c>
      <c r="N581" s="19">
        <v>8.8843870661274461E-3</v>
      </c>
      <c r="O581" s="19">
        <v>9.4399953620000008E-3</v>
      </c>
      <c r="P581" s="1">
        <v>0.65572854066621589</v>
      </c>
    </row>
    <row r="582" spans="1:16" x14ac:dyDescent="0.2">
      <c r="A582" s="1">
        <v>571</v>
      </c>
      <c r="B582" s="1">
        <v>0.99918378839558331</v>
      </c>
      <c r="C582" s="1">
        <v>3.4294731830924126</v>
      </c>
      <c r="D582" s="1">
        <v>0.25888253307729331</v>
      </c>
      <c r="E582" s="19">
        <v>8.8553064519774852E-3</v>
      </c>
      <c r="F582" s="19">
        <v>9.4408099999999991E-3</v>
      </c>
      <c r="G582" s="1">
        <v>0.65615056361116308</v>
      </c>
      <c r="H582" s="1">
        <f t="shared" si="8"/>
        <v>-4.3723322896895511E-2</v>
      </c>
      <c r="I582" s="20">
        <f>E582-N582</f>
        <v>-2.9451281855047765E-5</v>
      </c>
      <c r="K582" s="1">
        <v>1.0001675241442689</v>
      </c>
      <c r="L582" s="1">
        <v>3.4941105062406916</v>
      </c>
      <c r="M582" s="1">
        <v>0.25408957784097647</v>
      </c>
      <c r="N582" s="19">
        <v>8.884757733832533E-3</v>
      </c>
      <c r="O582" s="19">
        <v>9.4396995390000002E-3</v>
      </c>
      <c r="P582" s="1">
        <v>0.65523168467112325</v>
      </c>
    </row>
    <row r="583" spans="1:16" x14ac:dyDescent="0.2">
      <c r="A583" s="1">
        <v>572</v>
      </c>
      <c r="B583" s="1">
        <v>0.99919183834424241</v>
      </c>
      <c r="C583" s="1">
        <v>3.4318603133967494</v>
      </c>
      <c r="D583" s="1">
        <v>0.25864928669233045</v>
      </c>
      <c r="E583" s="19">
        <v>8.8547900675681017E-3</v>
      </c>
      <c r="F583" s="19">
        <v>9.4405099999999992E-3</v>
      </c>
      <c r="G583" s="1">
        <v>0.65568268001717112</v>
      </c>
      <c r="H583" s="1">
        <f t="shared" si="8"/>
        <v>-4.4916052709288078E-2</v>
      </c>
      <c r="I583" s="20">
        <f>E583-N583</f>
        <v>-3.0171059351718696E-5</v>
      </c>
      <c r="K583" s="1">
        <v>1.0002402484146697</v>
      </c>
      <c r="L583" s="1">
        <v>3.5437011700949634</v>
      </c>
      <c r="M583" s="1">
        <v>0.25048372442085004</v>
      </c>
      <c r="N583" s="19">
        <v>8.8849611269198204E-3</v>
      </c>
      <c r="O583" s="19">
        <v>9.4394047529999994E-3</v>
      </c>
      <c r="P583" s="1">
        <v>0.65474038520508815</v>
      </c>
    </row>
    <row r="584" spans="1:16" x14ac:dyDescent="0.2">
      <c r="A584" s="1">
        <v>573</v>
      </c>
      <c r="B584" s="1">
        <v>0.99936710772004189</v>
      </c>
      <c r="C584" s="1">
        <v>3.4369933892886375</v>
      </c>
      <c r="D584" s="1">
        <v>0.25821306459886922</v>
      </c>
      <c r="E584" s="19">
        <v>8.8542151330446017E-3</v>
      </c>
      <c r="F584" s="19">
        <v>9.4402199999999992E-3</v>
      </c>
      <c r="G584" s="1">
        <v>0.65521701828124268</v>
      </c>
      <c r="H584" s="1">
        <f t="shared" si="8"/>
        <v>-4.621621719865554E-2</v>
      </c>
      <c r="I584" s="20">
        <f>E584-N584</f>
        <v>-3.0958751602170459E-5</v>
      </c>
      <c r="K584" s="1">
        <v>1.0002991915826309</v>
      </c>
      <c r="L584" s="1">
        <v>3.5688245776343073</v>
      </c>
      <c r="M584" s="1">
        <v>0.2486667989896168</v>
      </c>
      <c r="N584" s="19">
        <v>8.8851738846467722E-3</v>
      </c>
      <c r="O584" s="19">
        <v>9.4391109970000005E-3</v>
      </c>
      <c r="P584" s="1">
        <v>0.65424913938703</v>
      </c>
    </row>
    <row r="585" spans="1:16" x14ac:dyDescent="0.2">
      <c r="A585" s="1">
        <v>574</v>
      </c>
      <c r="B585" s="1">
        <v>0.99943756589921318</v>
      </c>
      <c r="C585" s="1">
        <v>3.435375392110247</v>
      </c>
      <c r="D585" s="1">
        <v>0.25828478901910007</v>
      </c>
      <c r="E585" s="19">
        <v>8.8536671085514482E-3</v>
      </c>
      <c r="F585" s="19">
        <v>9.4399199999999992E-3</v>
      </c>
      <c r="G585" s="1">
        <v>0.65475090720167251</v>
      </c>
      <c r="H585" s="1">
        <f t="shared" si="8"/>
        <v>-4.7574437293666817E-2</v>
      </c>
      <c r="I585" s="20">
        <f>E585-N585</f>
        <v>-3.1780909470889573E-5</v>
      </c>
      <c r="K585" s="1">
        <v>1.0002364277769278</v>
      </c>
      <c r="L585" s="1">
        <v>3.499609393075569</v>
      </c>
      <c r="M585" s="1">
        <v>0.25352748310652506</v>
      </c>
      <c r="N585" s="19">
        <v>8.8854480180223377E-3</v>
      </c>
      <c r="O585" s="19">
        <v>9.4388182670000001E-3</v>
      </c>
      <c r="P585" s="1">
        <v>0.65375631966243208</v>
      </c>
    </row>
    <row r="586" spans="1:16" x14ac:dyDescent="0.2">
      <c r="A586" s="1">
        <v>575</v>
      </c>
      <c r="B586" s="1">
        <v>0.99915459229115544</v>
      </c>
      <c r="C586" s="1">
        <v>3.5545285356586653</v>
      </c>
      <c r="D586" s="1">
        <v>0.2495642024078206</v>
      </c>
      <c r="E586" s="19">
        <v>8.8533119144408642E-3</v>
      </c>
      <c r="F586" s="19">
        <v>9.4396299999999992E-3</v>
      </c>
      <c r="G586" s="1">
        <v>0.6542791420376507</v>
      </c>
      <c r="H586" s="1">
        <f t="shared" si="8"/>
        <v>-4.8626389795599495E-2</v>
      </c>
      <c r="I586" s="20">
        <f>E586-N586</f>
        <v>-3.2394611486272901E-5</v>
      </c>
      <c r="K586" s="1">
        <v>1.0004077814523766</v>
      </c>
      <c r="L586" s="1">
        <v>3.5244176214566223</v>
      </c>
      <c r="M586" s="1">
        <v>0.25169326328150177</v>
      </c>
      <c r="N586" s="19">
        <v>8.8857065259271371E-3</v>
      </c>
      <c r="O586" s="19">
        <v>9.4385265579999995E-3</v>
      </c>
      <c r="P586" s="1">
        <v>0.65326433042452514</v>
      </c>
    </row>
    <row r="587" spans="1:16" x14ac:dyDescent="0.2">
      <c r="A587" s="1">
        <v>576</v>
      </c>
      <c r="B587" s="1">
        <v>0.99909496522173125</v>
      </c>
      <c r="C587" s="1">
        <v>3.5570663020634852</v>
      </c>
      <c r="D587" s="1">
        <v>0.24933564213173134</v>
      </c>
      <c r="E587" s="19">
        <v>8.8528532774987054E-3</v>
      </c>
      <c r="F587" s="19">
        <v>9.4393399999999992E-3</v>
      </c>
      <c r="G587" s="1">
        <v>0.65381100182843743</v>
      </c>
      <c r="H587" s="1">
        <f t="shared" si="8"/>
        <v>-4.9842792307330797E-2</v>
      </c>
      <c r="I587" s="20">
        <f>E587-N587</f>
        <v>-3.3114085829297549E-5</v>
      </c>
      <c r="K587" s="1">
        <v>1.0002185178221208</v>
      </c>
      <c r="L587" s="1">
        <v>3.4396330976277083</v>
      </c>
      <c r="M587" s="1">
        <v>0.2578550454352192</v>
      </c>
      <c r="N587" s="19">
        <v>8.8859673633280029E-3</v>
      </c>
      <c r="O587" s="19">
        <v>9.4382358620000006E-3</v>
      </c>
      <c r="P587" s="1">
        <v>0.65277261032203471</v>
      </c>
    </row>
    <row r="588" spans="1:16" x14ac:dyDescent="0.2">
      <c r="A588" s="1">
        <v>577</v>
      </c>
      <c r="B588" s="1">
        <v>0.99909288492987869</v>
      </c>
      <c r="C588" s="1">
        <v>3.5737449290888383</v>
      </c>
      <c r="D588" s="1">
        <v>0.24812204796834958</v>
      </c>
      <c r="E588" s="19">
        <v>8.8523028081615544E-3</v>
      </c>
      <c r="F588" s="19">
        <v>9.4390499999999992E-3</v>
      </c>
      <c r="G588" s="1">
        <v>0.65334613143107156</v>
      </c>
      <c r="H588" s="1">
        <f t="shared" si="8"/>
        <v>-5.1251048433011502E-2</v>
      </c>
      <c r="I588" s="20">
        <f>E588-N588</f>
        <v>-3.3956646586050243E-5</v>
      </c>
      <c r="K588" s="1">
        <v>1.0002350532518016</v>
      </c>
      <c r="L588" s="1">
        <v>3.5350988892594861</v>
      </c>
      <c r="M588" s="1">
        <v>0.25083352744094756</v>
      </c>
      <c r="N588" s="19">
        <v>8.8862594547476047E-3</v>
      </c>
      <c r="O588" s="19">
        <v>9.4379461770000006E-3</v>
      </c>
      <c r="P588" s="1">
        <v>0.65228025174095694</v>
      </c>
    </row>
    <row r="589" spans="1:16" x14ac:dyDescent="0.2">
      <c r="A589" s="1">
        <v>578</v>
      </c>
      <c r="B589" s="1">
        <v>0.99918105653376932</v>
      </c>
      <c r="C589" s="1">
        <v>3.5972626450781884</v>
      </c>
      <c r="D589" s="1">
        <v>0.24645717517689941</v>
      </c>
      <c r="E589" s="19">
        <v>8.8516688554002472E-3</v>
      </c>
      <c r="F589" s="19">
        <v>9.4387599999999992E-3</v>
      </c>
      <c r="G589" s="1">
        <v>0.6528842767823827</v>
      </c>
      <c r="H589" s="1">
        <f t="shared" ref="H589:H652" si="9">(P589-G589)*A589/12</f>
        <v>-5.2878815534405064E-2</v>
      </c>
      <c r="I589" s="20">
        <f>E589-N589</f>
        <v>-3.4939582801034319E-5</v>
      </c>
      <c r="K589" s="1">
        <v>1.0001167061008622</v>
      </c>
      <c r="L589" s="1">
        <v>3.5750859800229091</v>
      </c>
      <c r="M589" s="1">
        <v>0.24797748279176451</v>
      </c>
      <c r="N589" s="19">
        <v>8.8866084382012815E-3</v>
      </c>
      <c r="O589" s="19">
        <v>9.4376574949999997E-3</v>
      </c>
      <c r="P589" s="1">
        <v>0.65178644670208363</v>
      </c>
    </row>
    <row r="590" spans="1:16" x14ac:dyDescent="0.2">
      <c r="A590" s="1">
        <v>579</v>
      </c>
      <c r="B590" s="1">
        <v>0.99932905221696566</v>
      </c>
      <c r="C590" s="1">
        <v>3.6394332766547324</v>
      </c>
      <c r="D590" s="1">
        <v>0.2435437536350665</v>
      </c>
      <c r="E590" s="19">
        <v>8.8509589901043864E-3</v>
      </c>
      <c r="F590" s="19">
        <v>9.4384699999999992E-3</v>
      </c>
      <c r="G590" s="1">
        <v>0.65242520724145514</v>
      </c>
      <c r="H590" s="1">
        <f t="shared" si="9"/>
        <v>-5.4645940786660213E-2</v>
      </c>
      <c r="I590" s="20">
        <f>E590-N590</f>
        <v>-3.6008892388732922E-5</v>
      </c>
      <c r="K590" s="1">
        <v>1.0001399373960169</v>
      </c>
      <c r="L590" s="1">
        <v>3.6479235209867169</v>
      </c>
      <c r="M590" s="1">
        <v>0.2429770828346729</v>
      </c>
      <c r="N590" s="19">
        <v>8.8869678824931193E-3</v>
      </c>
      <c r="O590" s="19">
        <v>9.4373698119999995E-3</v>
      </c>
      <c r="P590" s="1">
        <v>0.65129264888318239</v>
      </c>
    </row>
    <row r="591" spans="1:16" x14ac:dyDescent="0.2">
      <c r="A591" s="1">
        <v>580</v>
      </c>
      <c r="B591" s="1">
        <v>0.99921559455691056</v>
      </c>
      <c r="C591" s="1">
        <v>3.65838658852031</v>
      </c>
      <c r="D591" s="1">
        <v>0.24223445069323529</v>
      </c>
      <c r="E591" s="19">
        <v>8.8501691211974962E-3</v>
      </c>
      <c r="F591" s="19">
        <v>9.4381799999999991E-3</v>
      </c>
      <c r="G591" s="1">
        <v>0.65196905868170418</v>
      </c>
      <c r="H591" s="1">
        <f t="shared" si="9"/>
        <v>-5.6533118761742572E-2</v>
      </c>
      <c r="I591" s="20">
        <f>E591-N591</f>
        <v>-3.715115534358264E-5</v>
      </c>
      <c r="K591" s="1">
        <v>1.0002202587255991</v>
      </c>
      <c r="L591" s="1">
        <v>3.7117637625633062</v>
      </c>
      <c r="M591" s="1">
        <v>0.23875072749809445</v>
      </c>
      <c r="N591" s="19">
        <v>8.8873202765410789E-3</v>
      </c>
      <c r="O591" s="19">
        <v>9.4370831240000001E-3</v>
      </c>
      <c r="P591" s="1">
        <v>0.65079940794870261</v>
      </c>
    </row>
    <row r="592" spans="1:16" x14ac:dyDescent="0.2">
      <c r="A592" s="1">
        <v>581</v>
      </c>
      <c r="B592" s="1">
        <v>0.99914520506036808</v>
      </c>
      <c r="C592" s="1">
        <v>3.6055921941104643</v>
      </c>
      <c r="D592" s="1">
        <v>0.24572912815206502</v>
      </c>
      <c r="E592" s="19">
        <v>8.8494226468299447E-3</v>
      </c>
      <c r="F592" s="19">
        <v>9.4378900000000009E-3</v>
      </c>
      <c r="G592" s="1">
        <v>0.65151194597001327</v>
      </c>
      <c r="H592" s="1">
        <f t="shared" si="9"/>
        <v>-5.83702099487678E-2</v>
      </c>
      <c r="I592" s="20">
        <f>E592-N592</f>
        <v>-3.8254385197247082E-5</v>
      </c>
      <c r="K592" s="1">
        <v>1.0002004200372119</v>
      </c>
      <c r="L592" s="1">
        <v>3.7549568896170169</v>
      </c>
      <c r="M592" s="1">
        <v>0.23594941957660565</v>
      </c>
      <c r="N592" s="19">
        <v>8.8876770320271917E-3</v>
      </c>
      <c r="O592" s="19">
        <v>9.4367974229999999E-3</v>
      </c>
      <c r="P592" s="1">
        <v>0.65030636504163941</v>
      </c>
    </row>
    <row r="593" spans="1:16" x14ac:dyDescent="0.2">
      <c r="A593" s="1">
        <v>582</v>
      </c>
      <c r="B593" s="1">
        <v>0.9991960481057286</v>
      </c>
      <c r="C593" s="1">
        <v>3.6742157480236739</v>
      </c>
      <c r="D593" s="1">
        <v>0.24109117163757879</v>
      </c>
      <c r="E593" s="19">
        <v>8.8487977572027955E-3</v>
      </c>
      <c r="F593" s="19">
        <v>9.4376100000000008E-3</v>
      </c>
      <c r="G593" s="1">
        <v>0.65105139558124969</v>
      </c>
      <c r="H593" s="1">
        <f t="shared" si="9"/>
        <v>-6.0110754138531841E-2</v>
      </c>
      <c r="I593" s="20">
        <f>E593-N593</f>
        <v>-3.9288652463713436E-5</v>
      </c>
      <c r="K593" s="1">
        <v>1.0001963015631881</v>
      </c>
      <c r="L593" s="1">
        <v>3.7611019188891861</v>
      </c>
      <c r="M593" s="1">
        <v>0.23551721875588708</v>
      </c>
      <c r="N593" s="19">
        <v>8.888086409666509E-3</v>
      </c>
      <c r="O593" s="19">
        <v>9.4365127069999995E-3</v>
      </c>
      <c r="P593" s="1">
        <v>0.64981199858870264</v>
      </c>
    </row>
    <row r="594" spans="1:16" x14ac:dyDescent="0.2">
      <c r="A594" s="1">
        <v>583</v>
      </c>
      <c r="B594" s="1">
        <v>0.99921801832920665</v>
      </c>
      <c r="C594" s="1">
        <v>3.72623938696655</v>
      </c>
      <c r="D594" s="1">
        <v>0.23767360476061006</v>
      </c>
      <c r="E594" s="19">
        <v>8.8481184204080836E-3</v>
      </c>
      <c r="F594" s="19">
        <v>9.4373200000000008E-3</v>
      </c>
      <c r="G594" s="1">
        <v>0.65059295947351159</v>
      </c>
      <c r="H594" s="1">
        <f t="shared" si="9"/>
        <v>-6.2045404856293368E-2</v>
      </c>
      <c r="I594" s="20">
        <f>E594-N594</f>
        <v>-4.0443827374654281E-5</v>
      </c>
      <c r="K594" s="1">
        <v>1.0000233109733012</v>
      </c>
      <c r="L594" s="1">
        <v>3.7671790141234029</v>
      </c>
      <c r="M594" s="1">
        <v>0.23508480040404453</v>
      </c>
      <c r="N594" s="19">
        <v>8.8885622477827379E-3</v>
      </c>
      <c r="O594" s="19">
        <v>9.4362289689999997E-3</v>
      </c>
      <c r="P594" s="1">
        <v>0.64931586709224998</v>
      </c>
    </row>
    <row r="595" spans="1:16" x14ac:dyDescent="0.2">
      <c r="A595" s="1">
        <v>584</v>
      </c>
      <c r="B595" s="1">
        <v>0.99928704777646671</v>
      </c>
      <c r="C595" s="1">
        <v>3.6767184601944178</v>
      </c>
      <c r="D595" s="1">
        <v>0.24083097363848333</v>
      </c>
      <c r="E595" s="19">
        <v>8.847358467534195E-3</v>
      </c>
      <c r="F595" s="19">
        <v>9.4370400000000007E-3</v>
      </c>
      <c r="G595" s="1">
        <v>0.65013747047207116</v>
      </c>
      <c r="H595" s="1">
        <f t="shared" si="9"/>
        <v>-6.4146573325634851E-2</v>
      </c>
      <c r="I595" s="20">
        <f>E595-N595</f>
        <v>-4.1700923808226514E-5</v>
      </c>
      <c r="K595" s="1">
        <v>1.0000334591038236</v>
      </c>
      <c r="L595" s="1">
        <v>3.673886038771911</v>
      </c>
      <c r="M595" s="1">
        <v>0.24100891675408273</v>
      </c>
      <c r="N595" s="19">
        <v>8.8890593913424215E-3</v>
      </c>
      <c r="O595" s="19">
        <v>9.4359462039999998E-3</v>
      </c>
      <c r="P595" s="1">
        <v>0.64881939019825674</v>
      </c>
    </row>
    <row r="596" spans="1:16" x14ac:dyDescent="0.2">
      <c r="A596" s="1">
        <v>585</v>
      </c>
      <c r="B596" s="1">
        <v>0.99928783273047483</v>
      </c>
      <c r="C596" s="1">
        <v>3.7584691262986936</v>
      </c>
      <c r="D596" s="1">
        <v>0.2355389884145806</v>
      </c>
      <c r="E596" s="19">
        <v>8.846627483137531E-3</v>
      </c>
      <c r="F596" s="19">
        <v>9.4367500000000007E-3</v>
      </c>
      <c r="G596" s="1">
        <v>0.64968146516325409</v>
      </c>
      <c r="H596" s="1">
        <f t="shared" si="9"/>
        <v>-6.5892627659660946E-2</v>
      </c>
      <c r="I596" s="20">
        <f>E596-N596</f>
        <v>-4.2720789532170109E-5</v>
      </c>
      <c r="K596" s="1">
        <v>1.0001094869631586</v>
      </c>
      <c r="L596" s="1">
        <v>3.7487000903071936</v>
      </c>
      <c r="M596" s="1">
        <v>0.23615431529365921</v>
      </c>
      <c r="N596" s="19">
        <v>8.8893482726697011E-3</v>
      </c>
      <c r="O596" s="19">
        <v>9.435664408E-3</v>
      </c>
      <c r="P596" s="1">
        <v>0.64832982151895335</v>
      </c>
    </row>
    <row r="597" spans="1:16" x14ac:dyDescent="0.2">
      <c r="A597" s="1">
        <v>586</v>
      </c>
      <c r="B597" s="1">
        <v>0.99922644323827059</v>
      </c>
      <c r="C597" s="1">
        <v>3.8383996194972796</v>
      </c>
      <c r="D597" s="1">
        <v>0.23058372281020872</v>
      </c>
      <c r="E597" s="19">
        <v>8.846023031877457E-3</v>
      </c>
      <c r="F597" s="19">
        <v>9.4364700000000006E-3</v>
      </c>
      <c r="G597" s="1">
        <v>0.64922184721463261</v>
      </c>
      <c r="H597" s="1">
        <f t="shared" si="9"/>
        <v>-6.7496007870291627E-2</v>
      </c>
      <c r="I597" s="20">
        <f>E597-N597</f>
        <v>-4.3643033584806271E-5</v>
      </c>
      <c r="K597" s="1">
        <v>1.0000199821425799</v>
      </c>
      <c r="L597" s="1">
        <v>3.7301720228645294</v>
      </c>
      <c r="M597" s="1">
        <v>0.2372647526873303</v>
      </c>
      <c r="N597" s="19">
        <v>8.8896660654622633E-3</v>
      </c>
      <c r="O597" s="19">
        <v>9.4353835749999993E-3</v>
      </c>
      <c r="P597" s="1">
        <v>0.64783967640500206</v>
      </c>
    </row>
    <row r="598" spans="1:16" x14ac:dyDescent="0.2">
      <c r="A598" s="1">
        <v>587</v>
      </c>
      <c r="B598" s="1">
        <v>0.99926501001329548</v>
      </c>
      <c r="C598" s="1">
        <v>3.8762381934962975</v>
      </c>
      <c r="D598" s="1">
        <v>0.22828151342366812</v>
      </c>
      <c r="E598" s="19">
        <v>8.8454302605814432E-3</v>
      </c>
      <c r="F598" s="19">
        <v>9.4361900000000005E-3</v>
      </c>
      <c r="G598" s="1">
        <v>0.64876224911373881</v>
      </c>
      <c r="H598" s="1">
        <f t="shared" si="9"/>
        <v>-6.9122411149877466E-2</v>
      </c>
      <c r="I598" s="20">
        <f>E598-N598</f>
        <v>-4.4575168600111126E-5</v>
      </c>
      <c r="K598" s="1">
        <v>0.9998956277267611</v>
      </c>
      <c r="L598" s="1">
        <v>3.7298974610425089</v>
      </c>
      <c r="M598" s="1">
        <v>0.23723844562501395</v>
      </c>
      <c r="N598" s="19">
        <v>8.8900054291815543E-3</v>
      </c>
      <c r="O598" s="19">
        <v>9.4351037009999996E-3</v>
      </c>
      <c r="P598" s="1">
        <v>0.64734918449057266</v>
      </c>
    </row>
    <row r="599" spans="1:16" x14ac:dyDescent="0.2">
      <c r="A599" s="1">
        <v>588</v>
      </c>
      <c r="B599" s="1">
        <v>0.99935433819513075</v>
      </c>
      <c r="C599" s="1">
        <v>3.852057497171621</v>
      </c>
      <c r="D599" s="1">
        <v>0.22967146098574431</v>
      </c>
      <c r="E599" s="19">
        <v>8.8448639190844419E-3</v>
      </c>
      <c r="F599" s="19">
        <v>9.4359100000000005E-3</v>
      </c>
      <c r="G599" s="1">
        <v>0.64830220083056544</v>
      </c>
      <c r="H599" s="1">
        <f t="shared" si="9"/>
        <v>-7.0962127265757236E-2</v>
      </c>
      <c r="I599" s="20">
        <f>E599-N599</f>
        <v>-4.5639669990354959E-5</v>
      </c>
      <c r="K599" s="1">
        <v>1.0000036231630909</v>
      </c>
      <c r="L599" s="1">
        <v>3.6908900894897374</v>
      </c>
      <c r="M599" s="1">
        <v>0.23970128311142122</v>
      </c>
      <c r="N599" s="19">
        <v>8.8905035890747969E-3</v>
      </c>
      <c r="O599" s="19">
        <v>9.4348247810000004E-3</v>
      </c>
      <c r="P599" s="1">
        <v>0.64685399415167244</v>
      </c>
    </row>
    <row r="600" spans="1:16" x14ac:dyDescent="0.2">
      <c r="A600" s="1">
        <v>589</v>
      </c>
      <c r="B600" s="1">
        <v>0.99929834866831824</v>
      </c>
      <c r="C600" s="1">
        <v>3.7795053155777891</v>
      </c>
      <c r="D600" s="1">
        <v>0.23403396902900264</v>
      </c>
      <c r="E600" s="19">
        <v>8.8443421173640575E-3</v>
      </c>
      <c r="F600" s="19">
        <v>9.4356300000000004E-3</v>
      </c>
      <c r="G600" s="1">
        <v>0.64784112363907254</v>
      </c>
      <c r="H600" s="1">
        <f t="shared" si="9"/>
        <v>-7.2922620629405285E-2</v>
      </c>
      <c r="I600" s="20">
        <f>E600-N600</f>
        <v>-4.6776111529308467E-5</v>
      </c>
      <c r="K600" s="1">
        <v>1.0000110526381156</v>
      </c>
      <c r="L600" s="1">
        <v>3.664820516175487</v>
      </c>
      <c r="M600" s="1">
        <v>0.24134496812741776</v>
      </c>
      <c r="N600" s="19">
        <v>8.891118228893366E-3</v>
      </c>
      <c r="O600" s="19">
        <v>9.4345468089999992E-3</v>
      </c>
      <c r="P600" s="1">
        <v>0.64635543357531555</v>
      </c>
    </row>
    <row r="601" spans="1:16" x14ac:dyDescent="0.2">
      <c r="A601" s="1">
        <v>590</v>
      </c>
      <c r="B601" s="1">
        <v>0.99940907518865518</v>
      </c>
      <c r="C601" s="1">
        <v>3.7042044056459416</v>
      </c>
      <c r="D601" s="1">
        <v>0.23873320376647891</v>
      </c>
      <c r="E601" s="19">
        <v>8.8438231788663547E-3</v>
      </c>
      <c r="F601" s="19">
        <v>9.4353500000000003E-3</v>
      </c>
      <c r="G601" s="1">
        <v>0.64738033953464991</v>
      </c>
      <c r="H601" s="1">
        <f t="shared" si="9"/>
        <v>-7.4962782934522479E-2</v>
      </c>
      <c r="I601" s="20">
        <f>E601-N601</f>
        <v>-4.7957504581117721E-5</v>
      </c>
      <c r="K601" s="1">
        <v>1.0001707086441083</v>
      </c>
      <c r="L601" s="1">
        <v>3.6374463394254941</v>
      </c>
      <c r="M601" s="1">
        <v>0.24311759681515943</v>
      </c>
      <c r="N601" s="19">
        <v>8.8917806834474724E-3</v>
      </c>
      <c r="O601" s="19">
        <v>9.4342697809999994E-3</v>
      </c>
      <c r="P601" s="1">
        <v>0.6458556727631003</v>
      </c>
    </row>
    <row r="602" spans="1:16" x14ac:dyDescent="0.2">
      <c r="A602" s="1">
        <v>591</v>
      </c>
      <c r="B602" s="1">
        <v>0.99951909548263829</v>
      </c>
      <c r="C602" s="1">
        <v>3.6427154183984229</v>
      </c>
      <c r="D602" s="1">
        <v>0.24272375731128321</v>
      </c>
      <c r="E602" s="19">
        <v>8.8432207350268265E-3</v>
      </c>
      <c r="F602" s="19">
        <v>9.4350800000000002E-3</v>
      </c>
      <c r="G602" s="1">
        <v>0.64692259967296684</v>
      </c>
      <c r="H602" s="1">
        <f t="shared" si="9"/>
        <v>-7.7098017941190006E-2</v>
      </c>
      <c r="I602" s="20">
        <f>E602-N602</f>
        <v>-4.9193124788963344E-5</v>
      </c>
      <c r="K602" s="1">
        <v>1.0001677162577831</v>
      </c>
      <c r="L602" s="1">
        <v>3.6663701224092144</v>
      </c>
      <c r="M602" s="1">
        <v>0.24114678601702394</v>
      </c>
      <c r="N602" s="19">
        <v>8.8924138598157898E-3</v>
      </c>
      <c r="O602" s="19">
        <v>9.4339936929999993E-3</v>
      </c>
      <c r="P602" s="1">
        <v>0.64535715768431323</v>
      </c>
    </row>
    <row r="603" spans="1:16" x14ac:dyDescent="0.2">
      <c r="A603" s="1">
        <v>592</v>
      </c>
      <c r="B603" s="1">
        <v>0.9992641778304574</v>
      </c>
      <c r="C603" s="1">
        <v>3.6201738332857207</v>
      </c>
      <c r="D603" s="1">
        <v>0.24418005504601678</v>
      </c>
      <c r="E603" s="19">
        <v>8.8426593006080689E-3</v>
      </c>
      <c r="F603" s="19">
        <v>9.4348000000000001E-3</v>
      </c>
      <c r="G603" s="1">
        <v>0.64646394049003075</v>
      </c>
      <c r="H603" s="1">
        <f t="shared" si="9"/>
        <v>-7.8915559821179773E-2</v>
      </c>
      <c r="I603" s="20">
        <f>E603-N603</f>
        <v>-5.0219835875888255E-5</v>
      </c>
      <c r="K603" s="1">
        <v>1.000160294295837</v>
      </c>
      <c r="L603" s="1">
        <v>3.7056058452826708</v>
      </c>
      <c r="M603" s="1">
        <v>0.23854305926281905</v>
      </c>
      <c r="N603" s="19">
        <v>8.8928791364839572E-3</v>
      </c>
      <c r="O603" s="19">
        <v>9.4337185379999994E-3</v>
      </c>
      <c r="P603" s="1">
        <v>0.64486430076392576</v>
      </c>
    </row>
    <row r="604" spans="1:16" x14ac:dyDescent="0.2">
      <c r="A604" s="1">
        <v>593</v>
      </c>
      <c r="B604" s="1">
        <v>0.99919526327637775</v>
      </c>
      <c r="C604" s="1">
        <v>3.5902462498363974</v>
      </c>
      <c r="D604" s="1">
        <v>0.24616783812967166</v>
      </c>
      <c r="E604" s="19">
        <v>8.8422396671957969E-3</v>
      </c>
      <c r="F604" s="19">
        <v>9.4345200000000001E-3</v>
      </c>
      <c r="G604" s="1">
        <v>0.64600114017740329</v>
      </c>
      <c r="H604" s="1">
        <f t="shared" si="9"/>
        <v>-8.0590888497405685E-2</v>
      </c>
      <c r="I604" s="20">
        <f>E604-N604</f>
        <v>-5.1151047894668414E-5</v>
      </c>
      <c r="K604" s="1">
        <v>1.0001839222289222</v>
      </c>
      <c r="L604" s="1">
        <v>3.8033890043903131</v>
      </c>
      <c r="M604" s="1">
        <v>0.23236387371320655</v>
      </c>
      <c r="N604" s="19">
        <v>8.8933907150904653E-3</v>
      </c>
      <c r="O604" s="19">
        <v>9.4334443140000005E-3</v>
      </c>
      <c r="P604" s="1">
        <v>0.64437029589077788</v>
      </c>
    </row>
    <row r="605" spans="1:16" x14ac:dyDescent="0.2">
      <c r="A605" s="1">
        <v>594</v>
      </c>
      <c r="B605" s="1">
        <v>0.99902021295081866</v>
      </c>
      <c r="C605" s="1">
        <v>3.6039283698389384</v>
      </c>
      <c r="D605" s="1">
        <v>0.24517795197354669</v>
      </c>
      <c r="E605" s="19">
        <v>8.8418321297859363E-3</v>
      </c>
      <c r="F605" s="19">
        <v>9.4342499999999999E-3</v>
      </c>
      <c r="G605" s="1">
        <v>0.6455383298119215</v>
      </c>
      <c r="H605" s="1">
        <f t="shared" si="9"/>
        <v>-8.1933006887612569E-2</v>
      </c>
      <c r="I605" s="20">
        <f>E605-N605</f>
        <v>-5.186612950794367E-5</v>
      </c>
      <c r="K605" s="1">
        <v>1.0002628291312252</v>
      </c>
      <c r="L605" s="1">
        <v>3.7128512711073625</v>
      </c>
      <c r="M605" s="1">
        <v>0.23797663083353349</v>
      </c>
      <c r="N605" s="19">
        <v>8.89369825929388E-3</v>
      </c>
      <c r="O605" s="19">
        <v>9.4331710139999997E-3</v>
      </c>
      <c r="P605" s="1">
        <v>0.64388311755156569</v>
      </c>
    </row>
    <row r="606" spans="1:16" x14ac:dyDescent="0.2">
      <c r="A606" s="1">
        <v>595</v>
      </c>
      <c r="B606" s="1">
        <v>0.99899752023050692</v>
      </c>
      <c r="C606" s="1">
        <v>3.6107890632262869</v>
      </c>
      <c r="D606" s="1">
        <v>0.24466730111777496</v>
      </c>
      <c r="E606" s="19">
        <v>8.8415056132773173E-3</v>
      </c>
      <c r="F606" s="19">
        <v>9.4339699999999999E-3</v>
      </c>
      <c r="G606" s="1">
        <v>0.64507330338067959</v>
      </c>
      <c r="H606" s="1">
        <f t="shared" si="9"/>
        <v>-8.3072228162643785E-2</v>
      </c>
      <c r="I606" s="20">
        <f>E606-N606</f>
        <v>-5.244932997258353E-5</v>
      </c>
      <c r="K606" s="1">
        <v>1.0002036450090135</v>
      </c>
      <c r="L606" s="1">
        <v>3.6113836604929919</v>
      </c>
      <c r="M606" s="1">
        <v>0.24461935009274366</v>
      </c>
      <c r="N606" s="19">
        <v>8.8939549432499009E-3</v>
      </c>
      <c r="O606" s="19">
        <v>9.4328986350000008E-3</v>
      </c>
      <c r="P606" s="1">
        <v>0.64339789709840778</v>
      </c>
    </row>
    <row r="607" spans="1:16" x14ac:dyDescent="0.2">
      <c r="A607" s="1">
        <v>596</v>
      </c>
      <c r="B607" s="1">
        <v>0.99899394240961026</v>
      </c>
      <c r="C607" s="1">
        <v>3.5926290976020612</v>
      </c>
      <c r="D607" s="1">
        <v>0.24584245783997577</v>
      </c>
      <c r="E607" s="19">
        <v>8.8412582836837859E-3</v>
      </c>
      <c r="F607" s="19">
        <v>9.4336999999999997E-3</v>
      </c>
      <c r="G607" s="1">
        <v>0.64460611181107574</v>
      </c>
      <c r="H607" s="1">
        <f t="shared" si="9"/>
        <v>-8.3851294935157375E-2</v>
      </c>
      <c r="I607" s="20">
        <f>E607-N607</f>
        <v>-5.2802523347057762E-5</v>
      </c>
      <c r="K607" s="1">
        <v>1.0001470199550999</v>
      </c>
      <c r="L607" s="1">
        <v>3.6948492440325453</v>
      </c>
      <c r="M607" s="1">
        <v>0.23904770801312875</v>
      </c>
      <c r="N607" s="19">
        <v>8.8940608070308437E-3</v>
      </c>
      <c r="O607" s="19">
        <v>9.4326271709999996E-3</v>
      </c>
      <c r="P607" s="1">
        <v>0.64291783070499875</v>
      </c>
    </row>
    <row r="608" spans="1:16" x14ac:dyDescent="0.2">
      <c r="A608" s="1">
        <v>597</v>
      </c>
      <c r="B608" s="1">
        <v>0.99900298580464675</v>
      </c>
      <c r="C608" s="1">
        <v>3.5383643872185293</v>
      </c>
      <c r="D608" s="1">
        <v>0.24956554282078253</v>
      </c>
      <c r="E608" s="19">
        <v>8.8412355490358526E-3</v>
      </c>
      <c r="F608" s="19">
        <v>9.4334299999999996E-3</v>
      </c>
      <c r="G608" s="1">
        <v>0.64413208784184206</v>
      </c>
      <c r="H608" s="1">
        <f t="shared" si="9"/>
        <v>-8.395834687596733E-2</v>
      </c>
      <c r="I608" s="20">
        <f>E608-N608</f>
        <v>-5.2731765854166848E-5</v>
      </c>
      <c r="K608" s="1">
        <v>1.0002251992536355</v>
      </c>
      <c r="L608" s="1">
        <v>3.7945494809925542</v>
      </c>
      <c r="M608" s="1">
        <v>0.23271529741717498</v>
      </c>
      <c r="N608" s="19">
        <v>8.8939673148900195E-3</v>
      </c>
      <c r="O608" s="19">
        <v>9.4323566179999995E-3</v>
      </c>
      <c r="P608" s="1">
        <v>0.64244448287951106</v>
      </c>
    </row>
    <row r="609" spans="1:16" x14ac:dyDescent="0.2">
      <c r="A609" s="1">
        <v>598</v>
      </c>
      <c r="B609" s="1">
        <v>0.99922106721981141</v>
      </c>
      <c r="C609" s="1">
        <v>3.5757527045726993</v>
      </c>
      <c r="D609" s="1">
        <v>0.24689519661762607</v>
      </c>
      <c r="E609" s="19">
        <v>8.8411366952601718E-3</v>
      </c>
      <c r="F609" s="19">
        <v>9.4331599999999995E-3</v>
      </c>
      <c r="G609" s="1">
        <v>0.64366085646918592</v>
      </c>
      <c r="H609" s="1">
        <f t="shared" si="9"/>
        <v>-8.4360114703803668E-2</v>
      </c>
      <c r="I609" s="20">
        <f>E609-N609</f>
        <v>-5.2845975213756252E-5</v>
      </c>
      <c r="K609" s="1">
        <v>1.0004878830997721</v>
      </c>
      <c r="L609" s="1">
        <v>3.7336394002719131</v>
      </c>
      <c r="M609" s="1">
        <v>0.23645885737346614</v>
      </c>
      <c r="N609" s="19">
        <v>8.893982670473928E-3</v>
      </c>
      <c r="O609" s="19">
        <v>9.4320869720000006E-3</v>
      </c>
      <c r="P609" s="1">
        <v>0.6419680113580728</v>
      </c>
    </row>
    <row r="610" spans="1:16" x14ac:dyDescent="0.2">
      <c r="A610" s="1">
        <v>599</v>
      </c>
      <c r="B610" s="1">
        <v>0.99932343195883055</v>
      </c>
      <c r="C610" s="1">
        <v>3.5039741737915486</v>
      </c>
      <c r="D610" s="1">
        <v>0.25190390343665381</v>
      </c>
      <c r="E610" s="19">
        <v>8.8408510279374859E-3</v>
      </c>
      <c r="F610" s="19">
        <v>9.4328899999999993E-3</v>
      </c>
      <c r="G610" s="1">
        <v>0.64319597827990027</v>
      </c>
      <c r="H610" s="1">
        <f t="shared" si="9"/>
        <v>-8.5264292650306453E-2</v>
      </c>
      <c r="I610" s="20">
        <f>E610-N610</f>
        <v>-5.3273353585955169E-5</v>
      </c>
      <c r="K610" s="1">
        <v>1.0005563612530579</v>
      </c>
      <c r="L610" s="1">
        <v>3.7793130717047174</v>
      </c>
      <c r="M610" s="1">
        <v>0.23355052153528622</v>
      </c>
      <c r="N610" s="19">
        <v>8.8941243815234411E-3</v>
      </c>
      <c r="O610" s="19">
        <v>9.4318182280000006E-3</v>
      </c>
      <c r="P610" s="1">
        <v>0.64148784553899263</v>
      </c>
    </row>
    <row r="611" spans="1:16" x14ac:dyDescent="0.2">
      <c r="A611" s="1">
        <v>600</v>
      </c>
      <c r="B611" s="1">
        <v>0.9992119893131417</v>
      </c>
      <c r="C611" s="1">
        <v>3.5623225584152358</v>
      </c>
      <c r="D611" s="1">
        <v>0.24773631396214951</v>
      </c>
      <c r="E611" s="19">
        <v>8.8408371522079952E-3</v>
      </c>
      <c r="F611" s="19">
        <v>9.4326199999999992E-3</v>
      </c>
      <c r="G611" s="1">
        <v>0.64272273205476571</v>
      </c>
      <c r="H611" s="1">
        <f t="shared" si="9"/>
        <v>-8.5696227993176111E-2</v>
      </c>
      <c r="I611" s="20">
        <f>E611-N611</f>
        <v>-5.3404486076128951E-5</v>
      </c>
      <c r="K611" s="1">
        <v>1.0005738350959394</v>
      </c>
      <c r="L611" s="1">
        <v>3.8583440670399844</v>
      </c>
      <c r="M611" s="1">
        <v>0.22872284812604854</v>
      </c>
      <c r="N611" s="19">
        <v>8.8942416382841241E-3</v>
      </c>
      <c r="O611" s="19">
        <v>9.4315503809999993E-3</v>
      </c>
      <c r="P611" s="1">
        <v>0.64100880749490219</v>
      </c>
    </row>
    <row r="612" spans="1:16" x14ac:dyDescent="0.2">
      <c r="A612" s="1">
        <v>601</v>
      </c>
      <c r="B612" s="1">
        <v>0.99909144496223201</v>
      </c>
      <c r="C612" s="1">
        <v>3.5377154493375018</v>
      </c>
      <c r="D612" s="1">
        <v>0.24939415566836032</v>
      </c>
      <c r="E612" s="19">
        <v>8.8409055119047265E-3</v>
      </c>
      <c r="F612" s="19">
        <v>9.4323500000000008E-3</v>
      </c>
      <c r="G612" s="1">
        <v>0.64224719033639133</v>
      </c>
      <c r="H612" s="1">
        <f t="shared" si="9"/>
        <v>-8.6024390642424689E-2</v>
      </c>
      <c r="I612" s="20">
        <f>E612-N612</f>
        <v>-5.3470510014533984E-5</v>
      </c>
      <c r="K612" s="1">
        <v>1.0006161486205869</v>
      </c>
      <c r="L612" s="1">
        <v>3.9261137553453556</v>
      </c>
      <c r="M612" s="1">
        <v>0.22472760032806205</v>
      </c>
      <c r="N612" s="19">
        <v>8.8943760219192605E-3</v>
      </c>
      <c r="O612" s="19">
        <v>9.431283427E-3</v>
      </c>
      <c r="P612" s="1">
        <v>0.64052956523205007</v>
      </c>
    </row>
    <row r="613" spans="1:16" x14ac:dyDescent="0.2">
      <c r="A613" s="1">
        <v>602</v>
      </c>
      <c r="B613" s="1">
        <v>0.99885555655812919</v>
      </c>
      <c r="C613" s="1">
        <v>3.5624726077477007</v>
      </c>
      <c r="D613" s="1">
        <v>0.24761982604350091</v>
      </c>
      <c r="E613" s="19">
        <v>8.8410592369572837E-3</v>
      </c>
      <c r="F613" s="19">
        <v>9.4320800000000007E-3</v>
      </c>
      <c r="G613" s="1">
        <v>0.64176924477321884</v>
      </c>
      <c r="H613" s="1">
        <f t="shared" si="9"/>
        <v>-8.6218167239334689E-2</v>
      </c>
      <c r="I613" s="20">
        <f>E613-N613</f>
        <v>-5.3452935162621659E-5</v>
      </c>
      <c r="K613" s="1">
        <v>1.0007182971642099</v>
      </c>
      <c r="L613" s="1">
        <v>3.8753687103630665</v>
      </c>
      <c r="M613" s="1">
        <v>0.22762232876847635</v>
      </c>
      <c r="N613" s="19">
        <v>8.8945121721199054E-3</v>
      </c>
      <c r="O613" s="19">
        <v>9.4310173610000006E-3</v>
      </c>
      <c r="P613" s="1">
        <v>0.64005061021030851</v>
      </c>
    </row>
    <row r="614" spans="1:16" x14ac:dyDescent="0.2">
      <c r="A614" s="1">
        <v>603</v>
      </c>
      <c r="B614" s="1">
        <v>0.99890329523177934</v>
      </c>
      <c r="C614" s="1">
        <v>3.5693137816808784</v>
      </c>
      <c r="D614" s="1">
        <v>0.24709349366296793</v>
      </c>
      <c r="E614" s="19">
        <v>8.8412303894003508E-3</v>
      </c>
      <c r="F614" s="19">
        <v>9.4318200000000005E-3</v>
      </c>
      <c r="G614" s="1">
        <v>0.6412910768599368</v>
      </c>
      <c r="H614" s="1">
        <f t="shared" si="9"/>
        <v>-8.6428426167350872E-2</v>
      </c>
      <c r="I614" s="20">
        <f>E614-N614</f>
        <v>-5.3445645299937672E-5</v>
      </c>
      <c r="K614" s="1">
        <v>1.0006401608882038</v>
      </c>
      <c r="L614" s="1">
        <v>3.9962461853781339</v>
      </c>
      <c r="M614" s="1">
        <v>0.22069242514801252</v>
      </c>
      <c r="N614" s="19">
        <v>8.8946760347002884E-3</v>
      </c>
      <c r="O614" s="19">
        <v>9.4307521799999999E-3</v>
      </c>
      <c r="P614" s="1">
        <v>0.63957110817998952</v>
      </c>
    </row>
    <row r="615" spans="1:16" x14ac:dyDescent="0.2">
      <c r="A615" s="1">
        <v>604</v>
      </c>
      <c r="B615" s="1">
        <v>0.99878716630259734</v>
      </c>
      <c r="C615" s="1">
        <v>3.5080530747804319</v>
      </c>
      <c r="D615" s="1">
        <v>0.25135337470554464</v>
      </c>
      <c r="E615" s="19">
        <v>8.8414947930015638E-3</v>
      </c>
      <c r="F615" s="19">
        <v>9.4315500000000003E-3</v>
      </c>
      <c r="G615" s="1">
        <v>0.64081023919874325</v>
      </c>
      <c r="H615" s="1">
        <f t="shared" si="9"/>
        <v>-8.6541140378416245E-2</v>
      </c>
      <c r="I615" s="20">
        <f>E615-N615</f>
        <v>-5.3378340420703538E-5</v>
      </c>
      <c r="K615" s="1">
        <v>1.0005983187310925</v>
      </c>
      <c r="L615" s="1">
        <v>3.9365575446197667</v>
      </c>
      <c r="M615" s="1">
        <v>0.22398649502438711</v>
      </c>
      <c r="N615" s="19">
        <v>8.8948731334222673E-3</v>
      </c>
      <c r="O615" s="19">
        <v>9.4304878780000004E-3</v>
      </c>
      <c r="P615" s="1">
        <v>0.63909087879387405</v>
      </c>
    </row>
    <row r="616" spans="1:16" x14ac:dyDescent="0.2">
      <c r="A616" s="1">
        <v>605</v>
      </c>
      <c r="B616" s="1">
        <v>0.9987459654880706</v>
      </c>
      <c r="C616" s="1">
        <v>3.5248324006543617</v>
      </c>
      <c r="D616" s="1">
        <v>0.25010365113307553</v>
      </c>
      <c r="E616" s="19">
        <v>8.841888464744603E-3</v>
      </c>
      <c r="F616" s="19">
        <v>9.4312900000000002E-3</v>
      </c>
      <c r="G616" s="1">
        <v>0.64032556066284729</v>
      </c>
      <c r="H616" s="1">
        <f t="shared" si="9"/>
        <v>-8.6476047545222312E-2</v>
      </c>
      <c r="I616" s="20">
        <f>E616-N616</f>
        <v>-5.3202134189429123E-5</v>
      </c>
      <c r="K616" s="1">
        <v>1.0005710838498443</v>
      </c>
      <c r="L616" s="1">
        <v>4.081748234407339</v>
      </c>
      <c r="M616" s="1">
        <v>0.21597413797015361</v>
      </c>
      <c r="N616" s="19">
        <v>8.8950905989340322E-3</v>
      </c>
      <c r="O616" s="19">
        <v>9.4302244510000004E-3</v>
      </c>
      <c r="P616" s="1">
        <v>0.63861033327352057</v>
      </c>
    </row>
    <row r="617" spans="1:16" x14ac:dyDescent="0.2">
      <c r="A617" s="1">
        <v>606</v>
      </c>
      <c r="B617" s="1">
        <v>0.99877437312338102</v>
      </c>
      <c r="C617" s="1">
        <v>3.5446849935170941</v>
      </c>
      <c r="D617" s="1">
        <v>0.24865440859762417</v>
      </c>
      <c r="E617" s="19">
        <v>8.8424277309098343E-3</v>
      </c>
      <c r="F617" s="19">
        <v>9.43102E-3</v>
      </c>
      <c r="G617" s="1">
        <v>0.63983650230672107</v>
      </c>
      <c r="H617" s="1">
        <f t="shared" si="9"/>
        <v>-8.6530756228948291E-2</v>
      </c>
      <c r="I617" s="20">
        <f>E617-N617</f>
        <v>-5.3100779924432698E-5</v>
      </c>
      <c r="K617" s="1">
        <v>1.0004878146693912</v>
      </c>
      <c r="L617" s="1">
        <v>4.0043196784439887</v>
      </c>
      <c r="M617" s="1">
        <v>0.22011178519847444</v>
      </c>
      <c r="N617" s="19">
        <v>8.895528510834267E-3</v>
      </c>
      <c r="O617" s="19">
        <v>9.4299618950000001E-3</v>
      </c>
      <c r="P617" s="1">
        <v>0.63812302198535575</v>
      </c>
    </row>
    <row r="618" spans="1:16" x14ac:dyDescent="0.2">
      <c r="A618" s="1">
        <v>607</v>
      </c>
      <c r="B618" s="1">
        <v>0.99874747942514563</v>
      </c>
      <c r="C618" s="1">
        <v>3.5408331930507497</v>
      </c>
      <c r="D618" s="1">
        <v>0.2488750241740684</v>
      </c>
      <c r="E618" s="19">
        <v>8.8430289194419524E-3</v>
      </c>
      <c r="F618" s="19">
        <v>9.4307599999999998E-3</v>
      </c>
      <c r="G618" s="1">
        <v>0.63934575742590916</v>
      </c>
      <c r="H618" s="1">
        <f t="shared" si="9"/>
        <v>-8.6620241582583135E-2</v>
      </c>
      <c r="I618" s="20">
        <f>E618-N618</f>
        <v>-5.3021373185212217E-5</v>
      </c>
      <c r="K618" s="1">
        <v>1.0004382483635219</v>
      </c>
      <c r="L618" s="1">
        <v>4.0396520646956802</v>
      </c>
      <c r="M618" s="1">
        <v>0.21813143889009007</v>
      </c>
      <c r="N618" s="19">
        <v>8.8960502926271647E-3</v>
      </c>
      <c r="O618" s="19">
        <v>9.4297002059999992E-3</v>
      </c>
      <c r="P618" s="1">
        <v>0.63763333090368346</v>
      </c>
    </row>
    <row r="619" spans="1:16" x14ac:dyDescent="0.2">
      <c r="A619" s="1">
        <v>608</v>
      </c>
      <c r="B619" s="1">
        <v>0.99872994535490811</v>
      </c>
      <c r="C619" s="1">
        <v>3.570923612829632</v>
      </c>
      <c r="D619" s="1">
        <v>0.24673146139326119</v>
      </c>
      <c r="E619" s="19">
        <v>8.8435692332259012E-3</v>
      </c>
      <c r="F619" s="19">
        <v>9.4304999999999996E-3</v>
      </c>
      <c r="G619" s="1">
        <v>0.63885729536454383</v>
      </c>
      <c r="H619" s="1">
        <f t="shared" si="9"/>
        <v>-8.6603795313281509E-2</v>
      </c>
      <c r="I619" s="20">
        <f>E619-N619</f>
        <v>-5.2877392842874335E-5</v>
      </c>
      <c r="K619" s="1">
        <v>1.0005831279240018</v>
      </c>
      <c r="L619" s="1">
        <v>4.0582858569804623</v>
      </c>
      <c r="M619" s="1">
        <v>0.21708854213629855</v>
      </c>
      <c r="N619" s="19">
        <v>8.8964466260687755E-3</v>
      </c>
      <c r="O619" s="19">
        <v>9.4294393789999993E-3</v>
      </c>
      <c r="P619" s="1">
        <v>0.63714800993072906</v>
      </c>
    </row>
    <row r="620" spans="1:16" x14ac:dyDescent="0.2">
      <c r="A620" s="1">
        <v>609</v>
      </c>
      <c r="B620" s="1">
        <v>0.99874448829909834</v>
      </c>
      <c r="C620" s="1">
        <v>3.5457292748188634</v>
      </c>
      <c r="D620" s="1">
        <v>0.2484231172780105</v>
      </c>
      <c r="E620" s="19">
        <v>8.8442492514609235E-3</v>
      </c>
      <c r="F620" s="19">
        <v>9.4302399999999995E-3</v>
      </c>
      <c r="G620" s="1">
        <v>0.63836462298124497</v>
      </c>
      <c r="H620" s="1">
        <f t="shared" si="9"/>
        <v>-8.6280795525707929E-2</v>
      </c>
      <c r="I620" s="20">
        <f>E620-N620</f>
        <v>-5.2547516229680541E-5</v>
      </c>
      <c r="K620" s="1">
        <v>1.0007430128816615</v>
      </c>
      <c r="L620" s="1">
        <v>4.0487314795783869</v>
      </c>
      <c r="M620" s="1">
        <v>0.21755530115152444</v>
      </c>
      <c r="N620" s="19">
        <v>8.896796767690604E-3</v>
      </c>
      <c r="O620" s="19">
        <v>9.4291794100000003E-3</v>
      </c>
      <c r="P620" s="1">
        <v>0.63666450878369407</v>
      </c>
    </row>
    <row r="621" spans="1:16" x14ac:dyDescent="0.2">
      <c r="A621" s="1">
        <v>610</v>
      </c>
      <c r="B621" s="1">
        <v>0.99873264115378535</v>
      </c>
      <c r="C621" s="1">
        <v>3.5081400840231671</v>
      </c>
      <c r="D621" s="1">
        <v>0.25104094717200781</v>
      </c>
      <c r="E621" s="19">
        <v>8.8450672078891207E-3</v>
      </c>
      <c r="F621" s="19">
        <v>9.4299799999999993E-3</v>
      </c>
      <c r="G621" s="1">
        <v>0.63786778558756607</v>
      </c>
      <c r="H621" s="1">
        <f t="shared" si="9"/>
        <v>-8.5945398407942061E-2</v>
      </c>
      <c r="I621" s="20">
        <f>E621-N621</f>
        <v>-5.2212079169880118E-5</v>
      </c>
      <c r="K621" s="1">
        <v>1.0007841991509983</v>
      </c>
      <c r="L621" s="1">
        <v>4.0122115097239259</v>
      </c>
      <c r="M621" s="1">
        <v>0.2194901482492165</v>
      </c>
      <c r="N621" s="19">
        <v>8.8972792870590008E-3</v>
      </c>
      <c r="O621" s="19">
        <v>9.4289202950000005E-3</v>
      </c>
      <c r="P621" s="1">
        <v>0.63617705643855738</v>
      </c>
    </row>
    <row r="622" spans="1:16" x14ac:dyDescent="0.2">
      <c r="A622" s="1">
        <v>611</v>
      </c>
      <c r="B622" s="1">
        <v>0.99864271687860218</v>
      </c>
      <c r="C622" s="1">
        <v>3.5258575175485469</v>
      </c>
      <c r="D622" s="1">
        <v>0.2497230037358156</v>
      </c>
      <c r="E622" s="19">
        <v>8.8460680082721628E-3</v>
      </c>
      <c r="F622" s="19">
        <v>9.4297200000000008E-3</v>
      </c>
      <c r="G622" s="1">
        <v>0.63736531421649201</v>
      </c>
      <c r="H622" s="1">
        <f t="shared" si="9"/>
        <v>-8.575530611184258E-2</v>
      </c>
      <c r="I622" s="20">
        <f>E622-N622</f>
        <v>-5.1966933344058802E-5</v>
      </c>
      <c r="K622" s="1">
        <v>1.000737139817363</v>
      </c>
      <c r="L622" s="1">
        <v>3.9650595597465319</v>
      </c>
      <c r="M622" s="1">
        <v>0.22205441065568163</v>
      </c>
      <c r="N622" s="19">
        <v>8.8980349416162216E-3</v>
      </c>
      <c r="O622" s="19">
        <v>9.4286620289999994E-3</v>
      </c>
      <c r="P622" s="1">
        <v>0.63568108561855075</v>
      </c>
    </row>
    <row r="623" spans="1:16" x14ac:dyDescent="0.2">
      <c r="A623" s="1">
        <v>612</v>
      </c>
      <c r="B623" s="1">
        <v>0.9987174246514815</v>
      </c>
      <c r="C623" s="1">
        <v>3.5119965823016521</v>
      </c>
      <c r="D623" s="1">
        <v>0.25064916470219789</v>
      </c>
      <c r="E623" s="19">
        <v>8.8471475526710561E-3</v>
      </c>
      <c r="F623" s="19">
        <v>9.4294600000000006E-3</v>
      </c>
      <c r="G623" s="1">
        <v>0.63686057482929415</v>
      </c>
      <c r="H623" s="1">
        <f t="shared" si="9"/>
        <v>-8.5542232308693733E-2</v>
      </c>
      <c r="I623" s="20">
        <f>E623-N623</f>
        <v>-5.1709268205021169E-5</v>
      </c>
      <c r="K623" s="1">
        <v>1.0005859740299279</v>
      </c>
      <c r="L623" s="1">
        <v>4.0068844684623537</v>
      </c>
      <c r="M623" s="1">
        <v>0.21969353047354023</v>
      </c>
      <c r="N623" s="19">
        <v>8.8988568208760773E-3</v>
      </c>
      <c r="O623" s="19">
        <v>9.4284046089999993E-3</v>
      </c>
      <c r="P623" s="1">
        <v>0.63518327615657466</v>
      </c>
    </row>
    <row r="624" spans="1:16" x14ac:dyDescent="0.2">
      <c r="A624" s="1">
        <v>613</v>
      </c>
      <c r="B624" s="1">
        <v>0.99888055959980615</v>
      </c>
      <c r="C624" s="1">
        <v>3.5635484388985792</v>
      </c>
      <c r="D624" s="1">
        <v>0.24697723489459819</v>
      </c>
      <c r="E624" s="19">
        <v>8.848294891138352E-3</v>
      </c>
      <c r="F624" s="19">
        <v>9.4292000000000004E-3</v>
      </c>
      <c r="G624" s="1">
        <v>0.63635391686621201</v>
      </c>
      <c r="H624" s="1">
        <f t="shared" si="9"/>
        <v>-8.5301017922062974E-2</v>
      </c>
      <c r="I624" s="20">
        <f>E624-N624</f>
        <v>-5.1436033425897656E-5</v>
      </c>
      <c r="K624" s="1">
        <v>1.0006222106990816</v>
      </c>
      <c r="L624" s="1">
        <v>4.0382767000332098</v>
      </c>
      <c r="M624" s="1">
        <v>0.21793773491897966</v>
      </c>
      <c r="N624" s="19">
        <v>8.8997309245642496E-3</v>
      </c>
      <c r="O624" s="19">
        <v>9.4281480299999998E-3</v>
      </c>
      <c r="P624" s="1">
        <v>0.63468407638486657</v>
      </c>
    </row>
    <row r="625" spans="1:16" x14ac:dyDescent="0.2">
      <c r="A625" s="1">
        <v>614</v>
      </c>
      <c r="B625" s="1">
        <v>0.99887763853046541</v>
      </c>
      <c r="C625" s="1">
        <v>3.5177247787303449</v>
      </c>
      <c r="D625" s="1">
        <v>0.25014656022606829</v>
      </c>
      <c r="E625" s="19">
        <v>8.8494593448887604E-3</v>
      </c>
      <c r="F625" s="19">
        <v>9.4289400000000002E-3</v>
      </c>
      <c r="G625" s="1">
        <v>0.63584698355716207</v>
      </c>
      <c r="H625" s="1">
        <f t="shared" si="9"/>
        <v>-8.4817595410577415E-2</v>
      </c>
      <c r="I625" s="20">
        <f>E625-N625</f>
        <v>-5.1018280353653384E-5</v>
      </c>
      <c r="K625" s="1">
        <v>1.0008391961737977</v>
      </c>
      <c r="L625" s="1">
        <v>3.9832535608475896</v>
      </c>
      <c r="M625" s="1">
        <v>0.22090031450713762</v>
      </c>
      <c r="N625" s="19">
        <v>8.9004776252424138E-3</v>
      </c>
      <c r="O625" s="19">
        <v>9.4278922889999995E-3</v>
      </c>
      <c r="P625" s="1">
        <v>0.63418931068268825</v>
      </c>
    </row>
    <row r="626" spans="1:16" x14ac:dyDescent="0.2">
      <c r="A626" s="1">
        <v>615</v>
      </c>
      <c r="B626" s="1">
        <v>0.99881073477316551</v>
      </c>
      <c r="C626" s="1">
        <v>3.4865951628913514</v>
      </c>
      <c r="D626" s="1">
        <v>0.25231855026031402</v>
      </c>
      <c r="E626" s="19">
        <v>8.8506622160409165E-3</v>
      </c>
      <c r="F626" s="19">
        <v>9.42869E-3</v>
      </c>
      <c r="G626" s="1">
        <v>0.63533907986291771</v>
      </c>
      <c r="H626" s="1">
        <f t="shared" si="9"/>
        <v>-8.4240808898752143E-2</v>
      </c>
      <c r="I626" s="20">
        <f>E626-N626</f>
        <v>-5.0546561815837179E-5</v>
      </c>
      <c r="K626" s="1">
        <v>1.0008338940786969</v>
      </c>
      <c r="L626" s="1">
        <v>3.9313146579089615</v>
      </c>
      <c r="M626" s="1">
        <v>0.22377512134522315</v>
      </c>
      <c r="N626" s="19">
        <v>8.9012087778567537E-3</v>
      </c>
      <c r="O626" s="19">
        <v>9.4276373799999993E-3</v>
      </c>
      <c r="P626" s="1">
        <v>0.63369535676245425</v>
      </c>
    </row>
    <row r="627" spans="1:16" x14ac:dyDescent="0.2">
      <c r="A627" s="1">
        <v>616</v>
      </c>
      <c r="B627" s="1">
        <v>0.99891752182718285</v>
      </c>
      <c r="C627" s="1">
        <v>3.4605180368462278</v>
      </c>
      <c r="D627" s="1">
        <v>0.25417626411384164</v>
      </c>
      <c r="E627" s="19">
        <v>8.8517887351716763E-3</v>
      </c>
      <c r="F627" s="19">
        <v>9.4284299999999998E-3</v>
      </c>
      <c r="G627" s="1">
        <v>0.63483394276903937</v>
      </c>
      <c r="H627" s="1">
        <f t="shared" si="9"/>
        <v>-8.3857930862379179E-2</v>
      </c>
      <c r="I627" s="20">
        <f>E627-N627</f>
        <v>-5.0193149597199671E-5</v>
      </c>
      <c r="K627" s="1">
        <v>1.0007660616684204</v>
      </c>
      <c r="L627" s="1">
        <v>4.0730842272945704</v>
      </c>
      <c r="M627" s="1">
        <v>0.21593812318524211</v>
      </c>
      <c r="N627" s="19">
        <v>8.901981884768876E-3</v>
      </c>
      <c r="O627" s="19">
        <v>9.4273833010000002E-3</v>
      </c>
      <c r="P627" s="1">
        <v>0.63320034671327874</v>
      </c>
    </row>
    <row r="628" spans="1:16" x14ac:dyDescent="0.2">
      <c r="A628" s="1">
        <v>617</v>
      </c>
      <c r="B628" s="1">
        <v>0.99899747689442797</v>
      </c>
      <c r="C628" s="1">
        <v>3.3884441911030971</v>
      </c>
      <c r="D628" s="1">
        <v>0.25952178786300867</v>
      </c>
      <c r="E628" s="19">
        <v>8.8529679580064309E-3</v>
      </c>
      <c r="F628" s="19">
        <v>9.4281799999999995E-3</v>
      </c>
      <c r="G628" s="1">
        <v>0.63432736926206412</v>
      </c>
      <c r="H628" s="1">
        <f t="shared" si="9"/>
        <v>-8.3189167699639591E-2</v>
      </c>
      <c r="I628" s="20">
        <f>E628-N628</f>
        <v>-4.9670661893656126E-5</v>
      </c>
      <c r="K628" s="1">
        <v>1.0006707080045623</v>
      </c>
      <c r="L628" s="1">
        <v>4.0115268695560991</v>
      </c>
      <c r="M628" s="1">
        <v>0.21920869242323968</v>
      </c>
      <c r="N628" s="19">
        <v>8.902638619900087E-3</v>
      </c>
      <c r="O628" s="19">
        <v>9.427130047E-3</v>
      </c>
      <c r="P628" s="1">
        <v>0.63270942758881343</v>
      </c>
    </row>
    <row r="629" spans="1:16" x14ac:dyDescent="0.2">
      <c r="A629" s="1">
        <v>618</v>
      </c>
      <c r="B629" s="1">
        <v>0.99904206063517964</v>
      </c>
      <c r="C629" s="1">
        <v>3.3991364000218245</v>
      </c>
      <c r="D629" s="1">
        <v>0.25865234002950666</v>
      </c>
      <c r="E629" s="19">
        <v>8.8540745447191309E-3</v>
      </c>
      <c r="F629" s="19">
        <v>9.4279199999999994E-3</v>
      </c>
      <c r="G629" s="1">
        <v>0.63382344638936161</v>
      </c>
      <c r="H629" s="1">
        <f t="shared" si="9"/>
        <v>-8.2670691858950818E-2</v>
      </c>
      <c r="I629" s="20">
        <f>E629-N629</f>
        <v>-4.9240148479200163E-5</v>
      </c>
      <c r="K629" s="1">
        <v>1.0007461284744081</v>
      </c>
      <c r="L629" s="1">
        <v>3.9894482014795147</v>
      </c>
      <c r="M629" s="1">
        <v>0.22037526616498349</v>
      </c>
      <c r="N629" s="19">
        <v>8.903314693198331E-3</v>
      </c>
      <c r="O629" s="19">
        <v>9.4268776129999999E-3</v>
      </c>
      <c r="P629" s="1">
        <v>0.63221819023676062</v>
      </c>
    </row>
    <row r="630" spans="1:16" x14ac:dyDescent="0.2">
      <c r="A630" s="1">
        <v>619</v>
      </c>
      <c r="B630" s="1">
        <v>0.99920109545812552</v>
      </c>
      <c r="C630" s="1">
        <v>3.3689177707611853</v>
      </c>
      <c r="D630" s="1">
        <v>0.26091644726364371</v>
      </c>
      <c r="E630" s="19">
        <v>8.8551105505420072E-3</v>
      </c>
      <c r="F630" s="19">
        <v>9.4276700000000008E-3</v>
      </c>
      <c r="G630" s="1">
        <v>0.63332211283300244</v>
      </c>
      <c r="H630" s="1">
        <f t="shared" si="9"/>
        <v>-8.208096791387158E-2</v>
      </c>
      <c r="I630" s="20">
        <f>E630-N630</f>
        <v>-4.8769148009761287E-5</v>
      </c>
      <c r="K630" s="1">
        <v>1.0007394974072281</v>
      </c>
      <c r="L630" s="1">
        <v>3.9005126509321593</v>
      </c>
      <c r="M630" s="1">
        <v>0.22534987894897388</v>
      </c>
      <c r="N630" s="19">
        <v>8.9038796985517685E-3</v>
      </c>
      <c r="O630" s="19">
        <v>9.4266259969999992E-3</v>
      </c>
      <c r="P630" s="1">
        <v>0.63173088243725695</v>
      </c>
    </row>
    <row r="631" spans="1:16" x14ac:dyDescent="0.2">
      <c r="A631" s="1">
        <v>620</v>
      </c>
      <c r="B631" s="1">
        <v>0.99915507256019231</v>
      </c>
      <c r="C631" s="1">
        <v>3.324782418727168</v>
      </c>
      <c r="D631" s="1">
        <v>0.26432649456902935</v>
      </c>
      <c r="E631" s="19">
        <v>8.8560364457874411E-3</v>
      </c>
      <c r="F631" s="19">
        <v>9.4274200000000006E-3</v>
      </c>
      <c r="G631" s="1">
        <v>0.63282466670602988</v>
      </c>
      <c r="H631" s="1">
        <f t="shared" si="9"/>
        <v>-8.1658054038364167E-2</v>
      </c>
      <c r="I631" s="20">
        <f>E631-N631</f>
        <v>-4.8399138385002427E-5</v>
      </c>
      <c r="K631" s="1">
        <v>1.0005364214116057</v>
      </c>
      <c r="L631" s="1">
        <v>3.8987515237956267</v>
      </c>
      <c r="M631" s="1">
        <v>0.22541259660396581</v>
      </c>
      <c r="N631" s="19">
        <v>8.9044355841724435E-3</v>
      </c>
      <c r="O631" s="19">
        <v>9.4263751930000004E-3</v>
      </c>
      <c r="P631" s="1">
        <v>0.63124418824077122</v>
      </c>
    </row>
    <row r="632" spans="1:16" x14ac:dyDescent="0.2">
      <c r="A632" s="1">
        <v>621</v>
      </c>
      <c r="B632" s="1">
        <v>0.99905007407023805</v>
      </c>
      <c r="C632" s="1">
        <v>3.3081477567498414</v>
      </c>
      <c r="D632" s="1">
        <v>0.26559721911213785</v>
      </c>
      <c r="E632" s="19">
        <v>8.8571138275662809E-3</v>
      </c>
      <c r="F632" s="19">
        <v>9.4271700000000003E-3</v>
      </c>
      <c r="G632" s="1">
        <v>0.63232255665585668</v>
      </c>
      <c r="H632" s="1">
        <f t="shared" si="9"/>
        <v>-8.0953151893259884E-2</v>
      </c>
      <c r="I632" s="20">
        <f>E632-N632</f>
        <v>-4.7864346975914907E-5</v>
      </c>
      <c r="K632" s="1">
        <v>1.0005016617170897</v>
      </c>
      <c r="L632" s="1">
        <v>3.8285364596274993</v>
      </c>
      <c r="M632" s="1">
        <v>0.22949760918808129</v>
      </c>
      <c r="N632" s="19">
        <v>8.9049781745421958E-3</v>
      </c>
      <c r="O632" s="19">
        <v>9.4261251989999992E-3</v>
      </c>
      <c r="P632" s="1">
        <v>0.63075824454197726</v>
      </c>
    </row>
    <row r="633" spans="1:16" x14ac:dyDescent="0.2">
      <c r="A633" s="1">
        <v>622</v>
      </c>
      <c r="B633" s="1">
        <v>0.99923339313266968</v>
      </c>
      <c r="C633" s="1">
        <v>3.2890125841186477</v>
      </c>
      <c r="D633" s="1">
        <v>0.26708152494314491</v>
      </c>
      <c r="E633" s="19">
        <v>8.8585054333043846E-3</v>
      </c>
      <c r="F633" s="19">
        <v>9.4269200000000001E-3</v>
      </c>
      <c r="G633" s="1">
        <v>0.63181044099481132</v>
      </c>
      <c r="H633" s="1">
        <f t="shared" si="9"/>
        <v>-7.9780963582960954E-2</v>
      </c>
      <c r="I633" s="20">
        <f>E633-N633</f>
        <v>-4.7056946396978327E-5</v>
      </c>
      <c r="K633" s="1">
        <v>1.0004255460563154</v>
      </c>
      <c r="L633" s="1">
        <v>3.8885486101490514</v>
      </c>
      <c r="M633" s="1">
        <v>0.22590829113989055</v>
      </c>
      <c r="N633" s="19">
        <v>8.9055623797013629E-3</v>
      </c>
      <c r="O633" s="19">
        <v>9.4258760100000005E-3</v>
      </c>
      <c r="P633" s="1">
        <v>0.63027125841764808</v>
      </c>
    </row>
    <row r="634" spans="1:16" x14ac:dyDescent="0.2">
      <c r="A634" s="1">
        <v>623</v>
      </c>
      <c r="B634" s="1">
        <v>0.99918069278450583</v>
      </c>
      <c r="C634" s="1">
        <v>3.2419204247593445</v>
      </c>
      <c r="D634" s="1">
        <v>0.27091292557955743</v>
      </c>
      <c r="E634" s="19">
        <v>8.8599897291794343E-3</v>
      </c>
      <c r="F634" s="19">
        <v>9.4266699999999998E-3</v>
      </c>
      <c r="G634" s="1">
        <v>0.6312955557701172</v>
      </c>
      <c r="H634" s="1">
        <f t="shared" si="9"/>
        <v>-7.8487194159231263E-2</v>
      </c>
      <c r="I634" s="20">
        <f>E634-N634</f>
        <v>-4.618202823354102E-5</v>
      </c>
      <c r="K634" s="1">
        <v>1.0003702086525392</v>
      </c>
      <c r="L634" s="1">
        <v>3.9066871076595966</v>
      </c>
      <c r="M634" s="1">
        <v>0.22481618502554823</v>
      </c>
      <c r="N634" s="19">
        <v>8.9061717574129753E-3</v>
      </c>
      <c r="O634" s="19">
        <v>9.4256276220000008E-3</v>
      </c>
      <c r="P634" s="1">
        <v>0.62978376390830215</v>
      </c>
    </row>
    <row r="635" spans="1:16" x14ac:dyDescent="0.2">
      <c r="A635" s="1">
        <v>624</v>
      </c>
      <c r="B635" s="1">
        <v>0.99925991416888504</v>
      </c>
      <c r="C635" s="1">
        <v>3.2882652902555942</v>
      </c>
      <c r="D635" s="1">
        <v>0.26703596709360911</v>
      </c>
      <c r="E635" s="19">
        <v>8.8614062858154794E-3</v>
      </c>
      <c r="F635" s="19">
        <v>9.4264199999999996E-3</v>
      </c>
      <c r="G635" s="1">
        <v>0.63078315599195289</v>
      </c>
      <c r="H635" s="1">
        <f t="shared" si="9"/>
        <v>-7.7420942496942757E-2</v>
      </c>
      <c r="I635" s="20">
        <f>E635-N635</f>
        <v>-4.5444855374261392E-5</v>
      </c>
      <c r="K635" s="1">
        <v>1.0004310017911859</v>
      </c>
      <c r="L635" s="1">
        <v>3.9038503874763988</v>
      </c>
      <c r="M635" s="1">
        <v>0.22492243669046572</v>
      </c>
      <c r="N635" s="19">
        <v>8.9068511411897408E-3</v>
      </c>
      <c r="O635" s="19">
        <v>9.4253800320000004E-3</v>
      </c>
      <c r="P635" s="1">
        <v>0.62929429171316553</v>
      </c>
    </row>
    <row r="636" spans="1:16" x14ac:dyDescent="0.2">
      <c r="A636" s="1">
        <v>625</v>
      </c>
      <c r="B636" s="1">
        <v>0.99919275121792217</v>
      </c>
      <c r="C636" s="1">
        <v>3.2866002899861888</v>
      </c>
      <c r="D636" s="1">
        <v>0.26711130060179833</v>
      </c>
      <c r="E636" s="19">
        <v>8.8629123926803246E-3</v>
      </c>
      <c r="F636" s="19">
        <v>9.4261699999999993E-3</v>
      </c>
      <c r="G636" s="1">
        <v>0.63026808368361176</v>
      </c>
      <c r="H636" s="1">
        <f t="shared" si="9"/>
        <v>-7.6229365248581954E-2</v>
      </c>
      <c r="I636" s="20">
        <f>E636-N636</f>
        <v>-4.4637944906762358E-5</v>
      </c>
      <c r="K636" s="1">
        <v>1.0004723766163468</v>
      </c>
      <c r="L636" s="1">
        <v>3.9692583491761333</v>
      </c>
      <c r="M636" s="1">
        <v>0.22117709246357942</v>
      </c>
      <c r="N636" s="19">
        <v>8.9075503375870869E-3</v>
      </c>
      <c r="O636" s="19">
        <v>9.4251332350000008E-3</v>
      </c>
      <c r="P636" s="1">
        <v>0.62880447987083898</v>
      </c>
    </row>
    <row r="637" spans="1:16" x14ac:dyDescent="0.2">
      <c r="A637" s="1">
        <v>626</v>
      </c>
      <c r="B637" s="1">
        <v>0.99910877063628722</v>
      </c>
      <c r="C637" s="1">
        <v>3.3224842078302861</v>
      </c>
      <c r="D637" s="1">
        <v>0.26418046321815181</v>
      </c>
      <c r="E637" s="19">
        <v>8.8645154471232897E-3</v>
      </c>
      <c r="F637" s="19">
        <v>9.4259200000000008E-3</v>
      </c>
      <c r="G637" s="1">
        <v>0.62975008895711793</v>
      </c>
      <c r="H637" s="1">
        <f t="shared" si="9"/>
        <v>-7.5158846739338162E-2</v>
      </c>
      <c r="I637" s="20">
        <f>E637-N637</f>
        <v>-4.3905907711505252E-5</v>
      </c>
      <c r="K637" s="1">
        <v>1.0004780366114197</v>
      </c>
      <c r="L637" s="1">
        <v>3.9474209392217561</v>
      </c>
      <c r="M637" s="1">
        <v>0.22235138172090746</v>
      </c>
      <c r="N637" s="19">
        <v>8.9084213548347949E-3</v>
      </c>
      <c r="O637" s="19">
        <v>9.4248872280000007E-3</v>
      </c>
      <c r="P637" s="1">
        <v>0.62830934429118812</v>
      </c>
    </row>
    <row r="638" spans="1:16" x14ac:dyDescent="0.2">
      <c r="A638" s="1">
        <v>627</v>
      </c>
      <c r="B638" s="1">
        <v>0.99902336313663342</v>
      </c>
      <c r="C638" s="1">
        <v>3.318816144955246</v>
      </c>
      <c r="D638" s="1">
        <v>0.26440795340875789</v>
      </c>
      <c r="E638" s="19">
        <v>8.8662242033035812E-3</v>
      </c>
      <c r="F638" s="19">
        <v>9.4256800000000005E-3</v>
      </c>
      <c r="G638" s="1">
        <v>0.62922887664857852</v>
      </c>
      <c r="H638" s="1">
        <f t="shared" si="9"/>
        <v>-7.4240188410291758E-2</v>
      </c>
      <c r="I638" s="20">
        <f>E638-N638</f>
        <v>-4.326618809087808E-5</v>
      </c>
      <c r="K638" s="1">
        <v>1.00047971905483</v>
      </c>
      <c r="L638" s="1">
        <v>3.8856705925337578</v>
      </c>
      <c r="M638" s="1">
        <v>0.22583667537837429</v>
      </c>
      <c r="N638" s="19">
        <v>8.9094903913944593E-3</v>
      </c>
      <c r="O638" s="19">
        <v>9.4246420080000004E-3</v>
      </c>
      <c r="P638" s="1">
        <v>0.62780801179862078</v>
      </c>
    </row>
    <row r="639" spans="1:16" x14ac:dyDescent="0.2">
      <c r="A639" s="1">
        <v>628</v>
      </c>
      <c r="B639" s="1">
        <v>0.99899176090722352</v>
      </c>
      <c r="C639" s="1">
        <v>3.4293970240598184</v>
      </c>
      <c r="D639" s="1">
        <v>0.25584440628809596</v>
      </c>
      <c r="E639" s="19">
        <v>8.8678339946830047E-3</v>
      </c>
      <c r="F639" s="19">
        <v>9.4254300000000003E-3</v>
      </c>
      <c r="G639" s="1">
        <v>0.62871117285567912</v>
      </c>
      <c r="H639" s="1">
        <f t="shared" si="9"/>
        <v>-7.3496590320834623E-2</v>
      </c>
      <c r="I639" s="20">
        <f>E639-N639</f>
        <v>-4.273116428300805E-5</v>
      </c>
      <c r="K639" s="1">
        <v>1.0003154884787353</v>
      </c>
      <c r="L639" s="1">
        <v>3.8706028171469127</v>
      </c>
      <c r="M639" s="1">
        <v>0.22667146781748332</v>
      </c>
      <c r="N639" s="19">
        <v>8.9105651589660127E-3</v>
      </c>
      <c r="O639" s="19">
        <v>9.4243975689999992E-3</v>
      </c>
      <c r="P639" s="1">
        <v>0.62730677941005808</v>
      </c>
    </row>
    <row r="640" spans="1:16" x14ac:dyDescent="0.2">
      <c r="A640" s="1">
        <v>629</v>
      </c>
      <c r="B640" s="1">
        <v>0.99910174632120907</v>
      </c>
      <c r="C640" s="1">
        <v>3.4148437914137708</v>
      </c>
      <c r="D640" s="1">
        <v>0.25686700120081296</v>
      </c>
      <c r="E640" s="19">
        <v>8.8695403154635758E-3</v>
      </c>
      <c r="F640" s="19">
        <v>9.42519E-3</v>
      </c>
      <c r="G640" s="1">
        <v>0.62819054796997997</v>
      </c>
      <c r="H640" s="1">
        <f t="shared" si="9"/>
        <v>-7.276565652777188E-2</v>
      </c>
      <c r="I640" s="20">
        <f>E640-N640</f>
        <v>-4.2206230287228017E-5</v>
      </c>
      <c r="K640" s="1">
        <v>1.0002048204804941</v>
      </c>
      <c r="L640" s="1">
        <v>3.8219859998864836</v>
      </c>
      <c r="M640" s="1">
        <v>0.22950555798846398</v>
      </c>
      <c r="N640" s="19">
        <v>8.9117465457508038E-3</v>
      </c>
      <c r="O640" s="19">
        <v>9.4241539089999996E-3</v>
      </c>
      <c r="P640" s="1">
        <v>0.62680233194719259</v>
      </c>
    </row>
    <row r="641" spans="1:16" x14ac:dyDescent="0.2">
      <c r="A641" s="1">
        <v>630</v>
      </c>
      <c r="B641" s="1">
        <v>0.99916755402654434</v>
      </c>
      <c r="C641" s="1">
        <v>3.4479157035419989</v>
      </c>
      <c r="D641" s="1">
        <v>0.25434634496958347</v>
      </c>
      <c r="E641" s="19">
        <v>8.8712410164471841E-3</v>
      </c>
      <c r="F641" s="19">
        <v>9.4249399999999997E-3</v>
      </c>
      <c r="G641" s="1">
        <v>0.6276703608910611</v>
      </c>
      <c r="H641" s="1">
        <f t="shared" si="9"/>
        <v>-7.2359929063953721E-2</v>
      </c>
      <c r="I641" s="20">
        <f>E641-N641</f>
        <v>-4.1872141105497168E-5</v>
      </c>
      <c r="K641" s="1">
        <v>1.0001157058036128</v>
      </c>
      <c r="L641" s="1">
        <v>3.8455231187966752</v>
      </c>
      <c r="M641" s="1">
        <v>0.22805267973981824</v>
      </c>
      <c r="N641" s="19">
        <v>8.9131131575526813E-3</v>
      </c>
      <c r="O641" s="19">
        <v>9.423911024E-3</v>
      </c>
      <c r="P641" s="1">
        <v>0.62629207652793817</v>
      </c>
    </row>
    <row r="642" spans="1:16" x14ac:dyDescent="0.2">
      <c r="A642" s="1">
        <v>631</v>
      </c>
      <c r="B642" s="1">
        <v>0.99937651896719204</v>
      </c>
      <c r="C642" s="1">
        <v>3.464653074273663</v>
      </c>
      <c r="D642" s="1">
        <v>0.25307651640004131</v>
      </c>
      <c r="E642" s="19">
        <v>8.8729203631259263E-3</v>
      </c>
      <c r="F642" s="19">
        <v>9.4246999999999994E-3</v>
      </c>
      <c r="G642" s="1">
        <v>0.62715113101404263</v>
      </c>
      <c r="H642" s="1">
        <f t="shared" si="9"/>
        <v>-7.1941598993846251E-2</v>
      </c>
      <c r="I642" s="20">
        <f>E642-N642</f>
        <v>-4.1532281882954852E-5</v>
      </c>
      <c r="K642" s="1">
        <v>1.0002002025410555</v>
      </c>
      <c r="L642" s="1">
        <v>3.9038715145050533</v>
      </c>
      <c r="M642" s="1">
        <v>0.22459301401577647</v>
      </c>
      <c r="N642" s="19">
        <v>8.9144526450088812E-3</v>
      </c>
      <c r="O642" s="19">
        <v>9.4236689100000003E-3</v>
      </c>
      <c r="P642" s="1">
        <v>0.62578298650068898</v>
      </c>
    </row>
    <row r="643" spans="1:16" x14ac:dyDescent="0.2">
      <c r="A643" s="1">
        <v>632</v>
      </c>
      <c r="B643" s="1">
        <v>0.99950279135334785</v>
      </c>
      <c r="C643" s="1">
        <v>3.5397665460987446</v>
      </c>
      <c r="D643" s="1">
        <v>0.24766022555948608</v>
      </c>
      <c r="E643" s="19">
        <v>8.8746448692733678E-3</v>
      </c>
      <c r="F643" s="19">
        <v>9.4244600000000008E-3</v>
      </c>
      <c r="G643" s="1">
        <v>0.62663066489319508</v>
      </c>
      <c r="H643" s="1">
        <f t="shared" si="9"/>
        <v>-7.1566839493716047E-2</v>
      </c>
      <c r="I643" s="20">
        <f>E643-N643</f>
        <v>-4.1219227228198388E-5</v>
      </c>
      <c r="K643" s="1">
        <v>1.000239292082872</v>
      </c>
      <c r="L643" s="1">
        <v>3.8605492045597591</v>
      </c>
      <c r="M643" s="1">
        <v>0.22706926876063507</v>
      </c>
      <c r="N643" s="19">
        <v>8.9158640965015662E-3</v>
      </c>
      <c r="O643" s="19">
        <v>9.4234275630000006E-3</v>
      </c>
      <c r="P643" s="1">
        <v>0.62527180085217515</v>
      </c>
    </row>
    <row r="644" spans="1:16" x14ac:dyDescent="0.2">
      <c r="A644" s="1">
        <v>633</v>
      </c>
      <c r="B644" s="1">
        <v>0.99932691156395836</v>
      </c>
      <c r="C644" s="1">
        <v>3.4894332252458153</v>
      </c>
      <c r="D644" s="1">
        <v>0.2511659809113379</v>
      </c>
      <c r="E644" s="19">
        <v>8.8765892540447217E-3</v>
      </c>
      <c r="F644" s="19">
        <v>9.4242100000000006E-3</v>
      </c>
      <c r="G644" s="1">
        <v>0.62610318878551663</v>
      </c>
      <c r="H644" s="1">
        <f t="shared" si="9"/>
        <v>-7.0998861803567598E-2</v>
      </c>
      <c r="I644" s="20">
        <f>E644-N644</f>
        <v>-4.0796956790635497E-5</v>
      </c>
      <c r="K644" s="1">
        <v>1.0002595502112459</v>
      </c>
      <c r="L644" s="1">
        <v>3.8450746735487886</v>
      </c>
      <c r="M644" s="1">
        <v>0.22794101837096903</v>
      </c>
      <c r="N644" s="19">
        <v>8.9173862108353572E-3</v>
      </c>
      <c r="O644" s="19">
        <v>9.4231869799999996E-3</v>
      </c>
      <c r="P644" s="1">
        <v>0.62475723879871914</v>
      </c>
    </row>
    <row r="645" spans="1:16" x14ac:dyDescent="0.2">
      <c r="A645" s="1">
        <v>634</v>
      </c>
      <c r="B645" s="1">
        <v>0.99945063107631593</v>
      </c>
      <c r="C645" s="1">
        <v>3.5141518043059428</v>
      </c>
      <c r="D645" s="1">
        <v>0.2493675352470712</v>
      </c>
      <c r="E645" s="19">
        <v>8.8786237415991124E-3</v>
      </c>
      <c r="F645" s="19">
        <v>9.4239700000000003E-3</v>
      </c>
      <c r="G645" s="1">
        <v>0.62557297595861405</v>
      </c>
      <c r="H645" s="1">
        <f t="shared" si="9"/>
        <v>-7.0132427660309624E-2</v>
      </c>
      <c r="I645" s="20">
        <f>E645-N645</f>
        <v>-4.0205553972319161E-5</v>
      </c>
      <c r="K645" s="1">
        <v>1.0000880196632871</v>
      </c>
      <c r="L645" s="1">
        <v>3.8397855095270148</v>
      </c>
      <c r="M645" s="1">
        <v>0.22820629821942076</v>
      </c>
      <c r="N645" s="19">
        <v>8.9188292955714316E-3</v>
      </c>
      <c r="O645" s="19">
        <v>9.4229471570000008E-3</v>
      </c>
      <c r="P645" s="1">
        <v>0.62424554830573753</v>
      </c>
    </row>
    <row r="646" spans="1:16" x14ac:dyDescent="0.2">
      <c r="A646" s="1">
        <v>635</v>
      </c>
      <c r="B646" s="1">
        <v>0.99955433849004172</v>
      </c>
      <c r="C646" s="1">
        <v>3.4509937441741121</v>
      </c>
      <c r="D646" s="1">
        <v>0.25386389136791371</v>
      </c>
      <c r="E646" s="19">
        <v>8.8805989234724426E-3</v>
      </c>
      <c r="F646" s="19">
        <v>9.42373E-3</v>
      </c>
      <c r="G646" s="1">
        <v>0.62504496174966051</v>
      </c>
      <c r="H646" s="1">
        <f t="shared" si="9"/>
        <v>-6.9445147835630189E-2</v>
      </c>
      <c r="I646" s="20">
        <f>E646-N646</f>
        <v>-3.9719339035135595E-5</v>
      </c>
      <c r="K646" s="1">
        <v>1.0001231194018909</v>
      </c>
      <c r="L646" s="1">
        <v>3.790801087534676</v>
      </c>
      <c r="M646" s="1">
        <v>0.23109927683321374</v>
      </c>
      <c r="N646" s="19">
        <v>8.9203182625075782E-3</v>
      </c>
      <c r="O646" s="19">
        <v>9.4227080909999993E-3</v>
      </c>
      <c r="P646" s="1">
        <v>0.6237326124992234</v>
      </c>
    </row>
    <row r="647" spans="1:16" x14ac:dyDescent="0.2">
      <c r="A647" s="1">
        <v>636</v>
      </c>
      <c r="B647" s="1">
        <v>0.99933695567113079</v>
      </c>
      <c r="C647" s="1">
        <v>3.4358329240635022</v>
      </c>
      <c r="D647" s="1">
        <v>0.25492952628716353</v>
      </c>
      <c r="E647" s="19">
        <v>8.8824849593979668E-3</v>
      </c>
      <c r="F647" s="19">
        <v>9.4234899999999996E-3</v>
      </c>
      <c r="G647" s="1">
        <v>0.62452013830666753</v>
      </c>
      <c r="H647" s="1">
        <f t="shared" si="9"/>
        <v>-6.9053881074757184E-2</v>
      </c>
      <c r="I647" s="20">
        <f>E647-N647</f>
        <v>-3.9404273356455355E-5</v>
      </c>
      <c r="K647" s="1">
        <v>0.99988756188762196</v>
      </c>
      <c r="L647" s="1">
        <v>3.7350948800379227</v>
      </c>
      <c r="M647" s="1">
        <v>0.23449698215463177</v>
      </c>
      <c r="N647" s="19">
        <v>8.9218892327544222E-3</v>
      </c>
      <c r="O647" s="19">
        <v>9.4224697780000005E-3</v>
      </c>
      <c r="P647" s="1">
        <v>0.62321723489016267</v>
      </c>
    </row>
    <row r="648" spans="1:16" x14ac:dyDescent="0.2">
      <c r="A648" s="1">
        <v>637</v>
      </c>
      <c r="B648" s="1">
        <v>0.99936005277127438</v>
      </c>
      <c r="C648" s="1">
        <v>3.4769013645540006</v>
      </c>
      <c r="D648" s="1">
        <v>0.25185967740726833</v>
      </c>
      <c r="E648" s="19">
        <v>8.884254472841243E-3</v>
      </c>
      <c r="F648" s="19">
        <v>9.4232499999999993E-3</v>
      </c>
      <c r="G648" s="1">
        <v>0.62399941906420775</v>
      </c>
      <c r="H648" s="1">
        <f t="shared" si="9"/>
        <v>-6.9184953277958192E-2</v>
      </c>
      <c r="I648" s="20">
        <f>E648-N648</f>
        <v>-3.9388100522681768E-5</v>
      </c>
      <c r="K648" s="1">
        <v>0.99990520239943159</v>
      </c>
      <c r="L648" s="1">
        <v>3.6299931884449856</v>
      </c>
      <c r="M648" s="1">
        <v>0.24123656229331747</v>
      </c>
      <c r="N648" s="19">
        <v>8.9236425733639248E-3</v>
      </c>
      <c r="O648" s="19">
        <v>9.4222322149999996E-3</v>
      </c>
      <c r="P648" s="1">
        <v>0.62269609184390085</v>
      </c>
    </row>
    <row r="649" spans="1:16" x14ac:dyDescent="0.2">
      <c r="A649" s="1">
        <v>638</v>
      </c>
      <c r="B649" s="1">
        <v>0.99939244150392659</v>
      </c>
      <c r="C649" s="1">
        <v>3.5280872904090641</v>
      </c>
      <c r="D649" s="1">
        <v>0.24816429572021725</v>
      </c>
      <c r="E649" s="19">
        <v>8.8860161758505495E-3</v>
      </c>
      <c r="F649" s="19">
        <v>9.4230200000000007E-3</v>
      </c>
      <c r="G649" s="1">
        <v>0.62347920901962739</v>
      </c>
      <c r="H649" s="1">
        <f t="shared" si="9"/>
        <v>-6.9677728820928223E-2</v>
      </c>
      <c r="I649" s="20">
        <f>E649-N649</f>
        <v>-3.9577648647521821E-5</v>
      </c>
      <c r="K649" s="1">
        <v>0.99977293411706847</v>
      </c>
      <c r="L649" s="1">
        <v>3.5703884052015455</v>
      </c>
      <c r="M649" s="1">
        <v>0.24521290880869892</v>
      </c>
      <c r="N649" s="19">
        <v>8.9255938244980713E-3</v>
      </c>
      <c r="O649" s="19">
        <v>9.4219953969999996E-3</v>
      </c>
      <c r="P649" s="1">
        <v>0.62216865612644379</v>
      </c>
    </row>
    <row r="650" spans="1:16" x14ac:dyDescent="0.2">
      <c r="A650" s="1">
        <v>639</v>
      </c>
      <c r="B650" s="1">
        <v>0.99922302414754594</v>
      </c>
      <c r="C650" s="1">
        <v>3.57619974656963</v>
      </c>
      <c r="D650" s="1">
        <v>0.2447753285578862</v>
      </c>
      <c r="E650" s="19">
        <v>8.8878538929767319E-3</v>
      </c>
      <c r="F650" s="19">
        <v>9.4227800000000004E-3</v>
      </c>
      <c r="G650" s="1">
        <v>0.62295672816809788</v>
      </c>
      <c r="H650" s="1">
        <f t="shared" si="9"/>
        <v>-7.0425797196135176E-2</v>
      </c>
      <c r="I650" s="20">
        <f>E650-N650</f>
        <v>-3.9911319235084661E-5</v>
      </c>
      <c r="K650" s="1">
        <v>0.99981783752985298</v>
      </c>
      <c r="L650" s="1">
        <v>3.6037101670509508</v>
      </c>
      <c r="M650" s="1">
        <v>0.24289533764822724</v>
      </c>
      <c r="N650" s="19">
        <v>8.9277652122118165E-3</v>
      </c>
      <c r="O650" s="19">
        <v>9.4217593219999996E-3</v>
      </c>
      <c r="P650" s="1">
        <v>0.62163417798601084</v>
      </c>
    </row>
    <row r="651" spans="1:16" x14ac:dyDescent="0.2">
      <c r="A651" s="1">
        <v>640</v>
      </c>
      <c r="B651" s="1">
        <v>0.99923966926644137</v>
      </c>
      <c r="C651" s="1">
        <v>3.5533107359536276</v>
      </c>
      <c r="D651" s="1">
        <v>0.24629491424116187</v>
      </c>
      <c r="E651" s="19">
        <v>8.8895876943972142E-3</v>
      </c>
      <c r="F651" s="19">
        <v>9.4225400000000001E-3</v>
      </c>
      <c r="G651" s="1">
        <v>0.62243794416477016</v>
      </c>
      <c r="H651" s="1">
        <f t="shared" si="9"/>
        <v>-7.1295258720560639E-2</v>
      </c>
      <c r="I651" s="20">
        <f>E651-N651</f>
        <v>-4.031195963828671E-5</v>
      </c>
      <c r="K651" s="1">
        <v>0.99970010360140837</v>
      </c>
      <c r="L651" s="1">
        <v>3.6220964422899207</v>
      </c>
      <c r="M651" s="1">
        <v>0.24162234476107353</v>
      </c>
      <c r="N651" s="19">
        <v>8.9298996540355009E-3</v>
      </c>
      <c r="O651" s="19">
        <v>9.4215239849999993E-3</v>
      </c>
      <c r="P651" s="1">
        <v>0.62110115806375965</v>
      </c>
    </row>
    <row r="652" spans="1:16" x14ac:dyDescent="0.2">
      <c r="A652" s="1">
        <v>641</v>
      </c>
      <c r="B652" s="1">
        <v>0.99927130984816248</v>
      </c>
      <c r="C652" s="1">
        <v>3.5234514089384126</v>
      </c>
      <c r="D652" s="1">
        <v>0.24833335983379903</v>
      </c>
      <c r="E652" s="19">
        <v>8.8912924086402677E-3</v>
      </c>
      <c r="F652" s="19">
        <v>9.4223099999999997E-3</v>
      </c>
      <c r="G652" s="1">
        <v>0.62192037878050566</v>
      </c>
      <c r="H652" s="1">
        <f t="shared" si="9"/>
        <v>-7.224230053254431E-2</v>
      </c>
      <c r="I652" s="20">
        <f>E652-N652</f>
        <v>-4.0754526360245805E-5</v>
      </c>
      <c r="K652" s="1">
        <v>0.99977054072384253</v>
      </c>
      <c r="L652" s="1">
        <v>3.6434248549216397</v>
      </c>
      <c r="M652" s="1">
        <v>0.24015689401530854</v>
      </c>
      <c r="N652" s="19">
        <v>8.9320469350005136E-3</v>
      </c>
      <c r="O652" s="19">
        <v>9.421289385E-3</v>
      </c>
      <c r="P652" s="1">
        <v>0.6205679488173379</v>
      </c>
    </row>
    <row r="653" spans="1:16" x14ac:dyDescent="0.2">
      <c r="A653" s="1">
        <v>642</v>
      </c>
      <c r="B653" s="1">
        <v>0.9993376431491755</v>
      </c>
      <c r="C653" s="1">
        <v>3.4674972078476505</v>
      </c>
      <c r="D653" s="1">
        <v>0.25228532578301138</v>
      </c>
      <c r="E653" s="19">
        <v>8.8930996917607145E-3</v>
      </c>
      <c r="F653" s="19">
        <v>9.4220699999999994E-3</v>
      </c>
      <c r="G653" s="1">
        <v>0.621399657306689</v>
      </c>
      <c r="H653" s="1">
        <f t="shared" ref="H653:H716" si="10">(P653-G653)*A653/12</f>
        <v>-7.2419539131505895E-2</v>
      </c>
      <c r="I653" s="20">
        <f>E653-N653</f>
        <v>-4.076154524108519E-5</v>
      </c>
      <c r="K653" s="1">
        <v>0.99969486028688148</v>
      </c>
      <c r="L653" s="1">
        <v>3.7514611689385622</v>
      </c>
      <c r="M653" s="1">
        <v>0.23319093359450127</v>
      </c>
      <c r="N653" s="19">
        <v>8.9338612370017997E-3</v>
      </c>
      <c r="O653" s="19">
        <v>9.4210555160000008E-3</v>
      </c>
      <c r="P653" s="1">
        <v>0.62004602106124029</v>
      </c>
    </row>
    <row r="654" spans="1:16" x14ac:dyDescent="0.2">
      <c r="A654" s="1">
        <v>643</v>
      </c>
      <c r="B654" s="1">
        <v>0.99925491758107077</v>
      </c>
      <c r="C654" s="1">
        <v>3.4555662524145077</v>
      </c>
      <c r="D654" s="1">
        <v>0.25311219535418217</v>
      </c>
      <c r="E654" s="19">
        <v>8.8949081776093595E-3</v>
      </c>
      <c r="F654" s="19">
        <v>9.4218400000000008E-3</v>
      </c>
      <c r="G654" s="1">
        <v>0.6208791447917964</v>
      </c>
      <c r="H654" s="1">
        <f t="shared" si="10"/>
        <v>-7.2425988634499505E-2</v>
      </c>
      <c r="I654" s="20">
        <f>E654-N654</f>
        <v>-4.0672518392370974E-5</v>
      </c>
      <c r="K654" s="1">
        <v>0.99981161666800911</v>
      </c>
      <c r="L654" s="1">
        <v>3.7824471730327662</v>
      </c>
      <c r="M654" s="1">
        <v>0.2312333748605177</v>
      </c>
      <c r="N654" s="19">
        <v>8.9355806960017305E-3</v>
      </c>
      <c r="O654" s="19">
        <v>9.4208223760000008E-3</v>
      </c>
      <c r="P654" s="1">
        <v>0.61952749337093482</v>
      </c>
    </row>
    <row r="655" spans="1:16" x14ac:dyDescent="0.2">
      <c r="A655" s="1">
        <v>644</v>
      </c>
      <c r="B655" s="1">
        <v>0.99913737469836816</v>
      </c>
      <c r="C655" s="1">
        <v>3.480934889637016</v>
      </c>
      <c r="D655" s="1">
        <v>0.25121765899923326</v>
      </c>
      <c r="E655" s="19">
        <v>8.896566497553866E-3</v>
      </c>
      <c r="F655" s="19">
        <v>9.4216000000000005E-3</v>
      </c>
      <c r="G655" s="1">
        <v>0.6203638807292231</v>
      </c>
      <c r="H655" s="1">
        <f t="shared" si="10"/>
        <v>-7.2695310346853906E-2</v>
      </c>
      <c r="I655" s="20">
        <f>E655-N655</f>
        <v>-4.0731014137448604E-5</v>
      </c>
      <c r="K655" s="1">
        <v>0.99975737874565329</v>
      </c>
      <c r="L655" s="1">
        <v>3.8673339325703204</v>
      </c>
      <c r="M655" s="1">
        <v>0.22610468712523282</v>
      </c>
      <c r="N655" s="19">
        <v>8.9372975116913146E-3</v>
      </c>
      <c r="O655" s="19">
        <v>9.4205899610000001E-3</v>
      </c>
      <c r="P655" s="1">
        <v>0.61900930972897117</v>
      </c>
    </row>
    <row r="656" spans="1:16" x14ac:dyDescent="0.2">
      <c r="A656" s="1">
        <v>645</v>
      </c>
      <c r="B656" s="1">
        <v>0.99922099667425923</v>
      </c>
      <c r="C656" s="1">
        <v>3.4623811702466947</v>
      </c>
      <c r="D656" s="1">
        <v>0.25250599337071822</v>
      </c>
      <c r="E656" s="19">
        <v>8.8981806593854892E-3</v>
      </c>
      <c r="F656" s="19">
        <v>9.4213700000000001E-3</v>
      </c>
      <c r="G656" s="1">
        <v>0.61985034417553408</v>
      </c>
      <c r="H656" s="1">
        <f t="shared" si="10"/>
        <v>-7.2915011214856607E-2</v>
      </c>
      <c r="I656" s="20">
        <f>E656-N656</f>
        <v>-4.0761375346434758E-5</v>
      </c>
      <c r="K656" s="1">
        <v>0.99948207956719759</v>
      </c>
      <c r="L656" s="1">
        <v>3.8951794493839014</v>
      </c>
      <c r="M656" s="1">
        <v>0.22444533273623699</v>
      </c>
      <c r="N656" s="19">
        <v>8.938942034731924E-3</v>
      </c>
      <c r="O656" s="19">
        <v>9.4203582680000009E-3</v>
      </c>
      <c r="P656" s="1">
        <v>0.61849378582735071</v>
      </c>
    </row>
    <row r="657" spans="1:16" x14ac:dyDescent="0.2">
      <c r="A657" s="1">
        <v>646</v>
      </c>
      <c r="B657" s="1">
        <v>0.99926213029515087</v>
      </c>
      <c r="C657" s="1">
        <v>3.5019219908088695</v>
      </c>
      <c r="D657" s="1">
        <v>0.24961050430053472</v>
      </c>
      <c r="E657" s="19">
        <v>8.8998061245414567E-3</v>
      </c>
      <c r="F657" s="19">
        <v>9.4211399999999997E-3</v>
      </c>
      <c r="G657" s="1">
        <v>0.61933668924467244</v>
      </c>
      <c r="H657" s="1">
        <f t="shared" si="10"/>
        <v>-7.3427701351720207E-2</v>
      </c>
      <c r="I657" s="20">
        <f>E657-N657</f>
        <v>-4.0955218708251667E-5</v>
      </c>
      <c r="K657" s="1">
        <v>0.99920412009405479</v>
      </c>
      <c r="L657" s="1">
        <v>3.9264231066103492</v>
      </c>
      <c r="M657" s="1">
        <v>0.22261631832466255</v>
      </c>
      <c r="N657" s="19">
        <v>8.9407613432497084E-3</v>
      </c>
      <c r="O657" s="19">
        <v>9.4201272929999996E-3</v>
      </c>
      <c r="P657" s="1">
        <v>0.61797270717621944</v>
      </c>
    </row>
    <row r="658" spans="1:16" x14ac:dyDescent="0.2">
      <c r="A658" s="1">
        <v>647</v>
      </c>
      <c r="B658" s="1">
        <v>0.99915139648229145</v>
      </c>
      <c r="C658" s="1">
        <v>3.4753346568195127</v>
      </c>
      <c r="D658" s="1">
        <v>0.25145691908596168</v>
      </c>
      <c r="E658" s="19">
        <v>8.9015179120120278E-3</v>
      </c>
      <c r="F658" s="19">
        <v>9.4209099999999994E-3</v>
      </c>
      <c r="G658" s="1">
        <v>0.61882041219345041</v>
      </c>
      <c r="H658" s="1">
        <f t="shared" si="10"/>
        <v>-7.3931031505932401E-2</v>
      </c>
      <c r="I658" s="20">
        <f>E658-N658</f>
        <v>-4.1143162858752955E-5</v>
      </c>
      <c r="K658" s="1">
        <v>0.99912540276922757</v>
      </c>
      <c r="L658" s="1">
        <v>3.8959901895583426</v>
      </c>
      <c r="M658" s="1">
        <v>0.2243092288795541</v>
      </c>
      <c r="N658" s="19">
        <v>8.9426610748707808E-3</v>
      </c>
      <c r="O658" s="19">
        <v>9.4198970340000007E-3</v>
      </c>
      <c r="P658" s="1">
        <v>0.61744920295377315</v>
      </c>
    </row>
    <row r="659" spans="1:16" x14ac:dyDescent="0.2">
      <c r="A659" s="1">
        <v>648</v>
      </c>
      <c r="B659" s="1">
        <v>0.99908514983371466</v>
      </c>
      <c r="C659" s="1">
        <v>3.4972700735280591</v>
      </c>
      <c r="D659" s="1">
        <v>0.24983872888421044</v>
      </c>
      <c r="E659" s="19">
        <v>8.903214265500517E-3</v>
      </c>
      <c r="F659" s="19">
        <v>9.4206800000000007E-3</v>
      </c>
      <c r="G659" s="1">
        <v>0.61830490442487751</v>
      </c>
      <c r="H659" s="1">
        <f t="shared" si="10"/>
        <v>-7.4455966932054585E-2</v>
      </c>
      <c r="I659" s="20">
        <f>E659-N659</f>
        <v>-4.1342238103026646E-5</v>
      </c>
      <c r="K659" s="1">
        <v>0.9990574850874766</v>
      </c>
      <c r="L659" s="1">
        <v>3.7564264015177202</v>
      </c>
      <c r="M659" s="1">
        <v>0.23258638609811128</v>
      </c>
      <c r="N659" s="19">
        <v>8.9445565036035436E-3</v>
      </c>
      <c r="O659" s="19">
        <v>9.4196674860000003E-3</v>
      </c>
      <c r="P659" s="1">
        <v>0.61692609022243206</v>
      </c>
    </row>
    <row r="660" spans="1:16" x14ac:dyDescent="0.2">
      <c r="A660" s="1">
        <v>649</v>
      </c>
      <c r="B660" s="1">
        <v>0.99908050728215458</v>
      </c>
      <c r="C660" s="1">
        <v>3.5342200210911505</v>
      </c>
      <c r="D660" s="1">
        <v>0.24717207016723353</v>
      </c>
      <c r="E660" s="19">
        <v>8.9049999095818563E-3</v>
      </c>
      <c r="F660" s="19">
        <v>9.4204500000000004E-3</v>
      </c>
      <c r="G660" s="1">
        <v>0.61778666805348303</v>
      </c>
      <c r="H660" s="1">
        <f t="shared" si="10"/>
        <v>-7.4893032738404933E-2</v>
      </c>
      <c r="I660" s="20">
        <f>E660-N660</f>
        <v>-4.1491885951204163E-5</v>
      </c>
      <c r="K660" s="1">
        <v>0.99913698509432247</v>
      </c>
      <c r="L660" s="1">
        <v>3.6966856199675853</v>
      </c>
      <c r="M660" s="1">
        <v>0.23629813159598501</v>
      </c>
      <c r="N660" s="19">
        <v>8.9464917955330604E-3</v>
      </c>
      <c r="O660" s="19">
        <v>9.4194386469999992E-3</v>
      </c>
      <c r="P660" s="1">
        <v>0.61640189703212578</v>
      </c>
    </row>
    <row r="661" spans="1:16" x14ac:dyDescent="0.2">
      <c r="A661" s="1">
        <v>650</v>
      </c>
      <c r="B661" s="1">
        <v>0.99909679130765994</v>
      </c>
      <c r="C661" s="1">
        <v>3.5272900963034459</v>
      </c>
      <c r="D661" s="1">
        <v>0.24760485320967099</v>
      </c>
      <c r="E661" s="19">
        <v>8.9065958068126443E-3</v>
      </c>
      <c r="F661" s="19">
        <v>9.42022E-3</v>
      </c>
      <c r="G661" s="1">
        <v>0.61727502663360645</v>
      </c>
      <c r="H661" s="1">
        <f t="shared" si="10"/>
        <v>-7.5479252296144217E-2</v>
      </c>
      <c r="I661" s="20">
        <f>E661-N661</f>
        <v>-4.1722980077367466E-5</v>
      </c>
      <c r="K661" s="1">
        <v>0.99917728341377676</v>
      </c>
      <c r="L661" s="1">
        <v>3.6813031844201229</v>
      </c>
      <c r="M661" s="1">
        <v>0.23723353357716506</v>
      </c>
      <c r="N661" s="19">
        <v>8.9483187868900117E-3</v>
      </c>
      <c r="O661" s="19">
        <v>9.4192105129999992E-3</v>
      </c>
      <c r="P661" s="1">
        <v>0.61588156351429302</v>
      </c>
    </row>
    <row r="662" spans="1:16" x14ac:dyDescent="0.2">
      <c r="A662" s="1">
        <v>651</v>
      </c>
      <c r="B662" s="1">
        <v>0.99915963488672388</v>
      </c>
      <c r="C662" s="1">
        <v>3.5734359129960001</v>
      </c>
      <c r="D662" s="1">
        <v>0.24434180116993198</v>
      </c>
      <c r="E662" s="19">
        <v>8.9081841972082736E-3</v>
      </c>
      <c r="F662" s="19">
        <v>9.4199899999999996E-3</v>
      </c>
      <c r="G662" s="1">
        <v>0.61676389607315962</v>
      </c>
      <c r="H662" s="1">
        <f t="shared" si="10"/>
        <v>-7.6040817688827061E-2</v>
      </c>
      <c r="I662" s="20">
        <f>E662-N662</f>
        <v>-4.1939409620082163E-5</v>
      </c>
      <c r="K662" s="1">
        <v>0.99901019483161457</v>
      </c>
      <c r="L662" s="1">
        <v>3.6516272431934036</v>
      </c>
      <c r="M662" s="1">
        <v>0.23911601539255506</v>
      </c>
      <c r="N662" s="19">
        <v>8.9501236068283557E-3</v>
      </c>
      <c r="O662" s="19">
        <v>9.4189830810000007E-3</v>
      </c>
      <c r="P662" s="1">
        <v>0.6153622220143794</v>
      </c>
    </row>
    <row r="663" spans="1:16" x14ac:dyDescent="0.2">
      <c r="A663" s="1">
        <v>652</v>
      </c>
      <c r="B663" s="1">
        <v>0.99919512838054503</v>
      </c>
      <c r="C663" s="1">
        <v>3.5421614839312139</v>
      </c>
      <c r="D663" s="1">
        <v>0.24646159161379039</v>
      </c>
      <c r="E663" s="19">
        <v>8.9097516297163958E-3</v>
      </c>
      <c r="F663" s="19">
        <v>9.4197599999999992E-3</v>
      </c>
      <c r="G663" s="1">
        <v>0.61625372734433304</v>
      </c>
      <c r="H663" s="1">
        <f t="shared" si="10"/>
        <v>-7.6567810341380674E-2</v>
      </c>
      <c r="I663" s="20">
        <f>E663-N663</f>
        <v>-4.2135776926462837E-5</v>
      </c>
      <c r="K663" s="1">
        <v>0.99892565431375535</v>
      </c>
      <c r="L663" s="1">
        <v>3.6597417669518566</v>
      </c>
      <c r="M663" s="1">
        <v>0.23853605419103868</v>
      </c>
      <c r="N663" s="19">
        <v>8.9518874066428587E-3</v>
      </c>
      <c r="O663" s="19">
        <v>9.4187563480000007E-3</v>
      </c>
      <c r="P663" s="1">
        <v>0.61484450384111744</v>
      </c>
    </row>
    <row r="664" spans="1:16" x14ac:dyDescent="0.2">
      <c r="A664" s="1">
        <v>653</v>
      </c>
      <c r="B664" s="1">
        <v>0.99913180277367697</v>
      </c>
      <c r="C664" s="1">
        <v>3.4938217402496576</v>
      </c>
      <c r="D664" s="1">
        <v>0.24980586753293885</v>
      </c>
      <c r="E664" s="19">
        <v>8.9114287322092315E-3</v>
      </c>
      <c r="F664" s="19">
        <v>9.4195300000000006E-3</v>
      </c>
      <c r="G664" s="1">
        <v>0.61574014508453534</v>
      </c>
      <c r="H664" s="1">
        <f t="shared" si="10"/>
        <v>-7.6989718054511533E-2</v>
      </c>
      <c r="I664" s="20">
        <f>E664-N664</f>
        <v>-4.2273754222568738E-5</v>
      </c>
      <c r="K664" s="1">
        <v>0.99895849985798102</v>
      </c>
      <c r="L664" s="1">
        <v>3.6866209668645995</v>
      </c>
      <c r="M664" s="1">
        <v>0.23674464839667181</v>
      </c>
      <c r="N664" s="19">
        <v>8.9537024864318002E-3</v>
      </c>
      <c r="O664" s="19">
        <v>9.4185303109999997E-3</v>
      </c>
      <c r="P664" s="1">
        <v>0.61432532637602977</v>
      </c>
    </row>
    <row r="665" spans="1:16" x14ac:dyDescent="0.2">
      <c r="A665" s="1">
        <v>654</v>
      </c>
      <c r="B665" s="1">
        <v>0.99922034084834921</v>
      </c>
      <c r="C665" s="1">
        <v>3.4688754598289027</v>
      </c>
      <c r="D665" s="1">
        <v>0.25156010374337595</v>
      </c>
      <c r="E665" s="19">
        <v>8.9132197272163705E-3</v>
      </c>
      <c r="F665" s="19">
        <v>9.4193100000000002E-3</v>
      </c>
      <c r="G665" s="1">
        <v>0.61522300008637298</v>
      </c>
      <c r="H665" s="1">
        <f t="shared" si="10"/>
        <v>-7.7301751438981325E-2</v>
      </c>
      <c r="I665" s="20">
        <f>E665-N665</f>
        <v>-4.2351117575129688E-5</v>
      </c>
      <c r="K665" s="1">
        <v>0.99879133254658969</v>
      </c>
      <c r="L665" s="1">
        <v>3.6477255069568471</v>
      </c>
      <c r="M665" s="1">
        <v>0.23921374293657724</v>
      </c>
      <c r="N665" s="19">
        <v>8.9555708447915001E-3</v>
      </c>
      <c r="O665" s="19">
        <v>9.4183049659999993E-3</v>
      </c>
      <c r="P665" s="1">
        <v>0.6138046193260247</v>
      </c>
    </row>
    <row r="666" spans="1:16" x14ac:dyDescent="0.2">
      <c r="A666" s="1">
        <v>655</v>
      </c>
      <c r="B666" s="1">
        <v>0.99915356227143204</v>
      </c>
      <c r="C666" s="1">
        <v>3.4439850626147446</v>
      </c>
      <c r="D666" s="1">
        <v>0.25332807472757102</v>
      </c>
      <c r="E666" s="19">
        <v>8.9150042429168904E-3</v>
      </c>
      <c r="F666" s="19">
        <v>9.4190799999999998E-3</v>
      </c>
      <c r="G666" s="1">
        <v>0.61470632333460562</v>
      </c>
      <c r="H666" s="1">
        <f t="shared" si="10"/>
        <v>-7.7356035069513399E-2</v>
      </c>
      <c r="I666" s="20">
        <f>E666-N666</f>
        <v>-4.2287063627046567E-5</v>
      </c>
      <c r="K666" s="1">
        <v>0.99892453009077287</v>
      </c>
      <c r="L666" s="1">
        <v>3.6665118204235596</v>
      </c>
      <c r="M666" s="1">
        <v>0.23795047070834099</v>
      </c>
      <c r="N666" s="19">
        <v>8.957291306543937E-3</v>
      </c>
      <c r="O666" s="19">
        <v>9.4180803100000002E-3</v>
      </c>
      <c r="P666" s="1">
        <v>0.61328911353180537</v>
      </c>
    </row>
    <row r="667" spans="1:16" x14ac:dyDescent="0.2">
      <c r="A667" s="1">
        <v>656</v>
      </c>
      <c r="B667" s="1">
        <v>0.99913975519237919</v>
      </c>
      <c r="C667" s="1">
        <v>3.4918497558003625</v>
      </c>
      <c r="D667" s="1">
        <v>0.24980130749795315</v>
      </c>
      <c r="E667" s="19">
        <v>8.916870381423957E-3</v>
      </c>
      <c r="F667" s="19">
        <v>9.4188599999999994E-3</v>
      </c>
      <c r="G667" s="1">
        <v>0.61418715728857765</v>
      </c>
      <c r="H667" s="1">
        <f t="shared" si="10"/>
        <v>-7.6998825707235749E-2</v>
      </c>
      <c r="I667" s="20">
        <f>E667-N667</f>
        <v>-4.1998777034682813E-5</v>
      </c>
      <c r="K667" s="1">
        <v>0.99897468284054702</v>
      </c>
      <c r="L667" s="1">
        <v>3.7032147386526622</v>
      </c>
      <c r="M667" s="1">
        <v>0.2355362608096902</v>
      </c>
      <c r="N667" s="19">
        <v>8.9588691584586398E-3</v>
      </c>
      <c r="O667" s="19">
        <v>9.4178563399999991E-3</v>
      </c>
      <c r="P667" s="1">
        <v>0.61277864218417699</v>
      </c>
    </row>
    <row r="668" spans="1:16" x14ac:dyDescent="0.2">
      <c r="A668" s="1">
        <v>657</v>
      </c>
      <c r="B668" s="1">
        <v>0.99899525404856249</v>
      </c>
      <c r="C668" s="1">
        <v>3.4561462461340038</v>
      </c>
      <c r="D668" s="1">
        <v>0.25231929301235673</v>
      </c>
      <c r="E668" s="19">
        <v>8.9186663616614616E-3</v>
      </c>
      <c r="F668" s="19">
        <v>9.4186300000000008E-3</v>
      </c>
      <c r="G668" s="1">
        <v>0.61367059605822394</v>
      </c>
      <c r="H668" s="1">
        <f t="shared" si="10"/>
        <v>-7.6763299921226547E-2</v>
      </c>
      <c r="I668" s="20">
        <f>E668-N668</f>
        <v>-4.177790609211085E-5</v>
      </c>
      <c r="K668" s="1">
        <v>0.99883048542751296</v>
      </c>
      <c r="L668" s="1">
        <v>3.6336109697515955</v>
      </c>
      <c r="M668" s="1">
        <v>0.23999611793216355</v>
      </c>
      <c r="N668" s="19">
        <v>8.9604442677535725E-3</v>
      </c>
      <c r="O668" s="19">
        <v>9.4176330519999997E-3</v>
      </c>
      <c r="P668" s="1">
        <v>0.61226852665327003</v>
      </c>
    </row>
    <row r="669" spans="1:16" x14ac:dyDescent="0.2">
      <c r="A669" s="1">
        <v>658</v>
      </c>
      <c r="B669" s="1">
        <v>0.99895442353424646</v>
      </c>
      <c r="C669" s="1">
        <v>3.4667059759380794</v>
      </c>
      <c r="D669" s="1">
        <v>0.25150351982391789</v>
      </c>
      <c r="E669" s="19">
        <v>8.9204500433079925E-3</v>
      </c>
      <c r="F669" s="19">
        <v>9.4184100000000003E-3</v>
      </c>
      <c r="G669" s="1">
        <v>0.61315469924010435</v>
      </c>
      <c r="H669" s="1">
        <f t="shared" si="10"/>
        <v>-7.6657723497622385E-2</v>
      </c>
      <c r="I669" s="20">
        <f>E669-N669</f>
        <v>-4.1628631646263223E-5</v>
      </c>
      <c r="K669" s="1">
        <v>0.99898166960331469</v>
      </c>
      <c r="L669" s="1">
        <v>3.5128718462096296</v>
      </c>
      <c r="M669" s="1">
        <v>0.24820367758364709</v>
      </c>
      <c r="N669" s="19">
        <v>8.9620786749542557E-3</v>
      </c>
      <c r="O669" s="19">
        <v>9.4174104449999997E-3</v>
      </c>
      <c r="P669" s="1">
        <v>0.61175668604561884</v>
      </c>
    </row>
    <row r="670" spans="1:16" x14ac:dyDescent="0.2">
      <c r="A670" s="1">
        <v>659</v>
      </c>
      <c r="B670" s="1">
        <v>0.99890125211944414</v>
      </c>
      <c r="C670" s="1">
        <v>3.4331560983728</v>
      </c>
      <c r="D670" s="1">
        <v>0.25391251561996925</v>
      </c>
      <c r="E670" s="19">
        <v>8.9222060908111418E-3</v>
      </c>
      <c r="F670" s="19">
        <v>9.41818E-3</v>
      </c>
      <c r="G670" s="1">
        <v>0.61263998372385498</v>
      </c>
      <c r="H670" s="1">
        <f t="shared" si="10"/>
        <v>-7.6573797694453341E-2</v>
      </c>
      <c r="I670" s="20">
        <f>E670-N670</f>
        <v>-4.1491697853000484E-5</v>
      </c>
      <c r="K670" s="1">
        <v>0.99874220190602359</v>
      </c>
      <c r="L670" s="1">
        <v>3.5069605356981559</v>
      </c>
      <c r="M670" s="1">
        <v>0.24856488347811737</v>
      </c>
      <c r="N670" s="19">
        <v>8.9636977886641423E-3</v>
      </c>
      <c r="O670" s="19">
        <v>9.4171885149999992E-3</v>
      </c>
      <c r="P670" s="1">
        <v>0.611245620184654</v>
      </c>
    </row>
    <row r="671" spans="1:16" x14ac:dyDescent="0.2">
      <c r="A671" s="1">
        <v>660</v>
      </c>
      <c r="B671" s="1">
        <v>0.99886576817659967</v>
      </c>
      <c r="C671" s="1">
        <v>3.4073887213604346</v>
      </c>
      <c r="D671" s="1">
        <v>0.25578095470710666</v>
      </c>
      <c r="E671" s="19">
        <v>8.9237256897056333E-3</v>
      </c>
      <c r="F671" s="19">
        <v>9.4179599999999995E-3</v>
      </c>
      <c r="G671" s="1">
        <v>0.61213348167858184</v>
      </c>
      <c r="H671" s="1">
        <f t="shared" si="10"/>
        <v>-7.7014544236275184E-2</v>
      </c>
      <c r="I671" s="20">
        <f>E671-N671</f>
        <v>-4.1638822312128204E-5</v>
      </c>
      <c r="K671" s="1">
        <v>0.99878985980316171</v>
      </c>
      <c r="L671" s="1">
        <v>3.4901152820665335</v>
      </c>
      <c r="M671" s="1">
        <v>0.249712863015117</v>
      </c>
      <c r="N671" s="19">
        <v>8.9653645120177615E-3</v>
      </c>
      <c r="O671" s="19">
        <v>9.4169672569999995E-3</v>
      </c>
      <c r="P671" s="1">
        <v>0.61073321723792229</v>
      </c>
    </row>
    <row r="672" spans="1:16" x14ac:dyDescent="0.2">
      <c r="A672" s="1">
        <v>661</v>
      </c>
      <c r="B672" s="1">
        <v>0.99876879797819307</v>
      </c>
      <c r="C672" s="1">
        <v>3.3974417854017709</v>
      </c>
      <c r="D672" s="1">
        <v>0.25648043058179137</v>
      </c>
      <c r="E672" s="19">
        <v>8.9253212098267878E-3</v>
      </c>
      <c r="F672" s="19">
        <v>9.4177400000000008E-3</v>
      </c>
      <c r="G672" s="1">
        <v>0.61162468566451944</v>
      </c>
      <c r="H672" s="1">
        <f t="shared" si="10"/>
        <v>-7.7132364184654661E-2</v>
      </c>
      <c r="I672" s="20">
        <f>E672-N672</f>
        <v>-4.1611065220405891E-5</v>
      </c>
      <c r="K672" s="1">
        <v>0.99868285808939272</v>
      </c>
      <c r="L672" s="1">
        <v>3.5302778282230918</v>
      </c>
      <c r="M672" s="1">
        <v>0.24682694587972379</v>
      </c>
      <c r="N672" s="19">
        <v>8.9669322750471937E-3</v>
      </c>
      <c r="O672" s="19">
        <v>9.4167466710000005E-3</v>
      </c>
      <c r="P672" s="1">
        <v>0.61022440068688577</v>
      </c>
    </row>
    <row r="673" spans="1:16" x14ac:dyDescent="0.2">
      <c r="A673" s="1">
        <v>662</v>
      </c>
      <c r="B673" s="1">
        <v>0.99892970743349419</v>
      </c>
      <c r="C673" s="1">
        <v>3.4034660852506877</v>
      </c>
      <c r="D673" s="1">
        <v>0.25596956951777916</v>
      </c>
      <c r="E673" s="19">
        <v>8.926941421104272E-3</v>
      </c>
      <c r="F673" s="19">
        <v>9.4175200000000004E-3</v>
      </c>
      <c r="G673" s="1">
        <v>0.61111531762756788</v>
      </c>
      <c r="H673" s="1">
        <f t="shared" si="10"/>
        <v>-7.685517994440498E-2</v>
      </c>
      <c r="I673" s="20">
        <f>E673-N673</f>
        <v>-4.1370615648662901E-5</v>
      </c>
      <c r="K673" s="1">
        <v>0.99873633993749122</v>
      </c>
      <c r="L673" s="1">
        <v>3.5873678811496164</v>
      </c>
      <c r="M673" s="1">
        <v>0.24283641063665587</v>
      </c>
      <c r="N673" s="19">
        <v>8.9683120367529349E-3</v>
      </c>
      <c r="O673" s="19">
        <v>9.4165267520000002E-3</v>
      </c>
      <c r="P673" s="1">
        <v>0.60972217237177806</v>
      </c>
    </row>
    <row r="674" spans="1:16" x14ac:dyDescent="0.2">
      <c r="A674" s="1">
        <v>663</v>
      </c>
      <c r="B674" s="1">
        <v>0.99877431311657583</v>
      </c>
      <c r="C674" s="1">
        <v>3.4160621575729997</v>
      </c>
      <c r="D674" s="1">
        <v>0.25497235507111171</v>
      </c>
      <c r="E674" s="19">
        <v>8.9284690218388307E-3</v>
      </c>
      <c r="F674" s="19">
        <v>9.4173E-3</v>
      </c>
      <c r="G674" s="1">
        <v>0.61060933322957112</v>
      </c>
      <c r="H674" s="1">
        <f t="shared" si="10"/>
        <v>-7.6705555663144742E-2</v>
      </c>
      <c r="I674" s="20">
        <f>E674-N674</f>
        <v>-4.1199601095413471E-5</v>
      </c>
      <c r="K674" s="1">
        <v>0.99873426378797792</v>
      </c>
      <c r="L674" s="1">
        <v>3.6274009893045274</v>
      </c>
      <c r="M674" s="1">
        <v>0.2401127367425093</v>
      </c>
      <c r="N674" s="19">
        <v>8.9696686229342442E-3</v>
      </c>
      <c r="O674" s="19">
        <v>9.4163074970000007E-3</v>
      </c>
      <c r="P674" s="1">
        <v>0.60922099738046442</v>
      </c>
    </row>
    <row r="675" spans="1:16" x14ac:dyDescent="0.2">
      <c r="A675" s="1">
        <v>664</v>
      </c>
      <c r="B675" s="1">
        <v>0.99889453634616299</v>
      </c>
      <c r="C675" s="1">
        <v>3.3980723783937328</v>
      </c>
      <c r="D675" s="1">
        <v>0.25627409653144057</v>
      </c>
      <c r="E675" s="19">
        <v>8.9300967608687346E-3</v>
      </c>
      <c r="F675" s="19">
        <v>9.4170799999999995E-3</v>
      </c>
      <c r="G675" s="1">
        <v>0.6101002318723685</v>
      </c>
      <c r="H675" s="1">
        <f t="shared" si="10"/>
        <v>-7.6407177405877214E-2</v>
      </c>
      <c r="I675" s="20">
        <f>E675-N675</f>
        <v>-4.0949748406014438E-5</v>
      </c>
      <c r="K675" s="1">
        <v>0.99876763501319166</v>
      </c>
      <c r="L675" s="1">
        <v>3.6676571990202165</v>
      </c>
      <c r="M675" s="1">
        <v>0.23742813639861149</v>
      </c>
      <c r="N675" s="19">
        <v>8.971046509274749E-3</v>
      </c>
      <c r="O675" s="19">
        <v>9.4160889039999994E-3</v>
      </c>
      <c r="P675" s="1">
        <v>0.60871937926864783</v>
      </c>
    </row>
    <row r="676" spans="1:16" x14ac:dyDescent="0.2">
      <c r="A676" s="1">
        <v>665</v>
      </c>
      <c r="B676" s="1">
        <v>0.99890122437889772</v>
      </c>
      <c r="C676" s="1">
        <v>3.4284898250422917</v>
      </c>
      <c r="D676" s="1">
        <v>0.25393965907855837</v>
      </c>
      <c r="E676" s="19">
        <v>8.9316856512701819E-3</v>
      </c>
      <c r="F676" s="19">
        <v>9.4168600000000009E-3</v>
      </c>
      <c r="G676" s="1">
        <v>0.60959270197454984</v>
      </c>
      <c r="H676" s="1">
        <f t="shared" si="10"/>
        <v>-7.6135808106310987E-2</v>
      </c>
      <c r="I676" s="20">
        <f>E676-N676</f>
        <v>-4.0715358529688772E-5</v>
      </c>
      <c r="K676" s="1">
        <v>0.99863801501579075</v>
      </c>
      <c r="L676" s="1">
        <v>3.6461783717064082</v>
      </c>
      <c r="M676" s="1">
        <v>0.23877969523489223</v>
      </c>
      <c r="N676" s="19">
        <v>8.9724010097998706E-3</v>
      </c>
      <c r="O676" s="19">
        <v>9.4158709689999998E-3</v>
      </c>
      <c r="P676" s="1">
        <v>0.60821882273052619</v>
      </c>
    </row>
    <row r="677" spans="1:16" x14ac:dyDescent="0.2">
      <c r="A677" s="1">
        <v>666</v>
      </c>
      <c r="B677" s="1">
        <v>0.99901333357536437</v>
      </c>
      <c r="C677" s="1">
        <v>3.4277680739043337</v>
      </c>
      <c r="D677" s="1">
        <v>0.25394148723642224</v>
      </c>
      <c r="E677" s="19">
        <v>8.9332764956285803E-3</v>
      </c>
      <c r="F677" s="19">
        <v>9.4166400000000004E-3</v>
      </c>
      <c r="G677" s="1">
        <v>0.60908536693341697</v>
      </c>
      <c r="H677" s="1">
        <f t="shared" si="10"/>
        <v>-7.5541646007797503E-2</v>
      </c>
      <c r="I677" s="20">
        <f>E677-N677</f>
        <v>-4.0309556368099686E-5</v>
      </c>
      <c r="K677" s="1">
        <v>0.99845933531623254</v>
      </c>
      <c r="L677" s="1">
        <v>3.6992020949622271</v>
      </c>
      <c r="M677" s="1">
        <v>0.23530490439701607</v>
      </c>
      <c r="N677" s="19">
        <v>8.9735860519966799E-3</v>
      </c>
      <c r="O677" s="19">
        <v>9.4156536899999994E-3</v>
      </c>
      <c r="P677" s="1">
        <v>0.60772425619453774</v>
      </c>
    </row>
    <row r="678" spans="1:16" x14ac:dyDescent="0.2">
      <c r="A678" s="1">
        <v>667</v>
      </c>
      <c r="B678" s="1">
        <v>0.99914597847965703</v>
      </c>
      <c r="C678" s="1">
        <v>3.4485088329061142</v>
      </c>
      <c r="D678" s="1">
        <v>0.25236531553192226</v>
      </c>
      <c r="E678" s="19">
        <v>8.9349180549099707E-3</v>
      </c>
      <c r="F678" s="19">
        <v>9.41642E-3</v>
      </c>
      <c r="G678" s="1">
        <v>0.60857657724256919</v>
      </c>
      <c r="H678" s="1">
        <f t="shared" si="10"/>
        <v>-7.4659245364502039E-2</v>
      </c>
      <c r="I678" s="20">
        <f>E678-N678</f>
        <v>-3.9751991949228682E-5</v>
      </c>
      <c r="K678" s="1">
        <v>0.99837513943733991</v>
      </c>
      <c r="L678" s="1">
        <v>3.6775719380773628</v>
      </c>
      <c r="M678" s="1">
        <v>0.23663528724847052</v>
      </c>
      <c r="N678" s="19">
        <v>8.9746700468591994E-3</v>
      </c>
      <c r="O678" s="19">
        <v>9.4154370640000002E-3</v>
      </c>
      <c r="P678" s="1">
        <v>0.60723338242341773</v>
      </c>
    </row>
    <row r="679" spans="1:16" x14ac:dyDescent="0.2">
      <c r="A679" s="1">
        <v>668</v>
      </c>
      <c r="B679" s="1">
        <v>0.99929737631922466</v>
      </c>
      <c r="C679" s="1">
        <v>3.5018222729493798</v>
      </c>
      <c r="D679" s="1">
        <v>0.24846526907877364</v>
      </c>
      <c r="E679" s="19">
        <v>8.9365976240221336E-3</v>
      </c>
      <c r="F679" s="19">
        <v>9.4162099999999995E-3</v>
      </c>
      <c r="G679" s="1">
        <v>0.60806675959970558</v>
      </c>
      <c r="H679" s="1">
        <f t="shared" si="10"/>
        <v>-7.3863249706751358E-2</v>
      </c>
      <c r="I679" s="20">
        <f>E679-N679</f>
        <v>-3.9242890765477101E-5</v>
      </c>
      <c r="K679" s="1">
        <v>0.99829736002632108</v>
      </c>
      <c r="L679" s="1">
        <v>3.6000949464118266</v>
      </c>
      <c r="M679" s="1">
        <v>0.24168156960517323</v>
      </c>
      <c r="N679" s="19">
        <v>8.9758405147876107E-3</v>
      </c>
      <c r="O679" s="19">
        <v>9.4152210870000006E-3</v>
      </c>
      <c r="P679" s="1">
        <v>0.60673987487443459</v>
      </c>
    </row>
    <row r="680" spans="1:16" x14ac:dyDescent="0.2">
      <c r="A680" s="1">
        <v>669</v>
      </c>
      <c r="B680" s="1">
        <v>0.99929027643525747</v>
      </c>
      <c r="C680" s="1">
        <v>3.5324001466748016</v>
      </c>
      <c r="D680" s="1">
        <v>0.24625876450345913</v>
      </c>
      <c r="E680" s="19">
        <v>8.9384687710253527E-3</v>
      </c>
      <c r="F680" s="19">
        <v>9.4159900000000008E-3</v>
      </c>
      <c r="G680" s="1">
        <v>0.6075507100093801</v>
      </c>
      <c r="H680" s="1">
        <f t="shared" si="10"/>
        <v>-7.2630923773001455E-2</v>
      </c>
      <c r="I680" s="20">
        <f>E680-N680</f>
        <v>-3.8504842060188907E-5</v>
      </c>
      <c r="K680" s="1">
        <v>0.99826227863317396</v>
      </c>
      <c r="L680" s="1">
        <v>3.5759352449984458</v>
      </c>
      <c r="M680" s="1">
        <v>0.24326707652483509</v>
      </c>
      <c r="N680" s="19">
        <v>8.9769736130855416E-3</v>
      </c>
      <c r="O680" s="19">
        <v>9.4150057559999993E-3</v>
      </c>
      <c r="P680" s="1">
        <v>0.6062479131704025</v>
      </c>
    </row>
    <row r="681" spans="1:16" x14ac:dyDescent="0.2">
      <c r="A681" s="1">
        <v>670</v>
      </c>
      <c r="B681" s="1">
        <v>0.99939702871843128</v>
      </c>
      <c r="C681" s="1">
        <v>3.5162144020997701</v>
      </c>
      <c r="D681" s="1">
        <v>0.24735607207220861</v>
      </c>
      <c r="E681" s="19">
        <v>8.9403337981064403E-3</v>
      </c>
      <c r="F681" s="19">
        <v>9.4157700000000004E-3</v>
      </c>
      <c r="G681" s="1">
        <v>0.60703511648879915</v>
      </c>
      <c r="H681" s="1">
        <f t="shared" si="10"/>
        <v>-7.1588194990151455E-2</v>
      </c>
      <c r="I681" s="20">
        <f>E681-N681</f>
        <v>-3.7870369729416098E-5</v>
      </c>
      <c r="K681" s="1">
        <v>0.99839699639469803</v>
      </c>
      <c r="L681" s="1">
        <v>3.5306788044177959</v>
      </c>
      <c r="M681" s="1">
        <v>0.2463253225567445</v>
      </c>
      <c r="N681" s="19">
        <v>8.9782041678358564E-3</v>
      </c>
      <c r="O681" s="19">
        <v>9.4147910699999993E-3</v>
      </c>
      <c r="P681" s="1">
        <v>0.60575293986210987</v>
      </c>
    </row>
    <row r="682" spans="1:16" x14ac:dyDescent="0.2">
      <c r="A682" s="1">
        <v>671</v>
      </c>
      <c r="B682" s="1">
        <v>0.99935401122190448</v>
      </c>
      <c r="C682" s="1">
        <v>3.6420995408059103</v>
      </c>
      <c r="D682" s="1">
        <v>0.23874169003021764</v>
      </c>
      <c r="E682" s="19">
        <v>8.9422192736465442E-3</v>
      </c>
      <c r="F682" s="19">
        <v>9.4155599999999999E-3</v>
      </c>
      <c r="G682" s="1">
        <v>0.60651907849343123</v>
      </c>
      <c r="H682" s="1">
        <f t="shared" si="10"/>
        <v>-7.063765838191334E-2</v>
      </c>
      <c r="I682" s="20">
        <f>E682-N682</f>
        <v>-3.7287386957622626E-5</v>
      </c>
      <c r="K682" s="1">
        <v>0.99836691219610862</v>
      </c>
      <c r="L682" s="1">
        <v>3.4640353466847928</v>
      </c>
      <c r="M682" s="1">
        <v>0.25101992307840798</v>
      </c>
      <c r="N682" s="19">
        <v>8.9795066606041668E-3</v>
      </c>
      <c r="O682" s="19">
        <v>9.4145770240000003E-3</v>
      </c>
      <c r="P682" s="1">
        <v>0.60525581187557287</v>
      </c>
    </row>
    <row r="683" spans="1:16" x14ac:dyDescent="0.2">
      <c r="A683" s="1">
        <v>672</v>
      </c>
      <c r="B683" s="1">
        <v>0.99933139395749293</v>
      </c>
      <c r="C683" s="1">
        <v>3.5689228788567466</v>
      </c>
      <c r="D683" s="1">
        <v>0.24360109402835259</v>
      </c>
      <c r="E683" s="19">
        <v>8.9443383514106658E-3</v>
      </c>
      <c r="F683" s="19">
        <v>9.4153399999999995E-3</v>
      </c>
      <c r="G683" s="1">
        <v>0.60599536122945252</v>
      </c>
      <c r="H683" s="1">
        <f t="shared" si="10"/>
        <v>-6.9400648142584842E-2</v>
      </c>
      <c r="I683" s="20">
        <f>E683-N683</f>
        <v>-3.6556333509229003E-5</v>
      </c>
      <c r="K683" s="1">
        <v>0.99832352714787942</v>
      </c>
      <c r="L683" s="1">
        <v>3.551953623586185</v>
      </c>
      <c r="M683" s="1">
        <v>0.24475029582760996</v>
      </c>
      <c r="N683" s="19">
        <v>8.9808946849198948E-3</v>
      </c>
      <c r="O683" s="19">
        <v>9.4143636159999995E-3</v>
      </c>
      <c r="P683" s="1">
        <v>0.60475606394119208</v>
      </c>
    </row>
    <row r="684" spans="1:16" x14ac:dyDescent="0.2">
      <c r="A684" s="1">
        <v>673</v>
      </c>
      <c r="B684" s="1">
        <v>0.99946739435580689</v>
      </c>
      <c r="C684" s="1">
        <v>3.5904351958911129</v>
      </c>
      <c r="D684" s="1">
        <v>0.24209051096366388</v>
      </c>
      <c r="E684" s="19">
        <v>8.946528937436575E-3</v>
      </c>
      <c r="F684" s="19">
        <v>9.4151300000000007E-3</v>
      </c>
      <c r="G684" s="1">
        <v>0.60546945415193654</v>
      </c>
      <c r="H684" s="1">
        <f t="shared" si="10"/>
        <v>-6.8142173429536004E-2</v>
      </c>
      <c r="I684" s="20">
        <f>E684-N684</f>
        <v>-3.5817249226339706E-5</v>
      </c>
      <c r="K684" s="1">
        <v>0.99838163415034564</v>
      </c>
      <c r="L684" s="1">
        <v>3.557985978256228</v>
      </c>
      <c r="M684" s="1">
        <v>0.24428611007573009</v>
      </c>
      <c r="N684" s="19">
        <v>8.9823461866629147E-3</v>
      </c>
      <c r="O684" s="19">
        <v>9.4141508439999997E-3</v>
      </c>
      <c r="P684" s="1">
        <v>0.60425443768662535</v>
      </c>
    </row>
    <row r="685" spans="1:16" x14ac:dyDescent="0.2">
      <c r="A685" s="1">
        <v>674</v>
      </c>
      <c r="B685" s="1">
        <v>0.99941569689129606</v>
      </c>
      <c r="C685" s="1">
        <v>3.5357320034908883</v>
      </c>
      <c r="D685" s="1">
        <v>0.24577736682702381</v>
      </c>
      <c r="E685" s="19">
        <v>8.9488511527419361E-3</v>
      </c>
      <c r="F685" s="19">
        <v>9.4149200000000002E-3</v>
      </c>
      <c r="G685" s="1">
        <v>0.60493931017361824</v>
      </c>
      <c r="H685" s="1">
        <f t="shared" si="10"/>
        <v>-6.685088414694236E-2</v>
      </c>
      <c r="I685" s="20">
        <f>E685-N685</f>
        <v>-3.5064337475803828E-5</v>
      </c>
      <c r="K685" s="1">
        <v>0.99828254710844544</v>
      </c>
      <c r="L685" s="1">
        <v>3.6124539226636698</v>
      </c>
      <c r="M685" s="1">
        <v>0.24055547297051416</v>
      </c>
      <c r="N685" s="19">
        <v>8.98391549021774E-3</v>
      </c>
      <c r="O685" s="19">
        <v>9.4139387040000008E-3</v>
      </c>
      <c r="P685" s="1">
        <v>0.60374908671699612</v>
      </c>
    </row>
    <row r="686" spans="1:16" x14ac:dyDescent="0.2">
      <c r="A686" s="1">
        <v>675</v>
      </c>
      <c r="B686" s="1">
        <v>0.99938195407949793</v>
      </c>
      <c r="C686" s="1">
        <v>3.5167010755760515</v>
      </c>
      <c r="D686" s="1">
        <v>0.2470564392327709</v>
      </c>
      <c r="E686" s="19">
        <v>8.9509944413066981E-3</v>
      </c>
      <c r="F686" s="19">
        <v>9.4146999999999998E-3</v>
      </c>
      <c r="G686" s="1">
        <v>0.60441547964380038</v>
      </c>
      <c r="H686" s="1">
        <f t="shared" si="10"/>
        <v>-6.5933279495136721E-2</v>
      </c>
      <c r="I686" s="20">
        <f>E686-N686</f>
        <v>-3.451004310111791E-5</v>
      </c>
      <c r="K686" s="1">
        <v>0.99827123120350303</v>
      </c>
      <c r="L686" s="1">
        <v>3.5832283611304137</v>
      </c>
      <c r="M686" s="1">
        <v>0.24246744002105569</v>
      </c>
      <c r="N686" s="19">
        <v>8.985504484407816E-3</v>
      </c>
      <c r="O686" s="19">
        <v>9.4137271929999999E-3</v>
      </c>
      <c r="P686" s="1">
        <v>0.60324333245277573</v>
      </c>
    </row>
    <row r="687" spans="1:16" x14ac:dyDescent="0.2">
      <c r="A687" s="1">
        <v>676</v>
      </c>
      <c r="B687" s="1">
        <v>0.99937232770176521</v>
      </c>
      <c r="C687" s="1">
        <v>3.6183922602593794</v>
      </c>
      <c r="D687" s="1">
        <v>0.24006693155498388</v>
      </c>
      <c r="E687" s="19">
        <v>8.9531180500026508E-3</v>
      </c>
      <c r="F687" s="19">
        <v>9.4144899999999993E-3</v>
      </c>
      <c r="G687" s="1">
        <v>0.60389255648607376</v>
      </c>
      <c r="H687" s="1">
        <f t="shared" si="10"/>
        <v>-6.4971307000206216E-2</v>
      </c>
      <c r="I687" s="20">
        <f>E687-N687</f>
        <v>-3.3934860904680231E-5</v>
      </c>
      <c r="K687" s="1">
        <v>0.99834955095368094</v>
      </c>
      <c r="L687" s="1">
        <v>3.5319132684459178</v>
      </c>
      <c r="M687" s="1">
        <v>0.24593564082330463</v>
      </c>
      <c r="N687" s="19">
        <v>8.987052910907331E-3</v>
      </c>
      <c r="O687" s="19">
        <v>9.4135163089999994E-3</v>
      </c>
      <c r="P687" s="1">
        <v>0.60273921967541921</v>
      </c>
    </row>
    <row r="688" spans="1:16" x14ac:dyDescent="0.2">
      <c r="A688" s="1">
        <v>677</v>
      </c>
      <c r="B688" s="1">
        <v>0.99930051728804115</v>
      </c>
      <c r="C688" s="1">
        <v>3.6690463599613983</v>
      </c>
      <c r="D688" s="1">
        <v>0.23670311371003544</v>
      </c>
      <c r="E688" s="19">
        <v>8.9552608766780388E-3</v>
      </c>
      <c r="F688" s="19">
        <v>9.4142800000000006E-3</v>
      </c>
      <c r="G688" s="1">
        <v>0.60336921801112031</v>
      </c>
      <c r="H688" s="1">
        <f t="shared" si="10"/>
        <v>-6.3576627953735171E-2</v>
      </c>
      <c r="I688" s="20">
        <f>E688-N688</f>
        <v>-3.313640395635406E-5</v>
      </c>
      <c r="K688" s="1">
        <v>0.99837578652217784</v>
      </c>
      <c r="L688" s="1">
        <v>3.3872493190934558</v>
      </c>
      <c r="M688" s="1">
        <v>0.25639068349089467</v>
      </c>
      <c r="N688" s="19">
        <v>8.9883972806343929E-3</v>
      </c>
      <c r="O688" s="19">
        <v>9.413306049E-3</v>
      </c>
      <c r="P688" s="1">
        <v>0.60224230584650462</v>
      </c>
    </row>
    <row r="689" spans="1:16" x14ac:dyDescent="0.2">
      <c r="A689" s="1">
        <v>678</v>
      </c>
      <c r="B689" s="1">
        <v>0.9993100149895674</v>
      </c>
      <c r="C689" s="1">
        <v>3.6838701470589874</v>
      </c>
      <c r="D689" s="1">
        <v>0.23570216122987084</v>
      </c>
      <c r="E689" s="19">
        <v>8.9574170207575386E-3</v>
      </c>
      <c r="F689" s="19">
        <v>9.4140700000000001E-3</v>
      </c>
      <c r="G689" s="1">
        <v>0.60284566416527818</v>
      </c>
      <c r="H689" s="1">
        <f t="shared" si="10"/>
        <v>-6.2239185415859932E-2</v>
      </c>
      <c r="I689" s="20">
        <f>E689-N689</f>
        <v>-3.2371137296335548E-5</v>
      </c>
      <c r="K689" s="1">
        <v>0.99839068198143777</v>
      </c>
      <c r="L689" s="1">
        <v>3.5060000398742788</v>
      </c>
      <c r="M689" s="1">
        <v>0.24765696165461787</v>
      </c>
      <c r="N689" s="19">
        <v>8.9897881580538741E-3</v>
      </c>
      <c r="O689" s="19">
        <v>9.4130964110000007E-3</v>
      </c>
      <c r="P689" s="1">
        <v>0.60174408566234261</v>
      </c>
    </row>
    <row r="690" spans="1:16" x14ac:dyDescent="0.2">
      <c r="A690" s="1">
        <v>679</v>
      </c>
      <c r="B690" s="1">
        <v>0.99916763460185143</v>
      </c>
      <c r="C690" s="1">
        <v>3.6790382469944909</v>
      </c>
      <c r="D690" s="1">
        <v>0.2359495666836717</v>
      </c>
      <c r="E690" s="19">
        <v>8.9594326089903042E-3</v>
      </c>
      <c r="F690" s="19">
        <v>9.4138599999999996E-3</v>
      </c>
      <c r="G690" s="1">
        <v>0.60232713852706676</v>
      </c>
      <c r="H690" s="1">
        <f t="shared" si="10"/>
        <v>-6.1241651715577418E-2</v>
      </c>
      <c r="I690" s="20">
        <f>E690-N690</f>
        <v>-3.1785415561768476E-5</v>
      </c>
      <c r="K690" s="1">
        <v>0.99840394070164151</v>
      </c>
      <c r="L690" s="1">
        <v>3.4854251938965497</v>
      </c>
      <c r="M690" s="1">
        <v>0.24906863480227148</v>
      </c>
      <c r="N690" s="19">
        <v>8.9912180245520727E-3</v>
      </c>
      <c r="O690" s="19">
        <v>9.4128873899999993E-3</v>
      </c>
      <c r="P690" s="1">
        <v>0.60124481183989897</v>
      </c>
    </row>
    <row r="691" spans="1:16" x14ac:dyDescent="0.2">
      <c r="A691" s="1">
        <v>680</v>
      </c>
      <c r="B691" s="1">
        <v>0.99912837638076268</v>
      </c>
      <c r="C691" s="1">
        <v>3.6806272413314192</v>
      </c>
      <c r="D691" s="1">
        <v>0.2358031536310389</v>
      </c>
      <c r="E691" s="19">
        <v>8.9615106470800222E-3</v>
      </c>
      <c r="F691" s="19">
        <v>9.4136500000000008E-3</v>
      </c>
      <c r="G691" s="1">
        <v>0.60180672702920524</v>
      </c>
      <c r="H691" s="1">
        <f t="shared" si="10"/>
        <v>-6.0125539098229895E-2</v>
      </c>
      <c r="I691" s="20">
        <f>E691-N691</f>
        <v>-3.1140798440769044E-5</v>
      </c>
      <c r="K691" s="1">
        <v>0.9984910427235778</v>
      </c>
      <c r="L691" s="1">
        <v>3.4742282712322679</v>
      </c>
      <c r="M691" s="1">
        <v>0.24980949451998649</v>
      </c>
      <c r="N691" s="19">
        <v>8.9926514455207912E-3</v>
      </c>
      <c r="O691" s="19">
        <v>9.4126789859999994E-3</v>
      </c>
      <c r="P691" s="1">
        <v>0.60074568810394235</v>
      </c>
    </row>
    <row r="692" spans="1:16" x14ac:dyDescent="0.2">
      <c r="A692" s="1">
        <v>681</v>
      </c>
      <c r="B692" s="1">
        <v>0.99904755725274386</v>
      </c>
      <c r="C692" s="1">
        <v>3.6001623037922044</v>
      </c>
      <c r="D692" s="1">
        <v>0.24103457477422849</v>
      </c>
      <c r="E692" s="19">
        <v>8.9634864574415409E-3</v>
      </c>
      <c r="F692" s="19">
        <v>9.4134400000000003E-3</v>
      </c>
      <c r="G692" s="1">
        <v>0.60129004524630714</v>
      </c>
      <c r="H692" s="1">
        <f t="shared" si="10"/>
        <v>-5.9037732442980023E-2</v>
      </c>
      <c r="I692" s="20">
        <f>E692-N692</f>
        <v>-3.0513349808898235E-5</v>
      </c>
      <c r="K692" s="1">
        <v>0.99879430139579273</v>
      </c>
      <c r="L692" s="1">
        <v>3.4781898158416826</v>
      </c>
      <c r="M692" s="1">
        <v>0.24947780224817265</v>
      </c>
      <c r="N692" s="19">
        <v>8.9939998072504392E-3</v>
      </c>
      <c r="O692" s="19">
        <v>9.4124711940000005E-3</v>
      </c>
      <c r="P692" s="1">
        <v>0.60024973278035154</v>
      </c>
    </row>
    <row r="693" spans="1:16" x14ac:dyDescent="0.2">
      <c r="A693" s="1">
        <v>682</v>
      </c>
      <c r="B693" s="1">
        <v>0.99882707993356523</v>
      </c>
      <c r="C693" s="1">
        <v>3.6559957913215264</v>
      </c>
      <c r="D693" s="1">
        <v>0.23729242461975164</v>
      </c>
      <c r="E693" s="19">
        <v>8.9653165089596167E-3</v>
      </c>
      <c r="F693" s="19">
        <v>9.4132299999999999E-3</v>
      </c>
      <c r="G693" s="1">
        <v>0.60077858603098799</v>
      </c>
      <c r="H693" s="1">
        <f t="shared" si="10"/>
        <v>-5.8172207495477558E-2</v>
      </c>
      <c r="I693" s="20">
        <f>E693-N693</f>
        <v>-3.0003026369337937E-5</v>
      </c>
      <c r="K693" s="1">
        <v>0.99884687486004364</v>
      </c>
      <c r="L693" s="1">
        <v>3.535697915092455</v>
      </c>
      <c r="M693" s="1">
        <v>0.24537493916410466</v>
      </c>
      <c r="N693" s="19">
        <v>8.9953195353289547E-3</v>
      </c>
      <c r="O693" s="19">
        <v>9.4122640130000004E-3</v>
      </c>
      <c r="P693" s="1">
        <v>0.59975502812784176</v>
      </c>
    </row>
    <row r="694" spans="1:16" x14ac:dyDescent="0.2">
      <c r="A694" s="1">
        <v>683</v>
      </c>
      <c r="B694" s="1">
        <v>0.99868783700200803</v>
      </c>
      <c r="C694" s="1">
        <v>3.7282149497189336</v>
      </c>
      <c r="D694" s="1">
        <v>0.23264903477093871</v>
      </c>
      <c r="E694" s="19">
        <v>8.9669809540712346E-3</v>
      </c>
      <c r="F694" s="19">
        <v>9.4130299999999993E-3</v>
      </c>
      <c r="G694" s="1">
        <v>0.60027303678345889</v>
      </c>
      <c r="H694" s="1">
        <f t="shared" si="10"/>
        <v>-5.7315271127795282E-2</v>
      </c>
      <c r="I694" s="20">
        <f>E694-N694</f>
        <v>-2.9498989249754359E-5</v>
      </c>
      <c r="K694" s="1">
        <v>0.99900590082211294</v>
      </c>
      <c r="L694" s="1">
        <v>3.6323090104296587</v>
      </c>
      <c r="M694" s="1">
        <v>0.23879557904526003</v>
      </c>
      <c r="N694" s="19">
        <v>8.996479943320989E-3</v>
      </c>
      <c r="O694" s="19">
        <v>9.4120574389999993E-3</v>
      </c>
      <c r="P694" s="1">
        <v>0.59926603348399543</v>
      </c>
    </row>
    <row r="695" spans="1:16" x14ac:dyDescent="0.2">
      <c r="A695" s="1">
        <v>684</v>
      </c>
      <c r="B695" s="1">
        <v>0.99867884502740634</v>
      </c>
      <c r="C695" s="1">
        <v>3.7155183305294743</v>
      </c>
      <c r="D695" s="1">
        <v>0.23339469071027613</v>
      </c>
      <c r="E695" s="19">
        <v>8.968774103673258E-3</v>
      </c>
      <c r="F695" s="19">
        <v>9.4128200000000006E-3</v>
      </c>
      <c r="G695" s="1">
        <v>0.59976334659693897</v>
      </c>
      <c r="H695" s="1">
        <f t="shared" si="10"/>
        <v>-5.6278349639479752E-2</v>
      </c>
      <c r="I695" s="20">
        <f>E695-N695</f>
        <v>-2.8904764630121108E-5</v>
      </c>
      <c r="K695" s="1">
        <v>0.9989908097923792</v>
      </c>
      <c r="L695" s="1">
        <v>3.6440634805595171</v>
      </c>
      <c r="M695" s="1">
        <v>0.23797748975891464</v>
      </c>
      <c r="N695" s="19">
        <v>8.9976788683033791E-3</v>
      </c>
      <c r="O695" s="19">
        <v>9.411851471E-3</v>
      </c>
      <c r="P695" s="1">
        <v>0.59877600712957968</v>
      </c>
    </row>
    <row r="696" spans="1:16" x14ac:dyDescent="0.2">
      <c r="A696" s="1">
        <v>685</v>
      </c>
      <c r="B696" s="1">
        <v>0.99855932389040025</v>
      </c>
      <c r="C696" s="1">
        <v>3.6957781281341626</v>
      </c>
      <c r="D696" s="1">
        <v>0.2345884996566428</v>
      </c>
      <c r="E696" s="19">
        <v>8.9706149220798032E-3</v>
      </c>
      <c r="F696" s="19">
        <v>9.4126100000000001E-3</v>
      </c>
      <c r="G696" s="1">
        <v>0.59925227947078896</v>
      </c>
      <c r="H696" s="1">
        <f t="shared" si="10"/>
        <v>-5.5333465402496819E-2</v>
      </c>
      <c r="I696" s="20">
        <f>E696-N696</f>
        <v>-2.8360312813736563E-5</v>
      </c>
      <c r="K696" s="1">
        <v>0.99905117288342349</v>
      </c>
      <c r="L696" s="1">
        <v>3.5588563471252508</v>
      </c>
      <c r="M696" s="1">
        <v>0.24361855869281696</v>
      </c>
      <c r="N696" s="19">
        <v>8.9989752348935397E-3</v>
      </c>
      <c r="O696" s="19">
        <v>9.4116461040000005E-3</v>
      </c>
      <c r="P696" s="1">
        <v>0.59828293409147515</v>
      </c>
    </row>
    <row r="697" spans="1:16" x14ac:dyDescent="0.2">
      <c r="A697" s="1">
        <v>686</v>
      </c>
      <c r="B697" s="1">
        <v>0.99871884984656756</v>
      </c>
      <c r="C697" s="1">
        <v>3.6680890035783609</v>
      </c>
      <c r="D697" s="1">
        <v>0.2363157363495352</v>
      </c>
      <c r="E697" s="19">
        <v>8.9727203187315255E-3</v>
      </c>
      <c r="F697" s="19">
        <v>9.4124099999999995E-3</v>
      </c>
      <c r="G697" s="1">
        <v>0.59873240820677343</v>
      </c>
      <c r="H697" s="1">
        <f t="shared" si="10"/>
        <v>-5.4161657408905141E-2</v>
      </c>
      <c r="I697" s="20">
        <f>E697-N697</f>
        <v>-2.7702392660720887E-5</v>
      </c>
      <c r="K697" s="1">
        <v>0.99881575232754383</v>
      </c>
      <c r="L697" s="1">
        <v>3.6121823746580111</v>
      </c>
      <c r="M697" s="1">
        <v>0.23997863155260155</v>
      </c>
      <c r="N697" s="19">
        <v>9.0004227113922464E-3</v>
      </c>
      <c r="O697" s="19">
        <v>9.4114413380000008E-3</v>
      </c>
      <c r="P697" s="1">
        <v>0.59778497396638441</v>
      </c>
    </row>
    <row r="698" spans="1:16" x14ac:dyDescent="0.2">
      <c r="A698" s="1">
        <v>687</v>
      </c>
      <c r="B698" s="1">
        <v>0.99865443779309704</v>
      </c>
      <c r="C698" s="1">
        <v>3.7177010920841957</v>
      </c>
      <c r="D698" s="1">
        <v>0.2331095856730013</v>
      </c>
      <c r="E698" s="19">
        <v>8.9748710045296255E-3</v>
      </c>
      <c r="F698" s="19">
        <v>9.4122000000000008E-3</v>
      </c>
      <c r="G698" s="1">
        <v>0.59821122698953499</v>
      </c>
      <c r="H698" s="1">
        <f t="shared" si="10"/>
        <v>-5.2736032464438171E-2</v>
      </c>
      <c r="I698" s="20">
        <f>E698-N698</f>
        <v>-2.691761019905578E-5</v>
      </c>
      <c r="K698" s="1">
        <v>0.99888949484235912</v>
      </c>
      <c r="L698" s="1">
        <v>3.6098936469610066</v>
      </c>
      <c r="M698" s="1">
        <v>0.24008316526475737</v>
      </c>
      <c r="N698" s="19">
        <v>9.0017886147286813E-3</v>
      </c>
      <c r="O698" s="19">
        <v>9.4112371680000004E-3</v>
      </c>
      <c r="P698" s="1">
        <v>0.59729007358404262</v>
      </c>
    </row>
    <row r="699" spans="1:16" x14ac:dyDescent="0.2">
      <c r="A699" s="1">
        <v>688</v>
      </c>
      <c r="B699" s="1">
        <v>0.99883306021851659</v>
      </c>
      <c r="C699" s="1">
        <v>3.6521064823184122</v>
      </c>
      <c r="D699" s="1">
        <v>0.23724928761823111</v>
      </c>
      <c r="E699" s="19">
        <v>8.9770068076390017E-3</v>
      </c>
      <c r="F699" s="19">
        <v>9.4120000000000002E-3</v>
      </c>
      <c r="G699" s="1">
        <v>0.59769079520037272</v>
      </c>
      <c r="H699" s="1">
        <f t="shared" si="10"/>
        <v>-5.1104798659720917E-2</v>
      </c>
      <c r="I699" s="20">
        <f>E699-N699</f>
        <v>-2.6031234978013754E-5</v>
      </c>
      <c r="K699" s="1">
        <v>0.99868205245413977</v>
      </c>
      <c r="L699" s="1">
        <v>3.5658513759441384</v>
      </c>
      <c r="M699" s="1">
        <v>0.24299326681859032</v>
      </c>
      <c r="N699" s="19">
        <v>9.0030380426170155E-3</v>
      </c>
      <c r="O699" s="19">
        <v>9.4110335930000007E-3</v>
      </c>
      <c r="P699" s="1">
        <v>0.596799432433052</v>
      </c>
    </row>
    <row r="700" spans="1:16" x14ac:dyDescent="0.2">
      <c r="A700" s="1">
        <v>689</v>
      </c>
      <c r="B700" s="1">
        <v>0.99885095489060804</v>
      </c>
      <c r="C700" s="1">
        <v>3.737563907702881</v>
      </c>
      <c r="D700" s="1">
        <v>0.23177373441310492</v>
      </c>
      <c r="E700" s="19">
        <v>8.9792256344524944E-3</v>
      </c>
      <c r="F700" s="19">
        <v>9.4117899999999997E-3</v>
      </c>
      <c r="G700" s="1">
        <v>0.59716775693102297</v>
      </c>
      <c r="H700" s="1">
        <f t="shared" si="10"/>
        <v>-4.9104955810633975E-2</v>
      </c>
      <c r="I700" s="20">
        <f>E700-N700</f>
        <v>-2.4961127411344056E-5</v>
      </c>
      <c r="K700" s="1">
        <v>0.99869503283505456</v>
      </c>
      <c r="L700" s="1">
        <v>3.6238575856782762</v>
      </c>
      <c r="M700" s="1">
        <v>0.2390523116854065</v>
      </c>
      <c r="N700" s="19">
        <v>9.0041867618638385E-3</v>
      </c>
      <c r="O700" s="19">
        <v>9.410830609E-3</v>
      </c>
      <c r="P700" s="1">
        <v>0.59631251822314546</v>
      </c>
    </row>
    <row r="701" spans="1:16" x14ac:dyDescent="0.2">
      <c r="A701" s="1">
        <v>690</v>
      </c>
      <c r="B701" s="1">
        <v>0.99903959134519305</v>
      </c>
      <c r="C701" s="1">
        <v>3.6685592430615634</v>
      </c>
      <c r="D701" s="1">
        <v>0.23608875677660468</v>
      </c>
      <c r="E701" s="19">
        <v>8.9814346193557125E-3</v>
      </c>
      <c r="F701" s="19">
        <v>9.4115899999999992E-3</v>
      </c>
      <c r="G701" s="1">
        <v>0.59664529337697103</v>
      </c>
      <c r="H701" s="1">
        <f t="shared" si="10"/>
        <v>-4.6823664103648466E-2</v>
      </c>
      <c r="I701" s="20">
        <f>E701-N701</f>
        <v>-2.3752538289368089E-5</v>
      </c>
      <c r="K701" s="1">
        <v>0.99869787156157963</v>
      </c>
      <c r="L701" s="1">
        <v>3.592459418623783</v>
      </c>
      <c r="M701" s="1">
        <v>0.24109269839881475</v>
      </c>
      <c r="N701" s="19">
        <v>9.0051871576450806E-3</v>
      </c>
      <c r="O701" s="19">
        <v>9.4106282149999994E-3</v>
      </c>
      <c r="P701" s="1">
        <v>0.5958309687838641</v>
      </c>
    </row>
    <row r="702" spans="1:16" x14ac:dyDescent="0.2">
      <c r="A702" s="1">
        <v>691</v>
      </c>
      <c r="B702" s="1">
        <v>0.99900457821185173</v>
      </c>
      <c r="C702" s="1">
        <v>3.6068634756588263</v>
      </c>
      <c r="D702" s="1">
        <v>0.24007684273578273</v>
      </c>
      <c r="E702" s="19">
        <v>8.9835021247638477E-3</v>
      </c>
      <c r="F702" s="19">
        <v>9.4113900000000004E-3</v>
      </c>
      <c r="G702" s="1">
        <v>0.59612792400790493</v>
      </c>
      <c r="H702" s="1">
        <f t="shared" si="10"/>
        <v>-4.4689304880806809E-2</v>
      </c>
      <c r="I702" s="20">
        <f>E702-N702</f>
        <v>-2.2623165985729762E-5</v>
      </c>
      <c r="K702" s="1">
        <v>0.99858435038033111</v>
      </c>
      <c r="L702" s="1">
        <v>3.6452949769001122</v>
      </c>
      <c r="M702" s="1">
        <v>0.23755418205814058</v>
      </c>
      <c r="N702" s="19">
        <v>9.0061252907495774E-3</v>
      </c>
      <c r="O702" s="19">
        <v>9.4104264079999996E-3</v>
      </c>
      <c r="P702" s="1">
        <v>0.59535184346004721</v>
      </c>
    </row>
    <row r="703" spans="1:16" x14ac:dyDescent="0.2">
      <c r="A703" s="1">
        <v>692</v>
      </c>
      <c r="B703" s="1">
        <v>0.99909430162729584</v>
      </c>
      <c r="C703" s="1">
        <v>3.5597545470173237</v>
      </c>
      <c r="D703" s="1">
        <v>0.24319661646180751</v>
      </c>
      <c r="E703" s="19">
        <v>8.9855058572960791E-3</v>
      </c>
      <c r="F703" s="19">
        <v>9.4111799999999999E-3</v>
      </c>
      <c r="G703" s="1">
        <v>0.59561298843144472</v>
      </c>
      <c r="H703" s="1">
        <f t="shared" si="10"/>
        <v>-4.2787220688127868E-2</v>
      </c>
      <c r="I703" s="20">
        <f>E703-N703</f>
        <v>-2.1615777860996971E-5</v>
      </c>
      <c r="K703" s="1">
        <v>0.9983950908821011</v>
      </c>
      <c r="L703" s="1">
        <v>3.6213720227378552</v>
      </c>
      <c r="M703" s="1">
        <v>0.23906705447429449</v>
      </c>
      <c r="N703" s="19">
        <v>9.0071216351570761E-3</v>
      </c>
      <c r="O703" s="19">
        <v>9.4102251840000005E-3</v>
      </c>
      <c r="P703" s="1">
        <v>0.59487101350621707</v>
      </c>
    </row>
    <row r="704" spans="1:16" x14ac:dyDescent="0.2">
      <c r="A704" s="1">
        <v>693</v>
      </c>
      <c r="B704" s="1">
        <v>0.99888486678108779</v>
      </c>
      <c r="C704" s="1">
        <v>3.6060501461971377</v>
      </c>
      <c r="D704" s="1">
        <v>0.24002781415581551</v>
      </c>
      <c r="E704" s="19">
        <v>8.9874087856159652E-3</v>
      </c>
      <c r="F704" s="19">
        <v>9.4109799999999993E-3</v>
      </c>
      <c r="G704" s="1">
        <v>0.5951017632613036</v>
      </c>
      <c r="H704" s="1">
        <f t="shared" si="10"/>
        <v>-4.0764981256218663E-2</v>
      </c>
      <c r="I704" s="20">
        <f>E704-N704</f>
        <v>-2.0551793708353111E-5</v>
      </c>
      <c r="K704" s="1">
        <v>0.99837646265818525</v>
      </c>
      <c r="L704" s="1">
        <v>3.6842790677639874</v>
      </c>
      <c r="M704" s="1">
        <v>0.23494062589244644</v>
      </c>
      <c r="N704" s="19">
        <v>9.0079605793243183E-3</v>
      </c>
      <c r="O704" s="19">
        <v>9.4100245419999999E-3</v>
      </c>
      <c r="P704" s="1">
        <v>0.59439587613998379</v>
      </c>
    </row>
    <row r="705" spans="1:16" x14ac:dyDescent="0.2">
      <c r="A705" s="1">
        <v>694</v>
      </c>
      <c r="B705" s="1">
        <v>0.99884854639674581</v>
      </c>
      <c r="C705" s="1">
        <v>3.593798663996814</v>
      </c>
      <c r="D705" s="1">
        <v>0.24080333759239975</v>
      </c>
      <c r="E705" s="19">
        <v>8.9894592307248299E-3</v>
      </c>
      <c r="F705" s="19">
        <v>9.4107800000000005E-3</v>
      </c>
      <c r="G705" s="1">
        <v>0.59458571564461227</v>
      </c>
      <c r="H705" s="1">
        <f t="shared" si="10"/>
        <v>-3.8235240756043377E-2</v>
      </c>
      <c r="I705" s="20">
        <f>E705-N705</f>
        <v>-1.9236872645340269E-5</v>
      </c>
      <c r="K705" s="1">
        <v>0.99822268212980236</v>
      </c>
      <c r="L705" s="1">
        <v>3.6883433179171954</v>
      </c>
      <c r="M705" s="1">
        <v>0.23462736308449386</v>
      </c>
      <c r="N705" s="19">
        <v>9.0086961033701701E-3</v>
      </c>
      <c r="O705" s="19">
        <v>9.4098244800000005E-3</v>
      </c>
      <c r="P705" s="1">
        <v>0.59392458756237521</v>
      </c>
    </row>
    <row r="706" spans="1:16" x14ac:dyDescent="0.2">
      <c r="A706" s="1">
        <v>695</v>
      </c>
      <c r="B706" s="1">
        <v>0.9988479949008493</v>
      </c>
      <c r="C706" s="1">
        <v>3.6136894958373693</v>
      </c>
      <c r="D706" s="1">
        <v>0.23942146185238089</v>
      </c>
      <c r="E706" s="19">
        <v>8.9913005922368748E-3</v>
      </c>
      <c r="F706" s="19">
        <v>9.41058E-3</v>
      </c>
      <c r="G706" s="1">
        <v>0.59407710639365818</v>
      </c>
      <c r="H706" s="1">
        <f t="shared" si="10"/>
        <v>-3.6354452273849959E-2</v>
      </c>
      <c r="I706" s="20">
        <f>E706-N706</f>
        <v>-1.8253124304840052E-5</v>
      </c>
      <c r="K706" s="1">
        <v>0.99827010562066809</v>
      </c>
      <c r="L706" s="1">
        <v>3.6768234150561252</v>
      </c>
      <c r="M706" s="1">
        <v>0.23531755707296495</v>
      </c>
      <c r="N706" s="19">
        <v>9.0095537165417149E-3</v>
      </c>
      <c r="O706" s="19">
        <v>9.4096249940000005E-3</v>
      </c>
      <c r="P706" s="1">
        <v>0.59344940362058451</v>
      </c>
    </row>
    <row r="707" spans="1:16" x14ac:dyDescent="0.2">
      <c r="A707" s="1">
        <v>696</v>
      </c>
      <c r="B707" s="1">
        <v>0.99879690686752487</v>
      </c>
      <c r="C707" s="1">
        <v>3.5772224996039883</v>
      </c>
      <c r="D707" s="1">
        <v>0.24181731874865339</v>
      </c>
      <c r="E707" s="19">
        <v>8.9932222264016183E-3</v>
      </c>
      <c r="F707" s="19">
        <v>9.4103799999999994E-3</v>
      </c>
      <c r="G707" s="1">
        <v>0.59356598650594838</v>
      </c>
      <c r="H707" s="1">
        <f t="shared" si="10"/>
        <v>-3.4351393839049171E-2</v>
      </c>
      <c r="I707" s="20">
        <f>E707-N707</f>
        <v>-1.7212190011717254E-5</v>
      </c>
      <c r="K707" s="1">
        <v>0.99821817982764083</v>
      </c>
      <c r="L707" s="1">
        <v>3.7816862182486286</v>
      </c>
      <c r="M707" s="1">
        <v>0.22874333511926587</v>
      </c>
      <c r="N707" s="19">
        <v>9.0104344164133356E-3</v>
      </c>
      <c r="O707" s="19">
        <v>9.4094260820000008E-3</v>
      </c>
      <c r="P707" s="1">
        <v>0.5929737210949303</v>
      </c>
    </row>
    <row r="708" spans="1:16" x14ac:dyDescent="0.2">
      <c r="A708" s="1">
        <v>697</v>
      </c>
      <c r="B708" s="1">
        <v>0.99864146813403187</v>
      </c>
      <c r="C708" s="1">
        <v>3.5054232943253458</v>
      </c>
      <c r="D708" s="1">
        <v>0.24672188925800406</v>
      </c>
      <c r="E708" s="19">
        <v>8.9952516836592881E-3</v>
      </c>
      <c r="F708" s="19">
        <v>9.4101800000000006E-3</v>
      </c>
      <c r="G708" s="1">
        <v>0.593051402296637</v>
      </c>
      <c r="H708" s="1">
        <f t="shared" si="10"/>
        <v>-3.2533804968384657E-2</v>
      </c>
      <c r="I708" s="20">
        <f>E708-N708</f>
        <v>-1.6268392008063001E-5</v>
      </c>
      <c r="K708" s="1">
        <v>0.99823380365415837</v>
      </c>
      <c r="L708" s="1">
        <v>3.7993964038339789</v>
      </c>
      <c r="M708" s="1">
        <v>0.22762747671330866</v>
      </c>
      <c r="N708" s="19">
        <v>9.0115200756673512E-3</v>
      </c>
      <c r="O708" s="19">
        <v>9.4092277410000001E-3</v>
      </c>
      <c r="P708" s="1">
        <v>0.59249127939904644</v>
      </c>
    </row>
    <row r="709" spans="1:16" x14ac:dyDescent="0.2">
      <c r="A709" s="1">
        <v>698</v>
      </c>
      <c r="B709" s="1">
        <v>0.99843834589812852</v>
      </c>
      <c r="C709" s="1">
        <v>3.4949947231911422</v>
      </c>
      <c r="D709" s="1">
        <v>0.24740881202024143</v>
      </c>
      <c r="E709" s="19">
        <v>8.9973392046027306E-3</v>
      </c>
      <c r="F709" s="19">
        <v>9.4099800000000001E-3</v>
      </c>
      <c r="G709" s="1">
        <v>0.59253506256370014</v>
      </c>
      <c r="H709" s="1">
        <f t="shared" si="10"/>
        <v>-3.0512584395163245E-2</v>
      </c>
      <c r="I709" s="20">
        <f>E709-N709</f>
        <v>-1.5226808915838955E-5</v>
      </c>
      <c r="K709" s="1">
        <v>0.99825771337581681</v>
      </c>
      <c r="L709" s="1">
        <v>3.7766194991472606</v>
      </c>
      <c r="M709" s="1">
        <v>0.22894855345657333</v>
      </c>
      <c r="N709" s="19">
        <v>9.0125660135185696E-3</v>
      </c>
      <c r="O709" s="19">
        <v>9.4090299699999998E-3</v>
      </c>
      <c r="P709" s="1">
        <v>0.59201049091220737</v>
      </c>
    </row>
    <row r="710" spans="1:16" x14ac:dyDescent="0.2">
      <c r="A710" s="1">
        <v>699</v>
      </c>
      <c r="B710" s="1">
        <v>0.99846910279736079</v>
      </c>
      <c r="C710" s="1">
        <v>3.4624837840915421</v>
      </c>
      <c r="D710" s="1">
        <v>0.24967440090035314</v>
      </c>
      <c r="E710" s="19">
        <v>8.9993217647840271E-3</v>
      </c>
      <c r="F710" s="19">
        <v>9.4097799999999995E-3</v>
      </c>
      <c r="G710" s="1">
        <v>0.59202258600012125</v>
      </c>
      <c r="H710" s="1">
        <f t="shared" si="10"/>
        <v>-2.8308892986433187E-2</v>
      </c>
      <c r="I710" s="20">
        <f>E710-N710</f>
        <v>-1.4098440253554681E-5</v>
      </c>
      <c r="K710" s="1">
        <v>0.99839781622352552</v>
      </c>
      <c r="L710" s="1">
        <v>3.7872650682121094</v>
      </c>
      <c r="M710" s="1">
        <v>0.2282583296882065</v>
      </c>
      <c r="N710" s="19">
        <v>9.0134202050375818E-3</v>
      </c>
      <c r="O710" s="19">
        <v>9.4088327660000002E-3</v>
      </c>
      <c r="P710" s="1">
        <v>0.59153659642095502</v>
      </c>
    </row>
    <row r="711" spans="1:16" x14ac:dyDescent="0.2">
      <c r="A711" s="1">
        <v>700</v>
      </c>
      <c r="B711" s="1">
        <v>0.99836494594509528</v>
      </c>
      <c r="C711" s="1">
        <v>3.4550947562908063</v>
      </c>
      <c r="D711" s="1">
        <v>0.25015170710082141</v>
      </c>
      <c r="E711" s="19">
        <v>9.0013059030673841E-3</v>
      </c>
      <c r="F711" s="19">
        <v>9.4095900000000007E-3</v>
      </c>
      <c r="G711" s="1">
        <v>0.59151030276856431</v>
      </c>
      <c r="H711" s="1">
        <f t="shared" si="10"/>
        <v>-2.6077437573960676E-2</v>
      </c>
      <c r="I711" s="20">
        <f>E711-N711</f>
        <v>-1.2960840815466959E-5</v>
      </c>
      <c r="K711" s="1">
        <v>0.99814022045933748</v>
      </c>
      <c r="L711" s="1">
        <v>3.7951402277735204</v>
      </c>
      <c r="M711" s="1">
        <v>0.22774308384891087</v>
      </c>
      <c r="N711" s="19">
        <v>9.0142667438828511E-3</v>
      </c>
      <c r="O711" s="19">
        <v>9.4086361260000001E-3</v>
      </c>
      <c r="P711" s="1">
        <v>0.59106326098158213</v>
      </c>
    </row>
    <row r="712" spans="1:16" x14ac:dyDescent="0.2">
      <c r="A712" s="1">
        <v>701</v>
      </c>
      <c r="B712" s="1">
        <v>0.99828536512097377</v>
      </c>
      <c r="C712" s="1">
        <v>3.4715132761140941</v>
      </c>
      <c r="D712" s="1">
        <v>0.24893609039743447</v>
      </c>
      <c r="E712" s="19">
        <v>9.0032652910994257E-3</v>
      </c>
      <c r="F712" s="19">
        <v>9.4093900000000001E-3</v>
      </c>
      <c r="G712" s="1">
        <v>0.59099912186585202</v>
      </c>
      <c r="H712" s="1">
        <f t="shared" si="10"/>
        <v>-2.3942700436031139E-2</v>
      </c>
      <c r="I712" s="20">
        <f>E712-N712</f>
        <v>-1.1875814042624708E-5</v>
      </c>
      <c r="K712" s="1">
        <v>0.99810453385775999</v>
      </c>
      <c r="L712" s="1">
        <v>3.8454574624395446</v>
      </c>
      <c r="M712" s="1">
        <v>0.22471208074212307</v>
      </c>
      <c r="N712" s="19">
        <v>9.0151411051420504E-3</v>
      </c>
      <c r="O712" s="19">
        <v>9.4084400469999999E-3</v>
      </c>
      <c r="P712" s="1">
        <v>0.59058926108805976</v>
      </c>
    </row>
    <row r="713" spans="1:16" x14ac:dyDescent="0.2">
      <c r="A713" s="1">
        <v>702</v>
      </c>
      <c r="B713" s="1">
        <v>0.99834761816974349</v>
      </c>
      <c r="C713" s="1">
        <v>3.4169829156756268</v>
      </c>
      <c r="D713" s="1">
        <v>0.25285624271452251</v>
      </c>
      <c r="E713" s="19">
        <v>9.0053140208675633E-3</v>
      </c>
      <c r="F713" s="19">
        <v>9.4091899999999996E-3</v>
      </c>
      <c r="G713" s="1">
        <v>0.59048510371759699</v>
      </c>
      <c r="H713" s="1">
        <f t="shared" si="10"/>
        <v>-2.1268230664385435E-2</v>
      </c>
      <c r="I713" s="20">
        <f>E713-N713</f>
        <v>-1.0527964568013762E-5</v>
      </c>
      <c r="K713" s="1">
        <v>0.99815322820296792</v>
      </c>
      <c r="L713" s="1">
        <v>3.9073784081698157</v>
      </c>
      <c r="M713" s="1">
        <v>0.22110458488277346</v>
      </c>
      <c r="N713" s="19">
        <v>9.015841985435577E-3</v>
      </c>
      <c r="O713" s="19">
        <v>9.4082445279999993E-3</v>
      </c>
      <c r="P713" s="1">
        <v>0.59012154421906049</v>
      </c>
    </row>
    <row r="714" spans="1:16" x14ac:dyDescent="0.2">
      <c r="A714" s="1">
        <v>703</v>
      </c>
      <c r="B714" s="1">
        <v>0.99838249325268391</v>
      </c>
      <c r="C714" s="1">
        <v>3.4001834177669812</v>
      </c>
      <c r="D714" s="1">
        <v>0.25404104782006526</v>
      </c>
      <c r="E714" s="19">
        <v>9.0073052865078732E-3</v>
      </c>
      <c r="F714" s="19">
        <v>9.4090000000000007E-3</v>
      </c>
      <c r="G714" s="1">
        <v>0.58997331729157354</v>
      </c>
      <c r="H714" s="1">
        <f t="shared" si="10"/>
        <v>-1.8434594867506104E-2</v>
      </c>
      <c r="I714" s="20">
        <f>E714-N714</f>
        <v>-9.1068653354838686E-6</v>
      </c>
      <c r="K714" s="1">
        <v>0.99841133738742482</v>
      </c>
      <c r="L714" s="1">
        <v>3.8771397360072886</v>
      </c>
      <c r="M714" s="1">
        <v>0.22278847325455936</v>
      </c>
      <c r="N714" s="19">
        <v>9.016412151843357E-3</v>
      </c>
      <c r="O714" s="19">
        <v>9.4080495670000007E-3</v>
      </c>
      <c r="P714" s="1">
        <v>0.58965864426396319</v>
      </c>
    </row>
    <row r="715" spans="1:16" x14ac:dyDescent="0.2">
      <c r="A715" s="1">
        <v>704</v>
      </c>
      <c r="B715" s="1">
        <v>0.99849440550858848</v>
      </c>
      <c r="C715" s="1">
        <v>3.5257444351489795</v>
      </c>
      <c r="D715" s="1">
        <v>0.24494637001146954</v>
      </c>
      <c r="E715" s="19">
        <v>9.0092693509832913E-3</v>
      </c>
      <c r="F715" s="19">
        <v>9.4088000000000001E-3</v>
      </c>
      <c r="G715" s="1">
        <v>0.5894627194777482</v>
      </c>
      <c r="H715" s="1">
        <f t="shared" si="10"/>
        <v>-1.5701359398088737E-2</v>
      </c>
      <c r="I715" s="20">
        <f>E715-N715</f>
        <v>-7.7409933811473097E-6</v>
      </c>
      <c r="K715" s="1">
        <v>0.99854414201290786</v>
      </c>
      <c r="L715" s="1">
        <v>3.8565272814550897</v>
      </c>
      <c r="M715" s="1">
        <v>0.2239297576025224</v>
      </c>
      <c r="N715" s="19">
        <v>9.0170103443644387E-3</v>
      </c>
      <c r="O715" s="19">
        <v>9.4078551600000008E-3</v>
      </c>
      <c r="P715" s="1">
        <v>0.58919508266982623</v>
      </c>
    </row>
    <row r="716" spans="1:16" x14ac:dyDescent="0.2">
      <c r="A716" s="1">
        <v>705</v>
      </c>
      <c r="B716" s="1">
        <v>0.99851799553802356</v>
      </c>
      <c r="C716" s="1">
        <v>3.5274144110053989</v>
      </c>
      <c r="D716" s="1">
        <v>0.2447810546043406</v>
      </c>
      <c r="E716" s="19">
        <v>9.0110582049833868E-3</v>
      </c>
      <c r="F716" s="19">
        <v>9.4086099999999995E-3</v>
      </c>
      <c r="G716" s="1">
        <v>0.58895843325578767</v>
      </c>
      <c r="H716" s="1">
        <f t="shared" si="10"/>
        <v>-1.3268898135724433E-2</v>
      </c>
      <c r="I716" s="20">
        <f>E716-N716</f>
        <v>-6.5285653881638067E-6</v>
      </c>
      <c r="K716" s="1">
        <v>0.99847250661321019</v>
      </c>
      <c r="L716" s="1">
        <v>3.8334507915144815</v>
      </c>
      <c r="M716" s="1">
        <v>0.22523267614342121</v>
      </c>
      <c r="N716" s="19">
        <v>9.0175867703715506E-3</v>
      </c>
      <c r="O716" s="19">
        <v>9.4076613050000004E-3</v>
      </c>
      <c r="P716" s="1">
        <v>0.58873257967049875</v>
      </c>
    </row>
    <row r="717" spans="1:16" x14ac:dyDescent="0.2">
      <c r="A717" s="1">
        <v>706</v>
      </c>
      <c r="B717" s="1">
        <v>0.99862160091017849</v>
      </c>
      <c r="C717" s="1">
        <v>3.6260382423456106</v>
      </c>
      <c r="D717" s="1">
        <v>0.23807156641452276</v>
      </c>
      <c r="E717" s="19">
        <v>9.0128026505889476E-3</v>
      </c>
      <c r="F717" s="19">
        <v>9.4084100000000007E-3</v>
      </c>
      <c r="G717" s="1">
        <v>0.58845594046146033</v>
      </c>
      <c r="H717" s="1">
        <f t="shared" ref="H717:H780" si="11">(P717-G717)*A717/12</f>
        <v>-1.134202018236021E-2</v>
      </c>
      <c r="I717" s="20">
        <f>E717-N717</f>
        <v>-5.5693011596288922E-6</v>
      </c>
      <c r="K717" s="1">
        <v>0.99835540503104603</v>
      </c>
      <c r="L717" s="1">
        <v>3.829346956813636</v>
      </c>
      <c r="M717" s="1">
        <v>0.22542821539716934</v>
      </c>
      <c r="N717" s="19">
        <v>9.0183719517485765E-3</v>
      </c>
      <c r="O717" s="19">
        <v>9.4074680000000004E-3</v>
      </c>
      <c r="P717" s="1">
        <v>0.58826315824872899</v>
      </c>
    </row>
    <row r="718" spans="1:16" x14ac:dyDescent="0.2">
      <c r="A718" s="1">
        <v>707</v>
      </c>
      <c r="B718" s="1">
        <v>0.9986911953517229</v>
      </c>
      <c r="C718" s="1">
        <v>3.5366935211251604</v>
      </c>
      <c r="D718" s="1">
        <v>0.24403321873686465</v>
      </c>
      <c r="E718" s="19">
        <v>9.0147067432775792E-3</v>
      </c>
      <c r="F718" s="19">
        <v>9.4082200000000001E-3</v>
      </c>
      <c r="G718" s="1">
        <v>0.58794817525372023</v>
      </c>
      <c r="H718" s="1">
        <f t="shared" si="11"/>
        <v>-8.9971020401805792E-3</v>
      </c>
      <c r="I718" s="20">
        <f>E718-N718</f>
        <v>-4.4090362539342398E-6</v>
      </c>
      <c r="K718" s="1">
        <v>0.9984521015930562</v>
      </c>
      <c r="L718" s="1">
        <v>3.7563235660919161</v>
      </c>
      <c r="M718" s="1">
        <v>0.22975988370677125</v>
      </c>
      <c r="N718" s="19">
        <v>9.0191157795315134E-3</v>
      </c>
      <c r="O718" s="19">
        <v>9.407275243E-3</v>
      </c>
      <c r="P718" s="1">
        <v>0.5877954663082009</v>
      </c>
    </row>
    <row r="719" spans="1:16" x14ac:dyDescent="0.2">
      <c r="A719" s="1">
        <v>708</v>
      </c>
      <c r="B719" s="1">
        <v>0.99867561155856654</v>
      </c>
      <c r="C719" s="1">
        <v>3.5199849134938015</v>
      </c>
      <c r="D719" s="1">
        <v>0.24513751077603863</v>
      </c>
      <c r="E719" s="19">
        <v>9.0167595038040393E-3</v>
      </c>
      <c r="F719" s="19">
        <v>9.4080199999999996E-3</v>
      </c>
      <c r="G719" s="1">
        <v>0.58743550910553632</v>
      </c>
      <c r="H719" s="1">
        <f t="shared" si="11"/>
        <v>-6.2924075246436617E-3</v>
      </c>
      <c r="I719" s="20">
        <f>E719-N719</f>
        <v>-3.0774574022590651E-6</v>
      </c>
      <c r="K719" s="1">
        <v>0.9983194701962228</v>
      </c>
      <c r="L719" s="1">
        <v>3.7228137692987384</v>
      </c>
      <c r="M719" s="1">
        <v>0.23178212815983998</v>
      </c>
      <c r="N719" s="19">
        <v>9.0198369612062984E-3</v>
      </c>
      <c r="O719" s="19">
        <v>9.4070830309999996E-3</v>
      </c>
      <c r="P719" s="1">
        <v>0.58732885813054236</v>
      </c>
    </row>
    <row r="720" spans="1:16" x14ac:dyDescent="0.2">
      <c r="A720" s="1">
        <v>709</v>
      </c>
      <c r="B720" s="1">
        <v>0.99853885538570086</v>
      </c>
      <c r="C720" s="1">
        <v>3.5710566679553235</v>
      </c>
      <c r="D720" s="1">
        <v>0.24157853843190022</v>
      </c>
      <c r="E720" s="19">
        <v>9.0187760810382205E-3</v>
      </c>
      <c r="F720" s="19">
        <v>9.4078300000000007E-3</v>
      </c>
      <c r="G720" s="1">
        <v>0.5869243439214511</v>
      </c>
      <c r="H720" s="1">
        <f t="shared" si="11"/>
        <v>-3.7440301082630654E-3</v>
      </c>
      <c r="I720" s="20">
        <f>E720-N720</f>
        <v>-1.8274717702819465E-6</v>
      </c>
      <c r="K720" s="1">
        <v>0.9983481862267749</v>
      </c>
      <c r="L720" s="1">
        <v>3.6309778491663844</v>
      </c>
      <c r="M720" s="1">
        <v>0.23759083468602585</v>
      </c>
      <c r="N720" s="19">
        <v>9.0206035528085024E-3</v>
      </c>
      <c r="O720" s="19">
        <v>9.406891362E-3</v>
      </c>
      <c r="P720" s="1">
        <v>0.58686097528774284</v>
      </c>
    </row>
    <row r="721" spans="1:16" x14ac:dyDescent="0.2">
      <c r="A721" s="1">
        <v>710</v>
      </c>
      <c r="B721" s="1">
        <v>0.99839364122543062</v>
      </c>
      <c r="C721" s="1">
        <v>3.5342623296953271</v>
      </c>
      <c r="D721" s="1">
        <v>0.24404001464359854</v>
      </c>
      <c r="E721" s="19">
        <v>9.0206944716504523E-3</v>
      </c>
      <c r="F721" s="19">
        <v>9.4076400000000001E-3</v>
      </c>
      <c r="G721" s="1">
        <v>0.58641683314897652</v>
      </c>
      <c r="H721" s="1">
        <f t="shared" si="11"/>
        <v>-1.3958596936969325E-3</v>
      </c>
      <c r="I721" s="20">
        <f>E721-N721</f>
        <v>-6.7997018351334537E-7</v>
      </c>
      <c r="K721" s="1">
        <v>0.99818274675107754</v>
      </c>
      <c r="L721" s="1">
        <v>3.5855529378238469</v>
      </c>
      <c r="M721" s="1">
        <v>0.24055379921656309</v>
      </c>
      <c r="N721" s="19">
        <v>9.0213744418339657E-3</v>
      </c>
      <c r="O721" s="19">
        <v>9.4067002340000004E-3</v>
      </c>
      <c r="P721" s="1">
        <v>0.58639324115415348</v>
      </c>
    </row>
    <row r="722" spans="1:16" x14ac:dyDescent="0.2">
      <c r="A722" s="1">
        <v>711</v>
      </c>
      <c r="B722" s="1">
        <v>0.99837763013305758</v>
      </c>
      <c r="C722" s="1">
        <v>3.5481352807158051</v>
      </c>
      <c r="D722" s="1">
        <v>0.24303918670709226</v>
      </c>
      <c r="E722" s="19">
        <v>9.02249983539344E-3</v>
      </c>
      <c r="F722" s="19">
        <v>9.4074499999999995E-3</v>
      </c>
      <c r="G722" s="1">
        <v>0.58591349764177381</v>
      </c>
      <c r="H722" s="1">
        <f t="shared" si="11"/>
        <v>3.4326355723901525E-4</v>
      </c>
      <c r="I722" s="20">
        <f>E722-N722</f>
        <v>1.6688424540715896E-7</v>
      </c>
      <c r="K722" s="1">
        <v>0.99817628785336232</v>
      </c>
      <c r="L722" s="1">
        <v>3.5980822561575176</v>
      </c>
      <c r="M722" s="1">
        <v>0.23966515548629302</v>
      </c>
      <c r="N722" s="19">
        <v>9.0223329511480328E-3</v>
      </c>
      <c r="O722" s="19">
        <v>9.4065096439999996E-3</v>
      </c>
      <c r="P722" s="1">
        <v>0.58591929111953311</v>
      </c>
    </row>
    <row r="723" spans="1:16" x14ac:dyDescent="0.2">
      <c r="A723" s="1">
        <v>712</v>
      </c>
      <c r="B723" s="1">
        <v>0.99832481531033412</v>
      </c>
      <c r="C723" s="1">
        <v>3.5990816938286856</v>
      </c>
      <c r="D723" s="1">
        <v>0.23954653146090502</v>
      </c>
      <c r="E723" s="19">
        <v>9.0243320563961459E-3</v>
      </c>
      <c r="F723" s="19">
        <v>9.4072600000000006E-3</v>
      </c>
      <c r="G723" s="1">
        <v>0.58540948514416236</v>
      </c>
      <c r="H723" s="1">
        <f t="shared" si="11"/>
        <v>2.2065484848596086E-3</v>
      </c>
      <c r="I723" s="20">
        <f>E723-N723</f>
        <v>1.070637449699513E-6</v>
      </c>
      <c r="K723" s="1">
        <v>0.99831473956464012</v>
      </c>
      <c r="L723" s="1">
        <v>3.6474951601918257</v>
      </c>
      <c r="M723" s="1">
        <v>0.23636968438054964</v>
      </c>
      <c r="N723" s="19">
        <v>9.0232614189464464E-3</v>
      </c>
      <c r="O723" s="19">
        <v>9.4063195910000005E-3</v>
      </c>
      <c r="P723" s="1">
        <v>0.5854466741635701</v>
      </c>
    </row>
    <row r="724" spans="1:16" x14ac:dyDescent="0.2">
      <c r="A724" s="1">
        <v>713</v>
      </c>
      <c r="B724" s="1">
        <v>0.99821086748422627</v>
      </c>
      <c r="C724" s="1">
        <v>3.5354835745107724</v>
      </c>
      <c r="D724" s="1">
        <v>0.24381266995084383</v>
      </c>
      <c r="E724" s="19">
        <v>9.026207424513346E-3</v>
      </c>
      <c r="F724" s="19">
        <v>9.40707E-3</v>
      </c>
      <c r="G724" s="1">
        <v>0.58490422809750275</v>
      </c>
      <c r="H724" s="1">
        <f t="shared" si="11"/>
        <v>4.188764048203647E-3</v>
      </c>
      <c r="I724" s="20">
        <f>E724-N724</f>
        <v>2.0284223993423389E-6</v>
      </c>
      <c r="K724" s="1">
        <v>0.99815275656430003</v>
      </c>
      <c r="L724" s="1">
        <v>3.6184185832196136</v>
      </c>
      <c r="M724" s="1">
        <v>0.23822285890197742</v>
      </c>
      <c r="N724" s="19">
        <v>9.0241790021140036E-3</v>
      </c>
      <c r="O724" s="19">
        <v>9.4061300709999997E-3</v>
      </c>
      <c r="P724" s="1">
        <v>0.58497472623015134</v>
      </c>
    </row>
    <row r="725" spans="1:16" x14ac:dyDescent="0.2">
      <c r="A725" s="1">
        <v>714</v>
      </c>
      <c r="B725" s="1">
        <v>0.99798974801566509</v>
      </c>
      <c r="C725" s="1">
        <v>3.5706970204021418</v>
      </c>
      <c r="D725" s="1">
        <v>0.24134984976547266</v>
      </c>
      <c r="E725" s="19">
        <v>9.0279162858021601E-3</v>
      </c>
      <c r="F725" s="19">
        <v>9.4068799999999994E-3</v>
      </c>
      <c r="G725" s="1">
        <v>0.58440501423216407</v>
      </c>
      <c r="H725" s="1">
        <f t="shared" si="11"/>
        <v>5.8703891107978468E-3</v>
      </c>
      <c r="I725" s="20">
        <f>E725-N725</f>
        <v>2.8371504510304318E-6</v>
      </c>
      <c r="K725" s="1">
        <v>0.99812026971441903</v>
      </c>
      <c r="L725" s="1">
        <v>3.6049506790826653</v>
      </c>
      <c r="M725" s="1">
        <v>0.23906375166066124</v>
      </c>
      <c r="N725" s="19">
        <v>9.0250791353511297E-3</v>
      </c>
      <c r="O725" s="19">
        <v>9.4059410830000002E-3</v>
      </c>
      <c r="P725" s="1">
        <v>0.58450367623402621</v>
      </c>
    </row>
    <row r="726" spans="1:16" x14ac:dyDescent="0.2">
      <c r="A726" s="1">
        <v>715</v>
      </c>
      <c r="B726" s="1">
        <v>0.99787953565172316</v>
      </c>
      <c r="C726" s="1">
        <v>3.6044239373383293</v>
      </c>
      <c r="D726" s="1">
        <v>0.23904527944332285</v>
      </c>
      <c r="E726" s="19">
        <v>9.0296795594112019E-3</v>
      </c>
      <c r="F726" s="19">
        <v>9.4066900000000005E-3</v>
      </c>
      <c r="G726" s="1">
        <v>0.58390416708206794</v>
      </c>
      <c r="H726" s="1">
        <f t="shared" si="11"/>
        <v>7.7231742316239789E-3</v>
      </c>
      <c r="I726" s="20">
        <f>E726-N726</f>
        <v>3.7252589491099802E-6</v>
      </c>
      <c r="K726" s="1">
        <v>0.9982516632988685</v>
      </c>
      <c r="L726" s="1">
        <v>3.5843974292485052</v>
      </c>
      <c r="M726" s="1">
        <v>0.24037629117366061</v>
      </c>
      <c r="N726" s="19">
        <v>9.0259543004620919E-3</v>
      </c>
      <c r="O726" s="19">
        <v>9.4057526249999995E-3</v>
      </c>
      <c r="P726" s="1">
        <v>0.58403378678945184</v>
      </c>
    </row>
    <row r="727" spans="1:16" x14ac:dyDescent="0.2">
      <c r="A727" s="1">
        <v>716</v>
      </c>
      <c r="B727" s="1">
        <v>0.99783561694923151</v>
      </c>
      <c r="C727" s="1">
        <v>3.5491949966904275</v>
      </c>
      <c r="D727" s="1">
        <v>0.24271265088774194</v>
      </c>
      <c r="E727" s="19">
        <v>9.0315129242030234E-3</v>
      </c>
      <c r="F727" s="19">
        <v>9.4064999999999999E-3</v>
      </c>
      <c r="G727" s="1">
        <v>0.58340113786703796</v>
      </c>
      <c r="H727" s="1">
        <f t="shared" si="11"/>
        <v>9.5346307128280072E-3</v>
      </c>
      <c r="I727" s="20">
        <f>E727-N727</f>
        <v>4.5900094643950423E-6</v>
      </c>
      <c r="K727" s="1">
        <v>0.99811456965698997</v>
      </c>
      <c r="L727" s="1">
        <v>3.6360049552223925</v>
      </c>
      <c r="M727" s="1">
        <v>0.23691280207652415</v>
      </c>
      <c r="N727" s="19">
        <v>9.0269229147386283E-3</v>
      </c>
      <c r="O727" s="19">
        <v>9.4055646929999993E-3</v>
      </c>
      <c r="P727" s="1">
        <v>0.58356093614714122</v>
      </c>
    </row>
    <row r="728" spans="1:16" x14ac:dyDescent="0.2">
      <c r="A728" s="1">
        <v>717</v>
      </c>
      <c r="B728" s="1">
        <v>0.99796818036022428</v>
      </c>
      <c r="C728" s="1">
        <v>3.5847474761824847</v>
      </c>
      <c r="D728" s="1">
        <v>0.24025877405090276</v>
      </c>
      <c r="E728" s="19">
        <v>9.0332513353905478E-3</v>
      </c>
      <c r="F728" s="19">
        <v>9.4063099999999993E-3</v>
      </c>
      <c r="G728" s="1">
        <v>0.5829016709674617</v>
      </c>
      <c r="H728" s="1">
        <f t="shared" si="11"/>
        <v>1.1171227581852794E-2</v>
      </c>
      <c r="I728" s="20">
        <f>E728-N728</f>
        <v>5.3673527546857502E-6</v>
      </c>
      <c r="K728" s="1">
        <v>0.99830483884104049</v>
      </c>
      <c r="L728" s="1">
        <v>3.5530376130517403</v>
      </c>
      <c r="M728" s="1">
        <v>0.24240222071818168</v>
      </c>
      <c r="N728" s="19">
        <v>9.027883982635862E-3</v>
      </c>
      <c r="O728" s="19">
        <v>9.4053772869999996E-3</v>
      </c>
      <c r="P728" s="1">
        <v>0.58308863711945924</v>
      </c>
    </row>
    <row r="729" spans="1:16" x14ac:dyDescent="0.2">
      <c r="A729" s="1">
        <v>718</v>
      </c>
      <c r="B729" s="1">
        <v>0.99799901123704515</v>
      </c>
      <c r="C729" s="1">
        <v>3.7118515084536257</v>
      </c>
      <c r="D729" s="1">
        <v>0.23197751235342193</v>
      </c>
      <c r="E729" s="19">
        <v>9.0350295688038894E-3</v>
      </c>
      <c r="F729" s="19">
        <v>9.4061200000000005E-3</v>
      </c>
      <c r="G729" s="1">
        <v>0.58240107524703044</v>
      </c>
      <c r="H729" s="1">
        <f t="shared" si="11"/>
        <v>1.2996053149135175E-2</v>
      </c>
      <c r="I729" s="20">
        <f>E729-N729</f>
        <v>6.2319210480006604E-6</v>
      </c>
      <c r="K729" s="1">
        <v>0.99822454700440921</v>
      </c>
      <c r="L729" s="1">
        <v>3.5484792992931311</v>
      </c>
      <c r="M729" s="1">
        <v>0.24265703796402363</v>
      </c>
      <c r="N729" s="19">
        <v>9.0287976477558887E-3</v>
      </c>
      <c r="O729" s="19">
        <v>9.4051904030000005E-3</v>
      </c>
      <c r="P729" s="1">
        <v>0.58261827947793521</v>
      </c>
    </row>
    <row r="730" spans="1:16" x14ac:dyDescent="0.2">
      <c r="A730" s="1">
        <v>719</v>
      </c>
      <c r="B730" s="1">
        <v>0.99788209786620241</v>
      </c>
      <c r="C730" s="1">
        <v>3.6812531331986817</v>
      </c>
      <c r="D730" s="1">
        <v>0.23386379211927844</v>
      </c>
      <c r="E730" s="19">
        <v>9.0369771495048389E-3</v>
      </c>
      <c r="F730" s="19">
        <v>9.4059299999999998E-3</v>
      </c>
      <c r="G730" s="1">
        <v>0.5818948326219644</v>
      </c>
      <c r="H730" s="1">
        <f t="shared" si="11"/>
        <v>1.5272284290022123E-2</v>
      </c>
      <c r="I730" s="20">
        <f>E730-N730</f>
        <v>7.3091876058219846E-6</v>
      </c>
      <c r="K730" s="1">
        <v>0.9982109113285329</v>
      </c>
      <c r="L730" s="1">
        <v>3.5914375851148064</v>
      </c>
      <c r="M730" s="1">
        <v>0.23971042634295528</v>
      </c>
      <c r="N730" s="19">
        <v>9.0296679618990169E-3</v>
      </c>
      <c r="O730" s="19">
        <v>9.4050040399999996E-3</v>
      </c>
      <c r="P730" s="1">
        <v>0.58214972471025406</v>
      </c>
    </row>
    <row r="731" spans="1:16" x14ac:dyDescent="0.2">
      <c r="A731" s="1">
        <v>720</v>
      </c>
      <c r="B731" s="1">
        <v>0.99775659228659219</v>
      </c>
      <c r="C731" s="1">
        <v>3.7911031612030026</v>
      </c>
      <c r="D731" s="1">
        <v>0.22703915495287763</v>
      </c>
      <c r="E731" s="19">
        <v>9.0389687168767902E-3</v>
      </c>
      <c r="F731" s="19">
        <v>9.4057499999999992E-3</v>
      </c>
      <c r="G731" s="1">
        <v>0.58138730692349916</v>
      </c>
      <c r="H731" s="1">
        <f t="shared" si="11"/>
        <v>1.7680352222364526E-2</v>
      </c>
      <c r="I731" s="20">
        <f>E731-N731</f>
        <v>8.445256208269164E-6</v>
      </c>
      <c r="K731" s="1">
        <v>0.99817950886565465</v>
      </c>
      <c r="L731" s="1">
        <v>3.5693914728485185</v>
      </c>
      <c r="M731" s="1">
        <v>0.24113890183734649</v>
      </c>
      <c r="N731" s="19">
        <v>9.0305234606685211E-3</v>
      </c>
      <c r="O731" s="19">
        <v>9.4048181959999998E-3</v>
      </c>
      <c r="P731" s="1">
        <v>0.58168197946053857</v>
      </c>
    </row>
    <row r="732" spans="1:16" x14ac:dyDescent="0.2">
      <c r="F732" s="19">
        <v>9.4055600000000003E-3</v>
      </c>
      <c r="H732" s="1">
        <f t="shared" si="11"/>
        <v>0</v>
      </c>
      <c r="I732" s="20">
        <f>E732-N732</f>
        <v>0</v>
      </c>
      <c r="O732" s="19">
        <v>9.4046328679999996E-3</v>
      </c>
    </row>
    <row r="733" spans="1:16" x14ac:dyDescent="0.2">
      <c r="F733" s="19">
        <v>9.4053699999999997E-3</v>
      </c>
      <c r="H733" s="1">
        <f t="shared" si="11"/>
        <v>0</v>
      </c>
      <c r="I733" s="20">
        <f>E733-N733</f>
        <v>0</v>
      </c>
      <c r="O733" s="19">
        <v>9.4044480529999995E-3</v>
      </c>
    </row>
    <row r="734" spans="1:16" x14ac:dyDescent="0.2">
      <c r="F734" s="19">
        <v>9.4051900000000008E-3</v>
      </c>
      <c r="H734" s="1">
        <f t="shared" si="11"/>
        <v>0</v>
      </c>
      <c r="I734" s="20">
        <f>E734-N734</f>
        <v>0</v>
      </c>
      <c r="O734" s="19">
        <v>9.4042637509999995E-3</v>
      </c>
    </row>
    <row r="735" spans="1:16" x14ac:dyDescent="0.2">
      <c r="F735" s="19">
        <v>9.4050000000000002E-3</v>
      </c>
      <c r="H735" s="1">
        <f t="shared" si="11"/>
        <v>0</v>
      </c>
      <c r="I735" s="20">
        <f>E735-N735</f>
        <v>0</v>
      </c>
      <c r="O735" s="19">
        <v>9.4040799590000002E-3</v>
      </c>
    </row>
    <row r="736" spans="1:16" x14ac:dyDescent="0.2">
      <c r="F736" s="19">
        <v>9.4048199999999995E-3</v>
      </c>
      <c r="H736" s="1">
        <f t="shared" si="11"/>
        <v>0</v>
      </c>
      <c r="I736" s="20">
        <f>E736-N736</f>
        <v>0</v>
      </c>
      <c r="O736" s="19">
        <v>9.403896674E-3</v>
      </c>
    </row>
    <row r="737" spans="6:15" x14ac:dyDescent="0.2">
      <c r="F737" s="19">
        <v>9.4046400000000006E-3</v>
      </c>
      <c r="H737" s="1">
        <f t="shared" si="11"/>
        <v>0</v>
      </c>
      <c r="I737" s="20">
        <f>E737-N737</f>
        <v>0</v>
      </c>
      <c r="O737" s="19">
        <v>9.4037138950000005E-3</v>
      </c>
    </row>
    <row r="738" spans="6:15" x14ac:dyDescent="0.2">
      <c r="F738" s="19">
        <v>9.40445E-3</v>
      </c>
      <c r="H738" s="1">
        <f t="shared" si="11"/>
        <v>0</v>
      </c>
      <c r="I738" s="20">
        <f>E738-N738</f>
        <v>0</v>
      </c>
      <c r="O738" s="19">
        <v>9.4035316200000007E-3</v>
      </c>
    </row>
    <row r="739" spans="6:15" x14ac:dyDescent="0.2">
      <c r="F739" s="19">
        <v>9.4042699999999993E-3</v>
      </c>
      <c r="H739" s="1">
        <f t="shared" si="11"/>
        <v>0</v>
      </c>
      <c r="I739" s="20">
        <f>E739-N739</f>
        <v>0</v>
      </c>
      <c r="O739" s="19">
        <v>9.4033498459999993E-3</v>
      </c>
    </row>
    <row r="740" spans="6:15" x14ac:dyDescent="0.2">
      <c r="F740" s="19">
        <v>9.4040900000000004E-3</v>
      </c>
      <c r="H740" s="1">
        <f t="shared" si="11"/>
        <v>0</v>
      </c>
      <c r="I740" s="20">
        <f>E740-N740</f>
        <v>0</v>
      </c>
      <c r="O740" s="19">
        <v>9.4031685719999994E-3</v>
      </c>
    </row>
    <row r="741" spans="6:15" x14ac:dyDescent="0.2">
      <c r="F741" s="19">
        <v>9.4039099999999997E-3</v>
      </c>
      <c r="H741" s="1">
        <f t="shared" si="11"/>
        <v>0</v>
      </c>
      <c r="I741" s="20">
        <f>E741-N741</f>
        <v>0</v>
      </c>
      <c r="O741" s="19">
        <v>9.4029877939999992E-3</v>
      </c>
    </row>
    <row r="742" spans="6:15" x14ac:dyDescent="0.2">
      <c r="F742" s="19">
        <v>9.4037200000000008E-3</v>
      </c>
      <c r="H742" s="1">
        <f t="shared" si="11"/>
        <v>0</v>
      </c>
      <c r="I742" s="20">
        <f>E742-N742</f>
        <v>0</v>
      </c>
      <c r="O742" s="19">
        <v>9.4028075129999993E-3</v>
      </c>
    </row>
    <row r="743" spans="6:15" x14ac:dyDescent="0.2">
      <c r="F743" s="19">
        <v>9.4035400000000002E-3</v>
      </c>
      <c r="H743" s="1">
        <f t="shared" si="11"/>
        <v>0</v>
      </c>
      <c r="I743" s="20">
        <f>E743-N743</f>
        <v>0</v>
      </c>
      <c r="O743" s="19">
        <v>9.4026277240000008E-3</v>
      </c>
    </row>
    <row r="744" spans="6:15" x14ac:dyDescent="0.2">
      <c r="F744" s="19">
        <v>9.4033599999999995E-3</v>
      </c>
      <c r="H744" s="1">
        <f t="shared" si="11"/>
        <v>0</v>
      </c>
      <c r="I744" s="20">
        <f>E744-N744</f>
        <v>0</v>
      </c>
      <c r="O744" s="19">
        <v>9.4024484270000003E-3</v>
      </c>
    </row>
    <row r="745" spans="6:15" x14ac:dyDescent="0.2">
      <c r="F745" s="19">
        <v>9.4031800000000006E-3</v>
      </c>
      <c r="H745" s="1">
        <f t="shared" si="11"/>
        <v>0</v>
      </c>
      <c r="I745" s="20">
        <f>E745-N745</f>
        <v>0</v>
      </c>
      <c r="O745" s="19">
        <v>9.4022696190000001E-3</v>
      </c>
    </row>
    <row r="746" spans="6:15" x14ac:dyDescent="0.2">
      <c r="F746" s="19">
        <v>9.4029999999999999E-3</v>
      </c>
      <c r="H746" s="1">
        <f t="shared" si="11"/>
        <v>0</v>
      </c>
      <c r="I746" s="20">
        <f>E746-N746</f>
        <v>0</v>
      </c>
      <c r="O746" s="19">
        <v>9.4020912979999993E-3</v>
      </c>
    </row>
    <row r="747" spans="6:15" x14ac:dyDescent="0.2">
      <c r="F747" s="19">
        <v>9.4028299999999992E-3</v>
      </c>
      <c r="H747" s="1">
        <f t="shared" si="11"/>
        <v>0</v>
      </c>
      <c r="I747" s="20">
        <f>E747-N747</f>
        <v>0</v>
      </c>
      <c r="O747" s="19">
        <v>9.4019134620000003E-3</v>
      </c>
    </row>
    <row r="748" spans="6:15" x14ac:dyDescent="0.2">
      <c r="F748" s="19">
        <v>9.4026500000000002E-3</v>
      </c>
      <c r="H748" s="1">
        <f t="shared" si="11"/>
        <v>0</v>
      </c>
      <c r="I748" s="20">
        <f>E748-N748</f>
        <v>0</v>
      </c>
      <c r="O748" s="19">
        <v>9.4017361099999995E-3</v>
      </c>
    </row>
    <row r="749" spans="6:15" x14ac:dyDescent="0.2">
      <c r="F749" s="19">
        <v>9.4024699999999996E-3</v>
      </c>
      <c r="H749" s="1">
        <f t="shared" si="11"/>
        <v>0</v>
      </c>
      <c r="I749" s="20">
        <f>E749-N749</f>
        <v>0</v>
      </c>
      <c r="O749" s="19">
        <v>9.4015592390000007E-3</v>
      </c>
    </row>
    <row r="750" spans="6:15" x14ac:dyDescent="0.2">
      <c r="F750" s="19">
        <v>9.4022900000000006E-3</v>
      </c>
      <c r="H750" s="1">
        <f t="shared" si="11"/>
        <v>0</v>
      </c>
      <c r="I750" s="20">
        <f>E750-N750</f>
        <v>0</v>
      </c>
      <c r="O750" s="19">
        <v>9.4013828479999999E-3</v>
      </c>
    </row>
    <row r="751" spans="6:15" x14ac:dyDescent="0.2">
      <c r="F751" s="19">
        <v>9.4021199999999999E-3</v>
      </c>
      <c r="H751" s="1">
        <f t="shared" si="11"/>
        <v>0</v>
      </c>
      <c r="I751" s="20">
        <f>E751-N751</f>
        <v>0</v>
      </c>
      <c r="O751" s="19">
        <v>9.4012069330000007E-3</v>
      </c>
    </row>
    <row r="752" spans="6:15" x14ac:dyDescent="0.2">
      <c r="F752" s="19">
        <v>9.4019399999999993E-3</v>
      </c>
      <c r="H752" s="1">
        <f t="shared" si="11"/>
        <v>0</v>
      </c>
      <c r="I752" s="20">
        <f>E752-N752</f>
        <v>0</v>
      </c>
      <c r="O752" s="19">
        <v>9.401031495E-3</v>
      </c>
    </row>
    <row r="753" spans="6:15" x14ac:dyDescent="0.2">
      <c r="F753" s="19">
        <v>9.4017600000000003E-3</v>
      </c>
      <c r="H753" s="1">
        <f t="shared" si="11"/>
        <v>0</v>
      </c>
      <c r="I753" s="20">
        <f>E753-N753</f>
        <v>0</v>
      </c>
      <c r="O753" s="19">
        <v>9.4008565289999992E-3</v>
      </c>
    </row>
    <row r="754" spans="6:15" x14ac:dyDescent="0.2">
      <c r="F754" s="19">
        <v>9.4015899999999996E-3</v>
      </c>
      <c r="H754" s="1">
        <f t="shared" si="11"/>
        <v>0</v>
      </c>
      <c r="I754" s="20">
        <f>E754-N754</f>
        <v>0</v>
      </c>
      <c r="O754" s="19">
        <v>9.4006820360000003E-3</v>
      </c>
    </row>
    <row r="755" spans="6:15" x14ac:dyDescent="0.2">
      <c r="F755" s="19">
        <v>9.4014100000000007E-3</v>
      </c>
      <c r="H755" s="1">
        <f t="shared" si="11"/>
        <v>0</v>
      </c>
      <c r="I755" s="20">
        <f>E755-N755</f>
        <v>0</v>
      </c>
      <c r="O755" s="19">
        <v>9.4005080120000001E-3</v>
      </c>
    </row>
    <row r="756" spans="6:15" x14ac:dyDescent="0.2">
      <c r="F756" s="19">
        <v>9.4012399999999999E-3</v>
      </c>
      <c r="H756" s="1">
        <f t="shared" si="11"/>
        <v>0</v>
      </c>
      <c r="I756" s="20">
        <f>E756-N756</f>
        <v>0</v>
      </c>
      <c r="O756" s="19">
        <v>9.4003344559999997E-3</v>
      </c>
    </row>
    <row r="757" spans="6:15" x14ac:dyDescent="0.2">
      <c r="F757" s="19">
        <v>9.4010599999999993E-3</v>
      </c>
      <c r="H757" s="1">
        <f t="shared" si="11"/>
        <v>0</v>
      </c>
      <c r="I757" s="20">
        <f>E757-N757</f>
        <v>0</v>
      </c>
      <c r="O757" s="19">
        <v>9.400161366E-3</v>
      </c>
    </row>
    <row r="758" spans="6:15" x14ac:dyDescent="0.2">
      <c r="F758" s="19">
        <v>9.4008900000000003E-3</v>
      </c>
      <c r="H758" s="1">
        <f t="shared" si="11"/>
        <v>0</v>
      </c>
      <c r="I758" s="20">
        <f>E758-N758</f>
        <v>0</v>
      </c>
      <c r="O758" s="19">
        <v>9.3999887400000003E-3</v>
      </c>
    </row>
    <row r="759" spans="6:15" x14ac:dyDescent="0.2">
      <c r="F759" s="19">
        <v>9.4007199999999996E-3</v>
      </c>
      <c r="H759" s="1">
        <f t="shared" si="11"/>
        <v>0</v>
      </c>
      <c r="I759" s="20">
        <f>E759-N759</f>
        <v>0</v>
      </c>
      <c r="O759" s="19">
        <v>9.3998165769999999E-3</v>
      </c>
    </row>
    <row r="760" spans="6:15" x14ac:dyDescent="0.2">
      <c r="F760" s="19">
        <v>9.4005400000000006E-3</v>
      </c>
      <c r="H760" s="1">
        <f t="shared" si="11"/>
        <v>0</v>
      </c>
      <c r="I760" s="20">
        <f>E760-N760</f>
        <v>0</v>
      </c>
      <c r="O760" s="19">
        <v>9.3996448730000008E-3</v>
      </c>
    </row>
    <row r="761" spans="6:15" x14ac:dyDescent="0.2">
      <c r="F761" s="19">
        <v>9.4003699999999999E-3</v>
      </c>
      <c r="H761" s="1">
        <f t="shared" si="11"/>
        <v>0</v>
      </c>
      <c r="I761" s="20">
        <f>E761-N761</f>
        <v>0</v>
      </c>
      <c r="O761" s="19">
        <v>9.3994736279999994E-3</v>
      </c>
    </row>
    <row r="762" spans="6:15" x14ac:dyDescent="0.2">
      <c r="F762" s="19">
        <v>9.4001999999999992E-3</v>
      </c>
      <c r="H762" s="1">
        <f t="shared" si="11"/>
        <v>0</v>
      </c>
      <c r="I762" s="20">
        <f>E762-N762</f>
        <v>0</v>
      </c>
      <c r="O762" s="19">
        <v>9.3993028400000001E-3</v>
      </c>
    </row>
    <row r="763" spans="6:15" x14ac:dyDescent="0.2">
      <c r="F763" s="19">
        <v>9.4000300000000002E-3</v>
      </c>
      <c r="H763" s="1">
        <f t="shared" si="11"/>
        <v>0</v>
      </c>
      <c r="I763" s="20">
        <f>E763-N763</f>
        <v>0</v>
      </c>
      <c r="O763" s="19">
        <v>9.3991325070000003E-3</v>
      </c>
    </row>
    <row r="764" spans="6:15" x14ac:dyDescent="0.2">
      <c r="F764" s="19">
        <v>9.3998599999999995E-3</v>
      </c>
      <c r="H764" s="1">
        <f t="shared" si="11"/>
        <v>0</v>
      </c>
      <c r="I764" s="20">
        <f>E764-N764</f>
        <v>0</v>
      </c>
      <c r="O764" s="19">
        <v>9.3989626270000008E-3</v>
      </c>
    </row>
    <row r="765" spans="6:15" x14ac:dyDescent="0.2">
      <c r="F765" s="19">
        <v>9.3996900000000005E-3</v>
      </c>
      <c r="H765" s="1">
        <f t="shared" si="11"/>
        <v>0</v>
      </c>
      <c r="I765" s="20">
        <f>E765-N765</f>
        <v>0</v>
      </c>
      <c r="O765" s="19">
        <v>9.3987931980000008E-3</v>
      </c>
    </row>
    <row r="766" spans="6:15" x14ac:dyDescent="0.2">
      <c r="F766" s="19">
        <v>9.3995199999999998E-3</v>
      </c>
      <c r="H766" s="1">
        <f t="shared" si="11"/>
        <v>0</v>
      </c>
      <c r="I766" s="20">
        <f>E766-N766</f>
        <v>0</v>
      </c>
      <c r="O766" s="19">
        <v>9.3986242179999995E-3</v>
      </c>
    </row>
    <row r="767" spans="6:15" x14ac:dyDescent="0.2">
      <c r="F767" s="19">
        <v>9.3993500000000008E-3</v>
      </c>
      <c r="H767" s="1">
        <f t="shared" si="11"/>
        <v>0</v>
      </c>
      <c r="I767" s="20">
        <f>E767-N767</f>
        <v>0</v>
      </c>
      <c r="O767" s="19">
        <v>9.3984556859999999E-3</v>
      </c>
    </row>
    <row r="768" spans="6:15" x14ac:dyDescent="0.2">
      <c r="F768" s="19">
        <v>9.39918E-3</v>
      </c>
      <c r="H768" s="1">
        <f t="shared" si="11"/>
        <v>0</v>
      </c>
      <c r="I768" s="20">
        <f>E768-N768</f>
        <v>0</v>
      </c>
      <c r="O768" s="19">
        <v>9.3982875999999993E-3</v>
      </c>
    </row>
    <row r="769" spans="6:15" x14ac:dyDescent="0.2">
      <c r="F769" s="19">
        <v>9.3990099999999993E-3</v>
      </c>
      <c r="H769" s="1">
        <f t="shared" si="11"/>
        <v>0</v>
      </c>
      <c r="I769" s="20">
        <f>E769-N769</f>
        <v>0</v>
      </c>
      <c r="O769" s="19">
        <v>9.3981199580000004E-3</v>
      </c>
    </row>
    <row r="770" spans="6:15" x14ac:dyDescent="0.2">
      <c r="F770" s="19">
        <v>9.3988400000000003E-3</v>
      </c>
      <c r="H770" s="1">
        <f t="shared" si="11"/>
        <v>0</v>
      </c>
      <c r="I770" s="20">
        <f>E770-N770</f>
        <v>0</v>
      </c>
      <c r="O770" s="19">
        <v>9.3979527589999994E-3</v>
      </c>
    </row>
    <row r="771" spans="6:15" x14ac:dyDescent="0.2">
      <c r="F771" s="19">
        <v>9.3986699999999996E-3</v>
      </c>
      <c r="H771" s="1">
        <f t="shared" si="11"/>
        <v>0</v>
      </c>
      <c r="I771" s="20">
        <f>E771-N771</f>
        <v>0</v>
      </c>
      <c r="O771" s="19">
        <v>9.397786E-3</v>
      </c>
    </row>
    <row r="772" spans="6:15" x14ac:dyDescent="0.2">
      <c r="F772" s="19">
        <v>9.3985100000000005E-3</v>
      </c>
      <c r="H772" s="1">
        <f t="shared" si="11"/>
        <v>0</v>
      </c>
      <c r="I772" s="20">
        <f>E772-N772</f>
        <v>0</v>
      </c>
      <c r="O772" s="19">
        <v>9.3976196789999997E-3</v>
      </c>
    </row>
    <row r="773" spans="6:15" x14ac:dyDescent="0.2">
      <c r="F773" s="19">
        <v>9.3983399999999998E-3</v>
      </c>
      <c r="H773" s="1">
        <f t="shared" si="11"/>
        <v>0</v>
      </c>
      <c r="I773" s="20">
        <f>E773-N773</f>
        <v>0</v>
      </c>
      <c r="O773" s="19">
        <v>9.3974537970000008E-3</v>
      </c>
    </row>
    <row r="774" spans="6:15" x14ac:dyDescent="0.2">
      <c r="F774" s="19">
        <v>9.3981700000000008E-3</v>
      </c>
      <c r="H774" s="1">
        <f t="shared" si="11"/>
        <v>0</v>
      </c>
      <c r="I774" s="20">
        <f>E774-N774</f>
        <v>0</v>
      </c>
      <c r="O774" s="19">
        <v>9.3972883489999992E-3</v>
      </c>
    </row>
    <row r="775" spans="6:15" x14ac:dyDescent="0.2">
      <c r="F775" s="19">
        <v>9.39801E-3</v>
      </c>
      <c r="H775" s="1">
        <f t="shared" si="11"/>
        <v>0</v>
      </c>
      <c r="I775" s="20">
        <f>E775-N775</f>
        <v>0</v>
      </c>
      <c r="O775" s="19">
        <v>9.3971233350000002E-3</v>
      </c>
    </row>
    <row r="776" spans="6:15" x14ac:dyDescent="0.2">
      <c r="F776" s="19">
        <v>9.3978399999999993E-3</v>
      </c>
      <c r="H776" s="1">
        <f t="shared" si="11"/>
        <v>0</v>
      </c>
      <c r="I776" s="20">
        <f>E776-N776</f>
        <v>0</v>
      </c>
      <c r="O776" s="19">
        <v>9.3969587529999996E-3</v>
      </c>
    </row>
    <row r="777" spans="6:15" x14ac:dyDescent="0.2">
      <c r="F777" s="19">
        <v>9.3976800000000003E-3</v>
      </c>
      <c r="H777" s="1">
        <f t="shared" si="11"/>
        <v>0</v>
      </c>
      <c r="I777" s="20">
        <f>E777-N777</f>
        <v>0</v>
      </c>
      <c r="O777" s="19">
        <v>9.3967946020000002E-3</v>
      </c>
    </row>
    <row r="778" spans="6:15" x14ac:dyDescent="0.2">
      <c r="F778" s="19">
        <v>9.3975099999999995E-3</v>
      </c>
      <c r="H778" s="1">
        <f t="shared" si="11"/>
        <v>0</v>
      </c>
      <c r="I778" s="20">
        <f>E778-N778</f>
        <v>0</v>
      </c>
      <c r="O778" s="19">
        <v>9.3966308790000008E-3</v>
      </c>
    </row>
    <row r="779" spans="6:15" x14ac:dyDescent="0.2">
      <c r="F779" s="19">
        <v>9.3973500000000005E-3</v>
      </c>
      <c r="H779" s="1">
        <f t="shared" si="11"/>
        <v>0</v>
      </c>
      <c r="I779" s="20">
        <f>E779-N779</f>
        <v>0</v>
      </c>
      <c r="O779" s="19">
        <v>9.3964675829999993E-3</v>
      </c>
    </row>
    <row r="780" spans="6:15" x14ac:dyDescent="0.2">
      <c r="F780" s="19">
        <v>9.3971799999999998E-3</v>
      </c>
      <c r="H780" s="1">
        <f t="shared" si="11"/>
        <v>0</v>
      </c>
      <c r="I780" s="20">
        <f>E780-N780</f>
        <v>0</v>
      </c>
      <c r="O780" s="19">
        <v>9.396304712E-3</v>
      </c>
    </row>
    <row r="781" spans="6:15" x14ac:dyDescent="0.2">
      <c r="F781" s="19">
        <v>9.3970200000000007E-3</v>
      </c>
      <c r="H781" s="1">
        <f t="shared" ref="H781:H844" si="12">(P781-G781)*A781/12</f>
        <v>0</v>
      </c>
      <c r="I781" s="20">
        <f>E781-N781</f>
        <v>0</v>
      </c>
      <c r="O781" s="19">
        <v>9.3961422650000008E-3</v>
      </c>
    </row>
    <row r="782" spans="6:15" x14ac:dyDescent="0.2">
      <c r="F782" s="19">
        <v>9.3968599999999999E-3</v>
      </c>
      <c r="H782" s="1">
        <f t="shared" si="12"/>
        <v>0</v>
      </c>
      <c r="I782" s="20">
        <f>E782-N782</f>
        <v>0</v>
      </c>
      <c r="O782" s="19">
        <v>9.3959802400000007E-3</v>
      </c>
    </row>
    <row r="783" spans="6:15" x14ac:dyDescent="0.2">
      <c r="F783" s="19">
        <v>9.3966999999999992E-3</v>
      </c>
      <c r="H783" s="1">
        <f t="shared" si="12"/>
        <v>0</v>
      </c>
      <c r="I783" s="20">
        <f>E783-N783</f>
        <v>0</v>
      </c>
      <c r="O783" s="19">
        <v>9.3958186350000007E-3</v>
      </c>
    </row>
    <row r="784" spans="6:15" x14ac:dyDescent="0.2">
      <c r="F784" s="19">
        <v>9.3965300000000002E-3</v>
      </c>
      <c r="H784" s="1">
        <f t="shared" si="12"/>
        <v>0</v>
      </c>
      <c r="I784" s="20">
        <f>E784-N784</f>
        <v>0</v>
      </c>
      <c r="O784" s="19">
        <v>9.3956574490000003E-3</v>
      </c>
    </row>
    <row r="785" spans="6:15" x14ac:dyDescent="0.2">
      <c r="F785" s="19">
        <v>9.3963699999999994E-3</v>
      </c>
      <c r="H785" s="1">
        <f t="shared" si="12"/>
        <v>0</v>
      </c>
      <c r="I785" s="20">
        <f>E785-N785</f>
        <v>0</v>
      </c>
      <c r="O785" s="19">
        <v>9.3954966800000005E-3</v>
      </c>
    </row>
    <row r="786" spans="6:15" x14ac:dyDescent="0.2">
      <c r="F786" s="19">
        <v>9.3962100000000003E-3</v>
      </c>
      <c r="H786" s="1">
        <f t="shared" si="12"/>
        <v>0</v>
      </c>
      <c r="I786" s="20">
        <f>E786-N786</f>
        <v>0</v>
      </c>
      <c r="O786" s="19">
        <v>9.3953363260000002E-3</v>
      </c>
    </row>
    <row r="787" spans="6:15" x14ac:dyDescent="0.2">
      <c r="F787" s="19">
        <v>9.3960499999999995E-3</v>
      </c>
      <c r="H787" s="1">
        <f t="shared" si="12"/>
        <v>0</v>
      </c>
      <c r="I787" s="20">
        <f>E787-N787</f>
        <v>0</v>
      </c>
      <c r="O787" s="19">
        <v>9.3951763869999996E-3</v>
      </c>
    </row>
    <row r="788" spans="6:15" x14ac:dyDescent="0.2">
      <c r="F788" s="19">
        <v>9.3958900000000005E-3</v>
      </c>
      <c r="H788" s="1">
        <f t="shared" si="12"/>
        <v>0</v>
      </c>
      <c r="I788" s="20">
        <f>E788-N788</f>
        <v>0</v>
      </c>
      <c r="O788" s="19">
        <v>9.3950168590000004E-3</v>
      </c>
    </row>
    <row r="789" spans="6:15" x14ac:dyDescent="0.2">
      <c r="F789" s="19">
        <v>9.3957299999999997E-3</v>
      </c>
      <c r="H789" s="1">
        <f t="shared" si="12"/>
        <v>0</v>
      </c>
      <c r="I789" s="20">
        <f>E789-N789</f>
        <v>0</v>
      </c>
      <c r="O789" s="19">
        <v>9.3948577419999992E-3</v>
      </c>
    </row>
    <row r="790" spans="6:15" x14ac:dyDescent="0.2">
      <c r="F790" s="19">
        <v>9.3955700000000007E-3</v>
      </c>
      <c r="H790" s="1">
        <f t="shared" si="12"/>
        <v>0</v>
      </c>
      <c r="I790" s="20">
        <f>E790-N790</f>
        <v>0</v>
      </c>
      <c r="O790" s="19">
        <v>9.3946990350000006E-3</v>
      </c>
    </row>
    <row r="791" spans="6:15" x14ac:dyDescent="0.2">
      <c r="F791" s="19">
        <v>9.3954099999999999E-3</v>
      </c>
      <c r="H791" s="1">
        <f t="shared" si="12"/>
        <v>0</v>
      </c>
      <c r="I791" s="20">
        <f>E791-N791</f>
        <v>0</v>
      </c>
      <c r="O791" s="19">
        <v>9.3945407339999995E-3</v>
      </c>
    </row>
    <row r="792" spans="6:15" x14ac:dyDescent="0.2">
      <c r="F792" s="19">
        <v>9.3952500000000008E-3</v>
      </c>
      <c r="H792" s="1">
        <f t="shared" si="12"/>
        <v>0</v>
      </c>
      <c r="I792" s="20">
        <f>E792-N792</f>
        <v>0</v>
      </c>
      <c r="O792" s="19">
        <v>9.3943828399999998E-3</v>
      </c>
    </row>
    <row r="793" spans="6:15" x14ac:dyDescent="0.2">
      <c r="F793" s="19">
        <v>9.39509E-3</v>
      </c>
      <c r="H793" s="1">
        <f t="shared" si="12"/>
        <v>0</v>
      </c>
      <c r="I793" s="20">
        <f>E793-N793</f>
        <v>0</v>
      </c>
      <c r="O793" s="19">
        <v>9.3942253500000003E-3</v>
      </c>
    </row>
    <row r="794" spans="6:15" x14ac:dyDescent="0.2">
      <c r="F794" s="19">
        <v>9.3949399999999992E-3</v>
      </c>
      <c r="H794" s="1">
        <f t="shared" si="12"/>
        <v>0</v>
      </c>
      <c r="I794" s="20">
        <f>E794-N794</f>
        <v>0</v>
      </c>
      <c r="O794" s="19">
        <v>9.3940682630000005E-3</v>
      </c>
    </row>
    <row r="795" spans="6:15" x14ac:dyDescent="0.2">
      <c r="F795" s="19">
        <v>9.3947800000000001E-3</v>
      </c>
      <c r="H795" s="1">
        <f t="shared" si="12"/>
        <v>0</v>
      </c>
      <c r="I795" s="20">
        <f>E795-N795</f>
        <v>0</v>
      </c>
      <c r="O795" s="19">
        <v>9.3939115769999994E-3</v>
      </c>
    </row>
    <row r="796" spans="6:15" x14ac:dyDescent="0.2">
      <c r="F796" s="19">
        <v>9.3946199999999994E-3</v>
      </c>
      <c r="H796" s="1">
        <f t="shared" si="12"/>
        <v>0</v>
      </c>
      <c r="I796" s="20">
        <f>E796-N796</f>
        <v>0</v>
      </c>
      <c r="O796" s="19">
        <v>9.3937552899999999E-3</v>
      </c>
    </row>
    <row r="797" spans="6:15" x14ac:dyDescent="0.2">
      <c r="F797" s="19">
        <v>9.3944600000000003E-3</v>
      </c>
      <c r="H797" s="1">
        <f t="shared" si="12"/>
        <v>0</v>
      </c>
      <c r="I797" s="20">
        <f>E797-N797</f>
        <v>0</v>
      </c>
      <c r="O797" s="19">
        <v>9.3935994030000004E-3</v>
      </c>
    </row>
    <row r="798" spans="6:15" x14ac:dyDescent="0.2">
      <c r="F798" s="19">
        <v>9.3943099999999995E-3</v>
      </c>
      <c r="H798" s="1">
        <f t="shared" si="12"/>
        <v>0</v>
      </c>
      <c r="I798" s="20">
        <f>E798-N798</f>
        <v>0</v>
      </c>
      <c r="O798" s="19">
        <v>9.3934439110000007E-3</v>
      </c>
    </row>
    <row r="799" spans="6:15" x14ac:dyDescent="0.2">
      <c r="F799" s="19">
        <v>9.3941500000000004E-3</v>
      </c>
      <c r="H799" s="1">
        <f t="shared" si="12"/>
        <v>0</v>
      </c>
      <c r="I799" s="20">
        <f>E799-N799</f>
        <v>0</v>
      </c>
      <c r="O799" s="19">
        <v>9.3932888149999994E-3</v>
      </c>
    </row>
    <row r="800" spans="6:15" x14ac:dyDescent="0.2">
      <c r="F800" s="19">
        <v>9.3939999999999996E-3</v>
      </c>
      <c r="H800" s="1">
        <f t="shared" si="12"/>
        <v>0</v>
      </c>
      <c r="I800" s="20">
        <f>E800-N800</f>
        <v>0</v>
      </c>
      <c r="O800" s="19">
        <v>9.3931341129999991E-3</v>
      </c>
    </row>
    <row r="801" spans="6:15" x14ac:dyDescent="0.2">
      <c r="F801" s="19">
        <v>9.3938400000000005E-3</v>
      </c>
      <c r="H801" s="1">
        <f t="shared" si="12"/>
        <v>0</v>
      </c>
      <c r="I801" s="20">
        <f>E801-N801</f>
        <v>0</v>
      </c>
      <c r="O801" s="19">
        <v>9.3929798020000004E-3</v>
      </c>
    </row>
    <row r="802" spans="6:15" x14ac:dyDescent="0.2">
      <c r="F802" s="19">
        <v>9.3936899999999997E-3</v>
      </c>
      <c r="H802" s="1">
        <f t="shared" si="12"/>
        <v>0</v>
      </c>
      <c r="I802" s="20">
        <f>E802-N802</f>
        <v>0</v>
      </c>
      <c r="O802" s="19">
        <v>9.392825883E-3</v>
      </c>
    </row>
    <row r="803" spans="6:15" x14ac:dyDescent="0.2">
      <c r="F803" s="19">
        <v>9.3935300000000006E-3</v>
      </c>
      <c r="H803" s="1">
        <f t="shared" si="12"/>
        <v>0</v>
      </c>
      <c r="I803" s="20">
        <f>E803-N803</f>
        <v>0</v>
      </c>
      <c r="O803" s="19">
        <v>9.3926723519999998E-3</v>
      </c>
    </row>
    <row r="804" spans="6:15" x14ac:dyDescent="0.2">
      <c r="F804" s="19">
        <v>9.3933799999999998E-3</v>
      </c>
      <c r="H804" s="1">
        <f t="shared" si="12"/>
        <v>0</v>
      </c>
      <c r="I804" s="20">
        <f>E804-N804</f>
        <v>0</v>
      </c>
      <c r="O804" s="19">
        <v>9.3925192100000002E-3</v>
      </c>
    </row>
    <row r="805" spans="6:15" x14ac:dyDescent="0.2">
      <c r="F805" s="19">
        <v>9.3932200000000007E-3</v>
      </c>
      <c r="H805" s="1">
        <f t="shared" si="12"/>
        <v>0</v>
      </c>
      <c r="I805" s="20">
        <f>E805-N805</f>
        <v>0</v>
      </c>
      <c r="O805" s="19">
        <v>9.3923664529999996E-3</v>
      </c>
    </row>
    <row r="806" spans="6:15" x14ac:dyDescent="0.2">
      <c r="F806" s="19">
        <v>9.3930699999999999E-3</v>
      </c>
      <c r="H806" s="1">
        <f t="shared" si="12"/>
        <v>0</v>
      </c>
      <c r="I806" s="20">
        <f>E806-N806</f>
        <v>0</v>
      </c>
      <c r="O806" s="19">
        <v>9.392214082E-3</v>
      </c>
    </row>
    <row r="807" spans="6:15" x14ac:dyDescent="0.2">
      <c r="F807" s="19">
        <v>9.3929200000000008E-3</v>
      </c>
      <c r="H807" s="1">
        <f t="shared" si="12"/>
        <v>0</v>
      </c>
      <c r="I807" s="20">
        <f>E807-N807</f>
        <v>0</v>
      </c>
      <c r="O807" s="19">
        <v>9.3920620929999997E-3</v>
      </c>
    </row>
    <row r="808" spans="6:15" x14ac:dyDescent="0.2">
      <c r="F808" s="19">
        <v>9.3927699999999999E-3</v>
      </c>
      <c r="H808" s="1">
        <f t="shared" si="12"/>
        <v>0</v>
      </c>
      <c r="I808" s="20">
        <f>E808-N808</f>
        <v>0</v>
      </c>
      <c r="O808" s="19">
        <v>9.3919104869999992E-3</v>
      </c>
    </row>
    <row r="809" spans="6:15" x14ac:dyDescent="0.2">
      <c r="F809" s="19">
        <v>9.3926099999999992E-3</v>
      </c>
      <c r="H809" s="1">
        <f t="shared" si="12"/>
        <v>0</v>
      </c>
      <c r="I809" s="20">
        <f>E809-N809</f>
        <v>0</v>
      </c>
      <c r="O809" s="19">
        <v>9.3917592610000006E-3</v>
      </c>
    </row>
    <row r="810" spans="6:15" x14ac:dyDescent="0.2">
      <c r="F810" s="19">
        <v>9.39246E-3</v>
      </c>
      <c r="H810" s="1">
        <f t="shared" si="12"/>
        <v>0</v>
      </c>
      <c r="I810" s="20">
        <f>E810-N810</f>
        <v>0</v>
      </c>
      <c r="O810" s="19">
        <v>9.3916084140000002E-3</v>
      </c>
    </row>
    <row r="811" spans="6:15" x14ac:dyDescent="0.2">
      <c r="F811" s="19">
        <v>9.3923099999999992E-3</v>
      </c>
      <c r="H811" s="1">
        <f t="shared" si="12"/>
        <v>0</v>
      </c>
      <c r="I811" s="20">
        <f>E811-N811</f>
        <v>0</v>
      </c>
      <c r="O811" s="19">
        <v>9.3914579450000008E-3</v>
      </c>
    </row>
    <row r="812" spans="6:15" x14ac:dyDescent="0.2">
      <c r="F812" s="19">
        <v>9.3921600000000001E-3</v>
      </c>
      <c r="H812" s="1">
        <f t="shared" si="12"/>
        <v>0</v>
      </c>
      <c r="I812" s="20">
        <f>E812-N812</f>
        <v>0</v>
      </c>
      <c r="O812" s="19">
        <v>9.3913078519999998E-3</v>
      </c>
    </row>
    <row r="813" spans="6:15" x14ac:dyDescent="0.2">
      <c r="F813" s="19">
        <v>9.3920099999999992E-3</v>
      </c>
      <c r="H813" s="1">
        <f t="shared" si="12"/>
        <v>0</v>
      </c>
      <c r="I813" s="20">
        <f>E813-N813</f>
        <v>0</v>
      </c>
      <c r="O813" s="19">
        <v>9.3911581340000005E-3</v>
      </c>
    </row>
    <row r="814" spans="6:15" x14ac:dyDescent="0.2">
      <c r="F814" s="19">
        <v>9.3918600000000001E-3</v>
      </c>
      <c r="H814" s="1">
        <f t="shared" si="12"/>
        <v>0</v>
      </c>
      <c r="I814" s="20">
        <f>E814-N814</f>
        <v>0</v>
      </c>
      <c r="O814" s="19">
        <v>9.3910087890000001E-3</v>
      </c>
    </row>
    <row r="815" spans="6:15" x14ac:dyDescent="0.2">
      <c r="F815" s="19">
        <v>9.3917099999999993E-3</v>
      </c>
      <c r="H815" s="1">
        <f t="shared" si="12"/>
        <v>0</v>
      </c>
      <c r="I815" s="20">
        <f>E815-N815</f>
        <v>0</v>
      </c>
      <c r="O815" s="19">
        <v>9.3908598159999999E-3</v>
      </c>
    </row>
    <row r="816" spans="6:15" x14ac:dyDescent="0.2">
      <c r="F816" s="19">
        <v>9.3915600000000002E-3</v>
      </c>
      <c r="H816" s="1">
        <f t="shared" si="12"/>
        <v>0</v>
      </c>
      <c r="I816" s="20">
        <f>E816-N816</f>
        <v>0</v>
      </c>
      <c r="O816" s="19">
        <v>9.3907112130000008E-3</v>
      </c>
    </row>
    <row r="817" spans="6:15" x14ac:dyDescent="0.2">
      <c r="F817" s="19">
        <v>9.3914099999999993E-3</v>
      </c>
      <c r="H817" s="1">
        <f t="shared" si="12"/>
        <v>0</v>
      </c>
      <c r="I817" s="20">
        <f>E817-N817</f>
        <v>0</v>
      </c>
      <c r="O817" s="19">
        <v>9.3905629799999994E-3</v>
      </c>
    </row>
    <row r="818" spans="6:15" x14ac:dyDescent="0.2">
      <c r="F818" s="19">
        <v>9.3912600000000002E-3</v>
      </c>
      <c r="H818" s="1">
        <f t="shared" si="12"/>
        <v>0</v>
      </c>
      <c r="I818" s="20">
        <f>E818-N818</f>
        <v>0</v>
      </c>
      <c r="O818" s="19">
        <v>9.390415115E-3</v>
      </c>
    </row>
    <row r="819" spans="6:15" x14ac:dyDescent="0.2">
      <c r="F819" s="19">
        <v>9.3911099999999994E-3</v>
      </c>
      <c r="H819" s="1">
        <f t="shared" si="12"/>
        <v>0</v>
      </c>
      <c r="I819" s="20">
        <f>E819-N819</f>
        <v>0</v>
      </c>
      <c r="O819" s="19">
        <v>9.390267616E-3</v>
      </c>
    </row>
    <row r="820" spans="6:15" x14ac:dyDescent="0.2">
      <c r="F820" s="19">
        <v>9.3909600000000003E-3</v>
      </c>
      <c r="H820" s="1">
        <f t="shared" si="12"/>
        <v>0</v>
      </c>
      <c r="I820" s="20">
        <f>E820-N820</f>
        <v>0</v>
      </c>
      <c r="O820" s="19">
        <v>9.3901204829999994E-3</v>
      </c>
    </row>
    <row r="821" spans="6:15" x14ac:dyDescent="0.2">
      <c r="F821" s="19">
        <v>9.3908199999999994E-3</v>
      </c>
      <c r="H821" s="1">
        <f t="shared" si="12"/>
        <v>0</v>
      </c>
      <c r="I821" s="20">
        <f>E821-N821</f>
        <v>0</v>
      </c>
      <c r="O821" s="19">
        <v>9.3899737130000004E-3</v>
      </c>
    </row>
    <row r="822" spans="6:15" x14ac:dyDescent="0.2">
      <c r="F822" s="19">
        <v>9.3906700000000003E-3</v>
      </c>
      <c r="H822" s="1">
        <f t="shared" si="12"/>
        <v>0</v>
      </c>
      <c r="I822" s="20">
        <f>E822-N822</f>
        <v>0</v>
      </c>
      <c r="O822" s="19">
        <v>9.3898273050000008E-3</v>
      </c>
    </row>
    <row r="823" spans="6:15" x14ac:dyDescent="0.2">
      <c r="F823" s="19">
        <v>9.3905199999999994E-3</v>
      </c>
      <c r="H823" s="1">
        <f t="shared" si="12"/>
        <v>0</v>
      </c>
      <c r="I823" s="20">
        <f>E823-N823</f>
        <v>0</v>
      </c>
      <c r="O823" s="19">
        <v>9.3896812590000007E-3</v>
      </c>
    </row>
    <row r="824" spans="6:15" x14ac:dyDescent="0.2">
      <c r="F824" s="19">
        <v>9.3903800000000003E-3</v>
      </c>
      <c r="H824" s="1">
        <f t="shared" si="12"/>
        <v>0</v>
      </c>
      <c r="I824" s="20">
        <f>E824-N824</f>
        <v>0</v>
      </c>
      <c r="O824" s="19">
        <v>9.3895355720000004E-3</v>
      </c>
    </row>
    <row r="825" spans="6:15" x14ac:dyDescent="0.2">
      <c r="F825" s="19">
        <v>9.3902299999999994E-3</v>
      </c>
      <c r="H825" s="1">
        <f t="shared" si="12"/>
        <v>0</v>
      </c>
      <c r="I825" s="20">
        <f>E825-N825</f>
        <v>0</v>
      </c>
      <c r="O825" s="19">
        <v>9.389390244E-3</v>
      </c>
    </row>
    <row r="826" spans="6:15" x14ac:dyDescent="0.2">
      <c r="F826" s="19">
        <v>9.3900800000000003E-3</v>
      </c>
      <c r="H826" s="1">
        <f t="shared" si="12"/>
        <v>0</v>
      </c>
      <c r="I826" s="20">
        <f>E826-N826</f>
        <v>0</v>
      </c>
      <c r="O826" s="19">
        <v>9.3892452730000003E-3</v>
      </c>
    </row>
    <row r="827" spans="6:15" x14ac:dyDescent="0.2">
      <c r="F827" s="19">
        <v>9.3899399999999994E-3</v>
      </c>
      <c r="H827" s="1">
        <f t="shared" si="12"/>
        <v>0</v>
      </c>
      <c r="I827" s="20">
        <f>E827-N827</f>
        <v>0</v>
      </c>
      <c r="O827" s="19">
        <v>9.3891006579999992E-3</v>
      </c>
    </row>
    <row r="828" spans="6:15" x14ac:dyDescent="0.2">
      <c r="F828" s="19">
        <v>9.3897900000000003E-3</v>
      </c>
      <c r="H828" s="1">
        <f t="shared" si="12"/>
        <v>0</v>
      </c>
      <c r="I828" s="20">
        <f>E828-N828</f>
        <v>0</v>
      </c>
      <c r="O828" s="19">
        <v>9.3889563969999992E-3</v>
      </c>
    </row>
    <row r="829" spans="6:15" x14ac:dyDescent="0.2">
      <c r="F829" s="19">
        <v>9.3896499999999994E-3</v>
      </c>
      <c r="H829" s="1">
        <f t="shared" si="12"/>
        <v>0</v>
      </c>
      <c r="I829" s="20">
        <f>E829-N829</f>
        <v>0</v>
      </c>
      <c r="O829" s="19">
        <v>9.3888124890000001E-3</v>
      </c>
    </row>
    <row r="830" spans="6:15" x14ac:dyDescent="0.2">
      <c r="F830" s="19">
        <v>9.3895000000000003E-3</v>
      </c>
      <c r="H830" s="1">
        <f t="shared" si="12"/>
        <v>0</v>
      </c>
      <c r="I830" s="20">
        <f>E830-N830</f>
        <v>0</v>
      </c>
      <c r="O830" s="19">
        <v>9.3886689329999995E-3</v>
      </c>
    </row>
    <row r="831" spans="6:15" x14ac:dyDescent="0.2">
      <c r="F831" s="19">
        <v>9.3893599999999994E-3</v>
      </c>
      <c r="H831" s="1">
        <f t="shared" si="12"/>
        <v>0</v>
      </c>
      <c r="I831" s="20">
        <f>E831-N831</f>
        <v>0</v>
      </c>
      <c r="O831" s="19">
        <v>9.3885257280000006E-3</v>
      </c>
    </row>
    <row r="832" spans="6:15" x14ac:dyDescent="0.2">
      <c r="F832" s="19">
        <v>9.3892200000000002E-3</v>
      </c>
      <c r="H832" s="1">
        <f t="shared" si="12"/>
        <v>0</v>
      </c>
      <c r="I832" s="20">
        <f>E832-N832</f>
        <v>0</v>
      </c>
      <c r="O832" s="19">
        <v>9.3883828720000007E-3</v>
      </c>
    </row>
    <row r="833" spans="6:15" x14ac:dyDescent="0.2">
      <c r="F833" s="19">
        <v>9.3890699999999994E-3</v>
      </c>
      <c r="H833" s="1">
        <f t="shared" si="12"/>
        <v>0</v>
      </c>
      <c r="I833" s="20">
        <f>E833-N833</f>
        <v>0</v>
      </c>
      <c r="O833" s="19">
        <v>9.3882403639999994E-3</v>
      </c>
    </row>
    <row r="834" spans="6:15" x14ac:dyDescent="0.2">
      <c r="F834" s="19">
        <v>9.3889300000000002E-3</v>
      </c>
      <c r="H834" s="1">
        <f t="shared" si="12"/>
        <v>0</v>
      </c>
      <c r="I834" s="20">
        <f>E834-N834</f>
        <v>0</v>
      </c>
      <c r="O834" s="19">
        <v>9.3880982029999997E-3</v>
      </c>
    </row>
    <row r="835" spans="6:15" x14ac:dyDescent="0.2">
      <c r="F835" s="19">
        <v>9.3887899999999993E-3</v>
      </c>
      <c r="H835" s="1">
        <f t="shared" si="12"/>
        <v>0</v>
      </c>
      <c r="I835" s="20">
        <f>E835-N835</f>
        <v>0</v>
      </c>
      <c r="O835" s="19">
        <v>9.3879563869999991E-3</v>
      </c>
    </row>
    <row r="836" spans="6:15" x14ac:dyDescent="0.2">
      <c r="F836" s="19">
        <v>9.3886500000000001E-3</v>
      </c>
      <c r="H836" s="1">
        <f t="shared" si="12"/>
        <v>0</v>
      </c>
      <c r="I836" s="20">
        <f>E836-N836</f>
        <v>0</v>
      </c>
      <c r="O836" s="19">
        <v>9.3878149159999993E-3</v>
      </c>
    </row>
    <row r="837" spans="6:15" x14ac:dyDescent="0.2">
      <c r="F837" s="19">
        <v>9.3884999999999993E-3</v>
      </c>
      <c r="H837" s="1">
        <f t="shared" si="12"/>
        <v>0</v>
      </c>
      <c r="I837" s="20">
        <f>E837-N837</f>
        <v>0</v>
      </c>
      <c r="O837" s="19">
        <v>9.3876737870000008E-3</v>
      </c>
    </row>
    <row r="838" spans="6:15" x14ac:dyDescent="0.2">
      <c r="F838" s="19">
        <v>9.3883600000000001E-3</v>
      </c>
      <c r="H838" s="1">
        <f t="shared" si="12"/>
        <v>0</v>
      </c>
      <c r="I838" s="20">
        <f>E838-N838</f>
        <v>0</v>
      </c>
      <c r="O838" s="19">
        <v>9.387533E-3</v>
      </c>
    </row>
    <row r="839" spans="6:15" x14ac:dyDescent="0.2">
      <c r="F839" s="19">
        <v>9.3882199999999992E-3</v>
      </c>
      <c r="H839" s="1">
        <f t="shared" si="12"/>
        <v>0</v>
      </c>
      <c r="I839" s="20">
        <f>E839-N839</f>
        <v>0</v>
      </c>
      <c r="O839" s="19">
        <v>9.387392554E-3</v>
      </c>
    </row>
    <row r="840" spans="6:15" x14ac:dyDescent="0.2">
      <c r="F840" s="19">
        <v>9.38808E-3</v>
      </c>
      <c r="H840" s="1">
        <f t="shared" si="12"/>
        <v>0</v>
      </c>
      <c r="I840" s="20">
        <f>E840-N840</f>
        <v>0</v>
      </c>
      <c r="O840" s="19">
        <v>9.387252447E-3</v>
      </c>
    </row>
    <row r="841" spans="6:15" x14ac:dyDescent="0.2">
      <c r="F841" s="19">
        <v>9.3879400000000009E-3</v>
      </c>
      <c r="H841" s="1">
        <f t="shared" si="12"/>
        <v>0</v>
      </c>
      <c r="I841" s="20">
        <f>E841-N841</f>
        <v>0</v>
      </c>
      <c r="O841" s="19">
        <v>9.3871126779999994E-3</v>
      </c>
    </row>
    <row r="842" spans="6:15" x14ac:dyDescent="0.2">
      <c r="F842" s="19">
        <v>9.3878E-3</v>
      </c>
      <c r="H842" s="1">
        <f t="shared" si="12"/>
        <v>0</v>
      </c>
      <c r="I842" s="20">
        <f>E842-N842</f>
        <v>0</v>
      </c>
      <c r="O842" s="19">
        <v>9.3869732459999997E-3</v>
      </c>
    </row>
    <row r="843" spans="6:15" x14ac:dyDescent="0.2">
      <c r="F843" s="19">
        <v>9.3876600000000008E-3</v>
      </c>
      <c r="H843" s="1">
        <f t="shared" si="12"/>
        <v>0</v>
      </c>
      <c r="I843" s="20">
        <f>E843-N843</f>
        <v>0</v>
      </c>
      <c r="O843" s="19">
        <v>9.386834149E-3</v>
      </c>
    </row>
    <row r="844" spans="6:15" x14ac:dyDescent="0.2">
      <c r="F844" s="19">
        <v>9.3875199999999999E-3</v>
      </c>
      <c r="H844" s="1">
        <f t="shared" si="12"/>
        <v>0</v>
      </c>
      <c r="I844" s="20">
        <f>E844-N844</f>
        <v>0</v>
      </c>
      <c r="O844" s="19">
        <v>9.3866953870000002E-3</v>
      </c>
    </row>
    <row r="845" spans="6:15" x14ac:dyDescent="0.2">
      <c r="F845" s="19">
        <v>9.3873800000000007E-3</v>
      </c>
      <c r="H845" s="1">
        <f t="shared" ref="H845:H908" si="13">(P845-G845)*A845/12</f>
        <v>0</v>
      </c>
      <c r="I845" s="20">
        <f>E845-N845</f>
        <v>0</v>
      </c>
      <c r="O845" s="19">
        <v>9.3865569579999995E-3</v>
      </c>
    </row>
    <row r="846" spans="6:15" x14ac:dyDescent="0.2">
      <c r="F846" s="19">
        <v>9.3872399999999998E-3</v>
      </c>
      <c r="H846" s="1">
        <f t="shared" si="13"/>
        <v>0</v>
      </c>
      <c r="I846" s="20">
        <f>E846-N846</f>
        <v>0</v>
      </c>
      <c r="O846" s="19">
        <v>9.3864188609999993E-3</v>
      </c>
    </row>
    <row r="847" spans="6:15" x14ac:dyDescent="0.2">
      <c r="F847" s="19">
        <v>9.3871000000000007E-3</v>
      </c>
      <c r="H847" s="1">
        <f t="shared" si="13"/>
        <v>0</v>
      </c>
      <c r="I847" s="20">
        <f>E847-N847</f>
        <v>0</v>
      </c>
      <c r="O847" s="19">
        <v>9.3862810950000007E-3</v>
      </c>
    </row>
    <row r="848" spans="6:15" x14ac:dyDescent="0.2">
      <c r="F848" s="19">
        <v>9.3869599999999997E-3</v>
      </c>
      <c r="H848" s="1">
        <f t="shared" si="13"/>
        <v>0</v>
      </c>
      <c r="I848" s="20">
        <f>E848-N848</f>
        <v>0</v>
      </c>
      <c r="O848" s="19">
        <v>9.386143659E-3</v>
      </c>
    </row>
    <row r="849" spans="6:15" x14ac:dyDescent="0.2">
      <c r="F849" s="19">
        <v>9.3868300000000005E-3</v>
      </c>
      <c r="H849" s="1">
        <f t="shared" si="13"/>
        <v>0</v>
      </c>
      <c r="I849" s="20">
        <f>E849-N849</f>
        <v>0</v>
      </c>
      <c r="O849" s="19">
        <v>9.3860065499999992E-3</v>
      </c>
    </row>
    <row r="850" spans="6:15" x14ac:dyDescent="0.2">
      <c r="F850" s="19">
        <v>9.3866899999999996E-3</v>
      </c>
      <c r="H850" s="1">
        <f t="shared" si="13"/>
        <v>0</v>
      </c>
      <c r="I850" s="20">
        <f>E850-N850</f>
        <v>0</v>
      </c>
      <c r="O850" s="19">
        <v>9.3858697690000006E-3</v>
      </c>
    </row>
    <row r="851" spans="6:15" x14ac:dyDescent="0.2">
      <c r="F851" s="19">
        <v>9.3865500000000004E-3</v>
      </c>
      <c r="H851" s="1">
        <f t="shared" si="13"/>
        <v>0</v>
      </c>
      <c r="I851" s="20">
        <f>E851-N851</f>
        <v>0</v>
      </c>
      <c r="O851" s="19">
        <v>9.3857333150000003E-3</v>
      </c>
    </row>
    <row r="852" spans="6:15" x14ac:dyDescent="0.2">
      <c r="F852" s="19">
        <v>9.3864099999999995E-3</v>
      </c>
      <c r="H852" s="1">
        <f t="shared" si="13"/>
        <v>0</v>
      </c>
      <c r="I852" s="20">
        <f>E852-N852</f>
        <v>0</v>
      </c>
      <c r="O852" s="19">
        <v>9.3855971850000004E-3</v>
      </c>
    </row>
    <row r="853" spans="6:15" x14ac:dyDescent="0.2">
      <c r="F853" s="19">
        <v>9.3862800000000003E-3</v>
      </c>
      <c r="H853" s="1">
        <f t="shared" si="13"/>
        <v>0</v>
      </c>
      <c r="I853" s="20">
        <f>E853-N853</f>
        <v>0</v>
      </c>
      <c r="O853" s="19">
        <v>9.3854613780000005E-3</v>
      </c>
    </row>
    <row r="854" spans="6:15" x14ac:dyDescent="0.2">
      <c r="F854" s="19">
        <v>9.3861399999999994E-3</v>
      </c>
      <c r="H854" s="1">
        <f t="shared" si="13"/>
        <v>0</v>
      </c>
      <c r="I854" s="20">
        <f>E854-N854</f>
        <v>0</v>
      </c>
      <c r="O854" s="19">
        <v>9.3853258949999994E-3</v>
      </c>
    </row>
    <row r="855" spans="6:15" x14ac:dyDescent="0.2">
      <c r="F855" s="19">
        <v>9.3860100000000002E-3</v>
      </c>
      <c r="H855" s="1">
        <f t="shared" si="13"/>
        <v>0</v>
      </c>
      <c r="I855" s="20">
        <f>E855-N855</f>
        <v>0</v>
      </c>
      <c r="O855" s="19">
        <v>9.3851907330000008E-3</v>
      </c>
    </row>
    <row r="856" spans="6:15" x14ac:dyDescent="0.2">
      <c r="F856" s="19">
        <v>9.3858699999999993E-3</v>
      </c>
      <c r="H856" s="1">
        <f t="shared" si="13"/>
        <v>0</v>
      </c>
      <c r="I856" s="20">
        <f>E856-N856</f>
        <v>0</v>
      </c>
      <c r="O856" s="19">
        <v>9.3850558909999993E-3</v>
      </c>
    </row>
    <row r="857" spans="6:15" x14ac:dyDescent="0.2">
      <c r="F857" s="19">
        <v>9.3857300000000001E-3</v>
      </c>
      <c r="H857" s="1">
        <f t="shared" si="13"/>
        <v>0</v>
      </c>
      <c r="I857" s="20">
        <f>E857-N857</f>
        <v>0</v>
      </c>
      <c r="O857" s="19">
        <v>9.3849213679999995E-3</v>
      </c>
    </row>
    <row r="858" spans="6:15" x14ac:dyDescent="0.2">
      <c r="F858" s="19">
        <v>9.3855999999999992E-3</v>
      </c>
      <c r="H858" s="1">
        <f t="shared" si="13"/>
        <v>0</v>
      </c>
      <c r="I858" s="20">
        <f>E858-N858</f>
        <v>0</v>
      </c>
      <c r="O858" s="19">
        <v>9.3847871639999997E-3</v>
      </c>
    </row>
    <row r="859" spans="6:15" x14ac:dyDescent="0.2">
      <c r="F859" s="19">
        <v>9.3854699999999999E-3</v>
      </c>
      <c r="H859" s="1">
        <f t="shared" si="13"/>
        <v>0</v>
      </c>
      <c r="I859" s="20">
        <f>E859-N859</f>
        <v>0</v>
      </c>
      <c r="O859" s="19">
        <v>9.3846532760000004E-3</v>
      </c>
    </row>
    <row r="860" spans="6:15" x14ac:dyDescent="0.2">
      <c r="F860" s="19">
        <v>9.3853300000000008E-3</v>
      </c>
      <c r="H860" s="1">
        <f t="shared" si="13"/>
        <v>0</v>
      </c>
      <c r="I860" s="20">
        <f>E860-N860</f>
        <v>0</v>
      </c>
      <c r="O860" s="19">
        <v>9.3845197039999998E-3</v>
      </c>
    </row>
    <row r="861" spans="6:15" x14ac:dyDescent="0.2">
      <c r="F861" s="19">
        <v>9.3851999999999998E-3</v>
      </c>
      <c r="H861" s="1">
        <f t="shared" si="13"/>
        <v>0</v>
      </c>
      <c r="I861" s="20">
        <f>E861-N861</f>
        <v>0</v>
      </c>
      <c r="O861" s="19">
        <v>9.3843864469999993E-3</v>
      </c>
    </row>
    <row r="862" spans="6:15" x14ac:dyDescent="0.2">
      <c r="F862" s="19">
        <v>9.3850600000000006E-3</v>
      </c>
      <c r="H862" s="1">
        <f t="shared" si="13"/>
        <v>0</v>
      </c>
      <c r="I862" s="20">
        <f>E862-N862</f>
        <v>0</v>
      </c>
      <c r="O862" s="19">
        <v>9.3842535029999997E-3</v>
      </c>
    </row>
    <row r="863" spans="6:15" x14ac:dyDescent="0.2">
      <c r="F863" s="19">
        <v>9.3849299999999997E-3</v>
      </c>
      <c r="H863" s="1">
        <f t="shared" si="13"/>
        <v>0</v>
      </c>
      <c r="I863" s="20">
        <f>E863-N863</f>
        <v>0</v>
      </c>
      <c r="O863" s="19">
        <v>9.3841208719999993E-3</v>
      </c>
    </row>
    <row r="864" spans="6:15" x14ac:dyDescent="0.2">
      <c r="F864" s="19">
        <v>9.3848000000000004E-3</v>
      </c>
      <c r="H864" s="1">
        <f t="shared" si="13"/>
        <v>0</v>
      </c>
      <c r="I864" s="20">
        <f>E864-N864</f>
        <v>0</v>
      </c>
      <c r="O864" s="19">
        <v>9.3839885520000006E-3</v>
      </c>
    </row>
    <row r="865" spans="6:15" x14ac:dyDescent="0.2">
      <c r="F865" s="19">
        <v>9.3846599999999995E-3</v>
      </c>
      <c r="H865" s="1">
        <f t="shared" si="13"/>
        <v>0</v>
      </c>
      <c r="I865" s="20">
        <f>E865-N865</f>
        <v>0</v>
      </c>
      <c r="O865" s="19">
        <v>9.3838565419999999E-3</v>
      </c>
    </row>
    <row r="866" spans="6:15" x14ac:dyDescent="0.2">
      <c r="F866" s="19">
        <v>9.3845300000000003E-3</v>
      </c>
      <c r="H866" s="1">
        <f t="shared" si="13"/>
        <v>0</v>
      </c>
      <c r="I866" s="20">
        <f>E866-N866</f>
        <v>0</v>
      </c>
      <c r="O866" s="19">
        <v>9.3837248420000005E-3</v>
      </c>
    </row>
    <row r="867" spans="6:15" x14ac:dyDescent="0.2">
      <c r="F867" s="19">
        <v>9.3843999999999993E-3</v>
      </c>
      <c r="H867" s="1">
        <f t="shared" si="13"/>
        <v>0</v>
      </c>
      <c r="I867" s="20">
        <f>E867-N867</f>
        <v>0</v>
      </c>
      <c r="O867" s="19">
        <v>9.3835934489999995E-3</v>
      </c>
    </row>
    <row r="868" spans="6:15" x14ac:dyDescent="0.2">
      <c r="F868" s="19">
        <v>9.3842700000000001E-3</v>
      </c>
      <c r="H868" s="1">
        <f t="shared" si="13"/>
        <v>0</v>
      </c>
      <c r="I868" s="20">
        <f>E868-N868</f>
        <v>0</v>
      </c>
      <c r="O868" s="19">
        <v>9.3834623640000007E-3</v>
      </c>
    </row>
    <row r="869" spans="6:15" x14ac:dyDescent="0.2">
      <c r="F869" s="19">
        <v>9.3841399999999991E-3</v>
      </c>
      <c r="H869" s="1">
        <f t="shared" si="13"/>
        <v>0</v>
      </c>
      <c r="I869" s="20">
        <f>E869-N869</f>
        <v>0</v>
      </c>
      <c r="O869" s="19">
        <v>9.3833315849999998E-3</v>
      </c>
    </row>
    <row r="870" spans="6:15" x14ac:dyDescent="0.2">
      <c r="F870" s="19">
        <v>9.384E-3</v>
      </c>
      <c r="H870" s="1">
        <f t="shared" si="13"/>
        <v>0</v>
      </c>
      <c r="I870" s="20">
        <f>E870-N870</f>
        <v>0</v>
      </c>
      <c r="O870" s="19">
        <v>9.3832011099999994E-3</v>
      </c>
    </row>
    <row r="871" spans="6:15" x14ac:dyDescent="0.2">
      <c r="F871" s="19">
        <v>9.3838700000000008E-3</v>
      </c>
      <c r="H871" s="1">
        <f t="shared" si="13"/>
        <v>0</v>
      </c>
      <c r="I871" s="20">
        <f>E871-N871</f>
        <v>0</v>
      </c>
      <c r="O871" s="19">
        <v>9.3830709389999996E-3</v>
      </c>
    </row>
    <row r="872" spans="6:15" x14ac:dyDescent="0.2">
      <c r="F872" s="19">
        <v>9.3837399999999998E-3</v>
      </c>
      <c r="H872" s="1">
        <f t="shared" si="13"/>
        <v>0</v>
      </c>
      <c r="I872" s="20">
        <f>E872-N872</f>
        <v>0</v>
      </c>
      <c r="O872" s="19">
        <v>9.3829410709999998E-3</v>
      </c>
    </row>
    <row r="873" spans="6:15" x14ac:dyDescent="0.2">
      <c r="F873" s="19">
        <v>9.3836100000000006E-3</v>
      </c>
      <c r="H873" s="1">
        <f t="shared" si="13"/>
        <v>0</v>
      </c>
      <c r="I873" s="20">
        <f>E873-N873</f>
        <v>0</v>
      </c>
      <c r="O873" s="19">
        <v>9.3828115049999997E-3</v>
      </c>
    </row>
    <row r="874" spans="6:15" x14ac:dyDescent="0.2">
      <c r="F874" s="19">
        <v>9.3834799999999996E-3</v>
      </c>
      <c r="H874" s="1">
        <f t="shared" si="13"/>
        <v>0</v>
      </c>
      <c r="I874" s="20">
        <f>E874-N874</f>
        <v>0</v>
      </c>
      <c r="O874" s="19">
        <v>9.3826822390000002E-3</v>
      </c>
    </row>
    <row r="875" spans="6:15" x14ac:dyDescent="0.2">
      <c r="F875" s="19">
        <v>9.3833500000000004E-3</v>
      </c>
      <c r="H875" s="1">
        <f t="shared" si="13"/>
        <v>0</v>
      </c>
      <c r="I875" s="20">
        <f>E875-N875</f>
        <v>0</v>
      </c>
      <c r="O875" s="19">
        <v>9.3825532729999994E-3</v>
      </c>
    </row>
    <row r="876" spans="6:15" x14ac:dyDescent="0.2">
      <c r="F876" s="19">
        <v>9.3832199999999994E-3</v>
      </c>
      <c r="H876" s="1">
        <f t="shared" si="13"/>
        <v>0</v>
      </c>
      <c r="I876" s="20">
        <f>E876-N876</f>
        <v>0</v>
      </c>
      <c r="O876" s="19">
        <v>9.3824246060000005E-3</v>
      </c>
    </row>
    <row r="877" spans="6:15" x14ac:dyDescent="0.2">
      <c r="F877" s="19">
        <v>9.3830900000000002E-3</v>
      </c>
      <c r="H877" s="1">
        <f t="shared" si="13"/>
        <v>0</v>
      </c>
      <c r="I877" s="20">
        <f>E877-N877</f>
        <v>0</v>
      </c>
      <c r="O877" s="19">
        <v>9.3822962360000008E-3</v>
      </c>
    </row>
    <row r="878" spans="6:15" x14ac:dyDescent="0.2">
      <c r="F878" s="19">
        <v>9.3829699999999992E-3</v>
      </c>
      <c r="H878" s="1">
        <f t="shared" si="13"/>
        <v>0</v>
      </c>
      <c r="I878" s="20">
        <f>E878-N878</f>
        <v>0</v>
      </c>
      <c r="O878" s="19">
        <v>9.382168162E-3</v>
      </c>
    </row>
    <row r="879" spans="6:15" x14ac:dyDescent="0.2">
      <c r="F879" s="19">
        <v>9.3828399999999999E-3</v>
      </c>
      <c r="H879" s="1">
        <f t="shared" si="13"/>
        <v>0</v>
      </c>
      <c r="I879" s="20">
        <f>E879-N879</f>
        <v>0</v>
      </c>
      <c r="O879" s="19">
        <v>9.3820403839999997E-3</v>
      </c>
    </row>
    <row r="880" spans="6:15" x14ac:dyDescent="0.2">
      <c r="F880" s="19">
        <v>9.3827100000000007E-3</v>
      </c>
      <c r="H880" s="1">
        <f t="shared" si="13"/>
        <v>0</v>
      </c>
      <c r="I880" s="20">
        <f>E880-N880</f>
        <v>0</v>
      </c>
      <c r="O880" s="19">
        <v>9.3819129000000008E-3</v>
      </c>
    </row>
    <row r="881" spans="6:15" x14ac:dyDescent="0.2">
      <c r="F881" s="19">
        <v>9.3825799999999997E-3</v>
      </c>
      <c r="H881" s="1">
        <f t="shared" si="13"/>
        <v>0</v>
      </c>
      <c r="I881" s="20">
        <f>E881-N881</f>
        <v>0</v>
      </c>
      <c r="O881" s="19">
        <v>9.3817857099999999E-3</v>
      </c>
    </row>
    <row r="882" spans="6:15" x14ac:dyDescent="0.2">
      <c r="F882" s="19">
        <v>9.3824500000000005E-3</v>
      </c>
      <c r="H882" s="1">
        <f t="shared" si="13"/>
        <v>0</v>
      </c>
      <c r="I882" s="20">
        <f>E882-N882</f>
        <v>0</v>
      </c>
      <c r="O882" s="19">
        <v>9.3816588119999995E-3</v>
      </c>
    </row>
    <row r="883" spans="6:15" x14ac:dyDescent="0.2">
      <c r="F883" s="19">
        <v>9.3823299999999995E-3</v>
      </c>
      <c r="H883" s="1">
        <f t="shared" si="13"/>
        <v>0</v>
      </c>
      <c r="I883" s="20">
        <f>E883-N883</f>
        <v>0</v>
      </c>
      <c r="O883" s="19">
        <v>9.3815322059999998E-3</v>
      </c>
    </row>
    <row r="884" spans="6:15" x14ac:dyDescent="0.2">
      <c r="F884" s="19">
        <v>9.3822000000000003E-3</v>
      </c>
      <c r="H884" s="1">
        <f t="shared" si="13"/>
        <v>0</v>
      </c>
      <c r="I884" s="20">
        <f>E884-N884</f>
        <v>0</v>
      </c>
      <c r="O884" s="19">
        <v>9.3814058899999997E-3</v>
      </c>
    </row>
    <row r="885" spans="6:15" x14ac:dyDescent="0.2">
      <c r="F885" s="19">
        <v>9.3820699999999993E-3</v>
      </c>
      <c r="H885" s="1">
        <f t="shared" si="13"/>
        <v>0</v>
      </c>
      <c r="I885" s="20">
        <f>E885-N885</f>
        <v>0</v>
      </c>
      <c r="O885" s="19">
        <v>9.3812798630000006E-3</v>
      </c>
    </row>
    <row r="886" spans="6:15" x14ac:dyDescent="0.2">
      <c r="F886" s="19">
        <v>9.38195E-3</v>
      </c>
      <c r="H886" s="1">
        <f t="shared" si="13"/>
        <v>0</v>
      </c>
      <c r="I886" s="20">
        <f>E886-N886</f>
        <v>0</v>
      </c>
      <c r="O886" s="19">
        <v>9.3811541250000009E-3</v>
      </c>
    </row>
    <row r="887" spans="6:15" x14ac:dyDescent="0.2">
      <c r="F887" s="19">
        <v>9.3818200000000008E-3</v>
      </c>
      <c r="H887" s="1">
        <f t="shared" si="13"/>
        <v>0</v>
      </c>
      <c r="I887" s="20">
        <f>E887-N887</f>
        <v>0</v>
      </c>
      <c r="O887" s="19">
        <v>9.3810286739999995E-3</v>
      </c>
    </row>
    <row r="888" spans="6:15" x14ac:dyDescent="0.2">
      <c r="F888" s="19">
        <v>9.3816899999999998E-3</v>
      </c>
      <c r="H888" s="1">
        <f t="shared" si="13"/>
        <v>0</v>
      </c>
      <c r="I888" s="20">
        <f>E888-N888</f>
        <v>0</v>
      </c>
      <c r="O888" s="19">
        <v>9.38090351E-3</v>
      </c>
    </row>
    <row r="889" spans="6:15" x14ac:dyDescent="0.2">
      <c r="F889" s="19">
        <v>9.3815700000000005E-3</v>
      </c>
      <c r="H889" s="1">
        <f t="shared" si="13"/>
        <v>0</v>
      </c>
      <c r="I889" s="20">
        <f>E889-N889</f>
        <v>0</v>
      </c>
      <c r="O889" s="19">
        <v>9.3807786309999999E-3</v>
      </c>
    </row>
    <row r="890" spans="6:15" x14ac:dyDescent="0.2">
      <c r="F890" s="19">
        <v>9.3814399999999996E-3</v>
      </c>
      <c r="H890" s="1">
        <f t="shared" si="13"/>
        <v>0</v>
      </c>
      <c r="I890" s="20">
        <f>E890-N890</f>
        <v>0</v>
      </c>
      <c r="O890" s="19">
        <v>9.3806540360000003E-3</v>
      </c>
    </row>
    <row r="891" spans="6:15" x14ac:dyDescent="0.2">
      <c r="F891" s="19">
        <v>9.3813200000000003E-3</v>
      </c>
      <c r="H891" s="1">
        <f t="shared" si="13"/>
        <v>0</v>
      </c>
      <c r="I891" s="20">
        <f>E891-N891</f>
        <v>0</v>
      </c>
      <c r="O891" s="19">
        <v>9.3805297249999996E-3</v>
      </c>
    </row>
    <row r="892" spans="6:15" x14ac:dyDescent="0.2">
      <c r="F892" s="19">
        <v>9.3811899999999993E-3</v>
      </c>
      <c r="H892" s="1">
        <f t="shared" si="13"/>
        <v>0</v>
      </c>
      <c r="I892" s="20">
        <f>E892-N892</f>
        <v>0</v>
      </c>
      <c r="O892" s="19">
        <v>9.3804056970000008E-3</v>
      </c>
    </row>
    <row r="893" spans="6:15" x14ac:dyDescent="0.2">
      <c r="F893" s="19">
        <v>9.38107E-3</v>
      </c>
      <c r="H893" s="1">
        <f t="shared" si="13"/>
        <v>0</v>
      </c>
      <c r="I893" s="20">
        <f>E893-N893</f>
        <v>0</v>
      </c>
      <c r="O893" s="19">
        <v>9.3802819499999995E-3</v>
      </c>
    </row>
    <row r="894" spans="6:15" x14ac:dyDescent="0.2">
      <c r="F894" s="19">
        <v>9.3809400000000008E-3</v>
      </c>
      <c r="H894" s="1">
        <f t="shared" si="13"/>
        <v>0</v>
      </c>
      <c r="I894" s="20">
        <f>E894-N894</f>
        <v>0</v>
      </c>
      <c r="O894" s="19">
        <v>9.3801584839999994E-3</v>
      </c>
    </row>
    <row r="895" spans="6:15" x14ac:dyDescent="0.2">
      <c r="F895" s="19">
        <v>9.3808199999999998E-3</v>
      </c>
      <c r="H895" s="1">
        <f t="shared" si="13"/>
        <v>0</v>
      </c>
      <c r="I895" s="20">
        <f>E895-N895</f>
        <v>0</v>
      </c>
      <c r="O895" s="19">
        <v>9.3800352969999994E-3</v>
      </c>
    </row>
    <row r="896" spans="6:15" x14ac:dyDescent="0.2">
      <c r="F896" s="19">
        <v>9.3807000000000005E-3</v>
      </c>
      <c r="H896" s="1">
        <f t="shared" si="13"/>
        <v>0</v>
      </c>
      <c r="I896" s="20">
        <f>E896-N896</f>
        <v>0</v>
      </c>
      <c r="O896" s="19">
        <v>9.37991239E-3</v>
      </c>
    </row>
    <row r="897" spans="6:15" x14ac:dyDescent="0.2">
      <c r="F897" s="19">
        <v>9.3805699999999995E-3</v>
      </c>
      <c r="H897" s="1">
        <f t="shared" si="13"/>
        <v>0</v>
      </c>
      <c r="I897" s="20">
        <f>E897-N897</f>
        <v>0</v>
      </c>
      <c r="O897" s="19">
        <v>9.3797897599999999E-3</v>
      </c>
    </row>
    <row r="898" spans="6:15" x14ac:dyDescent="0.2">
      <c r="F898" s="19">
        <v>9.3804500000000002E-3</v>
      </c>
      <c r="H898" s="1">
        <f t="shared" si="13"/>
        <v>0</v>
      </c>
      <c r="I898" s="20">
        <f>E898-N898</f>
        <v>0</v>
      </c>
      <c r="O898" s="19">
        <v>9.3796674060000005E-3</v>
      </c>
    </row>
    <row r="899" spans="6:15" x14ac:dyDescent="0.2">
      <c r="F899" s="19">
        <v>9.3803299999999992E-3</v>
      </c>
      <c r="H899" s="1">
        <f t="shared" si="13"/>
        <v>0</v>
      </c>
      <c r="I899" s="20">
        <f>E899-N899</f>
        <v>0</v>
      </c>
      <c r="O899" s="19">
        <v>9.3795453290000004E-3</v>
      </c>
    </row>
    <row r="900" spans="6:15" x14ac:dyDescent="0.2">
      <c r="F900" s="19">
        <v>9.3802E-3</v>
      </c>
      <c r="H900" s="1">
        <f t="shared" si="13"/>
        <v>0</v>
      </c>
      <c r="I900" s="20">
        <f>E900-N900</f>
        <v>0</v>
      </c>
      <c r="O900" s="19">
        <v>9.3794235270000005E-3</v>
      </c>
    </row>
    <row r="901" spans="6:15" x14ac:dyDescent="0.2">
      <c r="F901" s="19">
        <v>9.3800800000000007E-3</v>
      </c>
      <c r="H901" s="1">
        <f t="shared" si="13"/>
        <v>0</v>
      </c>
      <c r="I901" s="20">
        <f>E901-N901</f>
        <v>0</v>
      </c>
      <c r="O901" s="19">
        <v>9.379301998E-3</v>
      </c>
    </row>
    <row r="902" spans="6:15" x14ac:dyDescent="0.2">
      <c r="F902" s="19">
        <v>9.3799599999999997E-3</v>
      </c>
      <c r="H902" s="1">
        <f t="shared" si="13"/>
        <v>0</v>
      </c>
      <c r="I902" s="20">
        <f>E902-N902</f>
        <v>0</v>
      </c>
      <c r="O902" s="19">
        <v>9.3791807429999992E-3</v>
      </c>
    </row>
    <row r="903" spans="6:15" x14ac:dyDescent="0.2">
      <c r="F903" s="19">
        <v>9.3798400000000004E-3</v>
      </c>
      <c r="H903" s="1">
        <f t="shared" si="13"/>
        <v>0</v>
      </c>
      <c r="I903" s="20">
        <f>E903-N903</f>
        <v>0</v>
      </c>
      <c r="O903" s="19">
        <v>9.3790597600000008E-3</v>
      </c>
    </row>
    <row r="904" spans="6:15" x14ac:dyDescent="0.2">
      <c r="F904" s="19">
        <v>9.3797199999999994E-3</v>
      </c>
      <c r="H904" s="1">
        <f t="shared" si="13"/>
        <v>0</v>
      </c>
      <c r="I904" s="20">
        <f>E904-N904</f>
        <v>0</v>
      </c>
      <c r="O904" s="19">
        <v>9.3789390479999991E-3</v>
      </c>
    </row>
    <row r="905" spans="6:15" x14ac:dyDescent="0.2">
      <c r="F905" s="19">
        <v>9.3796000000000001E-3</v>
      </c>
      <c r="H905" s="1">
        <f t="shared" si="13"/>
        <v>0</v>
      </c>
      <c r="I905" s="20">
        <f>E905-N905</f>
        <v>0</v>
      </c>
      <c r="O905" s="19">
        <v>9.3788186069999994E-3</v>
      </c>
    </row>
    <row r="906" spans="6:15" x14ac:dyDescent="0.2">
      <c r="F906" s="19">
        <v>9.3794700000000009E-3</v>
      </c>
      <c r="H906" s="1">
        <f t="shared" si="13"/>
        <v>0</v>
      </c>
      <c r="I906" s="20">
        <f>E906-N906</f>
        <v>0</v>
      </c>
      <c r="O906" s="19">
        <v>9.3786984350000008E-3</v>
      </c>
    </row>
    <row r="907" spans="6:15" x14ac:dyDescent="0.2">
      <c r="F907" s="19">
        <v>9.3793499999999998E-3</v>
      </c>
      <c r="H907" s="1">
        <f t="shared" si="13"/>
        <v>0</v>
      </c>
      <c r="I907" s="20">
        <f>E907-N907</f>
        <v>0</v>
      </c>
      <c r="O907" s="19">
        <v>9.3785785319999999E-3</v>
      </c>
    </row>
    <row r="908" spans="6:15" x14ac:dyDescent="0.2">
      <c r="F908" s="19">
        <v>9.3792300000000006E-3</v>
      </c>
      <c r="H908" s="1">
        <f t="shared" si="13"/>
        <v>0</v>
      </c>
      <c r="I908" s="20">
        <f>E908-N908</f>
        <v>0</v>
      </c>
      <c r="O908" s="19">
        <v>9.3784588960000009E-3</v>
      </c>
    </row>
    <row r="909" spans="6:15" x14ac:dyDescent="0.2">
      <c r="F909" s="19">
        <v>9.3791099999999995E-3</v>
      </c>
      <c r="H909" s="1">
        <f t="shared" ref="H909:H972" si="14">(P909-G909)*A909/12</f>
        <v>0</v>
      </c>
      <c r="I909" s="20">
        <f>E909-N909</f>
        <v>0</v>
      </c>
      <c r="O909" s="19">
        <v>9.3783395270000004E-3</v>
      </c>
    </row>
    <row r="910" spans="6:15" x14ac:dyDescent="0.2">
      <c r="F910" s="19">
        <v>9.3789900000000002E-3</v>
      </c>
      <c r="H910" s="1">
        <f t="shared" si="14"/>
        <v>0</v>
      </c>
      <c r="I910" s="20">
        <f>E910-N910</f>
        <v>0</v>
      </c>
      <c r="O910" s="19">
        <v>9.3782204239999997E-3</v>
      </c>
    </row>
    <row r="911" spans="6:15" x14ac:dyDescent="0.2">
      <c r="F911" s="19">
        <v>9.3788699999999992E-3</v>
      </c>
      <c r="H911" s="1">
        <f t="shared" si="14"/>
        <v>0</v>
      </c>
      <c r="I911" s="20">
        <f>E911-N911</f>
        <v>0</v>
      </c>
      <c r="O911" s="19">
        <v>9.3781015860000001E-3</v>
      </c>
    </row>
    <row r="912" spans="6:15" x14ac:dyDescent="0.2">
      <c r="F912" s="19">
        <v>9.3787499999999999E-3</v>
      </c>
      <c r="H912" s="1">
        <f t="shared" si="14"/>
        <v>0</v>
      </c>
      <c r="I912" s="20">
        <f>E912-N912</f>
        <v>0</v>
      </c>
      <c r="O912" s="19">
        <v>9.3779830119999994E-3</v>
      </c>
    </row>
    <row r="913" spans="6:15" x14ac:dyDescent="0.2">
      <c r="F913" s="19">
        <v>9.3786400000000006E-3</v>
      </c>
      <c r="H913" s="1">
        <f t="shared" si="14"/>
        <v>0</v>
      </c>
      <c r="I913" s="20">
        <f>E913-N913</f>
        <v>0</v>
      </c>
      <c r="O913" s="19">
        <v>9.3778647010000007E-3</v>
      </c>
    </row>
    <row r="914" spans="6:15" x14ac:dyDescent="0.2">
      <c r="F914" s="19">
        <v>9.3785199999999996E-3</v>
      </c>
      <c r="H914" s="1">
        <f t="shared" si="14"/>
        <v>0</v>
      </c>
      <c r="I914" s="20">
        <f>E914-N914</f>
        <v>0</v>
      </c>
      <c r="O914" s="19">
        <v>9.3777466530000006E-3</v>
      </c>
    </row>
    <row r="915" spans="6:15" x14ac:dyDescent="0.2">
      <c r="F915" s="19">
        <v>9.3784000000000003E-3</v>
      </c>
      <c r="H915" s="1">
        <f t="shared" si="14"/>
        <v>0</v>
      </c>
      <c r="I915" s="20">
        <f>E915-N915</f>
        <v>0</v>
      </c>
      <c r="O915" s="19">
        <v>9.3776288659999998E-3</v>
      </c>
    </row>
    <row r="916" spans="6:15" x14ac:dyDescent="0.2">
      <c r="F916" s="19">
        <v>9.3782799999999993E-3</v>
      </c>
      <c r="H916" s="1">
        <f t="shared" si="14"/>
        <v>0</v>
      </c>
      <c r="I916" s="20">
        <f>E916-N916</f>
        <v>0</v>
      </c>
      <c r="O916" s="19">
        <v>9.3775113389999998E-3</v>
      </c>
    </row>
    <row r="917" spans="6:15" x14ac:dyDescent="0.2">
      <c r="F917" s="19">
        <v>9.37816E-3</v>
      </c>
      <c r="H917" s="1">
        <f t="shared" si="14"/>
        <v>0</v>
      </c>
      <c r="I917" s="20">
        <f>E917-N917</f>
        <v>0</v>
      </c>
      <c r="O917" s="19">
        <v>9.3773940730000008E-3</v>
      </c>
    </row>
    <row r="918" spans="6:15" x14ac:dyDescent="0.2">
      <c r="F918" s="19">
        <v>9.3780400000000007E-3</v>
      </c>
      <c r="H918" s="1">
        <f t="shared" si="14"/>
        <v>0</v>
      </c>
      <c r="I918" s="20">
        <f>E918-N918</f>
        <v>0</v>
      </c>
      <c r="O918" s="19">
        <v>9.377277065E-3</v>
      </c>
    </row>
    <row r="919" spans="6:15" x14ac:dyDescent="0.2">
      <c r="F919" s="19">
        <v>9.3779299999999996E-3</v>
      </c>
      <c r="H919" s="1">
        <f t="shared" si="14"/>
        <v>0</v>
      </c>
      <c r="I919" s="20">
        <f>E919-N919</f>
        <v>0</v>
      </c>
      <c r="O919" s="19">
        <v>9.3771603150000007E-3</v>
      </c>
    </row>
    <row r="920" spans="6:15" x14ac:dyDescent="0.2">
      <c r="F920" s="19">
        <v>9.3778100000000003E-3</v>
      </c>
      <c r="H920" s="1">
        <f t="shared" si="14"/>
        <v>0</v>
      </c>
      <c r="I920" s="20">
        <f>E920-N920</f>
        <v>0</v>
      </c>
      <c r="O920" s="19">
        <v>9.3770438229999996E-3</v>
      </c>
    </row>
    <row r="921" spans="6:15" x14ac:dyDescent="0.2">
      <c r="F921" s="19">
        <v>9.3776899999999993E-3</v>
      </c>
      <c r="H921" s="1">
        <f t="shared" si="14"/>
        <v>0</v>
      </c>
      <c r="I921" s="20">
        <f>E921-N921</f>
        <v>0</v>
      </c>
      <c r="O921" s="19">
        <v>9.3769275869999991E-3</v>
      </c>
    </row>
    <row r="922" spans="6:15" x14ac:dyDescent="0.2">
      <c r="F922" s="19">
        <v>9.3775799999999999E-3</v>
      </c>
      <c r="H922" s="1">
        <f t="shared" si="14"/>
        <v>0</v>
      </c>
      <c r="I922" s="20">
        <f>E922-N922</f>
        <v>0</v>
      </c>
      <c r="O922" s="19">
        <v>9.3768116060000007E-3</v>
      </c>
    </row>
    <row r="923" spans="6:15" x14ac:dyDescent="0.2">
      <c r="F923" s="19">
        <v>9.3774600000000007E-3</v>
      </c>
      <c r="H923" s="1">
        <f t="shared" si="14"/>
        <v>0</v>
      </c>
      <c r="I923" s="20">
        <f>E923-N923</f>
        <v>0</v>
      </c>
      <c r="O923" s="19">
        <v>9.3766958800000008E-3</v>
      </c>
    </row>
    <row r="924" spans="6:15" x14ac:dyDescent="0.2">
      <c r="F924" s="19">
        <v>9.3773399999999996E-3</v>
      </c>
      <c r="H924" s="1">
        <f t="shared" si="14"/>
        <v>0</v>
      </c>
      <c r="I924" s="20">
        <f>E924-N924</f>
        <v>0</v>
      </c>
      <c r="O924" s="19">
        <v>9.3765804070000004E-3</v>
      </c>
    </row>
    <row r="925" spans="6:15" x14ac:dyDescent="0.2">
      <c r="F925" s="19">
        <v>9.3772300000000003E-3</v>
      </c>
      <c r="H925" s="1">
        <f t="shared" si="14"/>
        <v>0</v>
      </c>
      <c r="I925" s="20">
        <f>E925-N925</f>
        <v>0</v>
      </c>
      <c r="O925" s="19">
        <v>9.3764651879999997E-3</v>
      </c>
    </row>
    <row r="926" spans="6:15" x14ac:dyDescent="0.2">
      <c r="F926" s="19">
        <v>9.3771099999999993E-3</v>
      </c>
      <c r="H926" s="1">
        <f t="shared" si="14"/>
        <v>0</v>
      </c>
      <c r="I926" s="20">
        <f>E926-N926</f>
        <v>0</v>
      </c>
      <c r="O926" s="19">
        <v>9.3763502209999999E-3</v>
      </c>
    </row>
    <row r="927" spans="6:15" x14ac:dyDescent="0.2">
      <c r="F927" s="19">
        <v>9.3769999999999999E-3</v>
      </c>
      <c r="H927" s="1">
        <f t="shared" si="14"/>
        <v>0</v>
      </c>
      <c r="I927" s="20">
        <f>E927-N927</f>
        <v>0</v>
      </c>
      <c r="O927" s="19">
        <v>9.3762355050000003E-3</v>
      </c>
    </row>
    <row r="928" spans="6:15" x14ac:dyDescent="0.2">
      <c r="F928" s="19">
        <v>9.3768800000000006E-3</v>
      </c>
      <c r="H928" s="1">
        <f t="shared" si="14"/>
        <v>0</v>
      </c>
      <c r="I928" s="20">
        <f>E928-N928</f>
        <v>0</v>
      </c>
      <c r="O928" s="19">
        <v>9.3761210399999993E-3</v>
      </c>
    </row>
    <row r="929" spans="6:15" x14ac:dyDescent="0.2">
      <c r="F929" s="19">
        <v>9.3767699999999995E-3</v>
      </c>
      <c r="H929" s="1">
        <f t="shared" si="14"/>
        <v>0</v>
      </c>
      <c r="I929" s="20">
        <f>E929-N929</f>
        <v>0</v>
      </c>
      <c r="O929" s="19">
        <v>9.3760068239999994E-3</v>
      </c>
    </row>
    <row r="930" spans="6:15" x14ac:dyDescent="0.2">
      <c r="F930" s="19">
        <v>9.3766500000000003E-3</v>
      </c>
      <c r="H930" s="1">
        <f t="shared" si="14"/>
        <v>0</v>
      </c>
      <c r="I930" s="20">
        <f>E930-N930</f>
        <v>0</v>
      </c>
      <c r="O930" s="19">
        <v>9.3758928570000007E-3</v>
      </c>
    </row>
    <row r="931" spans="6:15" x14ac:dyDescent="0.2">
      <c r="F931" s="19">
        <v>9.3765399999999992E-3</v>
      </c>
      <c r="H931" s="1">
        <f t="shared" si="14"/>
        <v>0</v>
      </c>
      <c r="I931" s="20">
        <f>E931-N931</f>
        <v>0</v>
      </c>
      <c r="O931" s="19">
        <v>9.3757791379999993E-3</v>
      </c>
    </row>
    <row r="932" spans="6:15" x14ac:dyDescent="0.2">
      <c r="F932" s="19">
        <v>9.3764199999999999E-3</v>
      </c>
      <c r="H932" s="1">
        <f t="shared" si="14"/>
        <v>0</v>
      </c>
      <c r="I932" s="20">
        <f>E932-N932</f>
        <v>0</v>
      </c>
      <c r="O932" s="19">
        <v>9.375665666E-3</v>
      </c>
    </row>
    <row r="933" spans="6:15" x14ac:dyDescent="0.2">
      <c r="F933" s="19">
        <v>9.3763100000000005E-3</v>
      </c>
      <c r="H933" s="1">
        <f t="shared" si="14"/>
        <v>0</v>
      </c>
      <c r="I933" s="20">
        <f>E933-N933</f>
        <v>0</v>
      </c>
      <c r="O933" s="19">
        <v>9.3755524409999992E-3</v>
      </c>
    </row>
    <row r="934" spans="6:15" x14ac:dyDescent="0.2">
      <c r="F934" s="19">
        <v>9.3761999999999995E-3</v>
      </c>
      <c r="H934" s="1">
        <f t="shared" si="14"/>
        <v>0</v>
      </c>
      <c r="I934" s="20">
        <f>E934-N934</f>
        <v>0</v>
      </c>
      <c r="O934" s="19">
        <v>9.3754394620000001E-3</v>
      </c>
    </row>
    <row r="935" spans="6:15" x14ac:dyDescent="0.2">
      <c r="F935" s="19">
        <v>9.3760800000000002E-3</v>
      </c>
      <c r="H935" s="1">
        <f t="shared" si="14"/>
        <v>0</v>
      </c>
      <c r="I935" s="20">
        <f>E935-N935</f>
        <v>0</v>
      </c>
      <c r="O935" s="19">
        <v>9.3753267269999999E-3</v>
      </c>
    </row>
    <row r="936" spans="6:15" x14ac:dyDescent="0.2">
      <c r="F936" s="19">
        <v>9.3759700000000008E-3</v>
      </c>
      <c r="H936" s="1">
        <f t="shared" si="14"/>
        <v>0</v>
      </c>
      <c r="I936" s="20">
        <f>E936-N936</f>
        <v>0</v>
      </c>
      <c r="O936" s="19">
        <v>9.3752142360000006E-3</v>
      </c>
    </row>
    <row r="937" spans="6:15" x14ac:dyDescent="0.2">
      <c r="F937" s="19">
        <v>9.3758599999999997E-3</v>
      </c>
      <c r="H937" s="1">
        <f t="shared" si="14"/>
        <v>0</v>
      </c>
      <c r="I937" s="20">
        <f>E937-N937</f>
        <v>0</v>
      </c>
      <c r="O937" s="19">
        <v>9.3751019890000002E-3</v>
      </c>
    </row>
    <row r="938" spans="6:15" x14ac:dyDescent="0.2">
      <c r="F938" s="19">
        <v>9.3757400000000005E-3</v>
      </c>
      <c r="H938" s="1">
        <f t="shared" si="14"/>
        <v>0</v>
      </c>
      <c r="I938" s="20">
        <f>E938-N938</f>
        <v>0</v>
      </c>
      <c r="O938" s="19">
        <v>9.3749899839999998E-3</v>
      </c>
    </row>
    <row r="939" spans="6:15" x14ac:dyDescent="0.2">
      <c r="F939" s="19">
        <v>9.3756299999999994E-3</v>
      </c>
      <c r="H939" s="1">
        <f t="shared" si="14"/>
        <v>0</v>
      </c>
      <c r="I939" s="20">
        <f>E939-N939</f>
        <v>0</v>
      </c>
      <c r="O939" s="19">
        <v>9.3748782200000005E-3</v>
      </c>
    </row>
    <row r="940" spans="6:15" x14ac:dyDescent="0.2">
      <c r="F940" s="19">
        <v>9.37552E-3</v>
      </c>
      <c r="H940" s="1">
        <f t="shared" si="14"/>
        <v>0</v>
      </c>
      <c r="I940" s="20">
        <f>E940-N940</f>
        <v>0</v>
      </c>
      <c r="O940" s="19">
        <v>9.3747666979999995E-3</v>
      </c>
    </row>
    <row r="941" spans="6:15" x14ac:dyDescent="0.2">
      <c r="F941" s="19">
        <v>9.3754100000000007E-3</v>
      </c>
      <c r="H941" s="1">
        <f t="shared" si="14"/>
        <v>0</v>
      </c>
      <c r="I941" s="20">
        <f>E941-N941</f>
        <v>0</v>
      </c>
      <c r="O941" s="19">
        <v>9.3746554150000005E-3</v>
      </c>
    </row>
    <row r="942" spans="6:15" x14ac:dyDescent="0.2">
      <c r="F942" s="19">
        <v>9.3752899999999997E-3</v>
      </c>
      <c r="H942" s="1">
        <f t="shared" si="14"/>
        <v>0</v>
      </c>
      <c r="I942" s="20">
        <f>E942-N942</f>
        <v>0</v>
      </c>
      <c r="O942" s="19">
        <v>9.3745443720000005E-3</v>
      </c>
    </row>
    <row r="943" spans="6:15" x14ac:dyDescent="0.2">
      <c r="F943" s="19">
        <v>9.3751800000000003E-3</v>
      </c>
      <c r="H943" s="1">
        <f t="shared" si="14"/>
        <v>0</v>
      </c>
      <c r="I943" s="20">
        <f>E943-N943</f>
        <v>0</v>
      </c>
      <c r="O943" s="19">
        <v>9.3744335679999992E-3</v>
      </c>
    </row>
    <row r="944" spans="6:15" x14ac:dyDescent="0.2">
      <c r="F944" s="19">
        <v>9.3750699999999992E-3</v>
      </c>
      <c r="H944" s="1">
        <f t="shared" si="14"/>
        <v>0</v>
      </c>
      <c r="I944" s="20">
        <f>E944-N944</f>
        <v>0</v>
      </c>
      <c r="O944" s="19">
        <v>9.3743230010000008E-3</v>
      </c>
    </row>
    <row r="945" spans="6:15" x14ac:dyDescent="0.2">
      <c r="F945" s="19">
        <v>9.3749599999999999E-3</v>
      </c>
      <c r="H945" s="1">
        <f t="shared" si="14"/>
        <v>0</v>
      </c>
      <c r="I945" s="20">
        <f>E945-N945</f>
        <v>0</v>
      </c>
      <c r="O945" s="19">
        <v>9.3742126710000002E-3</v>
      </c>
    </row>
    <row r="946" spans="6:15" x14ac:dyDescent="0.2">
      <c r="F946" s="19">
        <v>9.3748500000000005E-3</v>
      </c>
      <c r="H946" s="1">
        <f t="shared" si="14"/>
        <v>0</v>
      </c>
      <c r="I946" s="20">
        <f>E946-N946</f>
        <v>0</v>
      </c>
      <c r="O946" s="19">
        <v>9.3741025780000008E-3</v>
      </c>
    </row>
    <row r="947" spans="6:15" x14ac:dyDescent="0.2">
      <c r="F947" s="19">
        <v>9.3747399999999995E-3</v>
      </c>
      <c r="H947" s="1">
        <f t="shared" si="14"/>
        <v>0</v>
      </c>
      <c r="I947" s="20">
        <f>E947-N947</f>
        <v>0</v>
      </c>
      <c r="O947" s="19">
        <v>9.37399272E-3</v>
      </c>
    </row>
    <row r="948" spans="6:15" x14ac:dyDescent="0.2">
      <c r="F948" s="19">
        <v>9.3746300000000001E-3</v>
      </c>
      <c r="H948" s="1">
        <f t="shared" si="14"/>
        <v>0</v>
      </c>
      <c r="I948" s="20">
        <f>E948-N948</f>
        <v>0</v>
      </c>
      <c r="O948" s="19">
        <v>9.3738830969999996E-3</v>
      </c>
    </row>
    <row r="949" spans="6:15" x14ac:dyDescent="0.2">
      <c r="F949" s="19">
        <v>9.3745200000000008E-3</v>
      </c>
      <c r="H949" s="1">
        <f t="shared" si="14"/>
        <v>0</v>
      </c>
      <c r="I949" s="20">
        <f>E949-N949</f>
        <v>0</v>
      </c>
      <c r="O949" s="19">
        <v>9.3737737070000004E-3</v>
      </c>
    </row>
    <row r="950" spans="6:15" x14ac:dyDescent="0.2">
      <c r="F950" s="19">
        <v>9.3744099999999997E-3</v>
      </c>
      <c r="H950" s="1">
        <f t="shared" si="14"/>
        <v>0</v>
      </c>
      <c r="I950" s="20">
        <f>E950-N950</f>
        <v>0</v>
      </c>
      <c r="O950" s="19">
        <v>9.3736645509999994E-3</v>
      </c>
    </row>
    <row r="951" spans="6:15" x14ac:dyDescent="0.2">
      <c r="F951" s="19">
        <v>9.3743000000000003E-3</v>
      </c>
      <c r="H951" s="1">
        <f t="shared" si="14"/>
        <v>0</v>
      </c>
      <c r="I951" s="20">
        <f>E951-N951</f>
        <v>0</v>
      </c>
      <c r="O951" s="19">
        <v>9.3735556279999997E-3</v>
      </c>
    </row>
    <row r="952" spans="6:15" x14ac:dyDescent="0.2">
      <c r="F952" s="19">
        <v>9.3741899999999993E-3</v>
      </c>
      <c r="H952" s="1">
        <f t="shared" si="14"/>
        <v>0</v>
      </c>
      <c r="I952" s="20">
        <f>E952-N952</f>
        <v>0</v>
      </c>
      <c r="O952" s="19">
        <v>9.3734469360000003E-3</v>
      </c>
    </row>
    <row r="953" spans="6:15" x14ac:dyDescent="0.2">
      <c r="F953" s="19">
        <v>9.3740799999999999E-3</v>
      </c>
      <c r="H953" s="1">
        <f t="shared" si="14"/>
        <v>0</v>
      </c>
      <c r="I953" s="20">
        <f>E953-N953</f>
        <v>0</v>
      </c>
      <c r="O953" s="19">
        <v>9.373338476E-3</v>
      </c>
    </row>
    <row r="954" spans="6:15" x14ac:dyDescent="0.2">
      <c r="F954" s="19">
        <v>9.3739700000000006E-3</v>
      </c>
      <c r="H954" s="1">
        <f t="shared" si="14"/>
        <v>0</v>
      </c>
      <c r="I954" s="20">
        <f>E954-N954</f>
        <v>0</v>
      </c>
      <c r="O954" s="19">
        <v>9.3732302449999992E-3</v>
      </c>
    </row>
    <row r="955" spans="6:15" x14ac:dyDescent="0.2">
      <c r="F955" s="19">
        <v>9.3738599999999995E-3</v>
      </c>
      <c r="H955" s="1">
        <f t="shared" si="14"/>
        <v>0</v>
      </c>
      <c r="I955" s="20">
        <f>E955-N955</f>
        <v>0</v>
      </c>
      <c r="O955" s="19">
        <v>9.3731222450000005E-3</v>
      </c>
    </row>
    <row r="956" spans="6:15" x14ac:dyDescent="0.2">
      <c r="F956" s="19">
        <v>9.3737600000000001E-3</v>
      </c>
      <c r="H956" s="1">
        <f t="shared" si="14"/>
        <v>0</v>
      </c>
      <c r="I956" s="20">
        <f>E956-N956</f>
        <v>0</v>
      </c>
      <c r="O956" s="19">
        <v>9.3730144729999992E-3</v>
      </c>
    </row>
    <row r="957" spans="6:15" x14ac:dyDescent="0.2">
      <c r="F957" s="19">
        <v>9.3736500000000007E-3</v>
      </c>
      <c r="H957" s="1">
        <f t="shared" si="14"/>
        <v>0</v>
      </c>
      <c r="I957" s="20">
        <f>E957-N957</f>
        <v>0</v>
      </c>
      <c r="O957" s="19">
        <v>9.3729069290000005E-3</v>
      </c>
    </row>
    <row r="958" spans="6:15" x14ac:dyDescent="0.2">
      <c r="F958" s="19">
        <v>9.3735399999999997E-3</v>
      </c>
      <c r="H958" s="1">
        <f t="shared" si="14"/>
        <v>0</v>
      </c>
      <c r="I958" s="20">
        <f>E958-N958</f>
        <v>0</v>
      </c>
      <c r="O958" s="19">
        <v>9.3727996120000004E-3</v>
      </c>
    </row>
    <row r="959" spans="6:15" x14ac:dyDescent="0.2">
      <c r="F959" s="19">
        <v>9.3734300000000003E-3</v>
      </c>
      <c r="H959" s="1">
        <f t="shared" si="14"/>
        <v>0</v>
      </c>
      <c r="I959" s="20">
        <f>E959-N959</f>
        <v>0</v>
      </c>
      <c r="O959" s="19">
        <v>9.3726925220000007E-3</v>
      </c>
    </row>
    <row r="960" spans="6:15" x14ac:dyDescent="0.2">
      <c r="F960" s="19">
        <v>9.3733199999999992E-3</v>
      </c>
      <c r="H960" s="1">
        <f t="shared" si="14"/>
        <v>0</v>
      </c>
      <c r="I960" s="20">
        <f>E960-N960</f>
        <v>0</v>
      </c>
      <c r="O960" s="19">
        <v>9.3725856579999992E-3</v>
      </c>
    </row>
    <row r="961" spans="6:15" x14ac:dyDescent="0.2">
      <c r="F961" s="19">
        <v>9.3732199999999998E-3</v>
      </c>
      <c r="H961" s="1">
        <f t="shared" si="14"/>
        <v>0</v>
      </c>
      <c r="I961" s="20">
        <f>E961-N961</f>
        <v>0</v>
      </c>
      <c r="O961" s="19">
        <v>9.3724790199999995E-3</v>
      </c>
    </row>
    <row r="962" spans="6:15" x14ac:dyDescent="0.2">
      <c r="F962" s="19">
        <v>9.3731100000000005E-3</v>
      </c>
      <c r="H962" s="1">
        <f t="shared" si="14"/>
        <v>0</v>
      </c>
      <c r="I962" s="20">
        <f>E962-N962</f>
        <v>0</v>
      </c>
      <c r="O962" s="19">
        <v>9.3723726060000005E-3</v>
      </c>
    </row>
    <row r="963" spans="6:15" x14ac:dyDescent="0.2">
      <c r="F963" s="19">
        <v>9.3729999999999994E-3</v>
      </c>
      <c r="H963" s="1">
        <f t="shared" si="14"/>
        <v>0</v>
      </c>
      <c r="I963" s="20">
        <f>E963-N963</f>
        <v>0</v>
      </c>
      <c r="O963" s="19">
        <v>9.3722664150000003E-3</v>
      </c>
    </row>
    <row r="964" spans="6:15" x14ac:dyDescent="0.2">
      <c r="F964" s="19">
        <v>9.3729E-3</v>
      </c>
      <c r="H964" s="1">
        <f t="shared" si="14"/>
        <v>0</v>
      </c>
      <c r="I964" s="20">
        <f>E964-N964</f>
        <v>0</v>
      </c>
      <c r="O964" s="19">
        <v>9.3721604480000009E-3</v>
      </c>
    </row>
    <row r="965" spans="6:15" x14ac:dyDescent="0.2">
      <c r="F965" s="19">
        <v>9.3727900000000006E-3</v>
      </c>
      <c r="H965" s="1">
        <f t="shared" si="14"/>
        <v>0</v>
      </c>
      <c r="I965" s="20">
        <f>E965-N965</f>
        <v>0</v>
      </c>
      <c r="O965" s="19">
        <v>9.3720547029999997E-3</v>
      </c>
    </row>
    <row r="966" spans="6:15" x14ac:dyDescent="0.2">
      <c r="F966" s="19">
        <v>9.3726799999999996E-3</v>
      </c>
      <c r="H966" s="1">
        <f t="shared" si="14"/>
        <v>0</v>
      </c>
      <c r="I966" s="20">
        <f>E966-N966</f>
        <v>0</v>
      </c>
      <c r="O966" s="19">
        <v>9.3719491800000002E-3</v>
      </c>
    </row>
    <row r="967" spans="6:15" x14ac:dyDescent="0.2">
      <c r="F967" s="19">
        <v>9.3725800000000001E-3</v>
      </c>
      <c r="H967" s="1">
        <f t="shared" si="14"/>
        <v>0</v>
      </c>
      <c r="I967" s="20">
        <f>E967-N967</f>
        <v>0</v>
      </c>
      <c r="O967" s="19">
        <v>9.3718438780000003E-3</v>
      </c>
    </row>
    <row r="968" spans="6:15" x14ac:dyDescent="0.2">
      <c r="F968" s="19">
        <v>9.3724700000000008E-3</v>
      </c>
      <c r="H968" s="1">
        <f t="shared" si="14"/>
        <v>0</v>
      </c>
      <c r="I968" s="20">
        <f>E968-N968</f>
        <v>0</v>
      </c>
      <c r="O968" s="19">
        <v>9.3717387959999995E-3</v>
      </c>
    </row>
    <row r="969" spans="6:15" x14ac:dyDescent="0.2">
      <c r="F969" s="19">
        <v>9.3723699999999997E-3</v>
      </c>
      <c r="H969" s="1">
        <f t="shared" si="14"/>
        <v>0</v>
      </c>
      <c r="I969" s="20">
        <f>E969-N969</f>
        <v>0</v>
      </c>
      <c r="O969" s="19">
        <v>9.3716339339999996E-3</v>
      </c>
    </row>
    <row r="970" spans="6:15" x14ac:dyDescent="0.2">
      <c r="F970" s="19">
        <v>9.3722600000000003E-3</v>
      </c>
      <c r="H970" s="1">
        <f t="shared" si="14"/>
        <v>0</v>
      </c>
      <c r="I970" s="20">
        <f>E970-N970</f>
        <v>0</v>
      </c>
      <c r="O970" s="19">
        <v>9.3715292899999997E-3</v>
      </c>
    </row>
    <row r="971" spans="6:15" x14ac:dyDescent="0.2">
      <c r="F971" s="19">
        <v>9.3721599999999992E-3</v>
      </c>
      <c r="H971" s="1">
        <f t="shared" si="14"/>
        <v>0</v>
      </c>
      <c r="I971" s="20">
        <f>E971-N971</f>
        <v>0</v>
      </c>
      <c r="O971" s="19">
        <v>9.3714248650000002E-3</v>
      </c>
    </row>
    <row r="972" spans="6:15" x14ac:dyDescent="0.2">
      <c r="F972" s="19">
        <v>9.3720499999999998E-3</v>
      </c>
      <c r="H972" s="1">
        <f t="shared" si="14"/>
        <v>0</v>
      </c>
      <c r="I972" s="20">
        <f>E972-N972</f>
        <v>0</v>
      </c>
      <c r="O972" s="19">
        <v>9.3713206580000007E-3</v>
      </c>
    </row>
    <row r="973" spans="6:15" x14ac:dyDescent="0.2">
      <c r="F973" s="19">
        <v>9.3719500000000004E-3</v>
      </c>
      <c r="H973" s="1">
        <f t="shared" ref="H973:H1036" si="15">(P973-G973)*A973/12</f>
        <v>0</v>
      </c>
      <c r="I973" s="20">
        <f>E973-N973</f>
        <v>0</v>
      </c>
      <c r="O973" s="19">
        <v>9.3712166670000003E-3</v>
      </c>
    </row>
    <row r="974" spans="6:15" x14ac:dyDescent="0.2">
      <c r="F974" s="19">
        <v>9.3718399999999993E-3</v>
      </c>
      <c r="H974" s="1">
        <f t="shared" si="15"/>
        <v>0</v>
      </c>
      <c r="I974" s="20">
        <f>E974-N974</f>
        <v>0</v>
      </c>
      <c r="O974" s="19">
        <v>9.3711128929999995E-3</v>
      </c>
    </row>
    <row r="975" spans="6:15" x14ac:dyDescent="0.2">
      <c r="F975" s="19">
        <v>9.3717399999999999E-3</v>
      </c>
      <c r="H975" s="1">
        <f t="shared" si="15"/>
        <v>0</v>
      </c>
      <c r="I975" s="20">
        <f>E975-N975</f>
        <v>0</v>
      </c>
      <c r="O975" s="19">
        <v>9.3710093340000009E-3</v>
      </c>
    </row>
    <row r="976" spans="6:15" x14ac:dyDescent="0.2">
      <c r="F976" s="19">
        <v>9.3716300000000006E-3</v>
      </c>
      <c r="H976" s="1">
        <f t="shared" si="15"/>
        <v>0</v>
      </c>
      <c r="I976" s="20">
        <f>E976-N976</f>
        <v>0</v>
      </c>
      <c r="O976" s="19">
        <v>9.3709059899999992E-3</v>
      </c>
    </row>
    <row r="977" spans="6:15" x14ac:dyDescent="0.2">
      <c r="F977" s="19">
        <v>9.3715299999999994E-3</v>
      </c>
      <c r="H977" s="1">
        <f t="shared" si="15"/>
        <v>0</v>
      </c>
      <c r="I977" s="20">
        <f>E977-N977</f>
        <v>0</v>
      </c>
      <c r="O977" s="19">
        <v>9.3708028599999993E-3</v>
      </c>
    </row>
    <row r="978" spans="6:15" x14ac:dyDescent="0.2">
      <c r="F978" s="19">
        <v>9.37143E-3</v>
      </c>
      <c r="H978" s="1">
        <f t="shared" si="15"/>
        <v>0</v>
      </c>
      <c r="I978" s="20">
        <f>E978-N978</f>
        <v>0</v>
      </c>
      <c r="O978" s="19">
        <v>9.3706999439999994E-3</v>
      </c>
    </row>
    <row r="979" spans="6:15" x14ac:dyDescent="0.2">
      <c r="F979" s="19">
        <v>9.3713200000000007E-3</v>
      </c>
      <c r="H979" s="1">
        <f t="shared" si="15"/>
        <v>0</v>
      </c>
      <c r="I979" s="20">
        <f>E979-N979</f>
        <v>0</v>
      </c>
      <c r="O979" s="19">
        <v>9.3705972410000008E-3</v>
      </c>
    </row>
    <row r="980" spans="6:15" x14ac:dyDescent="0.2">
      <c r="F980" s="19">
        <v>9.3712199999999996E-3</v>
      </c>
      <c r="H980" s="1">
        <f t="shared" si="15"/>
        <v>0</v>
      </c>
      <c r="I980" s="20">
        <f>E980-N980</f>
        <v>0</v>
      </c>
      <c r="O980" s="19">
        <v>9.3704947489999992E-3</v>
      </c>
    </row>
    <row r="981" spans="6:15" x14ac:dyDescent="0.2">
      <c r="F981" s="19">
        <v>9.3711200000000001E-3</v>
      </c>
      <c r="H981" s="1">
        <f t="shared" si="15"/>
        <v>0</v>
      </c>
      <c r="I981" s="20">
        <f>E981-N981</f>
        <v>0</v>
      </c>
      <c r="O981" s="19">
        <v>9.3703924700000007E-3</v>
      </c>
    </row>
    <row r="982" spans="6:15" x14ac:dyDescent="0.2">
      <c r="F982" s="19">
        <v>9.3710100000000008E-3</v>
      </c>
      <c r="H982" s="1">
        <f t="shared" si="15"/>
        <v>0</v>
      </c>
      <c r="I982" s="20">
        <f>E982-N982</f>
        <v>0</v>
      </c>
      <c r="O982" s="19">
        <v>9.3702904010000004E-3</v>
      </c>
    </row>
    <row r="983" spans="6:15" x14ac:dyDescent="0.2">
      <c r="F983" s="19">
        <v>9.3709099999999997E-3</v>
      </c>
      <c r="H983" s="1">
        <f t="shared" si="15"/>
        <v>0</v>
      </c>
      <c r="I983" s="20">
        <f>E983-N983</f>
        <v>0</v>
      </c>
      <c r="O983" s="19">
        <v>9.3701885420000002E-3</v>
      </c>
    </row>
    <row r="984" spans="6:15" x14ac:dyDescent="0.2">
      <c r="F984" s="19">
        <v>9.3708100000000003E-3</v>
      </c>
      <c r="H984" s="1">
        <f t="shared" si="15"/>
        <v>0</v>
      </c>
      <c r="I984" s="20">
        <f>E984-N984</f>
        <v>0</v>
      </c>
      <c r="O984" s="19">
        <v>9.3700868940000005E-3</v>
      </c>
    </row>
    <row r="985" spans="6:15" x14ac:dyDescent="0.2">
      <c r="F985" s="19">
        <v>9.3707100000000008E-3</v>
      </c>
      <c r="H985" s="1">
        <f t="shared" si="15"/>
        <v>0</v>
      </c>
      <c r="I985" s="20">
        <f>E985-N985</f>
        <v>0</v>
      </c>
      <c r="O985" s="19">
        <v>9.3699854539999999E-3</v>
      </c>
    </row>
    <row r="986" spans="6:15" x14ac:dyDescent="0.2">
      <c r="F986" s="19">
        <v>9.3706099999999997E-3</v>
      </c>
      <c r="H986" s="1">
        <f t="shared" si="15"/>
        <v>0</v>
      </c>
      <c r="I986" s="20">
        <f>E986-N986</f>
        <v>0</v>
      </c>
      <c r="O986" s="19">
        <v>9.3698842220000002E-3</v>
      </c>
    </row>
    <row r="987" spans="6:15" x14ac:dyDescent="0.2">
      <c r="F987" s="19">
        <v>9.3705000000000004E-3</v>
      </c>
      <c r="H987" s="1">
        <f t="shared" si="15"/>
        <v>0</v>
      </c>
      <c r="I987" s="20">
        <f>E987-N987</f>
        <v>0</v>
      </c>
      <c r="O987" s="19">
        <v>9.3697831979999997E-3</v>
      </c>
    </row>
    <row r="988" spans="6:15" x14ac:dyDescent="0.2">
      <c r="F988" s="19">
        <v>9.3703999999999992E-3</v>
      </c>
      <c r="H988" s="1">
        <f t="shared" si="15"/>
        <v>0</v>
      </c>
      <c r="I988" s="20">
        <f>E988-N988</f>
        <v>0</v>
      </c>
      <c r="O988" s="19">
        <v>9.3696823809999996E-3</v>
      </c>
    </row>
    <row r="989" spans="6:15" x14ac:dyDescent="0.2">
      <c r="F989" s="19">
        <v>9.3702999999999998E-3</v>
      </c>
      <c r="H989" s="1">
        <f t="shared" si="15"/>
        <v>0</v>
      </c>
      <c r="I989" s="20">
        <f>E989-N989</f>
        <v>0</v>
      </c>
      <c r="O989" s="19">
        <v>9.3695817699999996E-3</v>
      </c>
    </row>
    <row r="990" spans="6:15" x14ac:dyDescent="0.2">
      <c r="F990" s="19">
        <v>9.3702000000000004E-3</v>
      </c>
      <c r="H990" s="1">
        <f t="shared" si="15"/>
        <v>0</v>
      </c>
      <c r="I990" s="20">
        <f>E990-N990</f>
        <v>0</v>
      </c>
      <c r="O990" s="19">
        <v>9.3694813660000001E-3</v>
      </c>
    </row>
    <row r="991" spans="6:15" x14ac:dyDescent="0.2">
      <c r="F991" s="19">
        <v>9.3700999999999993E-3</v>
      </c>
      <c r="H991" s="1">
        <f t="shared" si="15"/>
        <v>0</v>
      </c>
      <c r="I991" s="20">
        <f>E991-N991</f>
        <v>0</v>
      </c>
      <c r="O991" s="19">
        <v>9.3693811659999997E-3</v>
      </c>
    </row>
    <row r="992" spans="6:15" x14ac:dyDescent="0.2">
      <c r="F992" s="19">
        <v>9.3699999999999999E-3</v>
      </c>
      <c r="H992" s="1">
        <f t="shared" si="15"/>
        <v>0</v>
      </c>
      <c r="I992" s="20">
        <f>E992-N992</f>
        <v>0</v>
      </c>
      <c r="O992" s="19">
        <v>9.3692811710000008E-3</v>
      </c>
    </row>
    <row r="993" spans="6:15" x14ac:dyDescent="0.2">
      <c r="F993" s="19">
        <v>9.3699000000000005E-3</v>
      </c>
      <c r="H993" s="1">
        <f t="shared" si="15"/>
        <v>0</v>
      </c>
      <c r="I993" s="20">
        <f>E993-N993</f>
        <v>0</v>
      </c>
      <c r="O993" s="19">
        <v>9.3691813790000005E-3</v>
      </c>
    </row>
    <row r="994" spans="6:15" x14ac:dyDescent="0.2">
      <c r="F994" s="19">
        <v>9.3697999999999993E-3</v>
      </c>
      <c r="H994" s="1">
        <f t="shared" si="15"/>
        <v>0</v>
      </c>
      <c r="I994" s="20">
        <f>E994-N994</f>
        <v>0</v>
      </c>
      <c r="O994" s="19">
        <v>9.3690817909999995E-3</v>
      </c>
    </row>
    <row r="995" spans="6:15" x14ac:dyDescent="0.2">
      <c r="F995" s="19">
        <v>9.3696999999999999E-3</v>
      </c>
      <c r="H995" s="1">
        <f t="shared" si="15"/>
        <v>0</v>
      </c>
      <c r="I995" s="20">
        <f>E995-N995</f>
        <v>0</v>
      </c>
      <c r="O995" s="19">
        <v>9.3689824060000006E-3</v>
      </c>
    </row>
    <row r="996" spans="6:15" x14ac:dyDescent="0.2">
      <c r="F996" s="19">
        <v>9.3696000000000005E-3</v>
      </c>
      <c r="H996" s="1">
        <f t="shared" si="15"/>
        <v>0</v>
      </c>
      <c r="I996" s="20">
        <f>E996-N996</f>
        <v>0</v>
      </c>
      <c r="O996" s="19">
        <v>9.3688832219999997E-3</v>
      </c>
    </row>
    <row r="997" spans="6:15" x14ac:dyDescent="0.2">
      <c r="F997" s="19">
        <v>9.3694999999999994E-3</v>
      </c>
      <c r="H997" s="1">
        <f t="shared" si="15"/>
        <v>0</v>
      </c>
      <c r="I997" s="20">
        <f>E997-N997</f>
        <v>0</v>
      </c>
      <c r="O997" s="19">
        <v>9.3687842400000006E-3</v>
      </c>
    </row>
    <row r="998" spans="6:15" x14ac:dyDescent="0.2">
      <c r="F998" s="19">
        <v>9.3694E-3</v>
      </c>
      <c r="H998" s="1">
        <f t="shared" si="15"/>
        <v>0</v>
      </c>
      <c r="I998" s="20">
        <f>E998-N998</f>
        <v>0</v>
      </c>
      <c r="O998" s="19">
        <v>9.3686854589999993E-3</v>
      </c>
    </row>
    <row r="999" spans="6:15" x14ac:dyDescent="0.2">
      <c r="F999" s="19">
        <v>9.3693000000000005E-3</v>
      </c>
      <c r="H999" s="1">
        <f t="shared" si="15"/>
        <v>0</v>
      </c>
      <c r="I999" s="20">
        <f>E999-N999</f>
        <v>0</v>
      </c>
      <c r="O999" s="19">
        <v>9.3685868780000008E-3</v>
      </c>
    </row>
    <row r="1000" spans="6:15" x14ac:dyDescent="0.2">
      <c r="F1000" s="19">
        <v>9.3691999999999994E-3</v>
      </c>
      <c r="H1000" s="1">
        <f t="shared" si="15"/>
        <v>0</v>
      </c>
      <c r="I1000" s="20">
        <f>E1000-N1000</f>
        <v>0</v>
      </c>
      <c r="O1000" s="19">
        <v>9.3684884959999992E-3</v>
      </c>
    </row>
    <row r="1001" spans="6:15" x14ac:dyDescent="0.2">
      <c r="F1001" s="19">
        <v>9.3691E-3</v>
      </c>
      <c r="H1001" s="1">
        <f t="shared" si="15"/>
        <v>0</v>
      </c>
      <c r="I1001" s="20">
        <f>E1001-N1001</f>
        <v>0</v>
      </c>
      <c r="O1001" s="19">
        <v>9.3683903140000004E-3</v>
      </c>
    </row>
    <row r="1002" spans="6:15" x14ac:dyDescent="0.2">
      <c r="F1002" s="19">
        <v>9.3690000000000006E-3</v>
      </c>
      <c r="H1002" s="1">
        <f t="shared" si="15"/>
        <v>0</v>
      </c>
      <c r="I1002" s="20">
        <f>E1002-N1002</f>
        <v>0</v>
      </c>
      <c r="O1002" s="19">
        <v>9.3682923299999998E-3</v>
      </c>
    </row>
    <row r="1003" spans="6:15" x14ac:dyDescent="0.2">
      <c r="F1003" s="19">
        <v>9.3689099999999994E-3</v>
      </c>
      <c r="H1003" s="1">
        <f t="shared" si="15"/>
        <v>0</v>
      </c>
      <c r="I1003" s="20">
        <f>E1003-N1003</f>
        <v>0</v>
      </c>
      <c r="O1003" s="19">
        <v>9.3681945430000007E-3</v>
      </c>
    </row>
    <row r="1004" spans="6:15" x14ac:dyDescent="0.2">
      <c r="F1004" s="19">
        <v>9.36881E-3</v>
      </c>
      <c r="H1004" s="1">
        <f t="shared" si="15"/>
        <v>0</v>
      </c>
      <c r="I1004" s="20">
        <f>E1004-N1004</f>
        <v>0</v>
      </c>
      <c r="O1004" s="19">
        <v>9.3680969539999999E-3</v>
      </c>
    </row>
    <row r="1005" spans="6:15" x14ac:dyDescent="0.2">
      <c r="F1005" s="19">
        <v>9.3687100000000006E-3</v>
      </c>
      <c r="H1005" s="1">
        <f t="shared" si="15"/>
        <v>0</v>
      </c>
      <c r="I1005" s="20">
        <f>E1005-N1005</f>
        <v>0</v>
      </c>
      <c r="O1005" s="19">
        <v>9.367999561E-3</v>
      </c>
    </row>
    <row r="1006" spans="6:15" x14ac:dyDescent="0.2">
      <c r="F1006" s="19">
        <v>9.3686099999999994E-3</v>
      </c>
      <c r="H1006" s="1">
        <f t="shared" si="15"/>
        <v>0</v>
      </c>
      <c r="I1006" s="20">
        <f>E1006-N1006</f>
        <v>0</v>
      </c>
      <c r="O1006" s="19">
        <v>9.3679023649999998E-3</v>
      </c>
    </row>
    <row r="1007" spans="6:15" x14ac:dyDescent="0.2">
      <c r="F1007" s="19">
        <v>9.36851E-3</v>
      </c>
      <c r="H1007" s="1">
        <f t="shared" si="15"/>
        <v>0</v>
      </c>
      <c r="I1007" s="20">
        <f>E1007-N1007</f>
        <v>0</v>
      </c>
      <c r="O1007" s="19">
        <v>9.3678053629999997E-3</v>
      </c>
    </row>
    <row r="1008" spans="6:15" x14ac:dyDescent="0.2">
      <c r="F1008" s="19">
        <v>9.3684200000000006E-3</v>
      </c>
      <c r="H1008" s="1">
        <f t="shared" si="15"/>
        <v>0</v>
      </c>
      <c r="I1008" s="20">
        <f>E1008-N1008</f>
        <v>0</v>
      </c>
      <c r="O1008" s="19">
        <v>9.3677085570000006E-3</v>
      </c>
    </row>
    <row r="1009" spans="6:15" x14ac:dyDescent="0.2">
      <c r="F1009" s="19">
        <v>9.3683199999999994E-3</v>
      </c>
      <c r="H1009" s="1">
        <f t="shared" si="15"/>
        <v>0</v>
      </c>
      <c r="I1009" s="20">
        <f>E1009-N1009</f>
        <v>0</v>
      </c>
      <c r="O1009" s="19">
        <v>9.3676119439999993E-3</v>
      </c>
    </row>
    <row r="1010" spans="6:15" x14ac:dyDescent="0.2">
      <c r="F1010" s="19">
        <v>9.36822E-3</v>
      </c>
      <c r="H1010" s="1">
        <f t="shared" si="15"/>
        <v>0</v>
      </c>
      <c r="I1010" s="20">
        <f>E1010-N1010</f>
        <v>0</v>
      </c>
      <c r="O1010" s="19">
        <v>9.3675155260000004E-3</v>
      </c>
    </row>
    <row r="1011" spans="6:15" x14ac:dyDescent="0.2">
      <c r="F1011" s="19">
        <v>9.3681300000000006E-3</v>
      </c>
      <c r="H1011" s="1">
        <f t="shared" si="15"/>
        <v>0</v>
      </c>
      <c r="I1011" s="20">
        <f>E1011-N1011</f>
        <v>0</v>
      </c>
      <c r="O1011" s="19">
        <v>9.3674193000000006E-3</v>
      </c>
    </row>
    <row r="1012" spans="6:15" x14ac:dyDescent="0.2">
      <c r="F1012" s="19">
        <v>9.3680299999999994E-3</v>
      </c>
      <c r="H1012" s="1">
        <f t="shared" si="15"/>
        <v>0</v>
      </c>
      <c r="I1012" s="20">
        <f>E1012-N1012</f>
        <v>0</v>
      </c>
      <c r="O1012" s="19">
        <v>9.3673232670000006E-3</v>
      </c>
    </row>
    <row r="1013" spans="6:15" x14ac:dyDescent="0.2">
      <c r="F1013" s="19">
        <v>9.36793E-3</v>
      </c>
      <c r="H1013" s="1">
        <f t="shared" si="15"/>
        <v>0</v>
      </c>
      <c r="I1013" s="20">
        <f>E1013-N1013</f>
        <v>0</v>
      </c>
      <c r="O1013" s="19">
        <v>9.3672274249999993E-3</v>
      </c>
    </row>
    <row r="1014" spans="6:15" x14ac:dyDescent="0.2">
      <c r="F1014" s="19">
        <v>9.3678400000000005E-3</v>
      </c>
      <c r="H1014" s="1">
        <f t="shared" si="15"/>
        <v>0</v>
      </c>
      <c r="I1014" s="20">
        <f>E1014-N1014</f>
        <v>0</v>
      </c>
      <c r="O1014" s="19">
        <v>9.3671317750000007E-3</v>
      </c>
    </row>
    <row r="1015" spans="6:15" x14ac:dyDescent="0.2">
      <c r="F1015" s="19">
        <v>9.3677399999999994E-3</v>
      </c>
      <c r="H1015" s="1">
        <f t="shared" si="15"/>
        <v>0</v>
      </c>
      <c r="I1015" s="20">
        <f>E1015-N1015</f>
        <v>0</v>
      </c>
      <c r="O1015" s="19">
        <v>9.3670363159999992E-3</v>
      </c>
    </row>
    <row r="1016" spans="6:15" x14ac:dyDescent="0.2">
      <c r="F1016" s="19">
        <v>9.36764E-3</v>
      </c>
      <c r="H1016" s="1">
        <f t="shared" si="15"/>
        <v>0</v>
      </c>
      <c r="I1016" s="20">
        <f>E1016-N1016</f>
        <v>0</v>
      </c>
      <c r="O1016" s="19">
        <v>9.3669410469999995E-3</v>
      </c>
    </row>
    <row r="1017" spans="6:15" x14ac:dyDescent="0.2">
      <c r="F1017" s="19">
        <v>9.3675500000000005E-3</v>
      </c>
      <c r="H1017" s="1">
        <f t="shared" si="15"/>
        <v>0</v>
      </c>
      <c r="I1017" s="20">
        <f>E1017-N1017</f>
        <v>0</v>
      </c>
      <c r="O1017" s="19">
        <v>9.3668459669999996E-3</v>
      </c>
    </row>
    <row r="1018" spans="6:15" x14ac:dyDescent="0.2">
      <c r="F1018" s="19">
        <v>9.3674499999999994E-3</v>
      </c>
      <c r="H1018" s="1">
        <f t="shared" si="15"/>
        <v>0</v>
      </c>
      <c r="I1018" s="20">
        <f>E1018-N1018</f>
        <v>0</v>
      </c>
      <c r="O1018" s="19">
        <v>9.3667510769999997E-3</v>
      </c>
    </row>
    <row r="1019" spans="6:15" x14ac:dyDescent="0.2">
      <c r="F1019" s="19">
        <v>9.3673599999999999E-3</v>
      </c>
      <c r="H1019" s="1">
        <f t="shared" si="15"/>
        <v>0</v>
      </c>
      <c r="I1019" s="20">
        <f>E1019-N1019</f>
        <v>0</v>
      </c>
      <c r="O1019" s="19">
        <v>9.3666563750000008E-3</v>
      </c>
    </row>
    <row r="1020" spans="6:15" x14ac:dyDescent="0.2">
      <c r="F1020" s="19">
        <v>9.3672600000000005E-3</v>
      </c>
      <c r="H1020" s="1">
        <f t="shared" si="15"/>
        <v>0</v>
      </c>
      <c r="I1020" s="20">
        <f>E1020-N1020</f>
        <v>0</v>
      </c>
      <c r="O1020" s="19">
        <v>9.3665618609999994E-3</v>
      </c>
    </row>
    <row r="1021" spans="6:15" x14ac:dyDescent="0.2">
      <c r="F1021" s="19">
        <v>9.3671699999999993E-3</v>
      </c>
      <c r="H1021" s="1">
        <f t="shared" si="15"/>
        <v>0</v>
      </c>
      <c r="I1021" s="20">
        <f>E1021-N1021</f>
        <v>0</v>
      </c>
      <c r="O1021" s="19">
        <v>9.3664675340000003E-3</v>
      </c>
    </row>
    <row r="1022" spans="6:15" x14ac:dyDescent="0.2">
      <c r="F1022" s="19">
        <v>9.3670699999999999E-3</v>
      </c>
      <c r="H1022" s="1">
        <f t="shared" si="15"/>
        <v>0</v>
      </c>
      <c r="I1022" s="20">
        <f>E1022-N1022</f>
        <v>0</v>
      </c>
      <c r="O1022" s="19">
        <v>9.366373394E-3</v>
      </c>
    </row>
    <row r="1023" spans="6:15" x14ac:dyDescent="0.2">
      <c r="F1023" s="19">
        <v>9.3669800000000004E-3</v>
      </c>
      <c r="H1023" s="1">
        <f t="shared" si="15"/>
        <v>0</v>
      </c>
      <c r="I1023" s="20">
        <f>E1023-N1023</f>
        <v>0</v>
      </c>
      <c r="O1023" s="19">
        <v>9.3662794399999999E-3</v>
      </c>
    </row>
    <row r="1024" spans="6:15" x14ac:dyDescent="0.2">
      <c r="F1024" s="19">
        <v>9.3668799999999993E-3</v>
      </c>
      <c r="H1024" s="1">
        <f t="shared" si="15"/>
        <v>0</v>
      </c>
      <c r="I1024" s="20">
        <f>E1024-N1024</f>
        <v>0</v>
      </c>
      <c r="O1024" s="19">
        <v>9.3661856719999999E-3</v>
      </c>
    </row>
    <row r="1025" spans="6:15" x14ac:dyDescent="0.2">
      <c r="F1025" s="19">
        <v>9.3667899999999998E-3</v>
      </c>
      <c r="H1025" s="1">
        <f t="shared" si="15"/>
        <v>0</v>
      </c>
      <c r="I1025" s="20">
        <f>E1025-N1025</f>
        <v>0</v>
      </c>
      <c r="O1025" s="19">
        <v>9.3660920889999996E-3</v>
      </c>
    </row>
    <row r="1026" spans="6:15" x14ac:dyDescent="0.2">
      <c r="F1026" s="19">
        <v>9.3667000000000004E-3</v>
      </c>
      <c r="H1026" s="1">
        <f t="shared" si="15"/>
        <v>0</v>
      </c>
      <c r="I1026" s="20">
        <f>E1026-N1026</f>
        <v>0</v>
      </c>
      <c r="O1026" s="19">
        <v>9.3659986910000007E-3</v>
      </c>
    </row>
    <row r="1027" spans="6:15" x14ac:dyDescent="0.2">
      <c r="F1027" s="19">
        <v>9.3665999999999992E-3</v>
      </c>
      <c r="H1027" s="1">
        <f t="shared" si="15"/>
        <v>0</v>
      </c>
      <c r="I1027" s="20">
        <f>E1027-N1027</f>
        <v>0</v>
      </c>
      <c r="O1027" s="19">
        <v>9.3659054769999993E-3</v>
      </c>
    </row>
    <row r="1028" spans="6:15" x14ac:dyDescent="0.2">
      <c r="F1028" s="19">
        <v>9.3665099999999998E-3</v>
      </c>
      <c r="H1028" s="1">
        <f t="shared" si="15"/>
        <v>0</v>
      </c>
      <c r="I1028" s="20">
        <f>E1028-N1028</f>
        <v>0</v>
      </c>
      <c r="O1028" s="19">
        <v>9.3658124460000002E-3</v>
      </c>
    </row>
    <row r="1029" spans="6:15" x14ac:dyDescent="0.2">
      <c r="F1029" s="19">
        <v>9.3664100000000004E-3</v>
      </c>
      <c r="H1029" s="1">
        <f t="shared" si="15"/>
        <v>0</v>
      </c>
      <c r="I1029" s="20">
        <f>E1029-N1029</f>
        <v>0</v>
      </c>
      <c r="O1029" s="19">
        <v>9.365719598E-3</v>
      </c>
    </row>
    <row r="1030" spans="6:15" x14ac:dyDescent="0.2">
      <c r="F1030" s="19">
        <v>9.3663199999999992E-3</v>
      </c>
      <c r="H1030" s="1">
        <f t="shared" si="15"/>
        <v>0</v>
      </c>
      <c r="I1030" s="20">
        <f>E1030-N1030</f>
        <v>0</v>
      </c>
      <c r="O1030" s="19">
        <v>9.3656269330000003E-3</v>
      </c>
    </row>
    <row r="1031" spans="6:15" x14ac:dyDescent="0.2">
      <c r="F1031" s="19">
        <v>9.3662299999999997E-3</v>
      </c>
      <c r="H1031" s="1">
        <f t="shared" si="15"/>
        <v>0</v>
      </c>
      <c r="I1031" s="20">
        <f>E1031-N1031</f>
        <v>0</v>
      </c>
      <c r="O1031" s="19">
        <v>9.3655344490000004E-3</v>
      </c>
    </row>
    <row r="1032" spans="6:15" x14ac:dyDescent="0.2">
      <c r="F1032" s="19">
        <v>9.3661400000000002E-3</v>
      </c>
      <c r="H1032" s="1">
        <f t="shared" si="15"/>
        <v>0</v>
      </c>
      <c r="I1032" s="20">
        <f>E1032-N1032</f>
        <v>0</v>
      </c>
      <c r="O1032" s="19">
        <v>9.3654421470000006E-3</v>
      </c>
    </row>
    <row r="1033" spans="6:15" x14ac:dyDescent="0.2">
      <c r="F1033" s="19">
        <v>9.3660400000000008E-3</v>
      </c>
      <c r="H1033" s="1">
        <f t="shared" si="15"/>
        <v>0</v>
      </c>
      <c r="I1033" s="20">
        <f>E1033-N1033</f>
        <v>0</v>
      </c>
      <c r="O1033" s="19">
        <v>9.3653500250000001E-3</v>
      </c>
    </row>
    <row r="1034" spans="6:15" x14ac:dyDescent="0.2">
      <c r="F1034" s="19">
        <v>9.3659499999999996E-3</v>
      </c>
      <c r="H1034" s="1">
        <f t="shared" si="15"/>
        <v>0</v>
      </c>
      <c r="I1034" s="20">
        <f>E1034-N1034</f>
        <v>0</v>
      </c>
      <c r="O1034" s="19">
        <v>9.3652580839999992E-3</v>
      </c>
    </row>
    <row r="1035" spans="6:15" x14ac:dyDescent="0.2">
      <c r="F1035" s="19">
        <v>9.3658600000000002E-3</v>
      </c>
      <c r="H1035" s="1">
        <f t="shared" si="15"/>
        <v>0</v>
      </c>
      <c r="I1035" s="20">
        <f>E1035-N1035</f>
        <v>0</v>
      </c>
      <c r="O1035" s="19">
        <v>9.3651663229999994E-3</v>
      </c>
    </row>
    <row r="1036" spans="6:15" x14ac:dyDescent="0.2">
      <c r="F1036" s="19">
        <v>9.3657700000000007E-3</v>
      </c>
      <c r="H1036" s="1">
        <f t="shared" si="15"/>
        <v>0</v>
      </c>
      <c r="I1036" s="20">
        <f>E1036-N1036</f>
        <v>0</v>
      </c>
      <c r="O1036" s="19">
        <v>9.3650747410000002E-3</v>
      </c>
    </row>
    <row r="1037" spans="6:15" x14ac:dyDescent="0.2">
      <c r="F1037" s="19">
        <v>9.3656699999999996E-3</v>
      </c>
      <c r="H1037" s="1">
        <f t="shared" ref="H1037:H1100" si="16">(P1037-G1037)*A1037/12</f>
        <v>0</v>
      </c>
      <c r="I1037" s="20">
        <f>E1037-N1037</f>
        <v>0</v>
      </c>
      <c r="O1037" s="19">
        <v>9.3649833379999999E-3</v>
      </c>
    </row>
    <row r="1038" spans="6:15" x14ac:dyDescent="0.2">
      <c r="F1038" s="19">
        <v>9.3655800000000001E-3</v>
      </c>
      <c r="H1038" s="1">
        <f t="shared" si="16"/>
        <v>0</v>
      </c>
      <c r="I1038" s="20">
        <f>E1038-N1038</f>
        <v>0</v>
      </c>
      <c r="O1038" s="19">
        <v>9.3648921119999992E-3</v>
      </c>
    </row>
    <row r="1039" spans="6:15" x14ac:dyDescent="0.2">
      <c r="F1039" s="19">
        <v>9.3654900000000006E-3</v>
      </c>
      <c r="H1039" s="1">
        <f t="shared" si="16"/>
        <v>0</v>
      </c>
      <c r="I1039" s="20">
        <f>E1039-N1039</f>
        <v>0</v>
      </c>
      <c r="O1039" s="19">
        <v>9.3648010649999992E-3</v>
      </c>
    </row>
    <row r="1040" spans="6:15" x14ac:dyDescent="0.2">
      <c r="F1040" s="19">
        <v>9.3653999999999994E-3</v>
      </c>
      <c r="H1040" s="1">
        <f t="shared" si="16"/>
        <v>0</v>
      </c>
      <c r="I1040" s="20">
        <f>E1040-N1040</f>
        <v>0</v>
      </c>
      <c r="O1040" s="19">
        <v>9.3647101950000006E-3</v>
      </c>
    </row>
    <row r="1041" spans="6:15" x14ac:dyDescent="0.2">
      <c r="F1041" s="19">
        <v>9.36531E-3</v>
      </c>
      <c r="H1041" s="1">
        <f t="shared" si="16"/>
        <v>0</v>
      </c>
      <c r="I1041" s="20">
        <f>E1041-N1041</f>
        <v>0</v>
      </c>
      <c r="O1041" s="19">
        <v>9.3646195009999995E-3</v>
      </c>
    </row>
    <row r="1042" spans="6:15" x14ac:dyDescent="0.2">
      <c r="F1042" s="19">
        <v>9.3652200000000005E-3</v>
      </c>
      <c r="H1042" s="1">
        <f t="shared" si="16"/>
        <v>0</v>
      </c>
      <c r="I1042" s="20">
        <f>E1042-N1042</f>
        <v>0</v>
      </c>
      <c r="O1042" s="19">
        <v>9.3645289829999995E-3</v>
      </c>
    </row>
    <row r="1043" spans="6:15" x14ac:dyDescent="0.2">
      <c r="F1043" s="19">
        <v>9.3651299999999993E-3</v>
      </c>
      <c r="H1043" s="1">
        <f t="shared" si="16"/>
        <v>0</v>
      </c>
      <c r="I1043" s="20">
        <f>E1043-N1043</f>
        <v>0</v>
      </c>
      <c r="O1043" s="19">
        <v>9.3644386410000006E-3</v>
      </c>
    </row>
    <row r="1044" spans="6:15" x14ac:dyDescent="0.2">
      <c r="F1044" s="19">
        <v>9.3650299999999999E-3</v>
      </c>
      <c r="H1044" s="1">
        <f t="shared" si="16"/>
        <v>0</v>
      </c>
      <c r="I1044" s="20">
        <f>E1044-N1044</f>
        <v>0</v>
      </c>
      <c r="O1044" s="19">
        <v>9.3643484740000005E-3</v>
      </c>
    </row>
    <row r="1045" spans="6:15" x14ac:dyDescent="0.2">
      <c r="F1045" s="19">
        <v>9.3649400000000004E-3</v>
      </c>
      <c r="H1045" s="1">
        <f t="shared" si="16"/>
        <v>0</v>
      </c>
      <c r="I1045" s="20">
        <f>E1045-N1045</f>
        <v>0</v>
      </c>
      <c r="O1045" s="19">
        <v>9.3642584819999992E-3</v>
      </c>
    </row>
    <row r="1046" spans="6:15" x14ac:dyDescent="0.2">
      <c r="F1046" s="19">
        <v>9.3648499999999992E-3</v>
      </c>
      <c r="H1046" s="1">
        <f t="shared" si="16"/>
        <v>0</v>
      </c>
      <c r="I1046" s="20">
        <f>E1046-N1046</f>
        <v>0</v>
      </c>
      <c r="O1046" s="19">
        <v>9.3641686629999995E-3</v>
      </c>
    </row>
    <row r="1047" spans="6:15" x14ac:dyDescent="0.2">
      <c r="F1047" s="19">
        <v>9.3647599999999998E-3</v>
      </c>
      <c r="H1047" s="1">
        <f t="shared" si="16"/>
        <v>0</v>
      </c>
      <c r="I1047" s="20">
        <f>E1047-N1047</f>
        <v>0</v>
      </c>
      <c r="O1047" s="19">
        <v>9.3640790190000003E-3</v>
      </c>
    </row>
    <row r="1048" spans="6:15" x14ac:dyDescent="0.2">
      <c r="F1048" s="19">
        <v>9.3646700000000003E-3</v>
      </c>
      <c r="H1048" s="1">
        <f t="shared" si="16"/>
        <v>0</v>
      </c>
      <c r="I1048" s="20">
        <f>E1048-N1048</f>
        <v>0</v>
      </c>
      <c r="O1048" s="19">
        <v>9.3639895470000005E-3</v>
      </c>
    </row>
    <row r="1049" spans="6:15" x14ac:dyDescent="0.2">
      <c r="F1049" s="19">
        <v>9.3645800000000008E-3</v>
      </c>
      <c r="H1049" s="1">
        <f t="shared" si="16"/>
        <v>0</v>
      </c>
      <c r="I1049" s="20">
        <f>E1049-N1049</f>
        <v>0</v>
      </c>
      <c r="O1049" s="19">
        <v>9.3639002480000004E-3</v>
      </c>
    </row>
    <row r="1050" spans="6:15" x14ac:dyDescent="0.2">
      <c r="F1050" s="19">
        <v>9.3644899999999996E-3</v>
      </c>
      <c r="H1050" s="1">
        <f t="shared" si="16"/>
        <v>0</v>
      </c>
      <c r="I1050" s="20">
        <f>E1050-N1050</f>
        <v>0</v>
      </c>
      <c r="O1050" s="19">
        <v>9.3638111209999996E-3</v>
      </c>
    </row>
    <row r="1051" spans="6:15" x14ac:dyDescent="0.2">
      <c r="F1051" s="19">
        <v>9.3644000000000002E-3</v>
      </c>
      <c r="H1051" s="1">
        <f t="shared" si="16"/>
        <v>0</v>
      </c>
      <c r="I1051" s="20">
        <f>E1051-N1051</f>
        <v>0</v>
      </c>
      <c r="O1051" s="19">
        <v>9.3637221649999994E-3</v>
      </c>
    </row>
    <row r="1052" spans="6:15" x14ac:dyDescent="0.2">
      <c r="F1052" s="19">
        <v>9.3643100000000007E-3</v>
      </c>
      <c r="H1052" s="1">
        <f t="shared" si="16"/>
        <v>0</v>
      </c>
      <c r="I1052" s="20">
        <f>E1052-N1052</f>
        <v>0</v>
      </c>
      <c r="O1052" s="19">
        <v>9.3636333810000003E-3</v>
      </c>
    </row>
    <row r="1053" spans="6:15" x14ac:dyDescent="0.2">
      <c r="F1053" s="19">
        <v>9.3642299999999994E-3</v>
      </c>
      <c r="H1053" s="1">
        <f t="shared" si="16"/>
        <v>0</v>
      </c>
      <c r="I1053" s="20">
        <f>E1053-N1053</f>
        <v>0</v>
      </c>
      <c r="O1053" s="19">
        <v>9.3635447669999997E-3</v>
      </c>
    </row>
    <row r="1054" spans="6:15" x14ac:dyDescent="0.2">
      <c r="F1054" s="19">
        <v>9.36414E-3</v>
      </c>
      <c r="H1054" s="1">
        <f t="shared" si="16"/>
        <v>0</v>
      </c>
      <c r="I1054" s="20">
        <f>E1054-N1054</f>
        <v>0</v>
      </c>
      <c r="O1054" s="19">
        <v>9.3634563239999996E-3</v>
      </c>
    </row>
    <row r="1055" spans="6:15" x14ac:dyDescent="0.2">
      <c r="F1055" s="19">
        <v>9.3640500000000005E-3</v>
      </c>
      <c r="H1055" s="1">
        <f t="shared" si="16"/>
        <v>0</v>
      </c>
      <c r="I1055" s="20">
        <f>E1055-N1055</f>
        <v>0</v>
      </c>
      <c r="O1055" s="19">
        <v>9.3633680490000006E-3</v>
      </c>
    </row>
    <row r="1056" spans="6:15" x14ac:dyDescent="0.2">
      <c r="F1056" s="19">
        <v>9.3639599999999993E-3</v>
      </c>
      <c r="H1056" s="1">
        <f t="shared" si="16"/>
        <v>0</v>
      </c>
      <c r="I1056" s="20">
        <f>E1056-N1056</f>
        <v>0</v>
      </c>
      <c r="O1056" s="19">
        <v>9.3632799440000001E-3</v>
      </c>
    </row>
    <row r="1057" spans="6:15" x14ac:dyDescent="0.2">
      <c r="F1057" s="19">
        <v>9.3638699999999998E-3</v>
      </c>
      <c r="H1057" s="1">
        <f t="shared" si="16"/>
        <v>0</v>
      </c>
      <c r="I1057" s="20">
        <f>E1057-N1057</f>
        <v>0</v>
      </c>
      <c r="O1057" s="19">
        <v>9.3631920079999993E-3</v>
      </c>
    </row>
    <row r="1058" spans="6:15" x14ac:dyDescent="0.2">
      <c r="F1058" s="19">
        <v>9.3637800000000004E-3</v>
      </c>
      <c r="H1058" s="1">
        <f t="shared" si="16"/>
        <v>0</v>
      </c>
      <c r="I1058" s="20">
        <f>E1058-N1058</f>
        <v>0</v>
      </c>
      <c r="O1058" s="19">
        <v>9.3631042399999996E-3</v>
      </c>
    </row>
    <row r="1059" spans="6:15" x14ac:dyDescent="0.2">
      <c r="F1059" s="19">
        <v>9.3636899999999992E-3</v>
      </c>
      <c r="H1059" s="1">
        <f t="shared" si="16"/>
        <v>0</v>
      </c>
      <c r="I1059" s="20">
        <f>E1059-N1059</f>
        <v>0</v>
      </c>
      <c r="O1059" s="19">
        <v>9.3630166390000005E-3</v>
      </c>
    </row>
    <row r="1060" spans="6:15" x14ac:dyDescent="0.2">
      <c r="F1060" s="19">
        <v>9.3636099999999996E-3</v>
      </c>
      <c r="H1060" s="1">
        <f t="shared" si="16"/>
        <v>0</v>
      </c>
      <c r="I1060" s="20">
        <f>E1060-N1060</f>
        <v>0</v>
      </c>
      <c r="O1060" s="19">
        <v>9.3629292060000008E-3</v>
      </c>
    </row>
    <row r="1061" spans="6:15" x14ac:dyDescent="0.2">
      <c r="F1061" s="19">
        <v>9.3635200000000002E-3</v>
      </c>
      <c r="H1061" s="1">
        <f t="shared" si="16"/>
        <v>0</v>
      </c>
      <c r="I1061" s="20">
        <f>E1061-N1061</f>
        <v>0</v>
      </c>
      <c r="O1061" s="19">
        <v>9.3628419389999995E-3</v>
      </c>
    </row>
    <row r="1062" spans="6:15" x14ac:dyDescent="0.2">
      <c r="F1062" s="19">
        <v>9.3634300000000007E-3</v>
      </c>
      <c r="H1062" s="1">
        <f t="shared" si="16"/>
        <v>0</v>
      </c>
      <c r="I1062" s="20">
        <f>E1062-N1062</f>
        <v>0</v>
      </c>
      <c r="O1062" s="19">
        <v>9.3627548390000006E-3</v>
      </c>
    </row>
    <row r="1063" spans="6:15" x14ac:dyDescent="0.2">
      <c r="F1063" s="19">
        <v>9.3633399999999995E-3</v>
      </c>
      <c r="H1063" s="1">
        <f t="shared" si="16"/>
        <v>0</v>
      </c>
      <c r="I1063" s="20">
        <f>E1063-N1063</f>
        <v>0</v>
      </c>
      <c r="O1063" s="19">
        <v>9.3626679039999997E-3</v>
      </c>
    </row>
    <row r="1064" spans="6:15" x14ac:dyDescent="0.2">
      <c r="F1064" s="19">
        <v>9.36326E-3</v>
      </c>
      <c r="H1064" s="1">
        <f t="shared" si="16"/>
        <v>0</v>
      </c>
      <c r="I1064" s="20">
        <f>E1064-N1064</f>
        <v>0</v>
      </c>
      <c r="O1064" s="19">
        <v>9.3625811350000008E-3</v>
      </c>
    </row>
    <row r="1065" spans="6:15" x14ac:dyDescent="0.2">
      <c r="F1065" s="19">
        <v>9.3631700000000005E-3</v>
      </c>
      <c r="H1065" s="1">
        <f t="shared" si="16"/>
        <v>0</v>
      </c>
      <c r="I1065" s="20">
        <f>E1065-N1065</f>
        <v>0</v>
      </c>
      <c r="O1065" s="19">
        <v>9.3624945299999995E-3</v>
      </c>
    </row>
    <row r="1066" spans="6:15" x14ac:dyDescent="0.2">
      <c r="F1066" s="19">
        <v>9.3630799999999993E-3</v>
      </c>
      <c r="H1066" s="1">
        <f t="shared" si="16"/>
        <v>0</v>
      </c>
      <c r="I1066" s="20">
        <f>E1066-N1066</f>
        <v>0</v>
      </c>
      <c r="O1066" s="19">
        <v>9.3624080899999997E-3</v>
      </c>
    </row>
    <row r="1067" spans="6:15" x14ac:dyDescent="0.2">
      <c r="F1067" s="19">
        <v>9.3629899999999999E-3</v>
      </c>
      <c r="H1067" s="1">
        <f t="shared" si="16"/>
        <v>0</v>
      </c>
      <c r="I1067" s="20">
        <f>E1067-N1067</f>
        <v>0</v>
      </c>
      <c r="O1067" s="19">
        <v>9.3623218139999992E-3</v>
      </c>
    </row>
    <row r="1068" spans="6:15" x14ac:dyDescent="0.2">
      <c r="F1068" s="19">
        <v>9.3629100000000003E-3</v>
      </c>
      <c r="H1068" s="1">
        <f t="shared" si="16"/>
        <v>0</v>
      </c>
      <c r="I1068" s="20">
        <f>E1068-N1068</f>
        <v>0</v>
      </c>
      <c r="O1068" s="19">
        <v>9.3622357009999994E-3</v>
      </c>
    </row>
    <row r="1069" spans="6:15" x14ac:dyDescent="0.2">
      <c r="F1069" s="19">
        <v>9.3628200000000009E-3</v>
      </c>
      <c r="H1069" s="1">
        <f t="shared" si="16"/>
        <v>0</v>
      </c>
      <c r="I1069" s="20">
        <f>E1069-N1069</f>
        <v>0</v>
      </c>
      <c r="O1069" s="19">
        <v>9.3621497510000002E-3</v>
      </c>
    </row>
    <row r="1070" spans="6:15" x14ac:dyDescent="0.2">
      <c r="F1070" s="19">
        <v>9.3627399999999996E-3</v>
      </c>
      <c r="H1070" s="1">
        <f t="shared" si="16"/>
        <v>0</v>
      </c>
      <c r="I1070" s="20">
        <f>E1070-N1070</f>
        <v>0</v>
      </c>
      <c r="O1070" s="19">
        <v>9.3620639629999995E-3</v>
      </c>
    </row>
    <row r="1071" spans="6:15" x14ac:dyDescent="0.2">
      <c r="F1071" s="19">
        <v>9.3626500000000001E-3</v>
      </c>
      <c r="H1071" s="1">
        <f t="shared" si="16"/>
        <v>0</v>
      </c>
      <c r="I1071" s="20">
        <f>E1071-N1071</f>
        <v>0</v>
      </c>
      <c r="O1071" s="19">
        <v>9.3619783379999995E-3</v>
      </c>
    </row>
    <row r="1072" spans="6:15" x14ac:dyDescent="0.2">
      <c r="F1072" s="19">
        <v>9.3625600000000007E-3</v>
      </c>
      <c r="H1072" s="1">
        <f t="shared" si="16"/>
        <v>0</v>
      </c>
      <c r="I1072" s="20">
        <f>E1072-N1072</f>
        <v>0</v>
      </c>
      <c r="O1072" s="19">
        <v>9.3618928739999992E-3</v>
      </c>
    </row>
    <row r="1073" spans="6:15" x14ac:dyDescent="0.2">
      <c r="F1073" s="19">
        <v>9.3624799999999994E-3</v>
      </c>
      <c r="H1073" s="1">
        <f t="shared" si="16"/>
        <v>0</v>
      </c>
      <c r="I1073" s="20">
        <f>E1073-N1073</f>
        <v>0</v>
      </c>
      <c r="O1073" s="19">
        <v>9.3618075710000005E-3</v>
      </c>
    </row>
    <row r="1074" spans="6:15" x14ac:dyDescent="0.2">
      <c r="F1074" s="19">
        <v>9.3623899999999999E-3</v>
      </c>
      <c r="H1074" s="1">
        <f t="shared" si="16"/>
        <v>0</v>
      </c>
      <c r="I1074" s="20">
        <f>E1074-N1074</f>
        <v>0</v>
      </c>
      <c r="O1074" s="19">
        <v>9.3617224289999999E-3</v>
      </c>
    </row>
    <row r="1075" spans="6:15" x14ac:dyDescent="0.2">
      <c r="F1075" s="19">
        <v>9.3623100000000004E-3</v>
      </c>
      <c r="H1075" s="1">
        <f t="shared" si="16"/>
        <v>0</v>
      </c>
      <c r="I1075" s="20">
        <f>E1075-N1075</f>
        <v>0</v>
      </c>
      <c r="O1075" s="19">
        <v>9.3616374470000003E-3</v>
      </c>
    </row>
    <row r="1076" spans="6:15" x14ac:dyDescent="0.2">
      <c r="F1076" s="19">
        <v>9.3622199999999992E-3</v>
      </c>
      <c r="H1076" s="1">
        <f t="shared" si="16"/>
        <v>0</v>
      </c>
      <c r="I1076" s="20">
        <f>E1076-N1076</f>
        <v>0</v>
      </c>
      <c r="O1076" s="19">
        <v>9.3615526239999997E-3</v>
      </c>
    </row>
    <row r="1077" spans="6:15" x14ac:dyDescent="0.2">
      <c r="F1077" s="19">
        <v>9.3621399999999997E-3</v>
      </c>
      <c r="H1077" s="1">
        <f t="shared" si="16"/>
        <v>0</v>
      </c>
      <c r="I1077" s="20">
        <f>E1077-N1077</f>
        <v>0</v>
      </c>
      <c r="O1077" s="19">
        <v>9.3614679620000005E-3</v>
      </c>
    </row>
    <row r="1078" spans="6:15" x14ac:dyDescent="0.2">
      <c r="F1078" s="19">
        <v>9.3620500000000002E-3</v>
      </c>
      <c r="H1078" s="1">
        <f t="shared" si="16"/>
        <v>0</v>
      </c>
      <c r="I1078" s="20">
        <f>E1078-N1078</f>
        <v>0</v>
      </c>
      <c r="O1078" s="19">
        <v>9.3613834569999995E-3</v>
      </c>
    </row>
    <row r="1079" spans="6:15" x14ac:dyDescent="0.2">
      <c r="F1079" s="19">
        <v>9.3619700000000007E-3</v>
      </c>
      <c r="H1079" s="1">
        <f t="shared" si="16"/>
        <v>0</v>
      </c>
      <c r="I1079" s="20">
        <f>E1079-N1079</f>
        <v>0</v>
      </c>
      <c r="O1079" s="19">
        <v>9.3612991119999996E-3</v>
      </c>
    </row>
    <row r="1080" spans="6:15" x14ac:dyDescent="0.2">
      <c r="F1080" s="19">
        <v>9.3618799999999995E-3</v>
      </c>
      <c r="H1080" s="1">
        <f t="shared" si="16"/>
        <v>0</v>
      </c>
      <c r="I1080" s="20">
        <f>E1080-N1080</f>
        <v>0</v>
      </c>
      <c r="O1080" s="19">
        <v>9.3612149239999994E-3</v>
      </c>
    </row>
    <row r="1081" spans="6:15" x14ac:dyDescent="0.2">
      <c r="F1081" s="19">
        <v>9.3618E-3</v>
      </c>
      <c r="H1081" s="1">
        <f t="shared" si="16"/>
        <v>0</v>
      </c>
      <c r="I1081" s="20">
        <f>E1081-N1081</f>
        <v>0</v>
      </c>
      <c r="O1081" s="19">
        <v>9.3611308939999995E-3</v>
      </c>
    </row>
    <row r="1082" spans="6:15" x14ac:dyDescent="0.2">
      <c r="F1082" s="19">
        <v>9.3617100000000005E-3</v>
      </c>
      <c r="H1082" s="1">
        <f t="shared" si="16"/>
        <v>0</v>
      </c>
      <c r="I1082" s="20">
        <f>E1082-N1082</f>
        <v>0</v>
      </c>
      <c r="O1082" s="19">
        <v>9.3610470209999994E-3</v>
      </c>
    </row>
    <row r="1083" spans="6:15" x14ac:dyDescent="0.2">
      <c r="F1083" s="19">
        <v>9.3616299999999993E-3</v>
      </c>
      <c r="H1083" s="1">
        <f t="shared" si="16"/>
        <v>0</v>
      </c>
      <c r="I1083" s="20">
        <f>E1083-N1083</f>
        <v>0</v>
      </c>
      <c r="O1083" s="19">
        <v>9.3609633040000004E-3</v>
      </c>
    </row>
    <row r="1084" spans="6:15" x14ac:dyDescent="0.2">
      <c r="F1084" s="19">
        <v>9.3615399999999998E-3</v>
      </c>
      <c r="H1084" s="1">
        <f t="shared" si="16"/>
        <v>0</v>
      </c>
      <c r="I1084" s="20">
        <f>E1084-N1084</f>
        <v>0</v>
      </c>
      <c r="O1084" s="19">
        <v>9.3608797439999995E-3</v>
      </c>
    </row>
    <row r="1085" spans="6:15" x14ac:dyDescent="0.2">
      <c r="F1085" s="19">
        <v>9.3614600000000003E-3</v>
      </c>
      <c r="H1085" s="1">
        <f t="shared" si="16"/>
        <v>0</v>
      </c>
      <c r="I1085" s="20">
        <f>E1085-N1085</f>
        <v>0</v>
      </c>
      <c r="O1085" s="19">
        <v>9.3607963389999993E-3</v>
      </c>
    </row>
    <row r="1086" spans="6:15" x14ac:dyDescent="0.2">
      <c r="F1086" s="19">
        <v>9.3613800000000007E-3</v>
      </c>
      <c r="H1086" s="1">
        <f t="shared" si="16"/>
        <v>0</v>
      </c>
      <c r="I1086" s="20">
        <f>E1086-N1086</f>
        <v>0</v>
      </c>
      <c r="O1086" s="19">
        <v>9.3607130900000002E-3</v>
      </c>
    </row>
    <row r="1087" spans="6:15" x14ac:dyDescent="0.2">
      <c r="F1087" s="19">
        <v>9.3612899999999995E-3</v>
      </c>
      <c r="H1087" s="1">
        <f t="shared" si="16"/>
        <v>0</v>
      </c>
      <c r="I1087" s="20">
        <f>E1087-N1087</f>
        <v>0</v>
      </c>
      <c r="O1087" s="19">
        <v>9.360629996E-3</v>
      </c>
    </row>
    <row r="1088" spans="6:15" x14ac:dyDescent="0.2">
      <c r="F1088" s="19">
        <v>9.36121E-3</v>
      </c>
      <c r="H1088" s="1">
        <f t="shared" si="16"/>
        <v>0</v>
      </c>
      <c r="I1088" s="20">
        <f>E1088-N1088</f>
        <v>0</v>
      </c>
      <c r="O1088" s="19">
        <v>9.3605470560000001E-3</v>
      </c>
    </row>
    <row r="1089" spans="6:15" x14ac:dyDescent="0.2">
      <c r="F1089" s="19">
        <v>9.3611300000000005E-3</v>
      </c>
      <c r="H1089" s="1">
        <f t="shared" si="16"/>
        <v>0</v>
      </c>
      <c r="I1089" s="20">
        <f>E1089-N1089</f>
        <v>0</v>
      </c>
      <c r="O1089" s="19">
        <v>9.3604642700000004E-3</v>
      </c>
    </row>
    <row r="1090" spans="6:15" x14ac:dyDescent="0.2">
      <c r="F1090" s="19">
        <v>9.3610399999999993E-3</v>
      </c>
      <c r="H1090" s="1">
        <f t="shared" si="16"/>
        <v>0</v>
      </c>
      <c r="I1090" s="20">
        <f>E1090-N1090</f>
        <v>0</v>
      </c>
      <c r="O1090" s="19">
        <v>9.3603816379999993E-3</v>
      </c>
    </row>
    <row r="1091" spans="6:15" x14ac:dyDescent="0.2">
      <c r="F1091" s="19">
        <v>9.3609599999999998E-3</v>
      </c>
      <c r="H1091" s="1">
        <f t="shared" si="16"/>
        <v>0</v>
      </c>
      <c r="I1091" s="20">
        <f>E1091-N1091</f>
        <v>0</v>
      </c>
      <c r="O1091" s="19">
        <v>9.3602991589999997E-3</v>
      </c>
    </row>
    <row r="1092" spans="6:15" x14ac:dyDescent="0.2">
      <c r="F1092" s="19">
        <v>9.3608800000000002E-3</v>
      </c>
      <c r="H1092" s="1">
        <f t="shared" si="16"/>
        <v>0</v>
      </c>
      <c r="I1092" s="20">
        <f>E1092-N1092</f>
        <v>0</v>
      </c>
      <c r="O1092" s="19">
        <v>9.3602168319999995E-3</v>
      </c>
    </row>
    <row r="1093" spans="6:15" x14ac:dyDescent="0.2">
      <c r="F1093" s="19">
        <v>9.3607900000000008E-3</v>
      </c>
      <c r="H1093" s="1">
        <f t="shared" si="16"/>
        <v>0</v>
      </c>
      <c r="I1093" s="20">
        <f>E1093-N1093</f>
        <v>0</v>
      </c>
      <c r="O1093" s="19">
        <v>9.3601346580000008E-3</v>
      </c>
    </row>
    <row r="1094" spans="6:15" x14ac:dyDescent="0.2">
      <c r="F1094" s="19">
        <v>9.3607099999999995E-3</v>
      </c>
      <c r="H1094" s="1">
        <f t="shared" si="16"/>
        <v>0</v>
      </c>
      <c r="I1094" s="20">
        <f>E1094-N1094</f>
        <v>0</v>
      </c>
      <c r="O1094" s="19">
        <v>9.3600526359999998E-3</v>
      </c>
    </row>
    <row r="1095" spans="6:15" x14ac:dyDescent="0.2">
      <c r="F1095" s="19">
        <v>9.36063E-3</v>
      </c>
      <c r="H1095" s="1">
        <f t="shared" si="16"/>
        <v>0</v>
      </c>
      <c r="I1095" s="20">
        <f>E1095-N1095</f>
        <v>0</v>
      </c>
      <c r="O1095" s="19">
        <v>9.359970766E-3</v>
      </c>
    </row>
    <row r="1096" spans="6:15" x14ac:dyDescent="0.2">
      <c r="F1096" s="19">
        <v>9.3605500000000005E-3</v>
      </c>
      <c r="H1096" s="1">
        <f t="shared" si="16"/>
        <v>0</v>
      </c>
      <c r="I1096" s="20">
        <f>E1096-N1096</f>
        <v>0</v>
      </c>
      <c r="O1096" s="19">
        <v>9.3598890460000004E-3</v>
      </c>
    </row>
    <row r="1097" spans="6:15" x14ac:dyDescent="0.2">
      <c r="F1097" s="19">
        <v>9.3604599999999993E-3</v>
      </c>
      <c r="H1097" s="1">
        <f t="shared" si="16"/>
        <v>0</v>
      </c>
      <c r="I1097" s="20">
        <f>E1097-N1097</f>
        <v>0</v>
      </c>
      <c r="O1097" s="19">
        <v>9.3598074769999998E-3</v>
      </c>
    </row>
    <row r="1098" spans="6:15" x14ac:dyDescent="0.2">
      <c r="F1098" s="19">
        <v>9.3603799999999997E-3</v>
      </c>
      <c r="H1098" s="1">
        <f t="shared" si="16"/>
        <v>0</v>
      </c>
      <c r="I1098" s="20">
        <f>E1098-N1098</f>
        <v>0</v>
      </c>
      <c r="O1098" s="19">
        <v>9.3597260579999994E-3</v>
      </c>
    </row>
    <row r="1099" spans="6:15" x14ac:dyDescent="0.2">
      <c r="F1099" s="19">
        <v>9.3603000000000002E-3</v>
      </c>
      <c r="H1099" s="1">
        <f t="shared" si="16"/>
        <v>0</v>
      </c>
      <c r="I1099" s="20">
        <f>E1099-N1099</f>
        <v>0</v>
      </c>
      <c r="O1099" s="19">
        <v>9.3596447889999993E-3</v>
      </c>
    </row>
    <row r="1100" spans="6:15" x14ac:dyDescent="0.2">
      <c r="F1100" s="19">
        <v>9.3602200000000007E-3</v>
      </c>
      <c r="H1100" s="1">
        <f t="shared" si="16"/>
        <v>0</v>
      </c>
      <c r="I1100" s="20">
        <f>E1100-N1100</f>
        <v>0</v>
      </c>
      <c r="O1100" s="19">
        <v>9.3595636699999995E-3</v>
      </c>
    </row>
    <row r="1101" spans="6:15" x14ac:dyDescent="0.2">
      <c r="F1101" s="19">
        <v>9.3601399999999994E-3</v>
      </c>
      <c r="H1101" s="1">
        <f t="shared" ref="H1101:H1164" si="17">(P1101-G1101)*A1101/12</f>
        <v>0</v>
      </c>
      <c r="I1101" s="20">
        <f>E1101-N1101</f>
        <v>0</v>
      </c>
      <c r="O1101" s="19">
        <v>9.3594826990000008E-3</v>
      </c>
    </row>
    <row r="1102" spans="6:15" x14ac:dyDescent="0.2">
      <c r="F1102" s="19">
        <v>9.3600599999999999E-3</v>
      </c>
      <c r="H1102" s="1">
        <f t="shared" si="17"/>
        <v>0</v>
      </c>
      <c r="I1102" s="20">
        <f>E1102-N1102</f>
        <v>0</v>
      </c>
      <c r="O1102" s="19">
        <v>9.3594018770000002E-3</v>
      </c>
    </row>
    <row r="1103" spans="6:15" x14ac:dyDescent="0.2">
      <c r="F1103" s="19">
        <v>9.3599700000000004E-3</v>
      </c>
      <c r="H1103" s="1">
        <f t="shared" si="17"/>
        <v>0</v>
      </c>
      <c r="I1103" s="20">
        <f>E1103-N1103</f>
        <v>0</v>
      </c>
      <c r="O1103" s="19">
        <v>9.3593212039999995E-3</v>
      </c>
    </row>
    <row r="1104" spans="6:15" x14ac:dyDescent="0.2">
      <c r="F1104" s="19">
        <v>9.3598899999999992E-3</v>
      </c>
      <c r="H1104" s="1">
        <f t="shared" si="17"/>
        <v>0</v>
      </c>
      <c r="I1104" s="20">
        <f>E1104-N1104</f>
        <v>0</v>
      </c>
      <c r="O1104" s="19">
        <v>9.3592406779999995E-3</v>
      </c>
    </row>
    <row r="1105" spans="6:15" x14ac:dyDescent="0.2">
      <c r="F1105" s="19">
        <v>9.3598099999999997E-3</v>
      </c>
      <c r="H1105" s="1">
        <f t="shared" si="17"/>
        <v>0</v>
      </c>
      <c r="I1105" s="20">
        <f>E1105-N1105</f>
        <v>0</v>
      </c>
      <c r="O1105" s="19">
        <v>9.3591602990000002E-3</v>
      </c>
    </row>
    <row r="1106" spans="6:15" x14ac:dyDescent="0.2">
      <c r="F1106" s="19">
        <v>9.3597300000000001E-3</v>
      </c>
      <c r="H1106" s="1">
        <f t="shared" si="17"/>
        <v>0</v>
      </c>
      <c r="I1106" s="20">
        <f>E1106-N1106</f>
        <v>0</v>
      </c>
      <c r="O1106" s="19">
        <v>9.3590800669999998E-3</v>
      </c>
    </row>
    <row r="1107" spans="6:15" x14ac:dyDescent="0.2">
      <c r="F1107" s="19">
        <v>9.3596500000000006E-3</v>
      </c>
      <c r="H1107" s="1">
        <f t="shared" si="17"/>
        <v>0</v>
      </c>
      <c r="I1107" s="20">
        <f>E1107-N1107</f>
        <v>0</v>
      </c>
      <c r="O1107" s="19">
        <v>9.3589999820000002E-3</v>
      </c>
    </row>
    <row r="1108" spans="6:15" x14ac:dyDescent="0.2">
      <c r="F1108" s="19">
        <v>9.3595699999999993E-3</v>
      </c>
      <c r="H1108" s="1">
        <f t="shared" si="17"/>
        <v>0</v>
      </c>
      <c r="I1108" s="20">
        <f>E1108-N1108</f>
        <v>0</v>
      </c>
      <c r="O1108" s="19">
        <v>9.3589200429999991E-3</v>
      </c>
    </row>
    <row r="1109" spans="6:15" x14ac:dyDescent="0.2">
      <c r="F1109" s="19">
        <v>9.3594899999999998E-3</v>
      </c>
      <c r="H1109" s="1">
        <f t="shared" si="17"/>
        <v>0</v>
      </c>
      <c r="I1109" s="20">
        <f>E1109-N1109</f>
        <v>0</v>
      </c>
      <c r="O1109" s="19">
        <v>9.3588402500000001E-3</v>
      </c>
    </row>
    <row r="1110" spans="6:15" x14ac:dyDescent="0.2">
      <c r="F1110" s="19">
        <v>9.3594100000000003E-3</v>
      </c>
      <c r="H1110" s="1">
        <f t="shared" si="17"/>
        <v>0</v>
      </c>
      <c r="I1110" s="20">
        <f>E1110-N1110</f>
        <v>0</v>
      </c>
      <c r="O1110" s="19">
        <v>9.3587606019999992E-3</v>
      </c>
    </row>
    <row r="1111" spans="6:15" x14ac:dyDescent="0.2">
      <c r="F1111" s="19">
        <v>9.3593300000000008E-3</v>
      </c>
      <c r="H1111" s="1">
        <f t="shared" si="17"/>
        <v>0</v>
      </c>
      <c r="I1111" s="20">
        <f>E1111-N1111</f>
        <v>0</v>
      </c>
      <c r="O1111" s="19">
        <v>9.3586810989999998E-3</v>
      </c>
    </row>
    <row r="1112" spans="6:15" x14ac:dyDescent="0.2">
      <c r="F1112" s="19">
        <v>9.3592499999999995E-3</v>
      </c>
      <c r="H1112" s="1">
        <f t="shared" si="17"/>
        <v>0</v>
      </c>
      <c r="I1112" s="20">
        <f>E1112-N1112</f>
        <v>0</v>
      </c>
      <c r="O1112" s="19">
        <v>9.3586017410000003E-3</v>
      </c>
    </row>
    <row r="1113" spans="6:15" x14ac:dyDescent="0.2">
      <c r="F1113" s="19">
        <v>9.35917E-3</v>
      </c>
      <c r="H1113" s="1">
        <f t="shared" si="17"/>
        <v>0</v>
      </c>
      <c r="I1113" s="20">
        <f>E1113-N1113</f>
        <v>0</v>
      </c>
      <c r="O1113" s="19">
        <v>9.3585225259999998E-3</v>
      </c>
    </row>
    <row r="1114" spans="6:15" x14ac:dyDescent="0.2">
      <c r="F1114" s="19">
        <v>9.3590900000000005E-3</v>
      </c>
      <c r="H1114" s="1">
        <f t="shared" si="17"/>
        <v>0</v>
      </c>
      <c r="I1114" s="20">
        <f>E1114-N1114</f>
        <v>0</v>
      </c>
      <c r="O1114" s="19">
        <v>9.3584434559999992E-3</v>
      </c>
    </row>
    <row r="1115" spans="6:15" x14ac:dyDescent="0.2">
      <c r="F1115" s="19">
        <v>9.3590099999999992E-3</v>
      </c>
      <c r="H1115" s="1">
        <f t="shared" si="17"/>
        <v>0</v>
      </c>
      <c r="I1115" s="20">
        <f>E1115-N1115</f>
        <v>0</v>
      </c>
      <c r="O1115" s="19">
        <v>9.3583645289999993E-3</v>
      </c>
    </row>
    <row r="1116" spans="6:15" x14ac:dyDescent="0.2">
      <c r="F1116" s="19">
        <v>9.3589299999999997E-3</v>
      </c>
      <c r="H1116" s="1">
        <f t="shared" si="17"/>
        <v>0</v>
      </c>
      <c r="I1116" s="20">
        <f>E1116-N1116</f>
        <v>0</v>
      </c>
      <c r="O1116" s="19">
        <v>9.3582857450000001E-3</v>
      </c>
    </row>
    <row r="1117" spans="6:15" x14ac:dyDescent="0.2">
      <c r="F1117" s="19">
        <v>9.3588500000000002E-3</v>
      </c>
      <c r="H1117" s="1">
        <f t="shared" si="17"/>
        <v>0</v>
      </c>
      <c r="I1117" s="20">
        <f>E1117-N1117</f>
        <v>0</v>
      </c>
      <c r="O1117" s="19">
        <v>9.3582071029999995E-3</v>
      </c>
    </row>
    <row r="1118" spans="6:15" x14ac:dyDescent="0.2">
      <c r="F1118" s="19">
        <v>9.3587700000000006E-3</v>
      </c>
      <c r="H1118" s="1">
        <f t="shared" si="17"/>
        <v>0</v>
      </c>
      <c r="I1118" s="20">
        <f>E1118-N1118</f>
        <v>0</v>
      </c>
      <c r="O1118" s="19">
        <v>9.3581286039999996E-3</v>
      </c>
    </row>
    <row r="1119" spans="6:15" x14ac:dyDescent="0.2">
      <c r="F1119" s="19">
        <v>9.3586999999999993E-3</v>
      </c>
      <c r="H1119" s="1">
        <f t="shared" si="17"/>
        <v>0</v>
      </c>
      <c r="I1119" s="20">
        <f>E1119-N1119</f>
        <v>0</v>
      </c>
      <c r="O1119" s="19">
        <v>9.3580502459999996E-3</v>
      </c>
    </row>
    <row r="1120" spans="6:15" x14ac:dyDescent="0.2">
      <c r="F1120" s="19">
        <v>9.3586199999999998E-3</v>
      </c>
      <c r="H1120" s="1">
        <f t="shared" si="17"/>
        <v>0</v>
      </c>
      <c r="I1120" s="20">
        <f>E1120-N1120</f>
        <v>0</v>
      </c>
      <c r="O1120" s="19">
        <v>9.3579720299999999E-3</v>
      </c>
    </row>
    <row r="1121" spans="6:15" x14ac:dyDescent="0.2">
      <c r="F1121" s="19">
        <v>9.3585400000000003E-3</v>
      </c>
      <c r="H1121" s="1">
        <f t="shared" si="17"/>
        <v>0</v>
      </c>
      <c r="I1121" s="20">
        <f>E1121-N1121</f>
        <v>0</v>
      </c>
      <c r="O1121" s="19">
        <v>9.3578939560000005E-3</v>
      </c>
    </row>
    <row r="1122" spans="6:15" x14ac:dyDescent="0.2">
      <c r="F1122" s="19">
        <v>9.3584600000000007E-3</v>
      </c>
      <c r="H1122" s="1">
        <f t="shared" si="17"/>
        <v>0</v>
      </c>
      <c r="I1122" s="20">
        <f>E1122-N1122</f>
        <v>0</v>
      </c>
      <c r="O1122" s="19">
        <v>9.3578160210000001E-3</v>
      </c>
    </row>
    <row r="1123" spans="6:15" x14ac:dyDescent="0.2">
      <c r="F1123" s="19">
        <v>9.3583799999999995E-3</v>
      </c>
      <c r="H1123" s="1">
        <f t="shared" si="17"/>
        <v>0</v>
      </c>
      <c r="I1123" s="20">
        <f>E1123-N1123</f>
        <v>0</v>
      </c>
      <c r="O1123" s="19">
        <v>9.3577382269999995E-3</v>
      </c>
    </row>
    <row r="1124" spans="6:15" x14ac:dyDescent="0.2">
      <c r="F1124" s="19">
        <v>9.3583E-3</v>
      </c>
      <c r="H1124" s="1">
        <f t="shared" si="17"/>
        <v>0</v>
      </c>
      <c r="I1124" s="20">
        <f>E1124-N1124</f>
        <v>0</v>
      </c>
      <c r="O1124" s="19">
        <v>9.3576605730000002E-3</v>
      </c>
    </row>
    <row r="1125" spans="6:15" x14ac:dyDescent="0.2">
      <c r="F1125" s="19">
        <v>9.3582300000000004E-3</v>
      </c>
      <c r="H1125" s="1">
        <f t="shared" si="17"/>
        <v>0</v>
      </c>
      <c r="I1125" s="20">
        <f>E1125-N1125</f>
        <v>0</v>
      </c>
      <c r="O1125" s="19">
        <v>9.3575830590000002E-3</v>
      </c>
    </row>
    <row r="1126" spans="6:15" x14ac:dyDescent="0.2">
      <c r="F1126" s="19">
        <v>9.3581500000000008E-3</v>
      </c>
      <c r="H1126" s="1">
        <f t="shared" si="17"/>
        <v>0</v>
      </c>
      <c r="I1126" s="20">
        <f>E1126-N1126</f>
        <v>0</v>
      </c>
      <c r="O1126" s="19">
        <v>9.3575056830000006E-3</v>
      </c>
    </row>
    <row r="1127" spans="6:15" x14ac:dyDescent="0.2">
      <c r="F1127" s="19">
        <v>9.3580699999999996E-3</v>
      </c>
      <c r="H1127" s="1">
        <f t="shared" si="17"/>
        <v>0</v>
      </c>
      <c r="I1127" s="20">
        <f>E1127-N1127</f>
        <v>0</v>
      </c>
      <c r="O1127" s="19">
        <v>9.3574284470000005E-3</v>
      </c>
    </row>
    <row r="1128" spans="6:15" x14ac:dyDescent="0.2">
      <c r="F1128" s="19">
        <v>9.3579900000000001E-3</v>
      </c>
      <c r="H1128" s="1">
        <f t="shared" si="17"/>
        <v>0</v>
      </c>
      <c r="I1128" s="20">
        <f>E1128-N1128</f>
        <v>0</v>
      </c>
      <c r="O1128" s="19">
        <v>9.3573513490000006E-3</v>
      </c>
    </row>
    <row r="1129" spans="6:15" x14ac:dyDescent="0.2">
      <c r="F1129" s="19">
        <v>9.3579100000000005E-3</v>
      </c>
      <c r="H1129" s="1">
        <f t="shared" si="17"/>
        <v>0</v>
      </c>
      <c r="I1129" s="20">
        <f>E1129-N1129</f>
        <v>0</v>
      </c>
      <c r="O1129" s="19">
        <v>9.3572743889999994E-3</v>
      </c>
    </row>
    <row r="1130" spans="6:15" x14ac:dyDescent="0.2">
      <c r="F1130" s="19">
        <v>9.3578399999999992E-3</v>
      </c>
      <c r="H1130" s="1">
        <f t="shared" si="17"/>
        <v>0</v>
      </c>
      <c r="I1130" s="20">
        <f>E1130-N1130</f>
        <v>0</v>
      </c>
      <c r="O1130" s="19">
        <v>9.3571975659999997E-3</v>
      </c>
    </row>
    <row r="1131" spans="6:15" x14ac:dyDescent="0.2">
      <c r="F1131" s="19">
        <v>9.3577599999999997E-3</v>
      </c>
      <c r="H1131" s="1">
        <f t="shared" si="17"/>
        <v>0</v>
      </c>
      <c r="I1131" s="20">
        <f>E1131-N1131</f>
        <v>0</v>
      </c>
      <c r="O1131" s="19">
        <v>9.3571208810000004E-3</v>
      </c>
    </row>
    <row r="1132" spans="6:15" x14ac:dyDescent="0.2">
      <c r="F1132" s="19">
        <v>9.3576800000000002E-3</v>
      </c>
      <c r="H1132" s="1">
        <f t="shared" si="17"/>
        <v>0</v>
      </c>
      <c r="I1132" s="20">
        <f>E1132-N1132</f>
        <v>0</v>
      </c>
      <c r="O1132" s="19">
        <v>9.3570443329999992E-3</v>
      </c>
    </row>
    <row r="1133" spans="6:15" x14ac:dyDescent="0.2">
      <c r="F1133" s="19">
        <v>9.3576100000000006E-3</v>
      </c>
      <c r="H1133" s="1">
        <f t="shared" si="17"/>
        <v>0</v>
      </c>
      <c r="I1133" s="20">
        <f>E1133-N1133</f>
        <v>0</v>
      </c>
      <c r="O1133" s="19">
        <v>9.3569679219999997E-3</v>
      </c>
    </row>
    <row r="1134" spans="6:15" x14ac:dyDescent="0.2">
      <c r="F1134" s="19">
        <v>9.3575299999999993E-3</v>
      </c>
      <c r="H1134" s="1">
        <f t="shared" si="17"/>
        <v>0</v>
      </c>
      <c r="I1134" s="20">
        <f>E1134-N1134</f>
        <v>0</v>
      </c>
      <c r="O1134" s="19">
        <v>9.3568916459999991E-3</v>
      </c>
    </row>
    <row r="1135" spans="6:15" x14ac:dyDescent="0.2">
      <c r="F1135" s="19">
        <v>9.3574499999999998E-3</v>
      </c>
      <c r="H1135" s="1">
        <f t="shared" si="17"/>
        <v>0</v>
      </c>
      <c r="I1135" s="20">
        <f>E1135-N1135</f>
        <v>0</v>
      </c>
      <c r="O1135" s="19">
        <v>9.3568155070000002E-3</v>
      </c>
    </row>
    <row r="1136" spans="6:15" x14ac:dyDescent="0.2">
      <c r="F1136" s="19">
        <v>9.3573800000000002E-3</v>
      </c>
      <c r="H1136" s="1">
        <f t="shared" si="17"/>
        <v>0</v>
      </c>
      <c r="I1136" s="20">
        <f>E1136-N1136</f>
        <v>0</v>
      </c>
      <c r="O1136" s="19">
        <v>9.3567395030000004E-3</v>
      </c>
    </row>
    <row r="1137" spans="6:15" x14ac:dyDescent="0.2">
      <c r="F1137" s="19">
        <v>9.3573000000000007E-3</v>
      </c>
      <c r="H1137" s="1">
        <f t="shared" si="17"/>
        <v>0</v>
      </c>
      <c r="I1137" s="20">
        <f>E1137-N1137</f>
        <v>0</v>
      </c>
      <c r="O1137" s="19">
        <v>9.3566636339999995E-3</v>
      </c>
    </row>
    <row r="1138" spans="6:15" x14ac:dyDescent="0.2">
      <c r="F1138" s="19">
        <v>9.3572199999999994E-3</v>
      </c>
      <c r="H1138" s="1">
        <f t="shared" si="17"/>
        <v>0</v>
      </c>
      <c r="I1138" s="20">
        <f>E1138-N1138</f>
        <v>0</v>
      </c>
      <c r="O1138" s="19">
        <v>9.3565878999999994E-3</v>
      </c>
    </row>
    <row r="1139" spans="6:15" x14ac:dyDescent="0.2">
      <c r="F1139" s="19">
        <v>9.3571499999999998E-3</v>
      </c>
      <c r="H1139" s="1">
        <f t="shared" si="17"/>
        <v>0</v>
      </c>
      <c r="I1139" s="20">
        <f>E1139-N1139</f>
        <v>0</v>
      </c>
      <c r="O1139" s="19">
        <v>9.3565122999999997E-3</v>
      </c>
    </row>
    <row r="1140" spans="6:15" x14ac:dyDescent="0.2">
      <c r="F1140" s="19">
        <v>9.3570700000000003E-3</v>
      </c>
      <c r="H1140" s="1">
        <f t="shared" si="17"/>
        <v>0</v>
      </c>
      <c r="I1140" s="20">
        <f>E1140-N1140</f>
        <v>0</v>
      </c>
      <c r="O1140" s="19">
        <v>9.3564368350000007E-3</v>
      </c>
    </row>
    <row r="1141" spans="6:15" x14ac:dyDescent="0.2">
      <c r="F1141" s="19">
        <v>9.3570000000000007E-3</v>
      </c>
      <c r="H1141" s="1">
        <f t="shared" si="17"/>
        <v>0</v>
      </c>
      <c r="I1141" s="20">
        <f>E1141-N1141</f>
        <v>0</v>
      </c>
      <c r="O1141" s="19">
        <v>9.3563615029999998E-3</v>
      </c>
    </row>
    <row r="1142" spans="6:15" x14ac:dyDescent="0.2">
      <c r="F1142" s="19">
        <v>9.3569199999999995E-3</v>
      </c>
      <c r="H1142" s="1">
        <f t="shared" si="17"/>
        <v>0</v>
      </c>
      <c r="I1142" s="20">
        <f>E1142-N1142</f>
        <v>0</v>
      </c>
      <c r="O1142" s="19">
        <v>9.3562863040000006E-3</v>
      </c>
    </row>
    <row r="1143" spans="6:15" x14ac:dyDescent="0.2">
      <c r="F1143" s="19">
        <v>9.3568399999999999E-3</v>
      </c>
      <c r="H1143" s="1">
        <f t="shared" si="17"/>
        <v>0</v>
      </c>
      <c r="I1143" s="20">
        <f>E1143-N1143</f>
        <v>0</v>
      </c>
      <c r="O1143" s="19">
        <v>9.3562112379999996E-3</v>
      </c>
    </row>
    <row r="1144" spans="6:15" x14ac:dyDescent="0.2">
      <c r="F1144" s="19">
        <v>9.3567700000000004E-3</v>
      </c>
      <c r="H1144" s="1">
        <f t="shared" si="17"/>
        <v>0</v>
      </c>
      <c r="I1144" s="20">
        <f>E1144-N1144</f>
        <v>0</v>
      </c>
      <c r="O1144" s="19">
        <v>9.3561363050000002E-3</v>
      </c>
    </row>
    <row r="1145" spans="6:15" x14ac:dyDescent="0.2">
      <c r="F1145" s="19">
        <v>9.3566900000000008E-3</v>
      </c>
      <c r="H1145" s="1">
        <f t="shared" si="17"/>
        <v>0</v>
      </c>
      <c r="I1145" s="20">
        <f>E1145-N1145</f>
        <v>0</v>
      </c>
      <c r="O1145" s="19">
        <v>9.3560615050000007E-3</v>
      </c>
    </row>
    <row r="1146" spans="6:15" x14ac:dyDescent="0.2">
      <c r="F1146" s="19">
        <v>9.3566199999999995E-3</v>
      </c>
      <c r="H1146" s="1">
        <f t="shared" si="17"/>
        <v>0</v>
      </c>
      <c r="I1146" s="20">
        <f>E1146-N1146</f>
        <v>0</v>
      </c>
      <c r="O1146" s="19">
        <v>9.3559868360000003E-3</v>
      </c>
    </row>
    <row r="1147" spans="6:15" x14ac:dyDescent="0.2">
      <c r="F1147" s="19">
        <v>9.35654E-3</v>
      </c>
      <c r="H1147" s="1">
        <f t="shared" si="17"/>
        <v>0</v>
      </c>
      <c r="I1147" s="20">
        <f>E1147-N1147</f>
        <v>0</v>
      </c>
      <c r="O1147" s="19">
        <v>9.3559122980000006E-3</v>
      </c>
    </row>
    <row r="1148" spans="6:15" x14ac:dyDescent="0.2">
      <c r="F1148" s="19">
        <v>9.3564700000000004E-3</v>
      </c>
      <c r="H1148" s="1">
        <f t="shared" si="17"/>
        <v>0</v>
      </c>
      <c r="I1148" s="20">
        <f>E1148-N1148</f>
        <v>0</v>
      </c>
      <c r="O1148" s="19">
        <v>9.3558378920000004E-3</v>
      </c>
    </row>
    <row r="1149" spans="6:15" x14ac:dyDescent="0.2">
      <c r="F1149" s="19">
        <v>9.3563899999999992E-3</v>
      </c>
      <c r="H1149" s="1">
        <f t="shared" si="17"/>
        <v>0</v>
      </c>
      <c r="I1149" s="20">
        <f>E1149-N1149</f>
        <v>0</v>
      </c>
      <c r="O1149" s="19">
        <v>9.3557636169999993E-3</v>
      </c>
    </row>
    <row r="1150" spans="6:15" x14ac:dyDescent="0.2">
      <c r="F1150" s="19">
        <v>9.3563199999999996E-3</v>
      </c>
      <c r="H1150" s="1">
        <f t="shared" si="17"/>
        <v>0</v>
      </c>
      <c r="I1150" s="20">
        <f>E1150-N1150</f>
        <v>0</v>
      </c>
      <c r="O1150" s="19">
        <v>9.3556894730000006E-3</v>
      </c>
    </row>
    <row r="1151" spans="6:15" x14ac:dyDescent="0.2">
      <c r="F1151" s="19">
        <v>9.35624E-3</v>
      </c>
      <c r="H1151" s="1">
        <f t="shared" si="17"/>
        <v>0</v>
      </c>
      <c r="I1151" s="20">
        <f>E1151-N1151</f>
        <v>0</v>
      </c>
      <c r="O1151" s="19">
        <v>9.3556154580000002E-3</v>
      </c>
    </row>
    <row r="1152" spans="6:15" x14ac:dyDescent="0.2">
      <c r="F1152" s="19">
        <v>9.3561700000000005E-3</v>
      </c>
      <c r="H1152" s="1">
        <f t="shared" si="17"/>
        <v>0</v>
      </c>
      <c r="I1152" s="20">
        <f>E1152-N1152</f>
        <v>0</v>
      </c>
      <c r="O1152" s="19">
        <v>9.3555415740000005E-3</v>
      </c>
    </row>
    <row r="1153" spans="6:15" x14ac:dyDescent="0.2">
      <c r="F1153" s="19">
        <v>9.3560999999999991E-3</v>
      </c>
      <c r="H1153" s="1">
        <f t="shared" si="17"/>
        <v>0</v>
      </c>
      <c r="I1153" s="20">
        <f>E1153-N1153</f>
        <v>0</v>
      </c>
      <c r="O1153" s="19">
        <v>9.3554678190000008E-3</v>
      </c>
    </row>
    <row r="1154" spans="6:15" x14ac:dyDescent="0.2">
      <c r="F1154" s="19">
        <v>9.3560199999999996E-3</v>
      </c>
      <c r="H1154" s="1">
        <f t="shared" si="17"/>
        <v>0</v>
      </c>
      <c r="I1154" s="20">
        <f>E1154-N1154</f>
        <v>0</v>
      </c>
      <c r="O1154" s="19">
        <v>9.3553941929999992E-3</v>
      </c>
    </row>
    <row r="1155" spans="6:15" x14ac:dyDescent="0.2">
      <c r="F1155" s="19">
        <v>9.35595E-3</v>
      </c>
      <c r="H1155" s="1">
        <f t="shared" si="17"/>
        <v>0</v>
      </c>
      <c r="I1155" s="20">
        <f>E1155-N1155</f>
        <v>0</v>
      </c>
      <c r="O1155" s="19">
        <v>9.3553206959999993E-3</v>
      </c>
    </row>
    <row r="1156" spans="6:15" x14ac:dyDescent="0.2">
      <c r="F1156" s="19">
        <v>9.3558700000000005E-3</v>
      </c>
      <c r="H1156" s="1">
        <f t="shared" si="17"/>
        <v>0</v>
      </c>
      <c r="I1156" s="20">
        <f>E1156-N1156</f>
        <v>0</v>
      </c>
      <c r="O1156" s="19">
        <v>9.3552473279999993E-3</v>
      </c>
    </row>
    <row r="1157" spans="6:15" x14ac:dyDescent="0.2">
      <c r="F1157" s="19">
        <v>9.3557999999999992E-3</v>
      </c>
      <c r="H1157" s="1">
        <f t="shared" si="17"/>
        <v>0</v>
      </c>
      <c r="I1157" s="20">
        <f>E1157-N1157</f>
        <v>0</v>
      </c>
      <c r="O1157" s="19">
        <v>9.355174087E-3</v>
      </c>
    </row>
    <row r="1158" spans="6:15" x14ac:dyDescent="0.2">
      <c r="F1158" s="19">
        <v>9.3557299999999996E-3</v>
      </c>
      <c r="H1158" s="1">
        <f t="shared" si="17"/>
        <v>0</v>
      </c>
      <c r="I1158" s="20">
        <f>E1158-N1158</f>
        <v>0</v>
      </c>
      <c r="O1158" s="19">
        <v>9.3551009750000007E-3</v>
      </c>
    </row>
    <row r="1159" spans="6:15" x14ac:dyDescent="0.2">
      <c r="F1159" s="19">
        <v>9.3556500000000001E-3</v>
      </c>
      <c r="H1159" s="1">
        <f t="shared" si="17"/>
        <v>0</v>
      </c>
      <c r="I1159" s="20">
        <f>E1159-N1159</f>
        <v>0</v>
      </c>
      <c r="O1159" s="19">
        <v>9.3550279900000005E-3</v>
      </c>
    </row>
    <row r="1160" spans="6:15" x14ac:dyDescent="0.2">
      <c r="F1160" s="19">
        <v>9.3555800000000005E-3</v>
      </c>
      <c r="H1160" s="1">
        <f t="shared" si="17"/>
        <v>0</v>
      </c>
      <c r="I1160" s="20">
        <f>E1160-N1160</f>
        <v>0</v>
      </c>
      <c r="O1160" s="19">
        <v>9.3549551319999993E-3</v>
      </c>
    </row>
    <row r="1161" spans="6:15" x14ac:dyDescent="0.2">
      <c r="F1161" s="19">
        <v>9.3555099999999992E-3</v>
      </c>
      <c r="H1161" s="1">
        <f t="shared" si="17"/>
        <v>0</v>
      </c>
      <c r="I1161" s="20">
        <f>E1161-N1161</f>
        <v>0</v>
      </c>
      <c r="O1161" s="19">
        <v>9.3548824010000007E-3</v>
      </c>
    </row>
    <row r="1162" spans="6:15" x14ac:dyDescent="0.2">
      <c r="F1162" s="19">
        <v>9.3554299999999996E-3</v>
      </c>
      <c r="H1162" s="1">
        <f t="shared" si="17"/>
        <v>0</v>
      </c>
      <c r="I1162" s="20">
        <f>E1162-N1162</f>
        <v>0</v>
      </c>
      <c r="O1162" s="19">
        <v>9.3548097960000007E-3</v>
      </c>
    </row>
    <row r="1163" spans="6:15" x14ac:dyDescent="0.2">
      <c r="F1163" s="19">
        <v>9.3553600000000001E-3</v>
      </c>
      <c r="H1163" s="1">
        <f t="shared" si="17"/>
        <v>0</v>
      </c>
      <c r="I1163" s="20">
        <f>E1163-N1163</f>
        <v>0</v>
      </c>
      <c r="O1163" s="19">
        <v>9.3547373179999997E-3</v>
      </c>
    </row>
    <row r="1164" spans="6:15" x14ac:dyDescent="0.2">
      <c r="F1164" s="19">
        <v>9.3552900000000005E-3</v>
      </c>
      <c r="H1164" s="1">
        <f t="shared" si="17"/>
        <v>0</v>
      </c>
      <c r="I1164" s="20">
        <f>E1164-N1164</f>
        <v>0</v>
      </c>
      <c r="O1164" s="19">
        <v>9.3546649650000004E-3</v>
      </c>
    </row>
    <row r="1165" spans="6:15" x14ac:dyDescent="0.2">
      <c r="F1165" s="19">
        <v>9.3552199999999992E-3</v>
      </c>
      <c r="H1165" s="1">
        <f t="shared" ref="H1165:H1212" si="18">(P1165-G1165)*A1165/12</f>
        <v>0</v>
      </c>
      <c r="I1165" s="20">
        <f>E1165-N1165</f>
        <v>0</v>
      </c>
      <c r="O1165" s="19">
        <v>9.3545927379999998E-3</v>
      </c>
    </row>
    <row r="1166" spans="6:15" x14ac:dyDescent="0.2">
      <c r="F1166" s="19">
        <v>9.3551399999999996E-3</v>
      </c>
      <c r="H1166" s="1">
        <f t="shared" si="18"/>
        <v>0</v>
      </c>
      <c r="I1166" s="20">
        <f>E1166-N1166</f>
        <v>0</v>
      </c>
      <c r="O1166" s="19">
        <v>9.3545206360000008E-3</v>
      </c>
    </row>
    <row r="1167" spans="6:15" x14ac:dyDescent="0.2">
      <c r="F1167" s="19">
        <v>9.3550700000000001E-3</v>
      </c>
      <c r="H1167" s="1">
        <f t="shared" si="18"/>
        <v>0</v>
      </c>
      <c r="I1167" s="20">
        <f>E1167-N1167</f>
        <v>0</v>
      </c>
      <c r="O1167" s="19">
        <v>9.354448659E-3</v>
      </c>
    </row>
    <row r="1168" spans="6:15" x14ac:dyDescent="0.2">
      <c r="F1168" s="19">
        <v>9.3550000000000005E-3</v>
      </c>
      <c r="H1168" s="1">
        <f t="shared" si="18"/>
        <v>0</v>
      </c>
      <c r="I1168" s="20">
        <f>E1168-N1168</f>
        <v>0</v>
      </c>
      <c r="O1168" s="19">
        <v>9.3543768070000009E-3</v>
      </c>
    </row>
    <row r="1169" spans="6:15" x14ac:dyDescent="0.2">
      <c r="F1169" s="19">
        <v>9.3549299999999991E-3</v>
      </c>
      <c r="H1169" s="1">
        <f t="shared" si="18"/>
        <v>0</v>
      </c>
      <c r="I1169" s="20">
        <f>E1169-N1169</f>
        <v>0</v>
      </c>
      <c r="O1169" s="19">
        <v>9.3543050789999995E-3</v>
      </c>
    </row>
    <row r="1170" spans="6:15" x14ac:dyDescent="0.2">
      <c r="F1170" s="19">
        <v>9.3548499999999996E-3</v>
      </c>
      <c r="H1170" s="1">
        <f t="shared" si="18"/>
        <v>0</v>
      </c>
      <c r="I1170" s="20">
        <f>E1170-N1170</f>
        <v>0</v>
      </c>
      <c r="O1170" s="19">
        <v>9.3542334740000007E-3</v>
      </c>
    </row>
    <row r="1171" spans="6:15" x14ac:dyDescent="0.2">
      <c r="F1171" s="19">
        <v>9.35478E-3</v>
      </c>
      <c r="H1171" s="1">
        <f t="shared" si="18"/>
        <v>0</v>
      </c>
      <c r="I1171" s="20">
        <f>E1171-N1171</f>
        <v>0</v>
      </c>
      <c r="O1171" s="19">
        <v>9.3541619940000001E-3</v>
      </c>
    </row>
    <row r="1172" spans="6:15" x14ac:dyDescent="0.2">
      <c r="F1172" s="19">
        <v>9.3547100000000005E-3</v>
      </c>
      <c r="H1172" s="1">
        <f t="shared" si="18"/>
        <v>0</v>
      </c>
      <c r="I1172" s="20">
        <f>E1172-N1172</f>
        <v>0</v>
      </c>
      <c r="O1172" s="19">
        <v>9.3540906359999999E-3</v>
      </c>
    </row>
    <row r="1173" spans="6:15" x14ac:dyDescent="0.2">
      <c r="F1173" s="19">
        <v>9.3546399999999991E-3</v>
      </c>
      <c r="H1173" s="1">
        <f t="shared" si="18"/>
        <v>0</v>
      </c>
      <c r="I1173" s="20">
        <f>E1173-N1173</f>
        <v>0</v>
      </c>
      <c r="O1173" s="19">
        <v>9.3540194010000004E-3</v>
      </c>
    </row>
    <row r="1174" spans="6:15" x14ac:dyDescent="0.2">
      <c r="F1174" s="19">
        <v>9.3545699999999996E-3</v>
      </c>
      <c r="H1174" s="1">
        <f t="shared" si="18"/>
        <v>0</v>
      </c>
      <c r="I1174" s="20">
        <f>E1174-N1174</f>
        <v>0</v>
      </c>
      <c r="O1174" s="19">
        <v>9.3539482890000001E-3</v>
      </c>
    </row>
    <row r="1175" spans="6:15" x14ac:dyDescent="0.2">
      <c r="F1175" s="19">
        <v>9.3545E-3</v>
      </c>
      <c r="H1175" s="1">
        <f t="shared" si="18"/>
        <v>0</v>
      </c>
      <c r="I1175" s="20">
        <f>E1175-N1175</f>
        <v>0</v>
      </c>
      <c r="O1175" s="19">
        <v>9.3538773000000006E-3</v>
      </c>
    </row>
    <row r="1176" spans="6:15" x14ac:dyDescent="0.2">
      <c r="F1176" s="19">
        <v>9.3544200000000004E-3</v>
      </c>
      <c r="H1176" s="1">
        <f t="shared" si="18"/>
        <v>0</v>
      </c>
      <c r="I1176" s="20">
        <f>E1176-N1176</f>
        <v>0</v>
      </c>
      <c r="O1176" s="19">
        <v>9.3538064319999992E-3</v>
      </c>
    </row>
    <row r="1177" spans="6:15" x14ac:dyDescent="0.2">
      <c r="F1177" s="19">
        <v>9.3543500000000009E-3</v>
      </c>
      <c r="H1177" s="1">
        <f t="shared" si="18"/>
        <v>0</v>
      </c>
      <c r="I1177" s="20">
        <f>E1177-N1177</f>
        <v>0</v>
      </c>
      <c r="O1177" s="19">
        <v>9.353735686E-3</v>
      </c>
    </row>
    <row r="1178" spans="6:15" x14ac:dyDescent="0.2">
      <c r="F1178" s="19">
        <v>9.3542799999999995E-3</v>
      </c>
      <c r="H1178" s="1">
        <f t="shared" si="18"/>
        <v>0</v>
      </c>
      <c r="I1178" s="20">
        <f>E1178-N1178</f>
        <v>0</v>
      </c>
      <c r="O1178" s="19">
        <v>9.3536650610000008E-3</v>
      </c>
    </row>
    <row r="1179" spans="6:15" x14ac:dyDescent="0.2">
      <c r="F1179" s="19">
        <v>9.35421E-3</v>
      </c>
      <c r="H1179" s="1">
        <f t="shared" si="18"/>
        <v>0</v>
      </c>
      <c r="I1179" s="20">
        <f>E1179-N1179</f>
        <v>0</v>
      </c>
      <c r="O1179" s="19">
        <v>9.3535945569999997E-3</v>
      </c>
    </row>
    <row r="1180" spans="6:15" x14ac:dyDescent="0.2">
      <c r="F1180" s="19">
        <v>9.3541400000000004E-3</v>
      </c>
      <c r="H1180" s="1">
        <f t="shared" si="18"/>
        <v>0</v>
      </c>
      <c r="I1180" s="20">
        <f>E1180-N1180</f>
        <v>0</v>
      </c>
      <c r="O1180" s="19">
        <v>9.3535241740000004E-3</v>
      </c>
    </row>
    <row r="1181" spans="6:15" x14ac:dyDescent="0.2">
      <c r="F1181" s="19">
        <v>9.3540700000000008E-3</v>
      </c>
      <c r="H1181" s="1">
        <f t="shared" si="18"/>
        <v>0</v>
      </c>
      <c r="I1181" s="20">
        <f>E1181-N1181</f>
        <v>0</v>
      </c>
      <c r="O1181" s="19">
        <v>9.3534539119999992E-3</v>
      </c>
    </row>
    <row r="1182" spans="6:15" x14ac:dyDescent="0.2">
      <c r="F1182" s="19">
        <v>9.3539999999999995E-3</v>
      </c>
      <c r="H1182" s="1">
        <f t="shared" si="18"/>
        <v>0</v>
      </c>
      <c r="I1182" s="20">
        <f>E1182-N1182</f>
        <v>0</v>
      </c>
      <c r="O1182" s="19">
        <v>9.3533837699999994E-3</v>
      </c>
    </row>
    <row r="1183" spans="6:15" x14ac:dyDescent="0.2">
      <c r="F1183" s="19">
        <v>9.3539299999999999E-3</v>
      </c>
      <c r="H1183" s="1">
        <f t="shared" si="18"/>
        <v>0</v>
      </c>
      <c r="I1183" s="20">
        <f>E1183-N1183</f>
        <v>0</v>
      </c>
      <c r="O1183" s="19">
        <v>9.3533137470000003E-3</v>
      </c>
    </row>
    <row r="1184" spans="6:15" x14ac:dyDescent="0.2">
      <c r="F1184" s="19">
        <v>9.3538600000000003E-3</v>
      </c>
      <c r="H1184" s="1">
        <f t="shared" si="18"/>
        <v>0</v>
      </c>
      <c r="I1184" s="20">
        <f>E1184-N1184</f>
        <v>0</v>
      </c>
      <c r="O1184" s="19">
        <v>9.3532438449999995E-3</v>
      </c>
    </row>
    <row r="1185" spans="6:15" x14ac:dyDescent="0.2">
      <c r="F1185" s="19">
        <v>9.3537900000000007E-3</v>
      </c>
      <c r="H1185" s="1">
        <f t="shared" si="18"/>
        <v>0</v>
      </c>
      <c r="I1185" s="20">
        <f>E1185-N1185</f>
        <v>0</v>
      </c>
      <c r="O1185" s="19">
        <v>9.3531740610000007E-3</v>
      </c>
    </row>
    <row r="1186" spans="6:15" x14ac:dyDescent="0.2">
      <c r="F1186" s="19">
        <v>9.3537199999999994E-3</v>
      </c>
      <c r="H1186" s="1">
        <f t="shared" si="18"/>
        <v>0</v>
      </c>
      <c r="I1186" s="20">
        <f>E1186-N1186</f>
        <v>0</v>
      </c>
      <c r="O1186" s="19">
        <v>9.3531043959999994E-3</v>
      </c>
    </row>
    <row r="1187" spans="6:15" x14ac:dyDescent="0.2">
      <c r="F1187" s="19">
        <v>9.3536499999999998E-3</v>
      </c>
      <c r="H1187" s="1">
        <f t="shared" si="18"/>
        <v>0</v>
      </c>
      <c r="I1187" s="20">
        <f>E1187-N1187</f>
        <v>0</v>
      </c>
      <c r="O1187" s="19">
        <v>9.3530348490000002E-3</v>
      </c>
    </row>
    <row r="1188" spans="6:15" x14ac:dyDescent="0.2">
      <c r="F1188" s="19">
        <v>9.3535800000000002E-3</v>
      </c>
      <c r="H1188" s="1">
        <f t="shared" si="18"/>
        <v>0</v>
      </c>
      <c r="I1188" s="20">
        <f>E1188-N1188</f>
        <v>0</v>
      </c>
      <c r="O1188" s="19">
        <v>9.3529654199999996E-3</v>
      </c>
    </row>
    <row r="1189" spans="6:15" x14ac:dyDescent="0.2">
      <c r="F1189" s="19">
        <v>9.3535100000000006E-3</v>
      </c>
      <c r="H1189" s="1">
        <f t="shared" si="18"/>
        <v>0</v>
      </c>
      <c r="I1189" s="20">
        <f>E1189-N1189</f>
        <v>0</v>
      </c>
      <c r="O1189" s="19">
        <v>9.3528961089999994E-3</v>
      </c>
    </row>
    <row r="1190" spans="6:15" x14ac:dyDescent="0.2">
      <c r="F1190" s="19">
        <v>9.3534399999999993E-3</v>
      </c>
      <c r="H1190" s="1">
        <f t="shared" si="18"/>
        <v>0</v>
      </c>
      <c r="I1190" s="20">
        <f>E1190-N1190</f>
        <v>0</v>
      </c>
      <c r="O1190" s="19">
        <v>9.3528269149999992E-3</v>
      </c>
    </row>
    <row r="1191" spans="6:15" x14ac:dyDescent="0.2">
      <c r="F1191" s="19">
        <v>9.3533699999999997E-3</v>
      </c>
      <c r="H1191" s="1">
        <f t="shared" si="18"/>
        <v>0</v>
      </c>
      <c r="I1191" s="20">
        <f>E1191-N1191</f>
        <v>0</v>
      </c>
      <c r="O1191" s="19">
        <v>9.3527578389999994E-3</v>
      </c>
    </row>
    <row r="1192" spans="6:15" x14ac:dyDescent="0.2">
      <c r="F1192" s="19">
        <v>9.3533000000000002E-3</v>
      </c>
      <c r="H1192" s="1">
        <f t="shared" si="18"/>
        <v>0</v>
      </c>
      <c r="I1192" s="20">
        <f>E1192-N1192</f>
        <v>0</v>
      </c>
      <c r="O1192" s="19">
        <v>9.352688881E-3</v>
      </c>
    </row>
    <row r="1193" spans="6:15" x14ac:dyDescent="0.2">
      <c r="F1193" s="19">
        <v>9.3532300000000006E-3</v>
      </c>
      <c r="H1193" s="1">
        <f t="shared" si="18"/>
        <v>0</v>
      </c>
      <c r="I1193" s="20">
        <f>E1193-N1193</f>
        <v>0</v>
      </c>
      <c r="O1193" s="19">
        <v>9.3526200409999993E-3</v>
      </c>
    </row>
    <row r="1194" spans="6:15" x14ac:dyDescent="0.2">
      <c r="F1194" s="19">
        <v>9.3531599999999993E-3</v>
      </c>
      <c r="H1194" s="1">
        <f t="shared" si="18"/>
        <v>0</v>
      </c>
      <c r="I1194" s="20">
        <f>E1194-N1194</f>
        <v>0</v>
      </c>
      <c r="O1194" s="19">
        <v>9.3525513180000002E-3</v>
      </c>
    </row>
    <row r="1195" spans="6:15" x14ac:dyDescent="0.2">
      <c r="F1195" s="19">
        <v>9.3530899999999997E-3</v>
      </c>
      <c r="H1195" s="1">
        <f t="shared" si="18"/>
        <v>0</v>
      </c>
      <c r="I1195" s="20">
        <f>E1195-N1195</f>
        <v>0</v>
      </c>
      <c r="O1195" s="19">
        <v>9.3524827140000003E-3</v>
      </c>
    </row>
    <row r="1196" spans="6:15" x14ac:dyDescent="0.2">
      <c r="F1196" s="19">
        <v>9.3530200000000001E-3</v>
      </c>
      <c r="H1196" s="1">
        <f t="shared" si="18"/>
        <v>0</v>
      </c>
      <c r="I1196" s="20">
        <f>E1196-N1196</f>
        <v>0</v>
      </c>
      <c r="O1196" s="19">
        <v>9.3524142270000003E-3</v>
      </c>
    </row>
    <row r="1197" spans="6:15" x14ac:dyDescent="0.2">
      <c r="F1197" s="19">
        <v>9.3529500000000005E-3</v>
      </c>
      <c r="H1197" s="1">
        <f t="shared" si="18"/>
        <v>0</v>
      </c>
      <c r="I1197" s="20">
        <f>E1197-N1197</f>
        <v>0</v>
      </c>
      <c r="O1197" s="19">
        <v>9.3523458530000003E-3</v>
      </c>
    </row>
    <row r="1198" spans="6:15" x14ac:dyDescent="0.2">
      <c r="F1198" s="19">
        <v>9.3528799999999992E-3</v>
      </c>
      <c r="H1198" s="1">
        <f t="shared" si="18"/>
        <v>0</v>
      </c>
      <c r="I1198" s="20">
        <f>E1198-N1198</f>
        <v>0</v>
      </c>
      <c r="O1198" s="19">
        <v>9.3522775920000002E-3</v>
      </c>
    </row>
    <row r="1199" spans="6:15" x14ac:dyDescent="0.2">
      <c r="F1199" s="19">
        <v>9.3528199999999995E-3</v>
      </c>
      <c r="H1199" s="1">
        <f t="shared" si="18"/>
        <v>0</v>
      </c>
      <c r="I1199" s="20">
        <f>E1199-N1199</f>
        <v>0</v>
      </c>
      <c r="O1199" s="19">
        <v>9.3522094419999993E-3</v>
      </c>
    </row>
    <row r="1200" spans="6:15" x14ac:dyDescent="0.2">
      <c r="F1200" s="19">
        <v>9.35275E-3</v>
      </c>
      <c r="H1200" s="1">
        <f t="shared" si="18"/>
        <v>0</v>
      </c>
      <c r="I1200" s="20">
        <f>E1200-N1200</f>
        <v>0</v>
      </c>
      <c r="O1200" s="19">
        <v>9.3521413999999997E-3</v>
      </c>
    </row>
    <row r="1201" spans="6:15" x14ac:dyDescent="0.2">
      <c r="F1201" s="19">
        <v>9.3526800000000004E-3</v>
      </c>
      <c r="H1201" s="1">
        <f t="shared" si="18"/>
        <v>0</v>
      </c>
      <c r="I1201" s="20">
        <f>E1201-N1201</f>
        <v>0</v>
      </c>
      <c r="O1201" s="19">
        <v>9.3520734649999993E-3</v>
      </c>
    </row>
    <row r="1202" spans="6:15" x14ac:dyDescent="0.2">
      <c r="F1202" s="19">
        <v>9.3526100000000008E-3</v>
      </c>
      <c r="H1202" s="1">
        <f t="shared" si="18"/>
        <v>0</v>
      </c>
      <c r="I1202" s="20">
        <f>E1202-N1202</f>
        <v>0</v>
      </c>
      <c r="O1202" s="19">
        <v>9.3520056430000005E-3</v>
      </c>
    </row>
    <row r="1203" spans="6:15" x14ac:dyDescent="0.2">
      <c r="F1203" s="19">
        <v>9.3525399999999995E-3</v>
      </c>
      <c r="H1203" s="1">
        <f t="shared" si="18"/>
        <v>0</v>
      </c>
      <c r="I1203" s="20">
        <f>E1203-N1203</f>
        <v>0</v>
      </c>
      <c r="O1203" s="19">
        <v>9.3519379400000009E-3</v>
      </c>
    </row>
    <row r="1204" spans="6:15" x14ac:dyDescent="0.2">
      <c r="F1204" s="19">
        <v>9.3524699999999999E-3</v>
      </c>
      <c r="H1204" s="1">
        <f t="shared" si="18"/>
        <v>0</v>
      </c>
      <c r="I1204" s="20">
        <f>E1204-N1204</f>
        <v>0</v>
      </c>
      <c r="O1204" s="19">
        <v>9.3518703610000007E-3</v>
      </c>
    </row>
    <row r="1205" spans="6:15" x14ac:dyDescent="0.2">
      <c r="F1205" s="19">
        <v>9.3524100000000002E-3</v>
      </c>
      <c r="H1205" s="1">
        <f t="shared" si="18"/>
        <v>0</v>
      </c>
      <c r="I1205" s="20">
        <f>E1205-N1205</f>
        <v>0</v>
      </c>
      <c r="O1205" s="19">
        <v>9.3518029129999996E-3</v>
      </c>
    </row>
    <row r="1206" spans="6:15" x14ac:dyDescent="0.2">
      <c r="F1206" s="19">
        <v>9.3523400000000007E-3</v>
      </c>
      <c r="H1206" s="1">
        <f t="shared" si="18"/>
        <v>0</v>
      </c>
      <c r="I1206" s="20">
        <f>E1206-N1206</f>
        <v>0</v>
      </c>
      <c r="O1206" s="19">
        <v>9.3517356009999997E-3</v>
      </c>
    </row>
    <row r="1207" spans="6:15" x14ac:dyDescent="0.2">
      <c r="F1207" s="19">
        <v>9.3522699999999993E-3</v>
      </c>
      <c r="H1207" s="1">
        <f t="shared" si="18"/>
        <v>0</v>
      </c>
      <c r="I1207" s="20">
        <f>E1207-N1207</f>
        <v>0</v>
      </c>
      <c r="O1207" s="19">
        <v>9.3516684259999996E-3</v>
      </c>
    </row>
    <row r="1208" spans="6:15" x14ac:dyDescent="0.2">
      <c r="F1208" s="19">
        <v>9.3521999999999997E-3</v>
      </c>
      <c r="H1208" s="1">
        <f t="shared" si="18"/>
        <v>0</v>
      </c>
      <c r="I1208" s="20">
        <f>E1208-N1208</f>
        <v>0</v>
      </c>
      <c r="O1208" s="19">
        <v>9.3516013700000004E-3</v>
      </c>
    </row>
    <row r="1209" spans="6:15" x14ac:dyDescent="0.2">
      <c r="F1209" s="19">
        <v>9.3521400000000001E-3</v>
      </c>
      <c r="H1209" s="1">
        <f t="shared" si="18"/>
        <v>0</v>
      </c>
      <c r="I1209" s="20">
        <f>E1209-N1209</f>
        <v>0</v>
      </c>
      <c r="O1209" s="19">
        <v>9.3515344100000009E-3</v>
      </c>
    </row>
    <row r="1210" spans="6:15" x14ac:dyDescent="0.2">
      <c r="F1210" s="19">
        <v>9.3520700000000005E-3</v>
      </c>
      <c r="H1210" s="1">
        <f t="shared" si="18"/>
        <v>0</v>
      </c>
      <c r="I1210" s="20">
        <f>E1210-N1210</f>
        <v>0</v>
      </c>
      <c r="O1210" s="19">
        <v>9.3514675200000001E-3</v>
      </c>
    </row>
    <row r="1211" spans="6:15" x14ac:dyDescent="0.2">
      <c r="F1211" s="19">
        <v>9.3519999999999992E-3</v>
      </c>
      <c r="H1211" s="1">
        <f t="shared" si="18"/>
        <v>0</v>
      </c>
      <c r="I1211" s="20">
        <f>E1211-N1211</f>
        <v>0</v>
      </c>
      <c r="O1211" s="19">
        <v>9.3514006779999992E-3</v>
      </c>
    </row>
    <row r="1212" spans="6:15" x14ac:dyDescent="0.2">
      <c r="F1212" s="19">
        <v>9.3513338599999999E-3</v>
      </c>
      <c r="H1212" s="1">
        <f t="shared" si="18"/>
        <v>0</v>
      </c>
      <c r="I1212" s="20">
        <f>E1212-N1212</f>
        <v>0</v>
      </c>
      <c r="O1212" s="19">
        <v>9.3513338599999999E-3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Feuil1</vt:lpstr>
      <vt:lpstr>Output</vt:lpstr>
      <vt:lpstr>Feuil2</vt:lpstr>
      <vt:lpstr>Sheet1</vt:lpstr>
      <vt:lpstr>alpha</vt:lpstr>
      <vt:lpstr>corel</vt:lpstr>
      <vt:lpstr>dir</vt:lpstr>
      <vt:lpstr>name</vt:lpstr>
      <vt:lpstr>scn</vt:lpstr>
      <vt:lpstr>sigma</vt:lpstr>
    </vt:vector>
  </TitlesOfParts>
  <Company>Basler Versicherungen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B029735</dc:creator>
  <cp:lastModifiedBy>B029735</cp:lastModifiedBy>
  <dcterms:created xsi:type="dcterms:W3CDTF">2013-01-21T16:28:36Z</dcterms:created>
  <dcterms:modified xsi:type="dcterms:W3CDTF">2015-03-04T13:40:42Z</dcterms:modified>
</cp:coreProperties>
</file>